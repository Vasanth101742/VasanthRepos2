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anthk\Desktop\Vasanth Desktop Items\Vasanth\STk\"/>
    </mc:Choice>
  </mc:AlternateContent>
  <bookViews>
    <workbookView xWindow="240" yWindow="135" windowWidth="19920" windowHeight="7755" tabRatio="860" activeTab="3"/>
  </bookViews>
  <sheets>
    <sheet name="8502271974_TradeBook" sheetId="1" r:id="rId1"/>
    <sheet name="Buy" sheetId="2" r:id="rId2"/>
    <sheet name="Sell" sheetId="4" r:id="rId3"/>
    <sheet name="P and L" sheetId="5" r:id="rId4"/>
    <sheet name="Sheet1" sheetId="6" r:id="rId5"/>
    <sheet name="StockHistory" sheetId="7" r:id="rId6"/>
  </sheets>
  <definedNames>
    <definedName name="_xlnm._FilterDatabase" localSheetId="0" hidden="1">'8502271974_TradeBook'!$A$1:$P$1597</definedName>
    <definedName name="_xlnm._FilterDatabase" localSheetId="3" hidden="1">'P and L'!$E$3:$F$107</definedName>
    <definedName name="_xlnm._FilterDatabase" localSheetId="4" hidden="1">Sheet1!$A$1:$U$1597</definedName>
  </definedNames>
  <calcPr calcId="152511"/>
  <pivotCaches>
    <pivotCache cacheId="0" r:id="rId7"/>
    <pivotCache cacheId="1" r:id="rId8"/>
    <pivotCache cacheId="2" r:id="rId9"/>
  </pivotCaches>
</workbook>
</file>

<file path=xl/calcChain.xml><?xml version="1.0" encoding="utf-8"?>
<calcChain xmlns="http://schemas.openxmlformats.org/spreadsheetml/2006/main">
  <c r="R74" i="6" l="1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R1154" i="6"/>
  <c r="R1155" i="6"/>
  <c r="R1156" i="6"/>
  <c r="R1157" i="6"/>
  <c r="R1158" i="6"/>
  <c r="R1159" i="6"/>
  <c r="R1160" i="6"/>
  <c r="R1161" i="6"/>
  <c r="R1162" i="6"/>
  <c r="R1163" i="6"/>
  <c r="R1164" i="6"/>
  <c r="R1165" i="6"/>
  <c r="R1166" i="6"/>
  <c r="R1167" i="6"/>
  <c r="R1168" i="6"/>
  <c r="R1169" i="6"/>
  <c r="R1170" i="6"/>
  <c r="R1171" i="6"/>
  <c r="R1172" i="6"/>
  <c r="R1173" i="6"/>
  <c r="R1174" i="6"/>
  <c r="R1175" i="6"/>
  <c r="R1176" i="6"/>
  <c r="R1177" i="6"/>
  <c r="R1178" i="6"/>
  <c r="R1179" i="6"/>
  <c r="R1180" i="6"/>
  <c r="R1181" i="6"/>
  <c r="R1182" i="6"/>
  <c r="R1183" i="6"/>
  <c r="R1184" i="6"/>
  <c r="R1185" i="6"/>
  <c r="R1186" i="6"/>
  <c r="R1187" i="6"/>
  <c r="R1188" i="6"/>
  <c r="R1189" i="6"/>
  <c r="R1190" i="6"/>
  <c r="R1191" i="6"/>
  <c r="R1192" i="6"/>
  <c r="R1193" i="6"/>
  <c r="R1194" i="6"/>
  <c r="R1195" i="6"/>
  <c r="R1196" i="6"/>
  <c r="R1197" i="6"/>
  <c r="R1198" i="6"/>
  <c r="R1199" i="6"/>
  <c r="R1200" i="6"/>
  <c r="R1201" i="6"/>
  <c r="R1202" i="6"/>
  <c r="R1203" i="6"/>
  <c r="R1204" i="6"/>
  <c r="R1205" i="6"/>
  <c r="R1206" i="6"/>
  <c r="R1207" i="6"/>
  <c r="R1208" i="6"/>
  <c r="R1209" i="6"/>
  <c r="R1210" i="6"/>
  <c r="R1211" i="6"/>
  <c r="R1212" i="6"/>
  <c r="R1213" i="6"/>
  <c r="R1214" i="6"/>
  <c r="R1215" i="6"/>
  <c r="R1216" i="6"/>
  <c r="R1217" i="6"/>
  <c r="R1218" i="6"/>
  <c r="R1219" i="6"/>
  <c r="R1220" i="6"/>
  <c r="R1221" i="6"/>
  <c r="R1222" i="6"/>
  <c r="R1223" i="6"/>
  <c r="R1224" i="6"/>
  <c r="R1225" i="6"/>
  <c r="R1226" i="6"/>
  <c r="R1227" i="6"/>
  <c r="R1228" i="6"/>
  <c r="R1229" i="6"/>
  <c r="R1230" i="6"/>
  <c r="R1231" i="6"/>
  <c r="R1232" i="6"/>
  <c r="R1233" i="6"/>
  <c r="R1234" i="6"/>
  <c r="R1235" i="6"/>
  <c r="R1236" i="6"/>
  <c r="R1237" i="6"/>
  <c r="R1238" i="6"/>
  <c r="R1239" i="6"/>
  <c r="R1240" i="6"/>
  <c r="R1241" i="6"/>
  <c r="R1242" i="6"/>
  <c r="R1243" i="6"/>
  <c r="R1244" i="6"/>
  <c r="R1245" i="6"/>
  <c r="R1246" i="6"/>
  <c r="R1247" i="6"/>
  <c r="R1248" i="6"/>
  <c r="R1249" i="6"/>
  <c r="R1250" i="6"/>
  <c r="R1251" i="6"/>
  <c r="R1252" i="6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R1334" i="6"/>
  <c r="R1335" i="6"/>
  <c r="R1336" i="6"/>
  <c r="R1337" i="6"/>
  <c r="R1338" i="6"/>
  <c r="R1339" i="6"/>
  <c r="R1340" i="6"/>
  <c r="R1341" i="6"/>
  <c r="R1342" i="6"/>
  <c r="R1343" i="6"/>
  <c r="R1344" i="6"/>
  <c r="R1345" i="6"/>
  <c r="R1346" i="6"/>
  <c r="R1347" i="6"/>
  <c r="R1348" i="6"/>
  <c r="R1349" i="6"/>
  <c r="R1350" i="6"/>
  <c r="R1351" i="6"/>
  <c r="R1352" i="6"/>
  <c r="R1353" i="6"/>
  <c r="R1354" i="6"/>
  <c r="R1355" i="6"/>
  <c r="R1356" i="6"/>
  <c r="R1357" i="6"/>
  <c r="R1358" i="6"/>
  <c r="R1359" i="6"/>
  <c r="R1360" i="6"/>
  <c r="R1361" i="6"/>
  <c r="R1362" i="6"/>
  <c r="R1363" i="6"/>
  <c r="R1364" i="6"/>
  <c r="R1365" i="6"/>
  <c r="R1366" i="6"/>
  <c r="R1367" i="6"/>
  <c r="R1368" i="6"/>
  <c r="R1369" i="6"/>
  <c r="R1370" i="6"/>
  <c r="R1371" i="6"/>
  <c r="R1372" i="6"/>
  <c r="R1373" i="6"/>
  <c r="R1374" i="6"/>
  <c r="R1375" i="6"/>
  <c r="R1376" i="6"/>
  <c r="R1377" i="6"/>
  <c r="R1378" i="6"/>
  <c r="R1379" i="6"/>
  <c r="R1380" i="6"/>
  <c r="R1381" i="6"/>
  <c r="R1382" i="6"/>
  <c r="R1383" i="6"/>
  <c r="R1384" i="6"/>
  <c r="R1385" i="6"/>
  <c r="R1386" i="6"/>
  <c r="R1387" i="6"/>
  <c r="R1388" i="6"/>
  <c r="R1389" i="6"/>
  <c r="R1390" i="6"/>
  <c r="R1391" i="6"/>
  <c r="R1392" i="6"/>
  <c r="R1393" i="6"/>
  <c r="R1394" i="6"/>
  <c r="R1395" i="6"/>
  <c r="R1396" i="6"/>
  <c r="R1397" i="6"/>
  <c r="R1398" i="6"/>
  <c r="R1399" i="6"/>
  <c r="R1400" i="6"/>
  <c r="R1401" i="6"/>
  <c r="R1402" i="6"/>
  <c r="R1403" i="6"/>
  <c r="R1404" i="6"/>
  <c r="R1405" i="6"/>
  <c r="R1406" i="6"/>
  <c r="R1407" i="6"/>
  <c r="R1408" i="6"/>
  <c r="R1409" i="6"/>
  <c r="R1410" i="6"/>
  <c r="R1411" i="6"/>
  <c r="R1412" i="6"/>
  <c r="R1413" i="6"/>
  <c r="R1414" i="6"/>
  <c r="R1415" i="6"/>
  <c r="R1416" i="6"/>
  <c r="R1417" i="6"/>
  <c r="R1418" i="6"/>
  <c r="R1419" i="6"/>
  <c r="R1420" i="6"/>
  <c r="R1421" i="6"/>
  <c r="R1422" i="6"/>
  <c r="R1423" i="6"/>
  <c r="R1424" i="6"/>
  <c r="R1425" i="6"/>
  <c r="R1426" i="6"/>
  <c r="R1427" i="6"/>
  <c r="R1428" i="6"/>
  <c r="R1429" i="6"/>
  <c r="R1430" i="6"/>
  <c r="R1431" i="6"/>
  <c r="R1432" i="6"/>
  <c r="R1433" i="6"/>
  <c r="R1434" i="6"/>
  <c r="R1435" i="6"/>
  <c r="R1436" i="6"/>
  <c r="R1437" i="6"/>
  <c r="R1438" i="6"/>
  <c r="R1439" i="6"/>
  <c r="R1440" i="6"/>
  <c r="R1441" i="6"/>
  <c r="R1442" i="6"/>
  <c r="R1443" i="6"/>
  <c r="R1444" i="6"/>
  <c r="R1445" i="6"/>
  <c r="R1446" i="6"/>
  <c r="R1447" i="6"/>
  <c r="R1448" i="6"/>
  <c r="R1449" i="6"/>
  <c r="R1450" i="6"/>
  <c r="R1451" i="6"/>
  <c r="R1452" i="6"/>
  <c r="R1453" i="6"/>
  <c r="R1454" i="6"/>
  <c r="R1455" i="6"/>
  <c r="R1456" i="6"/>
  <c r="R1457" i="6"/>
  <c r="R1458" i="6"/>
  <c r="R1459" i="6"/>
  <c r="R1460" i="6"/>
  <c r="R1461" i="6"/>
  <c r="R1462" i="6"/>
  <c r="R1463" i="6"/>
  <c r="R1464" i="6"/>
  <c r="R1465" i="6"/>
  <c r="R1466" i="6"/>
  <c r="R1467" i="6"/>
  <c r="R1468" i="6"/>
  <c r="R1469" i="6"/>
  <c r="R1470" i="6"/>
  <c r="R1471" i="6"/>
  <c r="R1472" i="6"/>
  <c r="R1473" i="6"/>
  <c r="R1474" i="6"/>
  <c r="R1475" i="6"/>
  <c r="R1476" i="6"/>
  <c r="R1477" i="6"/>
  <c r="R1478" i="6"/>
  <c r="R1479" i="6"/>
  <c r="R1480" i="6"/>
  <c r="R1481" i="6"/>
  <c r="R1482" i="6"/>
  <c r="R1483" i="6"/>
  <c r="R1484" i="6"/>
  <c r="R1485" i="6"/>
  <c r="R1486" i="6"/>
  <c r="R1487" i="6"/>
  <c r="R1488" i="6"/>
  <c r="R1489" i="6"/>
  <c r="R1490" i="6"/>
  <c r="R1491" i="6"/>
  <c r="R1492" i="6"/>
  <c r="R1493" i="6"/>
  <c r="R1494" i="6"/>
  <c r="R1495" i="6"/>
  <c r="R1496" i="6"/>
  <c r="R1497" i="6"/>
  <c r="R1498" i="6"/>
  <c r="R1499" i="6"/>
  <c r="R1500" i="6"/>
  <c r="R1501" i="6"/>
  <c r="R1502" i="6"/>
  <c r="R1503" i="6"/>
  <c r="R1504" i="6"/>
  <c r="R1505" i="6"/>
  <c r="R1506" i="6"/>
  <c r="R1507" i="6"/>
  <c r="R1508" i="6"/>
  <c r="R1509" i="6"/>
  <c r="R1510" i="6"/>
  <c r="R1511" i="6"/>
  <c r="R1512" i="6"/>
  <c r="R1513" i="6"/>
  <c r="R1514" i="6"/>
  <c r="R1515" i="6"/>
  <c r="R1516" i="6"/>
  <c r="R1517" i="6"/>
  <c r="R1518" i="6"/>
  <c r="R1519" i="6"/>
  <c r="R1520" i="6"/>
  <c r="R1521" i="6"/>
  <c r="R1522" i="6"/>
  <c r="R1523" i="6"/>
  <c r="R1524" i="6"/>
  <c r="R1525" i="6"/>
  <c r="R1526" i="6"/>
  <c r="R1527" i="6"/>
  <c r="R1528" i="6"/>
  <c r="R1529" i="6"/>
  <c r="R1530" i="6"/>
  <c r="R1531" i="6"/>
  <c r="R1532" i="6"/>
  <c r="R1533" i="6"/>
  <c r="R1534" i="6"/>
  <c r="R1535" i="6"/>
  <c r="R1536" i="6"/>
  <c r="R1537" i="6"/>
  <c r="R1538" i="6"/>
  <c r="R1539" i="6"/>
  <c r="R1540" i="6"/>
  <c r="R1541" i="6"/>
  <c r="R1542" i="6"/>
  <c r="R1543" i="6"/>
  <c r="R1544" i="6"/>
  <c r="R1545" i="6"/>
  <c r="R1546" i="6"/>
  <c r="R1547" i="6"/>
  <c r="R1548" i="6"/>
  <c r="R1549" i="6"/>
  <c r="R1550" i="6"/>
  <c r="R1551" i="6"/>
  <c r="R1552" i="6"/>
  <c r="R1553" i="6"/>
  <c r="R1554" i="6"/>
  <c r="R1555" i="6"/>
  <c r="R1556" i="6"/>
  <c r="R1557" i="6"/>
  <c r="R1558" i="6"/>
  <c r="R1559" i="6"/>
  <c r="R1560" i="6"/>
  <c r="R1561" i="6"/>
  <c r="R1562" i="6"/>
  <c r="R1563" i="6"/>
  <c r="R1564" i="6"/>
  <c r="R1565" i="6"/>
  <c r="R1566" i="6"/>
  <c r="R1567" i="6"/>
  <c r="R1568" i="6"/>
  <c r="R1569" i="6"/>
  <c r="R1570" i="6"/>
  <c r="R1571" i="6"/>
  <c r="R1572" i="6"/>
  <c r="R1573" i="6"/>
  <c r="R1574" i="6"/>
  <c r="R1575" i="6"/>
  <c r="R1576" i="6"/>
  <c r="R1577" i="6"/>
  <c r="R1578" i="6"/>
  <c r="R1579" i="6"/>
  <c r="R1580" i="6"/>
  <c r="R1581" i="6"/>
  <c r="R1582" i="6"/>
  <c r="R1583" i="6"/>
  <c r="R1584" i="6"/>
  <c r="R1585" i="6"/>
  <c r="R1586" i="6"/>
  <c r="R1587" i="6"/>
  <c r="R1588" i="6"/>
  <c r="R1589" i="6"/>
  <c r="R1590" i="6"/>
  <c r="R1591" i="6"/>
  <c r="R1592" i="6"/>
  <c r="R1593" i="6"/>
  <c r="R1594" i="6"/>
  <c r="R1595" i="6"/>
  <c r="R1596" i="6"/>
  <c r="R1597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1419" i="6"/>
  <c r="Q1420" i="6"/>
  <c r="Q1421" i="6"/>
  <c r="Q1422" i="6"/>
  <c r="Q1423" i="6"/>
  <c r="Q1424" i="6"/>
  <c r="Q1425" i="6"/>
  <c r="Q1426" i="6"/>
  <c r="Q1427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455" i="6"/>
  <c r="Q1456" i="6"/>
  <c r="Q1457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1472" i="6"/>
  <c r="Q1473" i="6"/>
  <c r="Q1474" i="6"/>
  <c r="Q1475" i="6"/>
  <c r="Q1476" i="6"/>
  <c r="Q1477" i="6"/>
  <c r="Q1478" i="6"/>
  <c r="Q1479" i="6"/>
  <c r="Q1480" i="6"/>
  <c r="Q1481" i="6"/>
  <c r="Q1482" i="6"/>
  <c r="Q1483" i="6"/>
  <c r="Q1484" i="6"/>
  <c r="Q1485" i="6"/>
  <c r="Q1486" i="6"/>
  <c r="Q1487" i="6"/>
  <c r="Q1488" i="6"/>
  <c r="Q1489" i="6"/>
  <c r="Q1490" i="6"/>
  <c r="Q1491" i="6"/>
  <c r="Q1492" i="6"/>
  <c r="Q1493" i="6"/>
  <c r="Q1494" i="6"/>
  <c r="Q1495" i="6"/>
  <c r="Q1496" i="6"/>
  <c r="Q1497" i="6"/>
  <c r="Q1498" i="6"/>
  <c r="Q1499" i="6"/>
  <c r="Q1500" i="6"/>
  <c r="Q1501" i="6"/>
  <c r="Q1502" i="6"/>
  <c r="Q1503" i="6"/>
  <c r="Q1504" i="6"/>
  <c r="Q1505" i="6"/>
  <c r="Q1506" i="6"/>
  <c r="Q1507" i="6"/>
  <c r="Q1508" i="6"/>
  <c r="Q1509" i="6"/>
  <c r="Q1510" i="6"/>
  <c r="Q1511" i="6"/>
  <c r="Q1512" i="6"/>
  <c r="Q1513" i="6"/>
  <c r="Q1514" i="6"/>
  <c r="Q1515" i="6"/>
  <c r="Q1516" i="6"/>
  <c r="Q1517" i="6"/>
  <c r="Q1518" i="6"/>
  <c r="Q1519" i="6"/>
  <c r="Q1520" i="6"/>
  <c r="Q1521" i="6"/>
  <c r="Q1522" i="6"/>
  <c r="Q1523" i="6"/>
  <c r="Q1524" i="6"/>
  <c r="Q1525" i="6"/>
  <c r="Q1526" i="6"/>
  <c r="Q1527" i="6"/>
  <c r="Q1528" i="6"/>
  <c r="Q1529" i="6"/>
  <c r="Q1530" i="6"/>
  <c r="Q1531" i="6"/>
  <c r="Q1532" i="6"/>
  <c r="Q1533" i="6"/>
  <c r="Q1534" i="6"/>
  <c r="Q1535" i="6"/>
  <c r="Q1536" i="6"/>
  <c r="Q1537" i="6"/>
  <c r="Q1538" i="6"/>
  <c r="Q1539" i="6"/>
  <c r="Q1540" i="6"/>
  <c r="Q1541" i="6"/>
  <c r="Q1542" i="6"/>
  <c r="Q1543" i="6"/>
  <c r="Q1544" i="6"/>
  <c r="Q1545" i="6"/>
  <c r="Q1546" i="6"/>
  <c r="Q1547" i="6"/>
  <c r="Q1548" i="6"/>
  <c r="Q1549" i="6"/>
  <c r="Q1550" i="6"/>
  <c r="Q1551" i="6"/>
  <c r="Q1552" i="6"/>
  <c r="Q1553" i="6"/>
  <c r="Q1554" i="6"/>
  <c r="Q1555" i="6"/>
  <c r="Q1556" i="6"/>
  <c r="Q1557" i="6"/>
  <c r="Q1558" i="6"/>
  <c r="Q1559" i="6"/>
  <c r="Q1560" i="6"/>
  <c r="Q1561" i="6"/>
  <c r="Q1562" i="6"/>
  <c r="Q1563" i="6"/>
  <c r="Q1564" i="6"/>
  <c r="Q1565" i="6"/>
  <c r="Q1566" i="6"/>
  <c r="Q1567" i="6"/>
  <c r="Q1568" i="6"/>
  <c r="Q1569" i="6"/>
  <c r="Q1570" i="6"/>
  <c r="Q1571" i="6"/>
  <c r="Q1572" i="6"/>
  <c r="Q1573" i="6"/>
  <c r="Q1574" i="6"/>
  <c r="Q1575" i="6"/>
  <c r="Q1576" i="6"/>
  <c r="Q1577" i="6"/>
  <c r="Q1578" i="6"/>
  <c r="Q1579" i="6"/>
  <c r="Q1580" i="6"/>
  <c r="Q1581" i="6"/>
  <c r="Q1582" i="6"/>
  <c r="Q1583" i="6"/>
  <c r="Q1584" i="6"/>
  <c r="Q1585" i="6"/>
  <c r="Q1586" i="6"/>
  <c r="Q1587" i="6"/>
  <c r="Q1588" i="6"/>
  <c r="Q1589" i="6"/>
  <c r="Q1590" i="6"/>
  <c r="Q1591" i="6"/>
  <c r="Q1592" i="6"/>
  <c r="Q1593" i="6"/>
  <c r="Q1594" i="6"/>
  <c r="Q1595" i="6"/>
  <c r="Q1596" i="6"/>
  <c r="Q1597" i="6"/>
  <c r="Q74" i="6"/>
  <c r="Q75" i="6"/>
  <c r="Q76" i="6"/>
  <c r="Q77" i="6"/>
  <c r="Q78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R2" i="6"/>
  <c r="Q2" i="6"/>
  <c r="S1" i="6" l="1"/>
  <c r="T1" i="6"/>
  <c r="U1" i="6" s="1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7" i="7"/>
  <c r="J29" i="7" l="1"/>
  <c r="J25" i="7"/>
  <c r="J21" i="7"/>
  <c r="J17" i="7"/>
  <c r="J13" i="7"/>
  <c r="J9" i="7"/>
  <c r="J28" i="7"/>
  <c r="J24" i="7"/>
  <c r="J20" i="7"/>
  <c r="J16" i="7"/>
  <c r="J12" i="7"/>
  <c r="J8" i="7"/>
  <c r="J7" i="7"/>
  <c r="J27" i="7"/>
  <c r="J23" i="7"/>
  <c r="J19" i="7"/>
  <c r="J15" i="7"/>
  <c r="J11" i="7"/>
  <c r="J30" i="7"/>
  <c r="J26" i="7"/>
  <c r="J22" i="7"/>
  <c r="J18" i="7"/>
  <c r="J14" i="7"/>
  <c r="J10" i="7"/>
  <c r="O3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N11" i="2"/>
  <c r="P11" i="2" s="1"/>
  <c r="N12" i="2"/>
  <c r="P12" i="2" s="1"/>
  <c r="N13" i="2"/>
  <c r="P13" i="2" s="1"/>
  <c r="N14" i="2"/>
  <c r="P14" i="2" s="1"/>
  <c r="N15" i="2"/>
  <c r="P15" i="2" s="1"/>
  <c r="N16" i="2"/>
  <c r="P16" i="2" s="1"/>
  <c r="N17" i="2"/>
  <c r="P17" i="2" s="1"/>
  <c r="N18" i="2"/>
  <c r="P18" i="2" s="1"/>
  <c r="N19" i="2"/>
  <c r="P19" i="2" s="1"/>
  <c r="N20" i="2"/>
  <c r="P20" i="2" s="1"/>
  <c r="N21" i="2"/>
  <c r="P21" i="2" s="1"/>
  <c r="N22" i="2"/>
  <c r="P22" i="2" s="1"/>
  <c r="N23" i="2"/>
  <c r="P23" i="2" s="1"/>
  <c r="N24" i="2"/>
  <c r="N25" i="2"/>
  <c r="P25" i="2" s="1"/>
  <c r="N26" i="2"/>
  <c r="P26" i="2" s="1"/>
  <c r="N27" i="2"/>
  <c r="P27" i="2" s="1"/>
  <c r="N28" i="2"/>
  <c r="P28" i="2" s="1"/>
  <c r="N29" i="2"/>
  <c r="P29" i="2" s="1"/>
  <c r="N30" i="2"/>
  <c r="P30" i="2" s="1"/>
  <c r="N31" i="2"/>
  <c r="P31" i="2" s="1"/>
  <c r="N32" i="2"/>
  <c r="P32" i="2" s="1"/>
  <c r="N33" i="2"/>
  <c r="P33" i="2" s="1"/>
  <c r="N34" i="2"/>
  <c r="P34" i="2" s="1"/>
  <c r="N35" i="2"/>
  <c r="P35" i="2" s="1"/>
  <c r="N36" i="2"/>
  <c r="P36" i="2" s="1"/>
  <c r="N37" i="2"/>
  <c r="P37" i="2" s="1"/>
  <c r="N38" i="2"/>
  <c r="P38" i="2" s="1"/>
  <c r="N39" i="2"/>
  <c r="P39" i="2" s="1"/>
  <c r="N40" i="2"/>
  <c r="P40" i="2" s="1"/>
  <c r="N41" i="2"/>
  <c r="P41" i="2" s="1"/>
  <c r="N42" i="2"/>
  <c r="P42" i="2" s="1"/>
  <c r="N43" i="2"/>
  <c r="P43" i="2" s="1"/>
  <c r="N44" i="2"/>
  <c r="P44" i="2" s="1"/>
  <c r="N45" i="2"/>
  <c r="P45" i="2" s="1"/>
  <c r="N46" i="2"/>
  <c r="P46" i="2" s="1"/>
  <c r="N47" i="2"/>
  <c r="P47" i="2" s="1"/>
  <c r="N48" i="2"/>
  <c r="P48" i="2" s="1"/>
  <c r="N49" i="2"/>
  <c r="P49" i="2" s="1"/>
  <c r="N50" i="2"/>
  <c r="P50" i="2" s="1"/>
  <c r="N51" i="2"/>
  <c r="P51" i="2" s="1"/>
  <c r="N52" i="2"/>
  <c r="P52" i="2" s="1"/>
  <c r="N53" i="2"/>
  <c r="P53" i="2" s="1"/>
  <c r="N54" i="2"/>
  <c r="P54" i="2" s="1"/>
  <c r="N55" i="2"/>
  <c r="P55" i="2" s="1"/>
  <c r="N56" i="2"/>
  <c r="P56" i="2" s="1"/>
  <c r="N57" i="2"/>
  <c r="P57" i="2" s="1"/>
  <c r="N58" i="2"/>
  <c r="P58" i="2" s="1"/>
  <c r="N59" i="2"/>
  <c r="P59" i="2" s="1"/>
  <c r="N60" i="2"/>
  <c r="P60" i="2" s="1"/>
  <c r="N61" i="2"/>
  <c r="P61" i="2" s="1"/>
  <c r="N62" i="2"/>
  <c r="P62" i="2" s="1"/>
  <c r="N63" i="2"/>
  <c r="P63" i="2" s="1"/>
  <c r="N64" i="2"/>
  <c r="P64" i="2" s="1"/>
  <c r="N65" i="2"/>
  <c r="P65" i="2" s="1"/>
  <c r="N66" i="2"/>
  <c r="P66" i="2" s="1"/>
  <c r="N67" i="2"/>
  <c r="P67" i="2" s="1"/>
  <c r="N68" i="2"/>
  <c r="P68" i="2" s="1"/>
  <c r="N69" i="2"/>
  <c r="P69" i="2" s="1"/>
  <c r="N70" i="2"/>
  <c r="P70" i="2" s="1"/>
  <c r="N71" i="2"/>
  <c r="P71" i="2" s="1"/>
  <c r="N72" i="2"/>
  <c r="P72" i="2" s="1"/>
  <c r="N73" i="2"/>
  <c r="P73" i="2" s="1"/>
  <c r="N74" i="2"/>
  <c r="P74" i="2" s="1"/>
  <c r="N75" i="2"/>
  <c r="P75" i="2" s="1"/>
  <c r="N76" i="2"/>
  <c r="P76" i="2" s="1"/>
  <c r="N77" i="2"/>
  <c r="P77" i="2" s="1"/>
  <c r="N78" i="2"/>
  <c r="P78" i="2" s="1"/>
  <c r="N79" i="2"/>
  <c r="P79" i="2" s="1"/>
  <c r="N80" i="2"/>
  <c r="P80" i="2" s="1"/>
  <c r="N81" i="2"/>
  <c r="P81" i="2" s="1"/>
  <c r="N82" i="2"/>
  <c r="P82" i="2" s="1"/>
  <c r="N83" i="2"/>
  <c r="P83" i="2" s="1"/>
  <c r="N84" i="2"/>
  <c r="P84" i="2" s="1"/>
  <c r="N85" i="2"/>
  <c r="P85" i="2" s="1"/>
  <c r="N86" i="2"/>
  <c r="P86" i="2" s="1"/>
  <c r="N87" i="2"/>
  <c r="P87" i="2" s="1"/>
  <c r="N88" i="2"/>
  <c r="P88" i="2" s="1"/>
  <c r="N89" i="2"/>
  <c r="P89" i="2" s="1"/>
  <c r="N90" i="2"/>
  <c r="P90" i="2" s="1"/>
  <c r="N91" i="2"/>
  <c r="P91" i="2" s="1"/>
  <c r="N92" i="2"/>
  <c r="P92" i="2" s="1"/>
  <c r="N93" i="2"/>
  <c r="P93" i="2" s="1"/>
  <c r="N94" i="2"/>
  <c r="P94" i="2" s="1"/>
  <c r="N95" i="2"/>
  <c r="P95" i="2" s="1"/>
  <c r="N96" i="2"/>
  <c r="P96" i="2" s="1"/>
  <c r="N97" i="2"/>
  <c r="P97" i="2" s="1"/>
  <c r="N98" i="2"/>
  <c r="P98" i="2" s="1"/>
  <c r="N99" i="2"/>
  <c r="P99" i="2" s="1"/>
  <c r="N100" i="2"/>
  <c r="P100" i="2" s="1"/>
  <c r="N101" i="2"/>
  <c r="P101" i="2" s="1"/>
  <c r="N102" i="2"/>
  <c r="P102" i="2" s="1"/>
  <c r="N103" i="2"/>
  <c r="P103" i="2" s="1"/>
  <c r="N104" i="2"/>
  <c r="P104" i="2" s="1"/>
  <c r="N105" i="2"/>
  <c r="P105" i="2" s="1"/>
  <c r="N106" i="2"/>
  <c r="P106" i="2" s="1"/>
  <c r="N107" i="2"/>
  <c r="P107" i="2" s="1"/>
  <c r="N108" i="2"/>
  <c r="P108" i="2" s="1"/>
  <c r="N109" i="2"/>
  <c r="P109" i="2" s="1"/>
  <c r="N110" i="2"/>
  <c r="P110" i="2" s="1"/>
  <c r="N111" i="2"/>
  <c r="P111" i="2" s="1"/>
  <c r="N112" i="2"/>
  <c r="P112" i="2" s="1"/>
  <c r="N113" i="2"/>
  <c r="P113" i="2" s="1"/>
  <c r="N114" i="2"/>
  <c r="P114" i="2" s="1"/>
  <c r="N115" i="2"/>
  <c r="P115" i="2" s="1"/>
  <c r="N116" i="2"/>
  <c r="P116" i="2" s="1"/>
  <c r="N117" i="2"/>
  <c r="P117" i="2" s="1"/>
  <c r="N118" i="2"/>
  <c r="P118" i="2" s="1"/>
  <c r="N119" i="2"/>
  <c r="P119" i="2" s="1"/>
  <c r="N120" i="2"/>
  <c r="P120" i="2" s="1"/>
  <c r="N121" i="2"/>
  <c r="P121" i="2" s="1"/>
  <c r="N122" i="2"/>
  <c r="P122" i="2" s="1"/>
  <c r="N123" i="2"/>
  <c r="P123" i="2" s="1"/>
  <c r="N124" i="2"/>
  <c r="P124" i="2" s="1"/>
  <c r="N125" i="2"/>
  <c r="P125" i="2" s="1"/>
  <c r="N126" i="2"/>
  <c r="P126" i="2" s="1"/>
  <c r="N127" i="2"/>
  <c r="P127" i="2" s="1"/>
  <c r="N128" i="2"/>
  <c r="P128" i="2" s="1"/>
  <c r="N129" i="2"/>
  <c r="P129" i="2" s="1"/>
  <c r="N130" i="2"/>
  <c r="P130" i="2" s="1"/>
  <c r="N131" i="2"/>
  <c r="P131" i="2" s="1"/>
  <c r="N132" i="2"/>
  <c r="P132" i="2" s="1"/>
  <c r="N133" i="2"/>
  <c r="P133" i="2" s="1"/>
  <c r="N134" i="2"/>
  <c r="P134" i="2" s="1"/>
  <c r="N135" i="2"/>
  <c r="P135" i="2" s="1"/>
  <c r="N136" i="2"/>
  <c r="P136" i="2" s="1"/>
  <c r="N137" i="2"/>
  <c r="P137" i="2" s="1"/>
  <c r="N138" i="2"/>
  <c r="P138" i="2" s="1"/>
  <c r="N139" i="2"/>
  <c r="P139" i="2" s="1"/>
  <c r="N140" i="2"/>
  <c r="P140" i="2" s="1"/>
  <c r="N141" i="2"/>
  <c r="P141" i="2" s="1"/>
  <c r="N142" i="2"/>
  <c r="P142" i="2" s="1"/>
  <c r="N143" i="2"/>
  <c r="P143" i="2" s="1"/>
  <c r="N144" i="2"/>
  <c r="P144" i="2" s="1"/>
  <c r="N145" i="2"/>
  <c r="P145" i="2" s="1"/>
  <c r="N146" i="2"/>
  <c r="P146" i="2" s="1"/>
  <c r="N147" i="2"/>
  <c r="P147" i="2" s="1"/>
  <c r="N148" i="2"/>
  <c r="P148" i="2" s="1"/>
  <c r="N149" i="2"/>
  <c r="P149" i="2" s="1"/>
  <c r="N150" i="2"/>
  <c r="P150" i="2" s="1"/>
  <c r="N151" i="2"/>
  <c r="P151" i="2" s="1"/>
  <c r="N152" i="2"/>
  <c r="P152" i="2" s="1"/>
  <c r="N153" i="2"/>
  <c r="P153" i="2" s="1"/>
  <c r="N154" i="2"/>
  <c r="P154" i="2" s="1"/>
  <c r="N155" i="2"/>
  <c r="P155" i="2" s="1"/>
  <c r="N156" i="2"/>
  <c r="P156" i="2" s="1"/>
  <c r="N157" i="2"/>
  <c r="P157" i="2" s="1"/>
  <c r="N158" i="2"/>
  <c r="P158" i="2" s="1"/>
  <c r="N159" i="2"/>
  <c r="P159" i="2" s="1"/>
  <c r="N160" i="2"/>
  <c r="P160" i="2" s="1"/>
  <c r="N161" i="2"/>
  <c r="P161" i="2" s="1"/>
  <c r="N162" i="2"/>
  <c r="P162" i="2" s="1"/>
  <c r="N163" i="2"/>
  <c r="P163" i="2" s="1"/>
  <c r="N164" i="2"/>
  <c r="P164" i="2" s="1"/>
  <c r="N165" i="2"/>
  <c r="P165" i="2" s="1"/>
  <c r="N166" i="2"/>
  <c r="P166" i="2" s="1"/>
  <c r="N167" i="2"/>
  <c r="P167" i="2" s="1"/>
  <c r="N168" i="2"/>
  <c r="P168" i="2" s="1"/>
  <c r="N169" i="2"/>
  <c r="P169" i="2" s="1"/>
  <c r="N170" i="2"/>
  <c r="P170" i="2" s="1"/>
  <c r="N171" i="2"/>
  <c r="P171" i="2" s="1"/>
  <c r="N172" i="2"/>
  <c r="P172" i="2" s="1"/>
  <c r="N173" i="2"/>
  <c r="P173" i="2" s="1"/>
  <c r="N174" i="2"/>
  <c r="P174" i="2" s="1"/>
  <c r="N175" i="2"/>
  <c r="P175" i="2" s="1"/>
  <c r="N176" i="2"/>
  <c r="P176" i="2" s="1"/>
  <c r="N177" i="2"/>
  <c r="P177" i="2" s="1"/>
  <c r="N178" i="2"/>
  <c r="P178" i="2" s="1"/>
  <c r="N179" i="2"/>
  <c r="P179" i="2" s="1"/>
  <c r="N180" i="2"/>
  <c r="P180" i="2" s="1"/>
  <c r="N181" i="2"/>
  <c r="P181" i="2" s="1"/>
  <c r="N182" i="2"/>
  <c r="P182" i="2" s="1"/>
  <c r="N183" i="2"/>
  <c r="P183" i="2" s="1"/>
  <c r="N184" i="2"/>
  <c r="P184" i="2" s="1"/>
  <c r="N185" i="2"/>
  <c r="P185" i="2" s="1"/>
  <c r="N186" i="2"/>
  <c r="P186" i="2" s="1"/>
  <c r="N187" i="2"/>
  <c r="P187" i="2" s="1"/>
  <c r="N188" i="2"/>
  <c r="P188" i="2" s="1"/>
  <c r="N189" i="2"/>
  <c r="P189" i="2" s="1"/>
  <c r="N190" i="2"/>
  <c r="P190" i="2" s="1"/>
  <c r="N191" i="2"/>
  <c r="P191" i="2" s="1"/>
  <c r="N192" i="2"/>
  <c r="P192" i="2" s="1"/>
  <c r="N193" i="2"/>
  <c r="P193" i="2" s="1"/>
  <c r="N194" i="2"/>
  <c r="P194" i="2" s="1"/>
  <c r="N195" i="2"/>
  <c r="P195" i="2" s="1"/>
  <c r="N196" i="2"/>
  <c r="P196" i="2" s="1"/>
  <c r="N197" i="2"/>
  <c r="P197" i="2" s="1"/>
  <c r="N198" i="2"/>
  <c r="P198" i="2" s="1"/>
  <c r="N199" i="2"/>
  <c r="P199" i="2" s="1"/>
  <c r="N200" i="2"/>
  <c r="P200" i="2" s="1"/>
  <c r="N201" i="2"/>
  <c r="P201" i="2" s="1"/>
  <c r="N202" i="2"/>
  <c r="P202" i="2" s="1"/>
  <c r="N203" i="2"/>
  <c r="P203" i="2" s="1"/>
  <c r="N204" i="2"/>
  <c r="P204" i="2" s="1"/>
  <c r="N205" i="2"/>
  <c r="P205" i="2" s="1"/>
  <c r="N206" i="2"/>
  <c r="P206" i="2" s="1"/>
  <c r="N207" i="2"/>
  <c r="P207" i="2" s="1"/>
  <c r="N208" i="2"/>
  <c r="P208" i="2" s="1"/>
  <c r="N209" i="2"/>
  <c r="P209" i="2" s="1"/>
  <c r="N210" i="2"/>
  <c r="P210" i="2" s="1"/>
  <c r="N211" i="2"/>
  <c r="P211" i="2" s="1"/>
  <c r="N212" i="2"/>
  <c r="P212" i="2" s="1"/>
  <c r="N213" i="2"/>
  <c r="P213" i="2" s="1"/>
  <c r="N214" i="2"/>
  <c r="P214" i="2" s="1"/>
  <c r="N215" i="2"/>
  <c r="P215" i="2" s="1"/>
  <c r="N216" i="2"/>
  <c r="P216" i="2" s="1"/>
  <c r="N217" i="2"/>
  <c r="P217" i="2" s="1"/>
  <c r="N218" i="2"/>
  <c r="P218" i="2" s="1"/>
  <c r="N219" i="2"/>
  <c r="P219" i="2" s="1"/>
  <c r="N220" i="2"/>
  <c r="P220" i="2" s="1"/>
  <c r="N221" i="2"/>
  <c r="P221" i="2" s="1"/>
  <c r="N222" i="2"/>
  <c r="P222" i="2" s="1"/>
  <c r="N223" i="2"/>
  <c r="P223" i="2" s="1"/>
  <c r="N224" i="2"/>
  <c r="P224" i="2" s="1"/>
  <c r="N225" i="2"/>
  <c r="P225" i="2" s="1"/>
  <c r="N226" i="2"/>
  <c r="P226" i="2" s="1"/>
  <c r="N227" i="2"/>
  <c r="P227" i="2" s="1"/>
  <c r="N228" i="2"/>
  <c r="P228" i="2" s="1"/>
  <c r="N229" i="2"/>
  <c r="P229" i="2" s="1"/>
  <c r="N230" i="2"/>
  <c r="P230" i="2" s="1"/>
  <c r="N231" i="2"/>
  <c r="P231" i="2" s="1"/>
  <c r="N232" i="2"/>
  <c r="P232" i="2" s="1"/>
  <c r="N233" i="2"/>
  <c r="P233" i="2" s="1"/>
  <c r="N234" i="2"/>
  <c r="P234" i="2" s="1"/>
  <c r="N235" i="2"/>
  <c r="P235" i="2" s="1"/>
  <c r="N236" i="2"/>
  <c r="P236" i="2" s="1"/>
  <c r="N237" i="2"/>
  <c r="P237" i="2" s="1"/>
  <c r="N238" i="2"/>
  <c r="P238" i="2" s="1"/>
  <c r="N239" i="2"/>
  <c r="P239" i="2" s="1"/>
  <c r="N240" i="2"/>
  <c r="P240" i="2" s="1"/>
  <c r="N241" i="2"/>
  <c r="P241" i="2" s="1"/>
  <c r="N242" i="2"/>
  <c r="P242" i="2" s="1"/>
  <c r="N243" i="2"/>
  <c r="P243" i="2" s="1"/>
  <c r="N244" i="2"/>
  <c r="P244" i="2" s="1"/>
  <c r="N245" i="2"/>
  <c r="P245" i="2" s="1"/>
  <c r="N246" i="2"/>
  <c r="P246" i="2" s="1"/>
  <c r="N247" i="2"/>
  <c r="P247" i="2" s="1"/>
  <c r="N248" i="2"/>
  <c r="P248" i="2" s="1"/>
  <c r="N249" i="2"/>
  <c r="P249" i="2" s="1"/>
  <c r="N250" i="2"/>
  <c r="P250" i="2" s="1"/>
  <c r="N251" i="2"/>
  <c r="P251" i="2" s="1"/>
  <c r="N252" i="2"/>
  <c r="P252" i="2" s="1"/>
  <c r="N253" i="2"/>
  <c r="P253" i="2" s="1"/>
  <c r="N254" i="2"/>
  <c r="P254" i="2" s="1"/>
  <c r="N255" i="2"/>
  <c r="P255" i="2" s="1"/>
  <c r="N256" i="2"/>
  <c r="P256" i="2" s="1"/>
  <c r="N257" i="2"/>
  <c r="P257" i="2" s="1"/>
  <c r="N258" i="2"/>
  <c r="P258" i="2" s="1"/>
  <c r="N259" i="2"/>
  <c r="P259" i="2" s="1"/>
  <c r="N260" i="2"/>
  <c r="P260" i="2" s="1"/>
  <c r="N261" i="2"/>
  <c r="P261" i="2" s="1"/>
  <c r="N262" i="2"/>
  <c r="P262" i="2" s="1"/>
  <c r="N263" i="2"/>
  <c r="P263" i="2" s="1"/>
  <c r="N264" i="2"/>
  <c r="P264" i="2" s="1"/>
  <c r="N265" i="2"/>
  <c r="P265" i="2" s="1"/>
  <c r="N266" i="2"/>
  <c r="P266" i="2" s="1"/>
  <c r="N267" i="2"/>
  <c r="P267" i="2" s="1"/>
  <c r="N268" i="2"/>
  <c r="P268" i="2" s="1"/>
  <c r="N269" i="2"/>
  <c r="P269" i="2" s="1"/>
  <c r="N270" i="2"/>
  <c r="P270" i="2" s="1"/>
  <c r="N271" i="2"/>
  <c r="P271" i="2" s="1"/>
  <c r="N272" i="2"/>
  <c r="P272" i="2" s="1"/>
  <c r="N273" i="2"/>
  <c r="P273" i="2" s="1"/>
  <c r="N274" i="2"/>
  <c r="P274" i="2" s="1"/>
  <c r="N275" i="2"/>
  <c r="P275" i="2" s="1"/>
  <c r="N276" i="2"/>
  <c r="P276" i="2" s="1"/>
  <c r="N277" i="2"/>
  <c r="P277" i="2" s="1"/>
  <c r="N278" i="2"/>
  <c r="P278" i="2" s="1"/>
  <c r="N279" i="2"/>
  <c r="P279" i="2" s="1"/>
  <c r="N280" i="2"/>
  <c r="P280" i="2" s="1"/>
  <c r="N281" i="2"/>
  <c r="P281" i="2" s="1"/>
  <c r="N282" i="2"/>
  <c r="P282" i="2" s="1"/>
  <c r="N283" i="2"/>
  <c r="P283" i="2" s="1"/>
  <c r="N284" i="2"/>
  <c r="P284" i="2" s="1"/>
  <c r="N285" i="2"/>
  <c r="P285" i="2" s="1"/>
  <c r="N286" i="2"/>
  <c r="P286" i="2" s="1"/>
  <c r="N287" i="2"/>
  <c r="P287" i="2" s="1"/>
  <c r="N288" i="2"/>
  <c r="P288" i="2" s="1"/>
  <c r="N289" i="2"/>
  <c r="P289" i="2" s="1"/>
  <c r="N290" i="2"/>
  <c r="P290" i="2" s="1"/>
  <c r="N291" i="2"/>
  <c r="P291" i="2" s="1"/>
  <c r="N292" i="2"/>
  <c r="P292" i="2" s="1"/>
  <c r="N293" i="2"/>
  <c r="P293" i="2" s="1"/>
  <c r="N294" i="2"/>
  <c r="P294" i="2" s="1"/>
  <c r="N295" i="2"/>
  <c r="P295" i="2" s="1"/>
  <c r="N296" i="2"/>
  <c r="P296" i="2" s="1"/>
  <c r="N297" i="2"/>
  <c r="P297" i="2" s="1"/>
  <c r="N298" i="2"/>
  <c r="P298" i="2" s="1"/>
  <c r="N299" i="2"/>
  <c r="P299" i="2" s="1"/>
  <c r="N300" i="2"/>
  <c r="P300" i="2" s="1"/>
  <c r="N301" i="2"/>
  <c r="P301" i="2" s="1"/>
  <c r="N302" i="2"/>
  <c r="P302" i="2" s="1"/>
  <c r="N303" i="2"/>
  <c r="P303" i="2" s="1"/>
  <c r="N304" i="2"/>
  <c r="P304" i="2" s="1"/>
  <c r="N305" i="2"/>
  <c r="P305" i="2" s="1"/>
  <c r="N306" i="2"/>
  <c r="P306" i="2" s="1"/>
  <c r="N307" i="2"/>
  <c r="P307" i="2" s="1"/>
  <c r="N308" i="2"/>
  <c r="P308" i="2" s="1"/>
  <c r="N309" i="2"/>
  <c r="P309" i="2" s="1"/>
  <c r="N310" i="2"/>
  <c r="P310" i="2" s="1"/>
  <c r="N311" i="2"/>
  <c r="P311" i="2" s="1"/>
  <c r="N312" i="2"/>
  <c r="P312" i="2" s="1"/>
  <c r="N313" i="2"/>
  <c r="P313" i="2" s="1"/>
  <c r="N314" i="2"/>
  <c r="P314" i="2" s="1"/>
  <c r="N315" i="2"/>
  <c r="P315" i="2" s="1"/>
  <c r="N316" i="2"/>
  <c r="P316" i="2" s="1"/>
  <c r="N317" i="2"/>
  <c r="P317" i="2" s="1"/>
  <c r="N318" i="2"/>
  <c r="P318" i="2" s="1"/>
  <c r="N319" i="2"/>
  <c r="P319" i="2" s="1"/>
  <c r="N320" i="2"/>
  <c r="P320" i="2" s="1"/>
  <c r="N321" i="2"/>
  <c r="P321" i="2" s="1"/>
  <c r="N322" i="2"/>
  <c r="P322" i="2" s="1"/>
  <c r="N323" i="2"/>
  <c r="P323" i="2" s="1"/>
  <c r="N324" i="2"/>
  <c r="P324" i="2" s="1"/>
  <c r="N325" i="2"/>
  <c r="P325" i="2" s="1"/>
  <c r="N326" i="2"/>
  <c r="P326" i="2" s="1"/>
  <c r="N327" i="2"/>
  <c r="P327" i="2" s="1"/>
  <c r="N328" i="2"/>
  <c r="P328" i="2" s="1"/>
  <c r="N329" i="2"/>
  <c r="P329" i="2" s="1"/>
  <c r="N330" i="2"/>
  <c r="P330" i="2" s="1"/>
  <c r="N331" i="2"/>
  <c r="P331" i="2" s="1"/>
  <c r="N332" i="2"/>
  <c r="P332" i="2" s="1"/>
  <c r="N333" i="2"/>
  <c r="P333" i="2" s="1"/>
  <c r="N334" i="2"/>
  <c r="P334" i="2" s="1"/>
  <c r="N335" i="2"/>
  <c r="P335" i="2" s="1"/>
  <c r="N336" i="2"/>
  <c r="P336" i="2" s="1"/>
  <c r="N337" i="2"/>
  <c r="P337" i="2" s="1"/>
  <c r="N338" i="2"/>
  <c r="P338" i="2" s="1"/>
  <c r="N339" i="2"/>
  <c r="P339" i="2" s="1"/>
  <c r="N340" i="2"/>
  <c r="P340" i="2" s="1"/>
  <c r="N341" i="2"/>
  <c r="P341" i="2" s="1"/>
  <c r="N342" i="2"/>
  <c r="P342" i="2" s="1"/>
  <c r="N343" i="2"/>
  <c r="P343" i="2" s="1"/>
  <c r="N344" i="2"/>
  <c r="P344" i="2" s="1"/>
  <c r="N345" i="2"/>
  <c r="P345" i="2" s="1"/>
  <c r="N346" i="2"/>
  <c r="P346" i="2" s="1"/>
  <c r="N347" i="2"/>
  <c r="P347" i="2" s="1"/>
  <c r="N348" i="2"/>
  <c r="P348" i="2" s="1"/>
  <c r="N349" i="2"/>
  <c r="P349" i="2" s="1"/>
  <c r="N350" i="2"/>
  <c r="P350" i="2" s="1"/>
  <c r="N351" i="2"/>
  <c r="P351" i="2" s="1"/>
  <c r="N352" i="2"/>
  <c r="P352" i="2" s="1"/>
  <c r="N353" i="2"/>
  <c r="P353" i="2" s="1"/>
  <c r="N354" i="2"/>
  <c r="P354" i="2" s="1"/>
  <c r="N355" i="2"/>
  <c r="P355" i="2" s="1"/>
  <c r="N356" i="2"/>
  <c r="P356" i="2" s="1"/>
  <c r="N357" i="2"/>
  <c r="P357" i="2" s="1"/>
  <c r="N358" i="2"/>
  <c r="P358" i="2" s="1"/>
  <c r="N359" i="2"/>
  <c r="P359" i="2" s="1"/>
  <c r="N360" i="2"/>
  <c r="P360" i="2" s="1"/>
  <c r="N361" i="2"/>
  <c r="P361" i="2" s="1"/>
  <c r="N362" i="2"/>
  <c r="P362" i="2" s="1"/>
  <c r="N363" i="2"/>
  <c r="P363" i="2" s="1"/>
  <c r="N364" i="2"/>
  <c r="P364" i="2" s="1"/>
  <c r="N365" i="2"/>
  <c r="P365" i="2" s="1"/>
  <c r="N366" i="2"/>
  <c r="P366" i="2" s="1"/>
  <c r="N367" i="2"/>
  <c r="P367" i="2" s="1"/>
  <c r="N368" i="2"/>
  <c r="P368" i="2" s="1"/>
  <c r="N369" i="2"/>
  <c r="P369" i="2" s="1"/>
  <c r="N370" i="2"/>
  <c r="P370" i="2" s="1"/>
  <c r="N371" i="2"/>
  <c r="P371" i="2" s="1"/>
  <c r="N372" i="2"/>
  <c r="P372" i="2" s="1"/>
  <c r="N373" i="2"/>
  <c r="P373" i="2" s="1"/>
  <c r="N374" i="2"/>
  <c r="P374" i="2" s="1"/>
  <c r="N375" i="2"/>
  <c r="P375" i="2" s="1"/>
  <c r="N376" i="2"/>
  <c r="P376" i="2" s="1"/>
  <c r="N377" i="2"/>
  <c r="P377" i="2" s="1"/>
  <c r="N378" i="2"/>
  <c r="P378" i="2" s="1"/>
  <c r="N379" i="2"/>
  <c r="P379" i="2" s="1"/>
  <c r="N380" i="2"/>
  <c r="P380" i="2" s="1"/>
  <c r="N381" i="2"/>
  <c r="P381" i="2" s="1"/>
  <c r="N382" i="2"/>
  <c r="P382" i="2" s="1"/>
  <c r="N383" i="2"/>
  <c r="P383" i="2" s="1"/>
  <c r="N384" i="2"/>
  <c r="P384" i="2" s="1"/>
  <c r="N385" i="2"/>
  <c r="P385" i="2" s="1"/>
  <c r="N386" i="2"/>
  <c r="P386" i="2" s="1"/>
  <c r="N387" i="2"/>
  <c r="P387" i="2" s="1"/>
  <c r="N388" i="2"/>
  <c r="P388" i="2" s="1"/>
  <c r="N389" i="2"/>
  <c r="P389" i="2" s="1"/>
  <c r="N390" i="2"/>
  <c r="P390" i="2" s="1"/>
  <c r="N391" i="2"/>
  <c r="P391" i="2" s="1"/>
  <c r="N392" i="2"/>
  <c r="P392" i="2" s="1"/>
  <c r="N393" i="2"/>
  <c r="P393" i="2" s="1"/>
  <c r="N394" i="2"/>
  <c r="P394" i="2" s="1"/>
  <c r="N395" i="2"/>
  <c r="P395" i="2" s="1"/>
  <c r="N396" i="2"/>
  <c r="P396" i="2" s="1"/>
  <c r="N397" i="2"/>
  <c r="P397" i="2" s="1"/>
  <c r="N398" i="2"/>
  <c r="P398" i="2" s="1"/>
  <c r="N399" i="2"/>
  <c r="P399" i="2" s="1"/>
  <c r="N400" i="2"/>
  <c r="P400" i="2" s="1"/>
  <c r="N401" i="2"/>
  <c r="P401" i="2" s="1"/>
  <c r="N402" i="2"/>
  <c r="P402" i="2" s="1"/>
  <c r="N403" i="2"/>
  <c r="P403" i="2" s="1"/>
  <c r="N404" i="2"/>
  <c r="P404" i="2" s="1"/>
  <c r="N405" i="2"/>
  <c r="P405" i="2" s="1"/>
  <c r="N406" i="2"/>
  <c r="P406" i="2" s="1"/>
  <c r="N407" i="2"/>
  <c r="P407" i="2" s="1"/>
  <c r="N408" i="2"/>
  <c r="P408" i="2" s="1"/>
  <c r="N409" i="2"/>
  <c r="P409" i="2" s="1"/>
  <c r="N410" i="2"/>
  <c r="P410" i="2" s="1"/>
  <c r="N411" i="2"/>
  <c r="P411" i="2" s="1"/>
  <c r="N412" i="2"/>
  <c r="P412" i="2" s="1"/>
  <c r="N413" i="2"/>
  <c r="P413" i="2" s="1"/>
  <c r="N414" i="2"/>
  <c r="P414" i="2" s="1"/>
  <c r="N415" i="2"/>
  <c r="P415" i="2" s="1"/>
  <c r="N416" i="2"/>
  <c r="P416" i="2" s="1"/>
  <c r="N417" i="2"/>
  <c r="P417" i="2" s="1"/>
  <c r="N418" i="2"/>
  <c r="P418" i="2" s="1"/>
  <c r="N419" i="2"/>
  <c r="P419" i="2" s="1"/>
  <c r="N420" i="2"/>
  <c r="P420" i="2" s="1"/>
  <c r="N421" i="2"/>
  <c r="P421" i="2" s="1"/>
  <c r="N422" i="2"/>
  <c r="P422" i="2" s="1"/>
  <c r="N423" i="2"/>
  <c r="P423" i="2" s="1"/>
  <c r="N424" i="2"/>
  <c r="P424" i="2" s="1"/>
  <c r="N425" i="2"/>
  <c r="P425" i="2" s="1"/>
  <c r="N426" i="2"/>
  <c r="P426" i="2" s="1"/>
  <c r="N427" i="2"/>
  <c r="P427" i="2" s="1"/>
  <c r="N428" i="2"/>
  <c r="P428" i="2" s="1"/>
  <c r="N429" i="2"/>
  <c r="P429" i="2" s="1"/>
  <c r="N430" i="2"/>
  <c r="P430" i="2" s="1"/>
  <c r="N431" i="2"/>
  <c r="P431" i="2" s="1"/>
  <c r="N432" i="2"/>
  <c r="P432" i="2" s="1"/>
  <c r="N433" i="2"/>
  <c r="P433" i="2" s="1"/>
  <c r="N434" i="2"/>
  <c r="P434" i="2" s="1"/>
  <c r="N435" i="2"/>
  <c r="P435" i="2" s="1"/>
  <c r="N436" i="2"/>
  <c r="P436" i="2" s="1"/>
  <c r="N437" i="2"/>
  <c r="P437" i="2" s="1"/>
  <c r="N438" i="2"/>
  <c r="P438" i="2" s="1"/>
  <c r="N439" i="2"/>
  <c r="P439" i="2" s="1"/>
  <c r="N440" i="2"/>
  <c r="P440" i="2" s="1"/>
  <c r="N441" i="2"/>
  <c r="P441" i="2" s="1"/>
  <c r="N442" i="2"/>
  <c r="P442" i="2" s="1"/>
  <c r="N443" i="2"/>
  <c r="P443" i="2" s="1"/>
  <c r="N444" i="2"/>
  <c r="P444" i="2" s="1"/>
  <c r="N445" i="2"/>
  <c r="P445" i="2" s="1"/>
  <c r="N446" i="2"/>
  <c r="P446" i="2" s="1"/>
  <c r="N447" i="2"/>
  <c r="P447" i="2" s="1"/>
  <c r="N448" i="2"/>
  <c r="P448" i="2" s="1"/>
  <c r="N449" i="2"/>
  <c r="P449" i="2" s="1"/>
  <c r="N450" i="2"/>
  <c r="P450" i="2" s="1"/>
  <c r="N451" i="2"/>
  <c r="P451" i="2" s="1"/>
  <c r="N452" i="2"/>
  <c r="P452" i="2" s="1"/>
  <c r="N453" i="2"/>
  <c r="P453" i="2" s="1"/>
  <c r="N454" i="2"/>
  <c r="P454" i="2" s="1"/>
  <c r="N455" i="2"/>
  <c r="P455" i="2" s="1"/>
  <c r="N456" i="2"/>
  <c r="P456" i="2" s="1"/>
  <c r="N457" i="2"/>
  <c r="P457" i="2" s="1"/>
  <c r="N458" i="2"/>
  <c r="P458" i="2" s="1"/>
  <c r="N459" i="2"/>
  <c r="P459" i="2" s="1"/>
  <c r="N460" i="2"/>
  <c r="P460" i="2" s="1"/>
  <c r="N461" i="2"/>
  <c r="P461" i="2" s="1"/>
  <c r="N462" i="2"/>
  <c r="P462" i="2" s="1"/>
  <c r="N463" i="2"/>
  <c r="P463" i="2" s="1"/>
  <c r="N464" i="2"/>
  <c r="P464" i="2" s="1"/>
  <c r="N465" i="2"/>
  <c r="P465" i="2" s="1"/>
  <c r="N466" i="2"/>
  <c r="P466" i="2" s="1"/>
  <c r="N467" i="2"/>
  <c r="P467" i="2" s="1"/>
  <c r="N468" i="2"/>
  <c r="P468" i="2" s="1"/>
  <c r="N469" i="2"/>
  <c r="P469" i="2" s="1"/>
  <c r="N470" i="2"/>
  <c r="P470" i="2" s="1"/>
  <c r="N471" i="2"/>
  <c r="P471" i="2" s="1"/>
  <c r="N472" i="2"/>
  <c r="P472" i="2" s="1"/>
  <c r="N473" i="2"/>
  <c r="P473" i="2" s="1"/>
  <c r="N474" i="2"/>
  <c r="P474" i="2" s="1"/>
  <c r="N475" i="2"/>
  <c r="P475" i="2" s="1"/>
  <c r="N476" i="2"/>
  <c r="P476" i="2" s="1"/>
  <c r="N477" i="2"/>
  <c r="P477" i="2" s="1"/>
  <c r="N478" i="2"/>
  <c r="P478" i="2" s="1"/>
  <c r="N479" i="2"/>
  <c r="P479" i="2" s="1"/>
  <c r="N480" i="2"/>
  <c r="P480" i="2" s="1"/>
  <c r="N481" i="2"/>
  <c r="P481" i="2" s="1"/>
  <c r="N482" i="2"/>
  <c r="P482" i="2" s="1"/>
  <c r="N483" i="2"/>
  <c r="P483" i="2" s="1"/>
  <c r="N484" i="2"/>
  <c r="P484" i="2" s="1"/>
  <c r="N485" i="2"/>
  <c r="P485" i="2" s="1"/>
  <c r="N486" i="2"/>
  <c r="P486" i="2" s="1"/>
  <c r="N487" i="2"/>
  <c r="P487" i="2" s="1"/>
  <c r="N488" i="2"/>
  <c r="P488" i="2" s="1"/>
  <c r="N489" i="2"/>
  <c r="P489" i="2" s="1"/>
  <c r="N490" i="2"/>
  <c r="P490" i="2" s="1"/>
  <c r="N491" i="2"/>
  <c r="P491" i="2" s="1"/>
  <c r="N492" i="2"/>
  <c r="P492" i="2" s="1"/>
  <c r="N493" i="2"/>
  <c r="P493" i="2" s="1"/>
  <c r="N494" i="2"/>
  <c r="P494" i="2" s="1"/>
  <c r="N495" i="2"/>
  <c r="P495" i="2" s="1"/>
  <c r="N496" i="2"/>
  <c r="P496" i="2" s="1"/>
  <c r="N497" i="2"/>
  <c r="P497" i="2" s="1"/>
  <c r="N498" i="2"/>
  <c r="P498" i="2" s="1"/>
  <c r="N499" i="2"/>
  <c r="P499" i="2" s="1"/>
  <c r="N500" i="2"/>
  <c r="P500" i="2" s="1"/>
  <c r="N501" i="2"/>
  <c r="P501" i="2" s="1"/>
  <c r="N502" i="2"/>
  <c r="P502" i="2" s="1"/>
  <c r="N503" i="2"/>
  <c r="P503" i="2" s="1"/>
  <c r="N504" i="2"/>
  <c r="P504" i="2" s="1"/>
  <c r="N505" i="2"/>
  <c r="P505" i="2" s="1"/>
  <c r="N506" i="2"/>
  <c r="P506" i="2" s="1"/>
  <c r="N507" i="2"/>
  <c r="P507" i="2" s="1"/>
  <c r="N508" i="2"/>
  <c r="P508" i="2" s="1"/>
  <c r="N509" i="2"/>
  <c r="P509" i="2" s="1"/>
  <c r="N510" i="2"/>
  <c r="P510" i="2" s="1"/>
  <c r="N511" i="2"/>
  <c r="P511" i="2" s="1"/>
  <c r="N512" i="2"/>
  <c r="P512" i="2" s="1"/>
  <c r="N513" i="2"/>
  <c r="P513" i="2" s="1"/>
  <c r="N514" i="2"/>
  <c r="P514" i="2" s="1"/>
  <c r="N515" i="2"/>
  <c r="P515" i="2" s="1"/>
  <c r="N516" i="2"/>
  <c r="P516" i="2" s="1"/>
  <c r="N517" i="2"/>
  <c r="P517" i="2" s="1"/>
  <c r="N518" i="2"/>
  <c r="P518" i="2" s="1"/>
  <c r="N519" i="2"/>
  <c r="P519" i="2" s="1"/>
  <c r="N520" i="2"/>
  <c r="P520" i="2" s="1"/>
  <c r="N521" i="2"/>
  <c r="P521" i="2" s="1"/>
  <c r="N522" i="2"/>
  <c r="P522" i="2" s="1"/>
  <c r="N523" i="2"/>
  <c r="P523" i="2" s="1"/>
  <c r="N524" i="2"/>
  <c r="P524" i="2" s="1"/>
  <c r="N525" i="2"/>
  <c r="P525" i="2" s="1"/>
  <c r="N526" i="2"/>
  <c r="P526" i="2" s="1"/>
  <c r="N527" i="2"/>
  <c r="P527" i="2" s="1"/>
  <c r="N528" i="2"/>
  <c r="P528" i="2" s="1"/>
  <c r="N529" i="2"/>
  <c r="P529" i="2" s="1"/>
  <c r="N530" i="2"/>
  <c r="P530" i="2" s="1"/>
  <c r="N531" i="2"/>
  <c r="P531" i="2" s="1"/>
  <c r="N532" i="2"/>
  <c r="P532" i="2" s="1"/>
  <c r="N533" i="2"/>
  <c r="P533" i="2" s="1"/>
  <c r="N534" i="2"/>
  <c r="P534" i="2" s="1"/>
  <c r="N535" i="2"/>
  <c r="P535" i="2" s="1"/>
  <c r="N536" i="2"/>
  <c r="P536" i="2" s="1"/>
  <c r="N537" i="2"/>
  <c r="P537" i="2" s="1"/>
  <c r="N538" i="2"/>
  <c r="P538" i="2" s="1"/>
  <c r="N539" i="2"/>
  <c r="P539" i="2" s="1"/>
  <c r="N540" i="2"/>
  <c r="P540" i="2" s="1"/>
  <c r="N541" i="2"/>
  <c r="P541" i="2" s="1"/>
  <c r="N542" i="2"/>
  <c r="P542" i="2" s="1"/>
  <c r="N543" i="2"/>
  <c r="P543" i="2" s="1"/>
  <c r="N544" i="2"/>
  <c r="P544" i="2" s="1"/>
  <c r="N545" i="2"/>
  <c r="P545" i="2" s="1"/>
  <c r="N546" i="2"/>
  <c r="P546" i="2" s="1"/>
  <c r="N547" i="2"/>
  <c r="P547" i="2" s="1"/>
  <c r="N548" i="2"/>
  <c r="P548" i="2" s="1"/>
  <c r="N549" i="2"/>
  <c r="P549" i="2" s="1"/>
  <c r="N550" i="2"/>
  <c r="P550" i="2" s="1"/>
  <c r="N551" i="2"/>
  <c r="P551" i="2" s="1"/>
  <c r="N552" i="2"/>
  <c r="P552" i="2" s="1"/>
  <c r="N553" i="2"/>
  <c r="P553" i="2" s="1"/>
  <c r="N554" i="2"/>
  <c r="P554" i="2" s="1"/>
  <c r="N555" i="2"/>
  <c r="P555" i="2" s="1"/>
  <c r="N556" i="2"/>
  <c r="P556" i="2" s="1"/>
  <c r="N557" i="2"/>
  <c r="P557" i="2" s="1"/>
  <c r="N558" i="2"/>
  <c r="P558" i="2" s="1"/>
  <c r="N559" i="2"/>
  <c r="P559" i="2" s="1"/>
  <c r="N560" i="2"/>
  <c r="P560" i="2" s="1"/>
  <c r="N561" i="2"/>
  <c r="P561" i="2" s="1"/>
  <c r="N562" i="2"/>
  <c r="P562" i="2" s="1"/>
  <c r="N563" i="2"/>
  <c r="P563" i="2" s="1"/>
  <c r="N564" i="2"/>
  <c r="P564" i="2" s="1"/>
  <c r="N565" i="2"/>
  <c r="P565" i="2" s="1"/>
  <c r="N566" i="2"/>
  <c r="P566" i="2" s="1"/>
  <c r="N567" i="2"/>
  <c r="P567" i="2" s="1"/>
  <c r="N568" i="2"/>
  <c r="P568" i="2" s="1"/>
  <c r="N569" i="2"/>
  <c r="P569" i="2" s="1"/>
  <c r="N570" i="2"/>
  <c r="P570" i="2" s="1"/>
  <c r="N571" i="2"/>
  <c r="P571" i="2" s="1"/>
  <c r="N572" i="2"/>
  <c r="P572" i="2" s="1"/>
  <c r="N573" i="2"/>
  <c r="P573" i="2" s="1"/>
  <c r="N574" i="2"/>
  <c r="P574" i="2" s="1"/>
  <c r="N575" i="2"/>
  <c r="P575" i="2" s="1"/>
  <c r="N576" i="2"/>
  <c r="P576" i="2" s="1"/>
  <c r="N577" i="2"/>
  <c r="P577" i="2" s="1"/>
  <c r="N578" i="2"/>
  <c r="P578" i="2" s="1"/>
  <c r="N579" i="2"/>
  <c r="P579" i="2" s="1"/>
  <c r="N580" i="2"/>
  <c r="P580" i="2" s="1"/>
  <c r="N581" i="2"/>
  <c r="P581" i="2" s="1"/>
  <c r="N582" i="2"/>
  <c r="P582" i="2" s="1"/>
  <c r="N583" i="2"/>
  <c r="P583" i="2" s="1"/>
  <c r="N584" i="2"/>
  <c r="P584" i="2" s="1"/>
  <c r="N585" i="2"/>
  <c r="P585" i="2" s="1"/>
  <c r="N586" i="2"/>
  <c r="P586" i="2" s="1"/>
  <c r="N587" i="2"/>
  <c r="P587" i="2" s="1"/>
  <c r="N588" i="2"/>
  <c r="P588" i="2" s="1"/>
  <c r="N589" i="2"/>
  <c r="P589" i="2" s="1"/>
  <c r="N590" i="2"/>
  <c r="P590" i="2" s="1"/>
  <c r="N591" i="2"/>
  <c r="P591" i="2" s="1"/>
  <c r="N592" i="2"/>
  <c r="P592" i="2" s="1"/>
  <c r="N593" i="2"/>
  <c r="P593" i="2" s="1"/>
  <c r="N594" i="2"/>
  <c r="P594" i="2" s="1"/>
  <c r="N595" i="2"/>
  <c r="P595" i="2" s="1"/>
  <c r="N596" i="2"/>
  <c r="P596" i="2" s="1"/>
  <c r="N597" i="2"/>
  <c r="P597" i="2" s="1"/>
  <c r="N598" i="2"/>
  <c r="P598" i="2" s="1"/>
  <c r="N599" i="2"/>
  <c r="P599" i="2" s="1"/>
  <c r="N600" i="2"/>
  <c r="P600" i="2" s="1"/>
  <c r="N601" i="2"/>
  <c r="P601" i="2" s="1"/>
  <c r="N602" i="2"/>
  <c r="P602" i="2" s="1"/>
  <c r="N603" i="2"/>
  <c r="P603" i="2" s="1"/>
  <c r="N604" i="2"/>
  <c r="P604" i="2" s="1"/>
  <c r="N605" i="2"/>
  <c r="P605" i="2" s="1"/>
  <c r="N606" i="2"/>
  <c r="P606" i="2" s="1"/>
  <c r="N607" i="2"/>
  <c r="P607" i="2" s="1"/>
  <c r="N608" i="2"/>
  <c r="P608" i="2" s="1"/>
  <c r="N609" i="2"/>
  <c r="P609" i="2" s="1"/>
  <c r="N610" i="2"/>
  <c r="P610" i="2" s="1"/>
  <c r="N611" i="2"/>
  <c r="P611" i="2" s="1"/>
  <c r="N612" i="2"/>
  <c r="P612" i="2" s="1"/>
  <c r="N613" i="2"/>
  <c r="P613" i="2" s="1"/>
  <c r="N614" i="2"/>
  <c r="P614" i="2" s="1"/>
  <c r="N615" i="2"/>
  <c r="P615" i="2" s="1"/>
  <c r="N616" i="2"/>
  <c r="P616" i="2" s="1"/>
  <c r="N617" i="2"/>
  <c r="P617" i="2" s="1"/>
  <c r="N618" i="2"/>
  <c r="P618" i="2" s="1"/>
  <c r="N619" i="2"/>
  <c r="P619" i="2" s="1"/>
  <c r="N620" i="2"/>
  <c r="P620" i="2" s="1"/>
  <c r="N621" i="2"/>
  <c r="P621" i="2" s="1"/>
  <c r="N622" i="2"/>
  <c r="P622" i="2" s="1"/>
  <c r="N623" i="2"/>
  <c r="P623" i="2" s="1"/>
  <c r="N624" i="2"/>
  <c r="P624" i="2" s="1"/>
  <c r="N625" i="2"/>
  <c r="P625" i="2" s="1"/>
  <c r="N626" i="2"/>
  <c r="P626" i="2" s="1"/>
  <c r="N627" i="2"/>
  <c r="P627" i="2" s="1"/>
  <c r="N628" i="2"/>
  <c r="P628" i="2" s="1"/>
  <c r="N629" i="2"/>
  <c r="P629" i="2" s="1"/>
  <c r="N630" i="2"/>
  <c r="P630" i="2" s="1"/>
  <c r="N631" i="2"/>
  <c r="P631" i="2" s="1"/>
  <c r="N632" i="2"/>
  <c r="P632" i="2" s="1"/>
  <c r="N633" i="2"/>
  <c r="P633" i="2" s="1"/>
  <c r="N634" i="2"/>
  <c r="P634" i="2" s="1"/>
  <c r="N635" i="2"/>
  <c r="P635" i="2" s="1"/>
  <c r="N636" i="2"/>
  <c r="P636" i="2" s="1"/>
  <c r="N637" i="2"/>
  <c r="P637" i="2" s="1"/>
  <c r="N638" i="2"/>
  <c r="P638" i="2" s="1"/>
  <c r="N639" i="2"/>
  <c r="P639" i="2" s="1"/>
  <c r="N640" i="2"/>
  <c r="P640" i="2" s="1"/>
  <c r="N641" i="2"/>
  <c r="P641" i="2" s="1"/>
  <c r="N642" i="2"/>
  <c r="P642" i="2" s="1"/>
  <c r="N643" i="2"/>
  <c r="P643" i="2" s="1"/>
  <c r="N644" i="2"/>
  <c r="P644" i="2" s="1"/>
  <c r="N645" i="2"/>
  <c r="P645" i="2" s="1"/>
  <c r="N646" i="2"/>
  <c r="P646" i="2" s="1"/>
  <c r="N647" i="2"/>
  <c r="P647" i="2" s="1"/>
  <c r="N648" i="2"/>
  <c r="P648" i="2" s="1"/>
  <c r="N649" i="2"/>
  <c r="P649" i="2" s="1"/>
  <c r="N650" i="2"/>
  <c r="P650" i="2" s="1"/>
  <c r="N651" i="2"/>
  <c r="P651" i="2" s="1"/>
  <c r="N652" i="2"/>
  <c r="P652" i="2" s="1"/>
  <c r="N653" i="2"/>
  <c r="P653" i="2" s="1"/>
  <c r="N654" i="2"/>
  <c r="P654" i="2" s="1"/>
  <c r="N655" i="2"/>
  <c r="P655" i="2" s="1"/>
  <c r="N656" i="2"/>
  <c r="P656" i="2" s="1"/>
  <c r="N657" i="2"/>
  <c r="P657" i="2" s="1"/>
  <c r="N658" i="2"/>
  <c r="P658" i="2" s="1"/>
  <c r="N659" i="2"/>
  <c r="P659" i="2" s="1"/>
  <c r="N660" i="2"/>
  <c r="P660" i="2" s="1"/>
  <c r="N661" i="2"/>
  <c r="P661" i="2" s="1"/>
  <c r="N662" i="2"/>
  <c r="P662" i="2" s="1"/>
  <c r="N663" i="2"/>
  <c r="P663" i="2" s="1"/>
  <c r="N664" i="2"/>
  <c r="P664" i="2" s="1"/>
  <c r="N665" i="2"/>
  <c r="P665" i="2" s="1"/>
  <c r="N666" i="2"/>
  <c r="P666" i="2" s="1"/>
  <c r="N667" i="2"/>
  <c r="P667" i="2" s="1"/>
  <c r="N668" i="2"/>
  <c r="P668" i="2" s="1"/>
  <c r="N669" i="2"/>
  <c r="P669" i="2" s="1"/>
  <c r="N670" i="2"/>
  <c r="P670" i="2" s="1"/>
  <c r="N671" i="2"/>
  <c r="P671" i="2" s="1"/>
  <c r="N672" i="2"/>
  <c r="P672" i="2" s="1"/>
  <c r="N673" i="2"/>
  <c r="P673" i="2" s="1"/>
  <c r="N674" i="2"/>
  <c r="P674" i="2" s="1"/>
  <c r="N675" i="2"/>
  <c r="P675" i="2" s="1"/>
  <c r="N676" i="2"/>
  <c r="P676" i="2" s="1"/>
  <c r="N677" i="2"/>
  <c r="P677" i="2" s="1"/>
  <c r="N678" i="2"/>
  <c r="P678" i="2" s="1"/>
  <c r="N679" i="2"/>
  <c r="P679" i="2" s="1"/>
  <c r="N680" i="2"/>
  <c r="P680" i="2" s="1"/>
  <c r="N681" i="2"/>
  <c r="P681" i="2" s="1"/>
  <c r="N682" i="2"/>
  <c r="P682" i="2" s="1"/>
  <c r="N683" i="2"/>
  <c r="P683" i="2" s="1"/>
  <c r="N684" i="2"/>
  <c r="P684" i="2" s="1"/>
  <c r="N685" i="2"/>
  <c r="P685" i="2" s="1"/>
  <c r="N686" i="2"/>
  <c r="P686" i="2" s="1"/>
  <c r="N687" i="2"/>
  <c r="P687" i="2" s="1"/>
  <c r="N688" i="2"/>
  <c r="P688" i="2" s="1"/>
  <c r="N689" i="2"/>
  <c r="P689" i="2" s="1"/>
  <c r="N690" i="2"/>
  <c r="P690" i="2" s="1"/>
  <c r="N691" i="2"/>
  <c r="P691" i="2" s="1"/>
  <c r="N692" i="2"/>
  <c r="P692" i="2" s="1"/>
  <c r="N693" i="2"/>
  <c r="P693" i="2" s="1"/>
  <c r="N694" i="2"/>
  <c r="P694" i="2" s="1"/>
  <c r="N695" i="2"/>
  <c r="P695" i="2" s="1"/>
  <c r="N696" i="2"/>
  <c r="P696" i="2" s="1"/>
  <c r="N697" i="2"/>
  <c r="P697" i="2" s="1"/>
  <c r="N698" i="2"/>
  <c r="P698" i="2" s="1"/>
  <c r="N699" i="2"/>
  <c r="P699" i="2" s="1"/>
  <c r="N700" i="2"/>
  <c r="P700" i="2" s="1"/>
  <c r="N701" i="2"/>
  <c r="P701" i="2" s="1"/>
  <c r="N702" i="2"/>
  <c r="P702" i="2" s="1"/>
  <c r="N703" i="2"/>
  <c r="P703" i="2" s="1"/>
  <c r="N704" i="2"/>
  <c r="P704" i="2" s="1"/>
  <c r="N705" i="2"/>
  <c r="P705" i="2" s="1"/>
  <c r="N706" i="2"/>
  <c r="P706" i="2" s="1"/>
  <c r="N707" i="2"/>
  <c r="P707" i="2" s="1"/>
  <c r="N708" i="2"/>
  <c r="P708" i="2" s="1"/>
  <c r="N709" i="2"/>
  <c r="P709" i="2" s="1"/>
  <c r="N710" i="2"/>
  <c r="P710" i="2" s="1"/>
  <c r="N711" i="2"/>
  <c r="P711" i="2" s="1"/>
  <c r="N712" i="2"/>
  <c r="P712" i="2" s="1"/>
  <c r="N713" i="2"/>
  <c r="P713" i="2" s="1"/>
  <c r="N714" i="2"/>
  <c r="P714" i="2" s="1"/>
  <c r="N715" i="2"/>
  <c r="P715" i="2" s="1"/>
  <c r="N716" i="2"/>
  <c r="P716" i="2" s="1"/>
  <c r="N717" i="2"/>
  <c r="P717" i="2" s="1"/>
  <c r="N718" i="2"/>
  <c r="P718" i="2" s="1"/>
  <c r="N719" i="2"/>
  <c r="P719" i="2" s="1"/>
  <c r="N720" i="2"/>
  <c r="P720" i="2" s="1"/>
  <c r="N721" i="2"/>
  <c r="P721" i="2" s="1"/>
  <c r="N722" i="2"/>
  <c r="P722" i="2" s="1"/>
  <c r="N723" i="2"/>
  <c r="P723" i="2" s="1"/>
  <c r="N724" i="2"/>
  <c r="P724" i="2" s="1"/>
  <c r="N725" i="2"/>
  <c r="P725" i="2" s="1"/>
  <c r="N726" i="2"/>
  <c r="P726" i="2" s="1"/>
  <c r="N727" i="2"/>
  <c r="P727" i="2" s="1"/>
  <c r="N728" i="2"/>
  <c r="P728" i="2" s="1"/>
  <c r="N729" i="2"/>
  <c r="P729" i="2" s="1"/>
  <c r="N730" i="2"/>
  <c r="P730" i="2" s="1"/>
  <c r="N731" i="2"/>
  <c r="P731" i="2" s="1"/>
  <c r="N732" i="2"/>
  <c r="P732" i="2" s="1"/>
  <c r="N733" i="2"/>
  <c r="P733" i="2" s="1"/>
  <c r="N734" i="2"/>
  <c r="P734" i="2" s="1"/>
  <c r="N735" i="2"/>
  <c r="P735" i="2" s="1"/>
  <c r="N736" i="2"/>
  <c r="P736" i="2" s="1"/>
  <c r="N737" i="2"/>
  <c r="P737" i="2" s="1"/>
  <c r="N738" i="2"/>
  <c r="P738" i="2" s="1"/>
  <c r="N739" i="2"/>
  <c r="P739" i="2" s="1"/>
  <c r="N740" i="2"/>
  <c r="P740" i="2" s="1"/>
  <c r="N741" i="2"/>
  <c r="P741" i="2" s="1"/>
  <c r="N742" i="2"/>
  <c r="P742" i="2" s="1"/>
  <c r="N743" i="2"/>
  <c r="P743" i="2" s="1"/>
  <c r="N744" i="2"/>
  <c r="P744" i="2" s="1"/>
  <c r="N745" i="2"/>
  <c r="P745" i="2" s="1"/>
  <c r="N746" i="2"/>
  <c r="P746" i="2" s="1"/>
  <c r="N747" i="2"/>
  <c r="P747" i="2" s="1"/>
  <c r="N748" i="2"/>
  <c r="P748" i="2" s="1"/>
  <c r="N749" i="2"/>
  <c r="P749" i="2" s="1"/>
  <c r="N750" i="2"/>
  <c r="P750" i="2" s="1"/>
  <c r="N751" i="2"/>
  <c r="P751" i="2" s="1"/>
  <c r="N752" i="2"/>
  <c r="P752" i="2" s="1"/>
  <c r="N753" i="2"/>
  <c r="P753" i="2" s="1"/>
  <c r="N754" i="2"/>
  <c r="P754" i="2" s="1"/>
  <c r="N755" i="2"/>
  <c r="P755" i="2" s="1"/>
  <c r="N756" i="2"/>
  <c r="P756" i="2" s="1"/>
  <c r="N757" i="2"/>
  <c r="P757" i="2" s="1"/>
  <c r="N758" i="2"/>
  <c r="P758" i="2" s="1"/>
  <c r="N759" i="2"/>
  <c r="P759" i="2" s="1"/>
  <c r="N760" i="2"/>
  <c r="P760" i="2" s="1"/>
  <c r="N761" i="2"/>
  <c r="P761" i="2" s="1"/>
  <c r="N762" i="2"/>
  <c r="P762" i="2" s="1"/>
  <c r="N763" i="2"/>
  <c r="P763" i="2" s="1"/>
  <c r="N764" i="2"/>
  <c r="P764" i="2" s="1"/>
  <c r="N765" i="2"/>
  <c r="P765" i="2" s="1"/>
  <c r="N766" i="2"/>
  <c r="P766" i="2" s="1"/>
  <c r="N767" i="2"/>
  <c r="P767" i="2" s="1"/>
  <c r="N768" i="2"/>
  <c r="P768" i="2" s="1"/>
  <c r="N769" i="2"/>
  <c r="P769" i="2" s="1"/>
  <c r="N770" i="2"/>
  <c r="P770" i="2" s="1"/>
  <c r="N771" i="2"/>
  <c r="P771" i="2" s="1"/>
  <c r="N772" i="2"/>
  <c r="P772" i="2" s="1"/>
  <c r="N773" i="2"/>
  <c r="P773" i="2" s="1"/>
  <c r="N774" i="2"/>
  <c r="P774" i="2" s="1"/>
  <c r="N775" i="2"/>
  <c r="P775" i="2" s="1"/>
  <c r="N776" i="2"/>
  <c r="P776" i="2" s="1"/>
  <c r="N777" i="2"/>
  <c r="P777" i="2" s="1"/>
  <c r="N778" i="2"/>
  <c r="P778" i="2" s="1"/>
  <c r="N779" i="2"/>
  <c r="P779" i="2" s="1"/>
  <c r="N780" i="2"/>
  <c r="P780" i="2" s="1"/>
  <c r="N781" i="2"/>
  <c r="P781" i="2" s="1"/>
  <c r="N782" i="2"/>
  <c r="P782" i="2" s="1"/>
  <c r="N783" i="2"/>
  <c r="P783" i="2" s="1"/>
  <c r="N784" i="2"/>
  <c r="P784" i="2" s="1"/>
  <c r="N785" i="2"/>
  <c r="P785" i="2" s="1"/>
  <c r="N786" i="2"/>
  <c r="P786" i="2" s="1"/>
  <c r="N787" i="2"/>
  <c r="P787" i="2" s="1"/>
  <c r="N788" i="2"/>
  <c r="P788" i="2" s="1"/>
  <c r="N789" i="2"/>
  <c r="P789" i="2" s="1"/>
  <c r="N790" i="2"/>
  <c r="P790" i="2" s="1"/>
  <c r="N791" i="2"/>
  <c r="P791" i="2" s="1"/>
  <c r="N792" i="2"/>
  <c r="P792" i="2" s="1"/>
  <c r="N793" i="2"/>
  <c r="P793" i="2" s="1"/>
  <c r="N794" i="2"/>
  <c r="P794" i="2" s="1"/>
  <c r="N795" i="2"/>
  <c r="P795" i="2" s="1"/>
  <c r="N796" i="2"/>
  <c r="P796" i="2" s="1"/>
  <c r="N797" i="2"/>
  <c r="P797" i="2" s="1"/>
  <c r="N798" i="2"/>
  <c r="P798" i="2" s="1"/>
  <c r="N799" i="2"/>
  <c r="P799" i="2" s="1"/>
  <c r="N800" i="2"/>
  <c r="P800" i="2" s="1"/>
  <c r="N801" i="2"/>
  <c r="P801" i="2" s="1"/>
  <c r="N802" i="2"/>
  <c r="P802" i="2" s="1"/>
  <c r="N803" i="2"/>
  <c r="P803" i="2" s="1"/>
  <c r="N804" i="2"/>
  <c r="P804" i="2" s="1"/>
  <c r="N805" i="2"/>
  <c r="P805" i="2" s="1"/>
  <c r="N806" i="2"/>
  <c r="P806" i="2" s="1"/>
  <c r="N807" i="2"/>
  <c r="P807" i="2" s="1"/>
  <c r="N808" i="2"/>
  <c r="P808" i="2" s="1"/>
  <c r="N809" i="2"/>
  <c r="P809" i="2" s="1"/>
  <c r="N810" i="2"/>
  <c r="P810" i="2" s="1"/>
  <c r="N811" i="2"/>
  <c r="P811" i="2" s="1"/>
  <c r="N812" i="2"/>
  <c r="P812" i="2" s="1"/>
  <c r="N813" i="2"/>
  <c r="P813" i="2" s="1"/>
  <c r="N814" i="2"/>
  <c r="P814" i="2" s="1"/>
  <c r="N815" i="2"/>
  <c r="P815" i="2" s="1"/>
  <c r="N816" i="2"/>
  <c r="P816" i="2" s="1"/>
  <c r="N817" i="2"/>
  <c r="P817" i="2" s="1"/>
  <c r="N818" i="2"/>
  <c r="P818" i="2" s="1"/>
  <c r="N819" i="2"/>
  <c r="P819" i="2" s="1"/>
  <c r="N820" i="2"/>
  <c r="P820" i="2" s="1"/>
  <c r="N821" i="2"/>
  <c r="P821" i="2" s="1"/>
  <c r="N822" i="2"/>
  <c r="P822" i="2" s="1"/>
  <c r="N823" i="2"/>
  <c r="P823" i="2" s="1"/>
  <c r="N824" i="2"/>
  <c r="P824" i="2" s="1"/>
  <c r="N825" i="2"/>
  <c r="P825" i="2" s="1"/>
  <c r="N826" i="2"/>
  <c r="P826" i="2" s="1"/>
  <c r="N827" i="2"/>
  <c r="P827" i="2" s="1"/>
  <c r="N828" i="2"/>
  <c r="P828" i="2" s="1"/>
  <c r="N829" i="2"/>
  <c r="P829" i="2" s="1"/>
  <c r="N830" i="2"/>
  <c r="P830" i="2" s="1"/>
  <c r="N831" i="2"/>
  <c r="P831" i="2" s="1"/>
  <c r="N832" i="2"/>
  <c r="P832" i="2" s="1"/>
  <c r="N833" i="2"/>
  <c r="P833" i="2" s="1"/>
  <c r="N834" i="2"/>
  <c r="P834" i="2" s="1"/>
  <c r="N835" i="2"/>
  <c r="P835" i="2" s="1"/>
  <c r="N836" i="2"/>
  <c r="P836" i="2" s="1"/>
  <c r="N837" i="2"/>
  <c r="P837" i="2" s="1"/>
  <c r="N838" i="2"/>
  <c r="P838" i="2" s="1"/>
  <c r="N839" i="2"/>
  <c r="P839" i="2" s="1"/>
  <c r="N840" i="2"/>
  <c r="P840" i="2" s="1"/>
  <c r="N841" i="2"/>
  <c r="P841" i="2" s="1"/>
  <c r="N842" i="2"/>
  <c r="P842" i="2" s="1"/>
  <c r="N843" i="2"/>
  <c r="P843" i="2" s="1"/>
  <c r="N844" i="2"/>
  <c r="P844" i="2" s="1"/>
  <c r="N845" i="2"/>
  <c r="P845" i="2" s="1"/>
  <c r="N846" i="2"/>
  <c r="P846" i="2" s="1"/>
  <c r="N847" i="2"/>
  <c r="P847" i="2" s="1"/>
  <c r="N848" i="2"/>
  <c r="P848" i="2" s="1"/>
  <c r="N849" i="2"/>
  <c r="P849" i="2" s="1"/>
  <c r="N850" i="2"/>
  <c r="P850" i="2" s="1"/>
  <c r="N851" i="2"/>
  <c r="P851" i="2" s="1"/>
  <c r="N852" i="2"/>
  <c r="P852" i="2" s="1"/>
  <c r="N853" i="2"/>
  <c r="P853" i="2" s="1"/>
  <c r="N854" i="2"/>
  <c r="P854" i="2" s="1"/>
  <c r="N855" i="2"/>
  <c r="P855" i="2" s="1"/>
  <c r="N856" i="2"/>
  <c r="P856" i="2" s="1"/>
  <c r="N857" i="2"/>
  <c r="P857" i="2" s="1"/>
  <c r="N858" i="2"/>
  <c r="P858" i="2" s="1"/>
  <c r="N859" i="2"/>
  <c r="P859" i="2" s="1"/>
  <c r="N860" i="2"/>
  <c r="P860" i="2" s="1"/>
  <c r="N861" i="2"/>
  <c r="P861" i="2" s="1"/>
  <c r="N862" i="2"/>
  <c r="P862" i="2" s="1"/>
  <c r="N863" i="2"/>
  <c r="P863" i="2" s="1"/>
  <c r="N864" i="2"/>
  <c r="P864" i="2" s="1"/>
  <c r="N865" i="2"/>
  <c r="P865" i="2" s="1"/>
  <c r="N866" i="2"/>
  <c r="P866" i="2" s="1"/>
  <c r="N867" i="2"/>
  <c r="P867" i="2" s="1"/>
  <c r="N868" i="2"/>
  <c r="P868" i="2" s="1"/>
  <c r="N869" i="2"/>
  <c r="P869" i="2" s="1"/>
  <c r="N870" i="2"/>
  <c r="P870" i="2" s="1"/>
  <c r="N871" i="2"/>
  <c r="P871" i="2" s="1"/>
  <c r="N872" i="2"/>
  <c r="P872" i="2" s="1"/>
  <c r="N873" i="2"/>
  <c r="P873" i="2" s="1"/>
  <c r="N874" i="2"/>
  <c r="P874" i="2" s="1"/>
  <c r="N875" i="2"/>
  <c r="P875" i="2" s="1"/>
  <c r="N876" i="2"/>
  <c r="P876" i="2" s="1"/>
  <c r="N877" i="2"/>
  <c r="P877" i="2" s="1"/>
  <c r="N878" i="2"/>
  <c r="P878" i="2" s="1"/>
  <c r="N879" i="2"/>
  <c r="P879" i="2" s="1"/>
  <c r="N880" i="2"/>
  <c r="P880" i="2" s="1"/>
  <c r="N881" i="2"/>
  <c r="P881" i="2" s="1"/>
  <c r="N882" i="2"/>
  <c r="P882" i="2" s="1"/>
  <c r="N883" i="2"/>
  <c r="P883" i="2" s="1"/>
  <c r="N884" i="2"/>
  <c r="P884" i="2" s="1"/>
  <c r="N885" i="2"/>
  <c r="P885" i="2" s="1"/>
  <c r="N886" i="2"/>
  <c r="P886" i="2" s="1"/>
  <c r="N887" i="2"/>
  <c r="P887" i="2" s="1"/>
  <c r="N888" i="2"/>
  <c r="P888" i="2" s="1"/>
  <c r="N889" i="2"/>
  <c r="P889" i="2" s="1"/>
  <c r="N890" i="2"/>
  <c r="P890" i="2" s="1"/>
  <c r="N891" i="2"/>
  <c r="P891" i="2" s="1"/>
  <c r="N892" i="2"/>
  <c r="P892" i="2" s="1"/>
  <c r="N893" i="2"/>
  <c r="P893" i="2" s="1"/>
  <c r="N894" i="2"/>
  <c r="P894" i="2" s="1"/>
  <c r="N895" i="2"/>
  <c r="P895" i="2" s="1"/>
  <c r="N896" i="2"/>
  <c r="P896" i="2" s="1"/>
  <c r="N897" i="2"/>
  <c r="P897" i="2" s="1"/>
  <c r="N898" i="2"/>
  <c r="P898" i="2" s="1"/>
  <c r="N899" i="2"/>
  <c r="P899" i="2" s="1"/>
  <c r="N900" i="2"/>
  <c r="P900" i="2" s="1"/>
  <c r="N901" i="2"/>
  <c r="P901" i="2" s="1"/>
  <c r="N902" i="2"/>
  <c r="P902" i="2" s="1"/>
  <c r="N903" i="2"/>
  <c r="P903" i="2" s="1"/>
  <c r="N904" i="2"/>
  <c r="P904" i="2" s="1"/>
  <c r="N905" i="2"/>
  <c r="P905" i="2" s="1"/>
  <c r="N906" i="2"/>
  <c r="P906" i="2" s="1"/>
  <c r="N907" i="2"/>
  <c r="P907" i="2" s="1"/>
  <c r="N908" i="2"/>
  <c r="P908" i="2" s="1"/>
  <c r="N909" i="2"/>
  <c r="P909" i="2" s="1"/>
  <c r="N910" i="2"/>
  <c r="P910" i="2" s="1"/>
  <c r="N911" i="2"/>
  <c r="P911" i="2" s="1"/>
  <c r="N912" i="2"/>
  <c r="P912" i="2" s="1"/>
  <c r="N913" i="2"/>
  <c r="P913" i="2" s="1"/>
  <c r="N914" i="2"/>
  <c r="P914" i="2" s="1"/>
  <c r="N915" i="2"/>
  <c r="P915" i="2" s="1"/>
  <c r="N916" i="2"/>
  <c r="P916" i="2" s="1"/>
  <c r="N917" i="2"/>
  <c r="P917" i="2" s="1"/>
  <c r="N918" i="2"/>
  <c r="P918" i="2" s="1"/>
  <c r="N919" i="2"/>
  <c r="P919" i="2" s="1"/>
  <c r="N920" i="2"/>
  <c r="P920" i="2" s="1"/>
  <c r="N921" i="2"/>
  <c r="P921" i="2" s="1"/>
  <c r="N922" i="2"/>
  <c r="P922" i="2" s="1"/>
  <c r="N923" i="2"/>
  <c r="P923" i="2" s="1"/>
  <c r="N924" i="2"/>
  <c r="P924" i="2" s="1"/>
  <c r="N925" i="2"/>
  <c r="P925" i="2" s="1"/>
  <c r="N926" i="2"/>
  <c r="P926" i="2" s="1"/>
  <c r="N927" i="2"/>
  <c r="P927" i="2" s="1"/>
  <c r="N928" i="2"/>
  <c r="P928" i="2" s="1"/>
  <c r="N929" i="2"/>
  <c r="P929" i="2" s="1"/>
  <c r="N930" i="2"/>
  <c r="P930" i="2" s="1"/>
  <c r="N931" i="2"/>
  <c r="P931" i="2" s="1"/>
  <c r="N932" i="2"/>
  <c r="P932" i="2" s="1"/>
  <c r="N933" i="2"/>
  <c r="P933" i="2" s="1"/>
  <c r="N934" i="2"/>
  <c r="P934" i="2" s="1"/>
  <c r="N935" i="2"/>
  <c r="P935" i="2" s="1"/>
  <c r="N936" i="2"/>
  <c r="P936" i="2" s="1"/>
  <c r="N937" i="2"/>
  <c r="P937" i="2" s="1"/>
  <c r="N938" i="2"/>
  <c r="P938" i="2" s="1"/>
  <c r="N939" i="2"/>
  <c r="P939" i="2" s="1"/>
  <c r="N940" i="2"/>
  <c r="P940" i="2" s="1"/>
  <c r="N941" i="2"/>
  <c r="P941" i="2" s="1"/>
  <c r="N942" i="2"/>
  <c r="P942" i="2" s="1"/>
  <c r="N943" i="2"/>
  <c r="P943" i="2" s="1"/>
  <c r="N944" i="2"/>
  <c r="P944" i="2" s="1"/>
  <c r="N945" i="2"/>
  <c r="P945" i="2" s="1"/>
  <c r="N946" i="2"/>
  <c r="P946" i="2" s="1"/>
  <c r="N947" i="2"/>
  <c r="P947" i="2" s="1"/>
  <c r="N948" i="2"/>
  <c r="P948" i="2" s="1"/>
  <c r="N949" i="2"/>
  <c r="P949" i="2" s="1"/>
  <c r="N950" i="2"/>
  <c r="P950" i="2" s="1"/>
  <c r="N951" i="2"/>
  <c r="P951" i="2" s="1"/>
  <c r="N952" i="2"/>
  <c r="P952" i="2" s="1"/>
  <c r="N953" i="2"/>
  <c r="P953" i="2" s="1"/>
  <c r="N954" i="2"/>
  <c r="P954" i="2" s="1"/>
  <c r="N955" i="2"/>
  <c r="P955" i="2" s="1"/>
  <c r="N956" i="2"/>
  <c r="P956" i="2" s="1"/>
  <c r="N957" i="2"/>
  <c r="P957" i="2" s="1"/>
  <c r="N958" i="2"/>
  <c r="P958" i="2" s="1"/>
  <c r="N959" i="2"/>
  <c r="P959" i="2" s="1"/>
  <c r="N960" i="2"/>
  <c r="P960" i="2" s="1"/>
  <c r="N961" i="2"/>
  <c r="P961" i="2" s="1"/>
  <c r="N962" i="2"/>
  <c r="P962" i="2" s="1"/>
  <c r="N963" i="2"/>
  <c r="P963" i="2" s="1"/>
  <c r="N964" i="2"/>
  <c r="P964" i="2" s="1"/>
  <c r="N965" i="2"/>
  <c r="P965" i="2" s="1"/>
  <c r="N966" i="2"/>
  <c r="P966" i="2" s="1"/>
  <c r="N967" i="2"/>
  <c r="P967" i="2" s="1"/>
  <c r="N968" i="2"/>
  <c r="P968" i="2" s="1"/>
  <c r="N969" i="2"/>
  <c r="P969" i="2" s="1"/>
  <c r="N970" i="2"/>
  <c r="P970" i="2" s="1"/>
  <c r="N971" i="2"/>
  <c r="P971" i="2" s="1"/>
  <c r="N972" i="2"/>
  <c r="P972" i="2" s="1"/>
  <c r="N973" i="2"/>
  <c r="P973" i="2" s="1"/>
  <c r="N974" i="2"/>
  <c r="P974" i="2" s="1"/>
  <c r="N975" i="2"/>
  <c r="P975" i="2" s="1"/>
  <c r="N976" i="2"/>
  <c r="P976" i="2" s="1"/>
  <c r="N977" i="2"/>
  <c r="P977" i="2" s="1"/>
  <c r="N978" i="2"/>
  <c r="P978" i="2" s="1"/>
  <c r="N979" i="2"/>
  <c r="P979" i="2" s="1"/>
  <c r="N980" i="2"/>
  <c r="P980" i="2" s="1"/>
  <c r="N981" i="2"/>
  <c r="P981" i="2" s="1"/>
  <c r="N982" i="2"/>
  <c r="P982" i="2" s="1"/>
  <c r="N983" i="2"/>
  <c r="P983" i="2" s="1"/>
  <c r="N984" i="2"/>
  <c r="P984" i="2" s="1"/>
  <c r="N985" i="2"/>
  <c r="P985" i="2" s="1"/>
  <c r="N986" i="2"/>
  <c r="P986" i="2" s="1"/>
  <c r="N987" i="2"/>
  <c r="P987" i="2" s="1"/>
  <c r="N988" i="2"/>
  <c r="P988" i="2" s="1"/>
  <c r="N989" i="2"/>
  <c r="P989" i="2" s="1"/>
  <c r="N990" i="2"/>
  <c r="P990" i="2" s="1"/>
  <c r="N991" i="2"/>
  <c r="P991" i="2" s="1"/>
  <c r="N992" i="2"/>
  <c r="P992" i="2" s="1"/>
  <c r="N993" i="2"/>
  <c r="P993" i="2" s="1"/>
  <c r="N994" i="2"/>
  <c r="P994" i="2" s="1"/>
  <c r="N995" i="2"/>
  <c r="P995" i="2" s="1"/>
  <c r="N996" i="2"/>
  <c r="P996" i="2" s="1"/>
  <c r="N997" i="2"/>
  <c r="P997" i="2" s="1"/>
  <c r="N998" i="2"/>
  <c r="P998" i="2" s="1"/>
  <c r="N999" i="2"/>
  <c r="P999" i="2" s="1"/>
  <c r="N1000" i="2"/>
  <c r="P1000" i="2" s="1"/>
  <c r="N10" i="2"/>
  <c r="P10" i="2" s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O51" i="2" s="1"/>
  <c r="L46" i="4"/>
  <c r="O52" i="2" s="1"/>
  <c r="L47" i="4"/>
  <c r="O53" i="2" s="1"/>
  <c r="L48" i="4"/>
  <c r="O54" i="2" s="1"/>
  <c r="L49" i="4"/>
  <c r="O55" i="2" s="1"/>
  <c r="L50" i="4"/>
  <c r="O56" i="2" s="1"/>
  <c r="L51" i="4"/>
  <c r="O57" i="2" s="1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O80" i="2" s="1"/>
  <c r="L75" i="4"/>
  <c r="O81" i="2" s="1"/>
  <c r="L76" i="4"/>
  <c r="O82" i="2" s="1"/>
  <c r="L77" i="4"/>
  <c r="O83" i="2" s="1"/>
  <c r="L78" i="4"/>
  <c r="O84" i="2" s="1"/>
  <c r="L79" i="4"/>
  <c r="O85" i="2" s="1"/>
  <c r="L80" i="4"/>
  <c r="O86" i="2" s="1"/>
  <c r="L81" i="4"/>
  <c r="O87" i="2" s="1"/>
  <c r="L82" i="4"/>
  <c r="O88" i="2" s="1"/>
  <c r="L83" i="4"/>
  <c r="O89" i="2" s="1"/>
  <c r="L84" i="4"/>
  <c r="O90" i="2" s="1"/>
  <c r="L85" i="4"/>
  <c r="O91" i="2" s="1"/>
  <c r="L86" i="4"/>
  <c r="O92" i="2" s="1"/>
  <c r="L87" i="4"/>
  <c r="O93" i="2" s="1"/>
  <c r="L88" i="4"/>
  <c r="O94" i="2" s="1"/>
  <c r="L89" i="4"/>
  <c r="O95" i="2" s="1"/>
  <c r="L90" i="4"/>
  <c r="O96" i="2" s="1"/>
  <c r="L91" i="4"/>
  <c r="O97" i="2" s="1"/>
  <c r="L92" i="4"/>
  <c r="O98" i="2" s="1"/>
  <c r="L93" i="4"/>
  <c r="O99" i="2" s="1"/>
  <c r="L94" i="4"/>
  <c r="O100" i="2" s="1"/>
  <c r="L95" i="4"/>
  <c r="O101" i="2" s="1"/>
  <c r="L96" i="4"/>
  <c r="O102" i="2" s="1"/>
  <c r="L97" i="4"/>
  <c r="O103" i="2" s="1"/>
  <c r="L98" i="4"/>
  <c r="O104" i="2" s="1"/>
  <c r="L99" i="4"/>
  <c r="O105" i="2" s="1"/>
  <c r="L100" i="4"/>
  <c r="O106" i="2" s="1"/>
  <c r="L101" i="4"/>
  <c r="O107" i="2" s="1"/>
  <c r="L102" i="4"/>
  <c r="O108" i="2" s="1"/>
  <c r="L103" i="4"/>
  <c r="O109" i="2" s="1"/>
  <c r="L104" i="4"/>
  <c r="O110" i="2" s="1"/>
  <c r="L105" i="4"/>
  <c r="O111" i="2" s="1"/>
  <c r="L106" i="4"/>
  <c r="O112" i="2" s="1"/>
  <c r="L107" i="4"/>
  <c r="O113" i="2" s="1"/>
  <c r="L108" i="4"/>
  <c r="O114" i="2" s="1"/>
  <c r="L109" i="4"/>
  <c r="O115" i="2" s="1"/>
  <c r="L110" i="4"/>
  <c r="O116" i="2" s="1"/>
  <c r="L111" i="4"/>
  <c r="O117" i="2" s="1"/>
  <c r="L112" i="4"/>
  <c r="O118" i="2" s="1"/>
  <c r="L113" i="4"/>
  <c r="O119" i="2" s="1"/>
  <c r="L114" i="4"/>
  <c r="O120" i="2" s="1"/>
  <c r="L115" i="4"/>
  <c r="O121" i="2" s="1"/>
  <c r="L116" i="4"/>
  <c r="O122" i="2" s="1"/>
  <c r="L117" i="4"/>
  <c r="O123" i="2" s="1"/>
  <c r="L118" i="4"/>
  <c r="O124" i="2" s="1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6" i="4"/>
  <c r="O11" i="2" s="1"/>
  <c r="L7" i="4"/>
  <c r="O12" i="2" s="1"/>
  <c r="L8" i="4"/>
  <c r="O13" i="2" s="1"/>
  <c r="L9" i="4"/>
  <c r="O14" i="2" s="1"/>
  <c r="L10" i="4"/>
  <c r="O15" i="2" s="1"/>
  <c r="L11" i="4"/>
  <c r="O16" i="2" s="1"/>
  <c r="L12" i="4"/>
  <c r="O17" i="2" s="1"/>
  <c r="L13" i="4"/>
  <c r="O18" i="2" s="1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5" i="4"/>
  <c r="O10" i="2" s="1"/>
  <c r="L10" i="2"/>
  <c r="O76" i="2" l="1"/>
  <c r="O66" i="2"/>
  <c r="Q66" i="2" s="1"/>
  <c r="R66" i="2" s="1"/>
  <c r="U66" i="2" s="1"/>
  <c r="O62" i="2"/>
  <c r="Q62" i="2" s="1"/>
  <c r="R62" i="2" s="1"/>
  <c r="U62" i="2" s="1"/>
  <c r="O61" i="2"/>
  <c r="Q61" i="2" s="1"/>
  <c r="R61" i="2" s="1"/>
  <c r="U61" i="2" s="1"/>
  <c r="O64" i="2"/>
  <c r="Q64" i="2" s="1"/>
  <c r="R64" i="2" s="1"/>
  <c r="U64" i="2" s="1"/>
  <c r="O72" i="2"/>
  <c r="Q72" i="2" s="1"/>
  <c r="R72" i="2" s="1"/>
  <c r="U72" i="2" s="1"/>
  <c r="O63" i="2"/>
  <c r="Q63" i="2" s="1"/>
  <c r="R63" i="2" s="1"/>
  <c r="O75" i="2"/>
  <c r="Q75" i="2" s="1"/>
  <c r="R75" i="2" s="1"/>
  <c r="O71" i="2"/>
  <c r="Q71" i="2" s="1"/>
  <c r="R71" i="2" s="1"/>
  <c r="U71" i="2" s="1"/>
  <c r="O79" i="2"/>
  <c r="Q79" i="2" s="1"/>
  <c r="R79" i="2" s="1"/>
  <c r="O67" i="2"/>
  <c r="Q67" i="2" s="1"/>
  <c r="R67" i="2" s="1"/>
  <c r="T67" i="2" s="1"/>
  <c r="O74" i="2"/>
  <c r="Q74" i="2" s="1"/>
  <c r="R74" i="2" s="1"/>
  <c r="U74" i="2" s="1"/>
  <c r="O70" i="2"/>
  <c r="Q70" i="2" s="1"/>
  <c r="R70" i="2" s="1"/>
  <c r="U70" i="2" s="1"/>
  <c r="O78" i="2"/>
  <c r="Q78" i="2" s="1"/>
  <c r="R78" i="2" s="1"/>
  <c r="U78" i="2" s="1"/>
  <c r="O73" i="2"/>
  <c r="Q73" i="2" s="1"/>
  <c r="R73" i="2" s="1"/>
  <c r="U73" i="2" s="1"/>
  <c r="O77" i="2"/>
  <c r="Q77" i="2" s="1"/>
  <c r="R77" i="2" s="1"/>
  <c r="U77" i="2" s="1"/>
  <c r="O65" i="2"/>
  <c r="Q65" i="2" s="1"/>
  <c r="R65" i="2" s="1"/>
  <c r="U65" i="2" s="1"/>
  <c r="O69" i="2"/>
  <c r="Q69" i="2" s="1"/>
  <c r="R69" i="2" s="1"/>
  <c r="U69" i="2" s="1"/>
  <c r="O68" i="2"/>
  <c r="Q68" i="2" s="1"/>
  <c r="R68" i="2" s="1"/>
  <c r="U68" i="2" s="1"/>
  <c r="O60" i="2"/>
  <c r="Q60" i="2" s="1"/>
  <c r="R60" i="2" s="1"/>
  <c r="U60" i="2" s="1"/>
  <c r="O59" i="2"/>
  <c r="Q59" i="2" s="1"/>
  <c r="R59" i="2" s="1"/>
  <c r="Q997" i="2"/>
  <c r="Q993" i="2"/>
  <c r="R993" i="2" s="1"/>
  <c r="U993" i="2" s="1"/>
  <c r="Q989" i="2"/>
  <c r="R989" i="2" s="1"/>
  <c r="U989" i="2" s="1"/>
  <c r="Q985" i="2"/>
  <c r="R985" i="2" s="1"/>
  <c r="U985" i="2" s="1"/>
  <c r="Q981" i="2"/>
  <c r="R981" i="2" s="1"/>
  <c r="U981" i="2" s="1"/>
  <c r="Q977" i="2"/>
  <c r="R977" i="2" s="1"/>
  <c r="U977" i="2" s="1"/>
  <c r="Q973" i="2"/>
  <c r="R973" i="2" s="1"/>
  <c r="U973" i="2" s="1"/>
  <c r="Q969" i="2"/>
  <c r="R969" i="2" s="1"/>
  <c r="U969" i="2" s="1"/>
  <c r="Q965" i="2"/>
  <c r="R965" i="2" s="1"/>
  <c r="U965" i="2" s="1"/>
  <c r="Q961" i="2"/>
  <c r="R961" i="2" s="1"/>
  <c r="U961" i="2" s="1"/>
  <c r="Q957" i="2"/>
  <c r="R957" i="2" s="1"/>
  <c r="U957" i="2" s="1"/>
  <c r="Q953" i="2"/>
  <c r="R953" i="2" s="1"/>
  <c r="U953" i="2" s="1"/>
  <c r="Q949" i="2"/>
  <c r="R949" i="2" s="1"/>
  <c r="U949" i="2" s="1"/>
  <c r="Q945" i="2"/>
  <c r="R945" i="2" s="1"/>
  <c r="U945" i="2" s="1"/>
  <c r="Q941" i="2"/>
  <c r="R941" i="2" s="1"/>
  <c r="U941" i="2" s="1"/>
  <c r="Q937" i="2"/>
  <c r="R937" i="2" s="1"/>
  <c r="U937" i="2" s="1"/>
  <c r="Q933" i="2"/>
  <c r="R933" i="2" s="1"/>
  <c r="U933" i="2" s="1"/>
  <c r="Q929" i="2"/>
  <c r="R929" i="2" s="1"/>
  <c r="U929" i="2" s="1"/>
  <c r="Q925" i="2"/>
  <c r="R925" i="2" s="1"/>
  <c r="U925" i="2" s="1"/>
  <c r="Q921" i="2"/>
  <c r="R921" i="2" s="1"/>
  <c r="U921" i="2" s="1"/>
  <c r="Q917" i="2"/>
  <c r="R917" i="2" s="1"/>
  <c r="U917" i="2" s="1"/>
  <c r="Q913" i="2"/>
  <c r="R913" i="2" s="1"/>
  <c r="U913" i="2" s="1"/>
  <c r="Q909" i="2"/>
  <c r="R909" i="2" s="1"/>
  <c r="U909" i="2" s="1"/>
  <c r="Q901" i="2"/>
  <c r="R901" i="2" s="1"/>
  <c r="U901" i="2" s="1"/>
  <c r="Q893" i="2"/>
  <c r="R893" i="2" s="1"/>
  <c r="U893" i="2" s="1"/>
  <c r="Q889" i="2"/>
  <c r="R889" i="2" s="1"/>
  <c r="U889" i="2" s="1"/>
  <c r="Q885" i="2"/>
  <c r="R885" i="2" s="1"/>
  <c r="U885" i="2" s="1"/>
  <c r="Q881" i="2"/>
  <c r="R881" i="2" s="1"/>
  <c r="U881" i="2" s="1"/>
  <c r="Q877" i="2"/>
  <c r="R877" i="2" s="1"/>
  <c r="U877" i="2" s="1"/>
  <c r="Q873" i="2"/>
  <c r="R873" i="2" s="1"/>
  <c r="U873" i="2" s="1"/>
  <c r="Q869" i="2"/>
  <c r="R869" i="2" s="1"/>
  <c r="U869" i="2" s="1"/>
  <c r="Q865" i="2"/>
  <c r="R865" i="2" s="1"/>
  <c r="U865" i="2" s="1"/>
  <c r="Q861" i="2"/>
  <c r="R861" i="2" s="1"/>
  <c r="U861" i="2" s="1"/>
  <c r="Q857" i="2"/>
  <c r="R857" i="2" s="1"/>
  <c r="U857" i="2" s="1"/>
  <c r="Q853" i="2"/>
  <c r="R853" i="2" s="1"/>
  <c r="U853" i="2" s="1"/>
  <c r="Q849" i="2"/>
  <c r="R849" i="2" s="1"/>
  <c r="U849" i="2" s="1"/>
  <c r="Q845" i="2"/>
  <c r="R845" i="2" s="1"/>
  <c r="U845" i="2" s="1"/>
  <c r="Q841" i="2"/>
  <c r="R841" i="2" s="1"/>
  <c r="U841" i="2" s="1"/>
  <c r="Q837" i="2"/>
  <c r="R837" i="2" s="1"/>
  <c r="U837" i="2" s="1"/>
  <c r="Q833" i="2"/>
  <c r="R833" i="2" s="1"/>
  <c r="U833" i="2" s="1"/>
  <c r="Q829" i="2"/>
  <c r="R829" i="2" s="1"/>
  <c r="U829" i="2" s="1"/>
  <c r="Q825" i="2"/>
  <c r="R825" i="2" s="1"/>
  <c r="U825" i="2" s="1"/>
  <c r="Q821" i="2"/>
  <c r="R821" i="2" s="1"/>
  <c r="U821" i="2" s="1"/>
  <c r="Q817" i="2"/>
  <c r="R817" i="2" s="1"/>
  <c r="U817" i="2" s="1"/>
  <c r="Q813" i="2"/>
  <c r="Q809" i="2"/>
  <c r="R809" i="2" s="1"/>
  <c r="U809" i="2" s="1"/>
  <c r="Q805" i="2"/>
  <c r="R805" i="2" s="1"/>
  <c r="U805" i="2" s="1"/>
  <c r="Q801" i="2"/>
  <c r="R801" i="2" s="1"/>
  <c r="U801" i="2" s="1"/>
  <c r="Q797" i="2"/>
  <c r="R797" i="2" s="1"/>
  <c r="U797" i="2" s="1"/>
  <c r="Q793" i="2"/>
  <c r="R793" i="2" s="1"/>
  <c r="U793" i="2" s="1"/>
  <c r="Q789" i="2"/>
  <c r="R789" i="2" s="1"/>
  <c r="U789" i="2" s="1"/>
  <c r="Q785" i="2"/>
  <c r="R785" i="2" s="1"/>
  <c r="U785" i="2" s="1"/>
  <c r="Q781" i="2"/>
  <c r="R781" i="2" s="1"/>
  <c r="U781" i="2" s="1"/>
  <c r="Q777" i="2"/>
  <c r="R777" i="2" s="1"/>
  <c r="U777" i="2" s="1"/>
  <c r="Q773" i="2"/>
  <c r="R773" i="2" s="1"/>
  <c r="U773" i="2" s="1"/>
  <c r="Q769" i="2"/>
  <c r="R769" i="2" s="1"/>
  <c r="U769" i="2" s="1"/>
  <c r="Q765" i="2"/>
  <c r="R765" i="2" s="1"/>
  <c r="U765" i="2" s="1"/>
  <c r="Q761" i="2"/>
  <c r="R761" i="2" s="1"/>
  <c r="U761" i="2" s="1"/>
  <c r="Q757" i="2"/>
  <c r="R757" i="2" s="1"/>
  <c r="U757" i="2" s="1"/>
  <c r="Q753" i="2"/>
  <c r="R753" i="2" s="1"/>
  <c r="U753" i="2" s="1"/>
  <c r="Q749" i="2"/>
  <c r="R749" i="2" s="1"/>
  <c r="U749" i="2" s="1"/>
  <c r="Q745" i="2"/>
  <c r="R745" i="2" s="1"/>
  <c r="U745" i="2" s="1"/>
  <c r="Q741" i="2"/>
  <c r="R741" i="2" s="1"/>
  <c r="U741" i="2" s="1"/>
  <c r="Q737" i="2"/>
  <c r="R737" i="2" s="1"/>
  <c r="U737" i="2" s="1"/>
  <c r="Q733" i="2"/>
  <c r="R733" i="2" s="1"/>
  <c r="U733" i="2" s="1"/>
  <c r="Q729" i="2"/>
  <c r="R729" i="2" s="1"/>
  <c r="U729" i="2" s="1"/>
  <c r="Q725" i="2"/>
  <c r="R725" i="2" s="1"/>
  <c r="U725" i="2" s="1"/>
  <c r="Q721" i="2"/>
  <c r="R721" i="2" s="1"/>
  <c r="U721" i="2" s="1"/>
  <c r="Q717" i="2"/>
  <c r="R717" i="2" s="1"/>
  <c r="U717" i="2" s="1"/>
  <c r="Q713" i="2"/>
  <c r="R713" i="2" s="1"/>
  <c r="U713" i="2" s="1"/>
  <c r="Q709" i="2"/>
  <c r="R709" i="2" s="1"/>
  <c r="U709" i="2" s="1"/>
  <c r="Q705" i="2"/>
  <c r="R705" i="2" s="1"/>
  <c r="U705" i="2" s="1"/>
  <c r="Q701" i="2"/>
  <c r="R701" i="2" s="1"/>
  <c r="U701" i="2" s="1"/>
  <c r="Q697" i="2"/>
  <c r="R697" i="2" s="1"/>
  <c r="U697" i="2" s="1"/>
  <c r="Q693" i="2"/>
  <c r="R693" i="2" s="1"/>
  <c r="U693" i="2" s="1"/>
  <c r="Q689" i="2"/>
  <c r="R689" i="2" s="1"/>
  <c r="U689" i="2" s="1"/>
  <c r="Q685" i="2"/>
  <c r="R685" i="2" s="1"/>
  <c r="U685" i="2" s="1"/>
  <c r="Q681" i="2"/>
  <c r="R681" i="2" s="1"/>
  <c r="U681" i="2" s="1"/>
  <c r="Q677" i="2"/>
  <c r="R677" i="2" s="1"/>
  <c r="U677" i="2" s="1"/>
  <c r="Q673" i="2"/>
  <c r="R673" i="2" s="1"/>
  <c r="U673" i="2" s="1"/>
  <c r="Q669" i="2"/>
  <c r="R669" i="2" s="1"/>
  <c r="U669" i="2" s="1"/>
  <c r="Q665" i="2"/>
  <c r="R665" i="2" s="1"/>
  <c r="U665" i="2" s="1"/>
  <c r="Q661" i="2"/>
  <c r="R661" i="2" s="1"/>
  <c r="U661" i="2" s="1"/>
  <c r="Q657" i="2"/>
  <c r="R657" i="2" s="1"/>
  <c r="U657" i="2" s="1"/>
  <c r="Q653" i="2"/>
  <c r="R653" i="2" s="1"/>
  <c r="U653" i="2" s="1"/>
  <c r="Q649" i="2"/>
  <c r="R649" i="2" s="1"/>
  <c r="U649" i="2" s="1"/>
  <c r="Q645" i="2"/>
  <c r="R645" i="2" s="1"/>
  <c r="U645" i="2" s="1"/>
  <c r="Q641" i="2"/>
  <c r="R641" i="2" s="1"/>
  <c r="U641" i="2" s="1"/>
  <c r="Q637" i="2"/>
  <c r="R637" i="2" s="1"/>
  <c r="U637" i="2" s="1"/>
  <c r="Q633" i="2"/>
  <c r="R633" i="2" s="1"/>
  <c r="U633" i="2" s="1"/>
  <c r="Q629" i="2"/>
  <c r="R629" i="2" s="1"/>
  <c r="U629" i="2" s="1"/>
  <c r="Q625" i="2"/>
  <c r="R625" i="2" s="1"/>
  <c r="U625" i="2" s="1"/>
  <c r="Q621" i="2"/>
  <c r="R621" i="2" s="1"/>
  <c r="U621" i="2" s="1"/>
  <c r="Q617" i="2"/>
  <c r="R617" i="2" s="1"/>
  <c r="U617" i="2" s="1"/>
  <c r="Q613" i="2"/>
  <c r="R613" i="2" s="1"/>
  <c r="U613" i="2" s="1"/>
  <c r="Q609" i="2"/>
  <c r="R609" i="2" s="1"/>
  <c r="U609" i="2" s="1"/>
  <c r="Q605" i="2"/>
  <c r="R605" i="2" s="1"/>
  <c r="U605" i="2" s="1"/>
  <c r="Q601" i="2"/>
  <c r="R601" i="2" s="1"/>
  <c r="U601" i="2" s="1"/>
  <c r="Q597" i="2"/>
  <c r="R597" i="2" s="1"/>
  <c r="U597" i="2" s="1"/>
  <c r="Q593" i="2"/>
  <c r="R593" i="2" s="1"/>
  <c r="U593" i="2" s="1"/>
  <c r="Q589" i="2"/>
  <c r="R589" i="2" s="1"/>
  <c r="U589" i="2" s="1"/>
  <c r="Q585" i="2"/>
  <c r="R585" i="2" s="1"/>
  <c r="U585" i="2" s="1"/>
  <c r="Q581" i="2"/>
  <c r="R581" i="2" s="1"/>
  <c r="U581" i="2" s="1"/>
  <c r="Q577" i="2"/>
  <c r="R577" i="2" s="1"/>
  <c r="U577" i="2" s="1"/>
  <c r="Q573" i="2"/>
  <c r="R573" i="2" s="1"/>
  <c r="U573" i="2" s="1"/>
  <c r="Q569" i="2"/>
  <c r="R569" i="2" s="1"/>
  <c r="U569" i="2" s="1"/>
  <c r="Q565" i="2"/>
  <c r="R565" i="2" s="1"/>
  <c r="U565" i="2" s="1"/>
  <c r="Q561" i="2"/>
  <c r="R561" i="2" s="1"/>
  <c r="U561" i="2" s="1"/>
  <c r="Q557" i="2"/>
  <c r="R557" i="2" s="1"/>
  <c r="U557" i="2" s="1"/>
  <c r="Q553" i="2"/>
  <c r="R553" i="2" s="1"/>
  <c r="U553" i="2" s="1"/>
  <c r="Q549" i="2"/>
  <c r="R549" i="2" s="1"/>
  <c r="U549" i="2" s="1"/>
  <c r="Q545" i="2"/>
  <c r="R545" i="2" s="1"/>
  <c r="U545" i="2" s="1"/>
  <c r="Q541" i="2"/>
  <c r="R541" i="2" s="1"/>
  <c r="U541" i="2" s="1"/>
  <c r="Q537" i="2"/>
  <c r="R537" i="2" s="1"/>
  <c r="U537" i="2" s="1"/>
  <c r="Q533" i="2"/>
  <c r="R533" i="2" s="1"/>
  <c r="U533" i="2" s="1"/>
  <c r="Q529" i="2"/>
  <c r="R529" i="2" s="1"/>
  <c r="U529" i="2" s="1"/>
  <c r="Q525" i="2"/>
  <c r="R525" i="2" s="1"/>
  <c r="U525" i="2" s="1"/>
  <c r="Q521" i="2"/>
  <c r="R521" i="2" s="1"/>
  <c r="U521" i="2" s="1"/>
  <c r="Q517" i="2"/>
  <c r="R517" i="2" s="1"/>
  <c r="U517" i="2" s="1"/>
  <c r="Q513" i="2"/>
  <c r="R513" i="2" s="1"/>
  <c r="U513" i="2" s="1"/>
  <c r="Q509" i="2"/>
  <c r="R509" i="2" s="1"/>
  <c r="U509" i="2" s="1"/>
  <c r="Q505" i="2"/>
  <c r="R505" i="2" s="1"/>
  <c r="U505" i="2" s="1"/>
  <c r="Q501" i="2"/>
  <c r="R501" i="2" s="1"/>
  <c r="U501" i="2" s="1"/>
  <c r="Q497" i="2"/>
  <c r="R497" i="2" s="1"/>
  <c r="U497" i="2" s="1"/>
  <c r="Q493" i="2"/>
  <c r="R493" i="2" s="1"/>
  <c r="U493" i="2" s="1"/>
  <c r="Q489" i="2"/>
  <c r="R489" i="2" s="1"/>
  <c r="U489" i="2" s="1"/>
  <c r="Q905" i="2"/>
  <c r="R905" i="2" s="1"/>
  <c r="U905" i="2" s="1"/>
  <c r="Q897" i="2"/>
  <c r="R897" i="2" s="1"/>
  <c r="U897" i="2" s="1"/>
  <c r="Q998" i="2"/>
  <c r="R998" i="2" s="1"/>
  <c r="U998" i="2" s="1"/>
  <c r="Q994" i="2"/>
  <c r="R994" i="2" s="1"/>
  <c r="U994" i="2" s="1"/>
  <c r="Q990" i="2"/>
  <c r="R990" i="2" s="1"/>
  <c r="U990" i="2" s="1"/>
  <c r="Q986" i="2"/>
  <c r="R986" i="2" s="1"/>
  <c r="U986" i="2" s="1"/>
  <c r="Q982" i="2"/>
  <c r="R982" i="2" s="1"/>
  <c r="U982" i="2" s="1"/>
  <c r="Q978" i="2"/>
  <c r="R978" i="2" s="1"/>
  <c r="U978" i="2" s="1"/>
  <c r="Q974" i="2"/>
  <c r="R974" i="2" s="1"/>
  <c r="U974" i="2" s="1"/>
  <c r="Q970" i="2"/>
  <c r="R970" i="2" s="1"/>
  <c r="U970" i="2" s="1"/>
  <c r="Q966" i="2"/>
  <c r="R966" i="2" s="1"/>
  <c r="U966" i="2" s="1"/>
  <c r="Q962" i="2"/>
  <c r="R962" i="2" s="1"/>
  <c r="U962" i="2" s="1"/>
  <c r="Q958" i="2"/>
  <c r="R958" i="2" s="1"/>
  <c r="U958" i="2" s="1"/>
  <c r="Q954" i="2"/>
  <c r="R954" i="2" s="1"/>
  <c r="U954" i="2" s="1"/>
  <c r="Q950" i="2"/>
  <c r="R950" i="2" s="1"/>
  <c r="U950" i="2" s="1"/>
  <c r="Q946" i="2"/>
  <c r="R946" i="2" s="1"/>
  <c r="U946" i="2" s="1"/>
  <c r="Q942" i="2"/>
  <c r="R942" i="2" s="1"/>
  <c r="U942" i="2" s="1"/>
  <c r="Q938" i="2"/>
  <c r="R938" i="2" s="1"/>
  <c r="U938" i="2" s="1"/>
  <c r="Q934" i="2"/>
  <c r="R934" i="2" s="1"/>
  <c r="U934" i="2" s="1"/>
  <c r="Q930" i="2"/>
  <c r="R930" i="2" s="1"/>
  <c r="U930" i="2" s="1"/>
  <c r="Q926" i="2"/>
  <c r="R926" i="2" s="1"/>
  <c r="U926" i="2" s="1"/>
  <c r="Q922" i="2"/>
  <c r="R922" i="2" s="1"/>
  <c r="U922" i="2" s="1"/>
  <c r="Q918" i="2"/>
  <c r="R918" i="2" s="1"/>
  <c r="U918" i="2" s="1"/>
  <c r="Q914" i="2"/>
  <c r="R914" i="2" s="1"/>
  <c r="U914" i="2" s="1"/>
  <c r="Q910" i="2"/>
  <c r="R910" i="2" s="1"/>
  <c r="U910" i="2" s="1"/>
  <c r="Q906" i="2"/>
  <c r="R906" i="2" s="1"/>
  <c r="Q902" i="2"/>
  <c r="R902" i="2" s="1"/>
  <c r="U902" i="2" s="1"/>
  <c r="Q898" i="2"/>
  <c r="R898" i="2" s="1"/>
  <c r="U898" i="2" s="1"/>
  <c r="Q894" i="2"/>
  <c r="R894" i="2" s="1"/>
  <c r="U894" i="2" s="1"/>
  <c r="Q890" i="2"/>
  <c r="R890" i="2" s="1"/>
  <c r="U890" i="2" s="1"/>
  <c r="Q886" i="2"/>
  <c r="R886" i="2" s="1"/>
  <c r="U886" i="2" s="1"/>
  <c r="Q882" i="2"/>
  <c r="R882" i="2" s="1"/>
  <c r="U882" i="2" s="1"/>
  <c r="Q878" i="2"/>
  <c r="R878" i="2" s="1"/>
  <c r="U878" i="2" s="1"/>
  <c r="Q874" i="2"/>
  <c r="R874" i="2" s="1"/>
  <c r="U874" i="2" s="1"/>
  <c r="Q870" i="2"/>
  <c r="R870" i="2" s="1"/>
  <c r="U870" i="2" s="1"/>
  <c r="Q866" i="2"/>
  <c r="R866" i="2" s="1"/>
  <c r="U866" i="2" s="1"/>
  <c r="Q862" i="2"/>
  <c r="R862" i="2" s="1"/>
  <c r="U862" i="2" s="1"/>
  <c r="Q858" i="2"/>
  <c r="R858" i="2" s="1"/>
  <c r="U858" i="2" s="1"/>
  <c r="Q854" i="2"/>
  <c r="R854" i="2" s="1"/>
  <c r="U854" i="2" s="1"/>
  <c r="Q850" i="2"/>
  <c r="R850" i="2" s="1"/>
  <c r="U850" i="2" s="1"/>
  <c r="Q846" i="2"/>
  <c r="R846" i="2" s="1"/>
  <c r="U846" i="2" s="1"/>
  <c r="Q842" i="2"/>
  <c r="R842" i="2" s="1"/>
  <c r="U842" i="2" s="1"/>
  <c r="Q838" i="2"/>
  <c r="R838" i="2" s="1"/>
  <c r="U838" i="2" s="1"/>
  <c r="Q834" i="2"/>
  <c r="R834" i="2" s="1"/>
  <c r="U834" i="2" s="1"/>
  <c r="Q830" i="2"/>
  <c r="R830" i="2" s="1"/>
  <c r="U830" i="2" s="1"/>
  <c r="Q826" i="2"/>
  <c r="R826" i="2" s="1"/>
  <c r="U826" i="2" s="1"/>
  <c r="Q822" i="2"/>
  <c r="R822" i="2" s="1"/>
  <c r="U822" i="2" s="1"/>
  <c r="Q818" i="2"/>
  <c r="R818" i="2" s="1"/>
  <c r="U818" i="2" s="1"/>
  <c r="Q814" i="2"/>
  <c r="R814" i="2" s="1"/>
  <c r="U814" i="2" s="1"/>
  <c r="Q810" i="2"/>
  <c r="R810" i="2" s="1"/>
  <c r="U810" i="2" s="1"/>
  <c r="Q806" i="2"/>
  <c r="R806" i="2" s="1"/>
  <c r="U806" i="2" s="1"/>
  <c r="Q802" i="2"/>
  <c r="R802" i="2" s="1"/>
  <c r="U802" i="2" s="1"/>
  <c r="Q798" i="2"/>
  <c r="R798" i="2" s="1"/>
  <c r="U798" i="2" s="1"/>
  <c r="Q794" i="2"/>
  <c r="R794" i="2" s="1"/>
  <c r="U794" i="2" s="1"/>
  <c r="Q790" i="2"/>
  <c r="R790" i="2" s="1"/>
  <c r="U790" i="2" s="1"/>
  <c r="Q786" i="2"/>
  <c r="R786" i="2" s="1"/>
  <c r="U786" i="2" s="1"/>
  <c r="Q782" i="2"/>
  <c r="R782" i="2" s="1"/>
  <c r="U782" i="2" s="1"/>
  <c r="Q778" i="2"/>
  <c r="R778" i="2" s="1"/>
  <c r="U778" i="2" s="1"/>
  <c r="Q774" i="2"/>
  <c r="Q770" i="2"/>
  <c r="R770" i="2" s="1"/>
  <c r="U770" i="2" s="1"/>
  <c r="Q766" i="2"/>
  <c r="R766" i="2" s="1"/>
  <c r="U766" i="2" s="1"/>
  <c r="Q762" i="2"/>
  <c r="R762" i="2" s="1"/>
  <c r="U762" i="2" s="1"/>
  <c r="Q758" i="2"/>
  <c r="R758" i="2" s="1"/>
  <c r="U758" i="2" s="1"/>
  <c r="Q754" i="2"/>
  <c r="R754" i="2" s="1"/>
  <c r="U754" i="2" s="1"/>
  <c r="Q485" i="2"/>
  <c r="R485" i="2" s="1"/>
  <c r="U485" i="2" s="1"/>
  <c r="Q481" i="2"/>
  <c r="R481" i="2" s="1"/>
  <c r="U481" i="2" s="1"/>
  <c r="Q477" i="2"/>
  <c r="R477" i="2" s="1"/>
  <c r="U477" i="2" s="1"/>
  <c r="Q473" i="2"/>
  <c r="R473" i="2" s="1"/>
  <c r="U473" i="2" s="1"/>
  <c r="Q469" i="2"/>
  <c r="R469" i="2" s="1"/>
  <c r="U469" i="2" s="1"/>
  <c r="Q465" i="2"/>
  <c r="R465" i="2" s="1"/>
  <c r="U465" i="2" s="1"/>
  <c r="Q461" i="2"/>
  <c r="R461" i="2" s="1"/>
  <c r="U461" i="2" s="1"/>
  <c r="Q457" i="2"/>
  <c r="R457" i="2" s="1"/>
  <c r="U457" i="2" s="1"/>
  <c r="Q453" i="2"/>
  <c r="R453" i="2" s="1"/>
  <c r="U453" i="2" s="1"/>
  <c r="Q449" i="2"/>
  <c r="R449" i="2" s="1"/>
  <c r="U449" i="2" s="1"/>
  <c r="Q445" i="2"/>
  <c r="R445" i="2" s="1"/>
  <c r="U445" i="2" s="1"/>
  <c r="Q441" i="2"/>
  <c r="R441" i="2" s="1"/>
  <c r="U441" i="2" s="1"/>
  <c r="Q437" i="2"/>
  <c r="R437" i="2" s="1"/>
  <c r="U437" i="2" s="1"/>
  <c r="Q433" i="2"/>
  <c r="R433" i="2" s="1"/>
  <c r="U433" i="2" s="1"/>
  <c r="Q429" i="2"/>
  <c r="Q425" i="2"/>
  <c r="R425" i="2" s="1"/>
  <c r="U425" i="2" s="1"/>
  <c r="Q421" i="2"/>
  <c r="R421" i="2" s="1"/>
  <c r="U421" i="2" s="1"/>
  <c r="Q417" i="2"/>
  <c r="R417" i="2" s="1"/>
  <c r="U417" i="2" s="1"/>
  <c r="Q413" i="2"/>
  <c r="R413" i="2" s="1"/>
  <c r="U413" i="2" s="1"/>
  <c r="Q409" i="2"/>
  <c r="R409" i="2" s="1"/>
  <c r="U409" i="2" s="1"/>
  <c r="Q405" i="2"/>
  <c r="R405" i="2" s="1"/>
  <c r="U405" i="2" s="1"/>
  <c r="Q401" i="2"/>
  <c r="R401" i="2" s="1"/>
  <c r="U401" i="2" s="1"/>
  <c r="Q397" i="2"/>
  <c r="R397" i="2" s="1"/>
  <c r="U397" i="2" s="1"/>
  <c r="Q393" i="2"/>
  <c r="R393" i="2" s="1"/>
  <c r="U393" i="2" s="1"/>
  <c r="Q389" i="2"/>
  <c r="R389" i="2" s="1"/>
  <c r="U389" i="2" s="1"/>
  <c r="Q385" i="2"/>
  <c r="R385" i="2" s="1"/>
  <c r="U385" i="2" s="1"/>
  <c r="Q381" i="2"/>
  <c r="R381" i="2" s="1"/>
  <c r="U381" i="2" s="1"/>
  <c r="Q377" i="2"/>
  <c r="R377" i="2" s="1"/>
  <c r="U377" i="2" s="1"/>
  <c r="Q373" i="2"/>
  <c r="R373" i="2" s="1"/>
  <c r="U373" i="2" s="1"/>
  <c r="Q369" i="2"/>
  <c r="R369" i="2" s="1"/>
  <c r="U369" i="2" s="1"/>
  <c r="Q365" i="2"/>
  <c r="R365" i="2" s="1"/>
  <c r="U365" i="2" s="1"/>
  <c r="Q361" i="2"/>
  <c r="R361" i="2" s="1"/>
  <c r="U361" i="2" s="1"/>
  <c r="Q357" i="2"/>
  <c r="R357" i="2" s="1"/>
  <c r="U357" i="2" s="1"/>
  <c r="Q353" i="2"/>
  <c r="R353" i="2" s="1"/>
  <c r="U353" i="2" s="1"/>
  <c r="Q349" i="2"/>
  <c r="R349" i="2" s="1"/>
  <c r="U349" i="2" s="1"/>
  <c r="Q345" i="2"/>
  <c r="R345" i="2" s="1"/>
  <c r="U345" i="2" s="1"/>
  <c r="Q341" i="2"/>
  <c r="R341" i="2" s="1"/>
  <c r="U341" i="2" s="1"/>
  <c r="Q337" i="2"/>
  <c r="R337" i="2" s="1"/>
  <c r="U337" i="2" s="1"/>
  <c r="Q333" i="2"/>
  <c r="R333" i="2" s="1"/>
  <c r="U333" i="2" s="1"/>
  <c r="Q329" i="2"/>
  <c r="R329" i="2" s="1"/>
  <c r="U329" i="2" s="1"/>
  <c r="Q325" i="2"/>
  <c r="R325" i="2" s="1"/>
  <c r="U325" i="2" s="1"/>
  <c r="Q321" i="2"/>
  <c r="R321" i="2" s="1"/>
  <c r="U321" i="2" s="1"/>
  <c r="Q317" i="2"/>
  <c r="R317" i="2" s="1"/>
  <c r="U317" i="2" s="1"/>
  <c r="Q313" i="2"/>
  <c r="R313" i="2" s="1"/>
  <c r="U313" i="2" s="1"/>
  <c r="Q309" i="2"/>
  <c r="R309" i="2" s="1"/>
  <c r="U309" i="2" s="1"/>
  <c r="Q305" i="2"/>
  <c r="R305" i="2" s="1"/>
  <c r="U305" i="2" s="1"/>
  <c r="Q301" i="2"/>
  <c r="R301" i="2" s="1"/>
  <c r="U301" i="2" s="1"/>
  <c r="Q297" i="2"/>
  <c r="R297" i="2" s="1"/>
  <c r="U297" i="2" s="1"/>
  <c r="Q293" i="2"/>
  <c r="R293" i="2" s="1"/>
  <c r="U293" i="2" s="1"/>
  <c r="Q289" i="2"/>
  <c r="R289" i="2" s="1"/>
  <c r="U289" i="2" s="1"/>
  <c r="Q285" i="2"/>
  <c r="R285" i="2" s="1"/>
  <c r="U285" i="2" s="1"/>
  <c r="Q281" i="2"/>
  <c r="R281" i="2" s="1"/>
  <c r="U281" i="2" s="1"/>
  <c r="Q277" i="2"/>
  <c r="R277" i="2" s="1"/>
  <c r="U277" i="2" s="1"/>
  <c r="Q273" i="2"/>
  <c r="Q269" i="2"/>
  <c r="R269" i="2" s="1"/>
  <c r="U269" i="2" s="1"/>
  <c r="Q265" i="2"/>
  <c r="R265" i="2" s="1"/>
  <c r="U265" i="2" s="1"/>
  <c r="Q261" i="2"/>
  <c r="R261" i="2" s="1"/>
  <c r="U261" i="2" s="1"/>
  <c r="Q257" i="2"/>
  <c r="R257" i="2" s="1"/>
  <c r="U257" i="2" s="1"/>
  <c r="Q253" i="2"/>
  <c r="R253" i="2" s="1"/>
  <c r="U253" i="2" s="1"/>
  <c r="Q249" i="2"/>
  <c r="R249" i="2" s="1"/>
  <c r="U249" i="2" s="1"/>
  <c r="Q245" i="2"/>
  <c r="R245" i="2" s="1"/>
  <c r="U245" i="2" s="1"/>
  <c r="Q241" i="2"/>
  <c r="R241" i="2" s="1"/>
  <c r="U241" i="2" s="1"/>
  <c r="Q237" i="2"/>
  <c r="R237" i="2" s="1"/>
  <c r="U237" i="2" s="1"/>
  <c r="Q233" i="2"/>
  <c r="R233" i="2" s="1"/>
  <c r="U233" i="2" s="1"/>
  <c r="Q229" i="2"/>
  <c r="R229" i="2" s="1"/>
  <c r="U229" i="2" s="1"/>
  <c r="Q225" i="2"/>
  <c r="R225" i="2" s="1"/>
  <c r="U225" i="2" s="1"/>
  <c r="Q221" i="2"/>
  <c r="R221" i="2" s="1"/>
  <c r="U221" i="2" s="1"/>
  <c r="Q217" i="2"/>
  <c r="R217" i="2" s="1"/>
  <c r="U217" i="2" s="1"/>
  <c r="Q213" i="2"/>
  <c r="R213" i="2" s="1"/>
  <c r="U213" i="2" s="1"/>
  <c r="Q209" i="2"/>
  <c r="R209" i="2" s="1"/>
  <c r="U209" i="2" s="1"/>
  <c r="Q205" i="2"/>
  <c r="R205" i="2" s="1"/>
  <c r="U205" i="2" s="1"/>
  <c r="Q201" i="2"/>
  <c r="R201" i="2" s="1"/>
  <c r="U201" i="2" s="1"/>
  <c r="Q197" i="2"/>
  <c r="R197" i="2" s="1"/>
  <c r="U197" i="2" s="1"/>
  <c r="Q193" i="2"/>
  <c r="R193" i="2" s="1"/>
  <c r="U193" i="2" s="1"/>
  <c r="Q189" i="2"/>
  <c r="R189" i="2" s="1"/>
  <c r="U189" i="2" s="1"/>
  <c r="Q185" i="2"/>
  <c r="R185" i="2" s="1"/>
  <c r="U185" i="2" s="1"/>
  <c r="Q181" i="2"/>
  <c r="R181" i="2" s="1"/>
  <c r="U181" i="2" s="1"/>
  <c r="Q177" i="2"/>
  <c r="R177" i="2" s="1"/>
  <c r="U177" i="2" s="1"/>
  <c r="Q173" i="2"/>
  <c r="R173" i="2" s="1"/>
  <c r="U173" i="2" s="1"/>
  <c r="Q169" i="2"/>
  <c r="R169" i="2" s="1"/>
  <c r="U169" i="2" s="1"/>
  <c r="Q165" i="2"/>
  <c r="R165" i="2" s="1"/>
  <c r="U165" i="2" s="1"/>
  <c r="Q161" i="2"/>
  <c r="R161" i="2" s="1"/>
  <c r="U161" i="2" s="1"/>
  <c r="Q157" i="2"/>
  <c r="R157" i="2" s="1"/>
  <c r="U157" i="2" s="1"/>
  <c r="Q153" i="2"/>
  <c r="R153" i="2" s="1"/>
  <c r="U153" i="2" s="1"/>
  <c r="Q149" i="2"/>
  <c r="R149" i="2" s="1"/>
  <c r="U149" i="2" s="1"/>
  <c r="Q1000" i="2"/>
  <c r="R1000" i="2" s="1"/>
  <c r="U1000" i="2" s="1"/>
  <c r="Q996" i="2"/>
  <c r="R996" i="2" s="1"/>
  <c r="U996" i="2" s="1"/>
  <c r="Q992" i="2"/>
  <c r="R992" i="2" s="1"/>
  <c r="U992" i="2" s="1"/>
  <c r="Q988" i="2"/>
  <c r="R988" i="2" s="1"/>
  <c r="U988" i="2" s="1"/>
  <c r="Q984" i="2"/>
  <c r="R984" i="2" s="1"/>
  <c r="U984" i="2" s="1"/>
  <c r="Q980" i="2"/>
  <c r="R980" i="2" s="1"/>
  <c r="U980" i="2" s="1"/>
  <c r="Q976" i="2"/>
  <c r="R976" i="2" s="1"/>
  <c r="U976" i="2" s="1"/>
  <c r="Q972" i="2"/>
  <c r="R972" i="2" s="1"/>
  <c r="U972" i="2" s="1"/>
  <c r="Q968" i="2"/>
  <c r="R968" i="2" s="1"/>
  <c r="U968" i="2" s="1"/>
  <c r="Q964" i="2"/>
  <c r="R964" i="2" s="1"/>
  <c r="U964" i="2" s="1"/>
  <c r="Q960" i="2"/>
  <c r="R960" i="2" s="1"/>
  <c r="U960" i="2" s="1"/>
  <c r="Q956" i="2"/>
  <c r="R956" i="2" s="1"/>
  <c r="U956" i="2" s="1"/>
  <c r="Q952" i="2"/>
  <c r="R952" i="2" s="1"/>
  <c r="U952" i="2" s="1"/>
  <c r="Q948" i="2"/>
  <c r="R948" i="2" s="1"/>
  <c r="U948" i="2" s="1"/>
  <c r="Q944" i="2"/>
  <c r="R944" i="2" s="1"/>
  <c r="U944" i="2" s="1"/>
  <c r="Q940" i="2"/>
  <c r="R940" i="2" s="1"/>
  <c r="U940" i="2" s="1"/>
  <c r="Q936" i="2"/>
  <c r="R936" i="2" s="1"/>
  <c r="U936" i="2" s="1"/>
  <c r="Q932" i="2"/>
  <c r="R932" i="2" s="1"/>
  <c r="U932" i="2" s="1"/>
  <c r="Q928" i="2"/>
  <c r="R928" i="2" s="1"/>
  <c r="U928" i="2" s="1"/>
  <c r="Q924" i="2"/>
  <c r="R924" i="2" s="1"/>
  <c r="U924" i="2" s="1"/>
  <c r="Q920" i="2"/>
  <c r="R920" i="2" s="1"/>
  <c r="U920" i="2" s="1"/>
  <c r="Q916" i="2"/>
  <c r="R916" i="2" s="1"/>
  <c r="U916" i="2" s="1"/>
  <c r="Q912" i="2"/>
  <c r="R912" i="2" s="1"/>
  <c r="U912" i="2" s="1"/>
  <c r="Q908" i="2"/>
  <c r="R908" i="2" s="1"/>
  <c r="U908" i="2" s="1"/>
  <c r="Q904" i="2"/>
  <c r="R904" i="2" s="1"/>
  <c r="U904" i="2" s="1"/>
  <c r="Q900" i="2"/>
  <c r="R900" i="2" s="1"/>
  <c r="U900" i="2" s="1"/>
  <c r="Q896" i="2"/>
  <c r="R896" i="2" s="1"/>
  <c r="U896" i="2" s="1"/>
  <c r="Q892" i="2"/>
  <c r="R892" i="2" s="1"/>
  <c r="U892" i="2" s="1"/>
  <c r="Q888" i="2"/>
  <c r="R888" i="2" s="1"/>
  <c r="U888" i="2" s="1"/>
  <c r="Q884" i="2"/>
  <c r="R884" i="2" s="1"/>
  <c r="U884" i="2" s="1"/>
  <c r="Q880" i="2"/>
  <c r="R880" i="2" s="1"/>
  <c r="U880" i="2" s="1"/>
  <c r="Q876" i="2"/>
  <c r="R876" i="2" s="1"/>
  <c r="U876" i="2" s="1"/>
  <c r="Q872" i="2"/>
  <c r="R872" i="2" s="1"/>
  <c r="U872" i="2" s="1"/>
  <c r="Q868" i="2"/>
  <c r="R868" i="2" s="1"/>
  <c r="U868" i="2" s="1"/>
  <c r="Q864" i="2"/>
  <c r="R864" i="2" s="1"/>
  <c r="U864" i="2" s="1"/>
  <c r="Q860" i="2"/>
  <c r="R860" i="2" s="1"/>
  <c r="U860" i="2" s="1"/>
  <c r="Q856" i="2"/>
  <c r="R856" i="2" s="1"/>
  <c r="U856" i="2" s="1"/>
  <c r="Q852" i="2"/>
  <c r="R852" i="2" s="1"/>
  <c r="U852" i="2" s="1"/>
  <c r="Q848" i="2"/>
  <c r="R848" i="2" s="1"/>
  <c r="U848" i="2" s="1"/>
  <c r="Q844" i="2"/>
  <c r="R844" i="2" s="1"/>
  <c r="U844" i="2" s="1"/>
  <c r="Q840" i="2"/>
  <c r="R840" i="2" s="1"/>
  <c r="U840" i="2" s="1"/>
  <c r="Q836" i="2"/>
  <c r="R836" i="2" s="1"/>
  <c r="U836" i="2" s="1"/>
  <c r="Q832" i="2"/>
  <c r="R832" i="2" s="1"/>
  <c r="U832" i="2" s="1"/>
  <c r="Q828" i="2"/>
  <c r="R828" i="2" s="1"/>
  <c r="U828" i="2" s="1"/>
  <c r="Q824" i="2"/>
  <c r="R824" i="2" s="1"/>
  <c r="U824" i="2" s="1"/>
  <c r="Q820" i="2"/>
  <c r="R820" i="2" s="1"/>
  <c r="U820" i="2" s="1"/>
  <c r="Q816" i="2"/>
  <c r="R816" i="2" s="1"/>
  <c r="U816" i="2" s="1"/>
  <c r="Q812" i="2"/>
  <c r="R812" i="2" s="1"/>
  <c r="U812" i="2" s="1"/>
  <c r="Q808" i="2"/>
  <c r="R808" i="2" s="1"/>
  <c r="U808" i="2" s="1"/>
  <c r="Q804" i="2"/>
  <c r="R804" i="2" s="1"/>
  <c r="U804" i="2" s="1"/>
  <c r="Q800" i="2"/>
  <c r="R800" i="2" s="1"/>
  <c r="U800" i="2" s="1"/>
  <c r="Q796" i="2"/>
  <c r="R796" i="2" s="1"/>
  <c r="U796" i="2" s="1"/>
  <c r="Q792" i="2"/>
  <c r="R792" i="2" s="1"/>
  <c r="U792" i="2" s="1"/>
  <c r="Q788" i="2"/>
  <c r="R788" i="2" s="1"/>
  <c r="U788" i="2" s="1"/>
  <c r="Q784" i="2"/>
  <c r="R784" i="2" s="1"/>
  <c r="U784" i="2" s="1"/>
  <c r="Q780" i="2"/>
  <c r="R780" i="2" s="1"/>
  <c r="U780" i="2" s="1"/>
  <c r="Q776" i="2"/>
  <c r="R776" i="2" s="1"/>
  <c r="U776" i="2" s="1"/>
  <c r="Q772" i="2"/>
  <c r="R772" i="2" s="1"/>
  <c r="U772" i="2" s="1"/>
  <c r="Q768" i="2"/>
  <c r="R768" i="2" s="1"/>
  <c r="U768" i="2" s="1"/>
  <c r="Q764" i="2"/>
  <c r="R764" i="2" s="1"/>
  <c r="U764" i="2" s="1"/>
  <c r="Q760" i="2"/>
  <c r="R760" i="2" s="1"/>
  <c r="U760" i="2" s="1"/>
  <c r="Q756" i="2"/>
  <c r="R756" i="2" s="1"/>
  <c r="U756" i="2" s="1"/>
  <c r="Q752" i="2"/>
  <c r="R752" i="2" s="1"/>
  <c r="U752" i="2" s="1"/>
  <c r="Q748" i="2"/>
  <c r="R748" i="2" s="1"/>
  <c r="U748" i="2" s="1"/>
  <c r="Q999" i="2"/>
  <c r="R999" i="2" s="1"/>
  <c r="U999" i="2" s="1"/>
  <c r="Q995" i="2"/>
  <c r="R995" i="2" s="1"/>
  <c r="T995" i="2" s="1"/>
  <c r="Q991" i="2"/>
  <c r="R991" i="2" s="1"/>
  <c r="T991" i="2" s="1"/>
  <c r="Q987" i="2"/>
  <c r="R987" i="2" s="1"/>
  <c r="Q983" i="2"/>
  <c r="R983" i="2" s="1"/>
  <c r="U983" i="2" s="1"/>
  <c r="Q979" i="2"/>
  <c r="Q975" i="2"/>
  <c r="R975" i="2" s="1"/>
  <c r="Q971" i="2"/>
  <c r="R971" i="2" s="1"/>
  <c r="Q967" i="2"/>
  <c r="R967" i="2" s="1"/>
  <c r="U967" i="2" s="1"/>
  <c r="Q963" i="2"/>
  <c r="R963" i="2" s="1"/>
  <c r="T963" i="2" s="1"/>
  <c r="Q959" i="2"/>
  <c r="R959" i="2" s="1"/>
  <c r="Q955" i="2"/>
  <c r="R955" i="2" s="1"/>
  <c r="Q951" i="2"/>
  <c r="R951" i="2" s="1"/>
  <c r="U951" i="2" s="1"/>
  <c r="Q947" i="2"/>
  <c r="R947" i="2" s="1"/>
  <c r="T947" i="2" s="1"/>
  <c r="Q943" i="2"/>
  <c r="R943" i="2" s="1"/>
  <c r="S943" i="2" s="1"/>
  <c r="Q939" i="2"/>
  <c r="R939" i="2" s="1"/>
  <c r="Q935" i="2"/>
  <c r="R935" i="2" s="1"/>
  <c r="U935" i="2" s="1"/>
  <c r="Q931" i="2"/>
  <c r="R931" i="2" s="1"/>
  <c r="T931" i="2" s="1"/>
  <c r="Q927" i="2"/>
  <c r="R927" i="2" s="1"/>
  <c r="T927" i="2" s="1"/>
  <c r="Q923" i="2"/>
  <c r="R923" i="2" s="1"/>
  <c r="Q919" i="2"/>
  <c r="R919" i="2" s="1"/>
  <c r="U919" i="2" s="1"/>
  <c r="Q915" i="2"/>
  <c r="R915" i="2" s="1"/>
  <c r="T915" i="2" s="1"/>
  <c r="Q911" i="2"/>
  <c r="R911" i="2" s="1"/>
  <c r="Q907" i="2"/>
  <c r="R907" i="2" s="1"/>
  <c r="Q903" i="2"/>
  <c r="R903" i="2" s="1"/>
  <c r="U903" i="2" s="1"/>
  <c r="Q899" i="2"/>
  <c r="R899" i="2" s="1"/>
  <c r="T899" i="2" s="1"/>
  <c r="Q895" i="2"/>
  <c r="R895" i="2" s="1"/>
  <c r="Q891" i="2"/>
  <c r="R891" i="2" s="1"/>
  <c r="Q887" i="2"/>
  <c r="R887" i="2" s="1"/>
  <c r="U887" i="2" s="1"/>
  <c r="Q883" i="2"/>
  <c r="R883" i="2" s="1"/>
  <c r="T883" i="2" s="1"/>
  <c r="Q879" i="2"/>
  <c r="R879" i="2" s="1"/>
  <c r="S879" i="2" s="1"/>
  <c r="Q875" i="2"/>
  <c r="R875" i="2" s="1"/>
  <c r="Q871" i="2"/>
  <c r="R871" i="2" s="1"/>
  <c r="U871" i="2" s="1"/>
  <c r="Q867" i="2"/>
  <c r="R867" i="2" s="1"/>
  <c r="T867" i="2" s="1"/>
  <c r="Q863" i="2"/>
  <c r="R863" i="2" s="1"/>
  <c r="T863" i="2" s="1"/>
  <c r="Q859" i="2"/>
  <c r="R859" i="2" s="1"/>
  <c r="Q855" i="2"/>
  <c r="R855" i="2" s="1"/>
  <c r="U855" i="2" s="1"/>
  <c r="Q851" i="2"/>
  <c r="R851" i="2" s="1"/>
  <c r="T851" i="2" s="1"/>
  <c r="Q847" i="2"/>
  <c r="R847" i="2" s="1"/>
  <c r="Q843" i="2"/>
  <c r="R843" i="2" s="1"/>
  <c r="Q839" i="2"/>
  <c r="R839" i="2" s="1"/>
  <c r="U839" i="2" s="1"/>
  <c r="Q835" i="2"/>
  <c r="R835" i="2" s="1"/>
  <c r="T835" i="2" s="1"/>
  <c r="Q831" i="2"/>
  <c r="R831" i="2" s="1"/>
  <c r="Q827" i="2"/>
  <c r="R827" i="2" s="1"/>
  <c r="Q823" i="2"/>
  <c r="R823" i="2" s="1"/>
  <c r="U823" i="2" s="1"/>
  <c r="Q819" i="2"/>
  <c r="R819" i="2" s="1"/>
  <c r="T819" i="2" s="1"/>
  <c r="Q815" i="2"/>
  <c r="R815" i="2" s="1"/>
  <c r="S815" i="2" s="1"/>
  <c r="Q811" i="2"/>
  <c r="R811" i="2" s="1"/>
  <c r="Q807" i="2"/>
  <c r="R807" i="2" s="1"/>
  <c r="U807" i="2" s="1"/>
  <c r="Q803" i="2"/>
  <c r="R803" i="2" s="1"/>
  <c r="T803" i="2" s="1"/>
  <c r="Q799" i="2"/>
  <c r="R799" i="2" s="1"/>
  <c r="T799" i="2" s="1"/>
  <c r="Q795" i="2"/>
  <c r="R795" i="2" s="1"/>
  <c r="Q791" i="2"/>
  <c r="R791" i="2" s="1"/>
  <c r="U791" i="2" s="1"/>
  <c r="Q787" i="2"/>
  <c r="R787" i="2" s="1"/>
  <c r="T787" i="2" s="1"/>
  <c r="Q783" i="2"/>
  <c r="R783" i="2" s="1"/>
  <c r="Q779" i="2"/>
  <c r="R779" i="2" s="1"/>
  <c r="Q775" i="2"/>
  <c r="R775" i="2" s="1"/>
  <c r="U775" i="2" s="1"/>
  <c r="Q771" i="2"/>
  <c r="R771" i="2" s="1"/>
  <c r="T771" i="2" s="1"/>
  <c r="Q767" i="2"/>
  <c r="R767" i="2" s="1"/>
  <c r="Q763" i="2"/>
  <c r="R763" i="2" s="1"/>
  <c r="Q759" i="2"/>
  <c r="R759" i="2" s="1"/>
  <c r="U759" i="2" s="1"/>
  <c r="Q755" i="2"/>
  <c r="R755" i="2" s="1"/>
  <c r="T755" i="2" s="1"/>
  <c r="Q751" i="2"/>
  <c r="R751" i="2" s="1"/>
  <c r="S751" i="2" s="1"/>
  <c r="Q747" i="2"/>
  <c r="R747" i="2" s="1"/>
  <c r="Q750" i="2"/>
  <c r="R750" i="2" s="1"/>
  <c r="U750" i="2" s="1"/>
  <c r="Q746" i="2"/>
  <c r="R746" i="2" s="1"/>
  <c r="U746" i="2" s="1"/>
  <c r="Q742" i="2"/>
  <c r="R742" i="2" s="1"/>
  <c r="U742" i="2" s="1"/>
  <c r="Q738" i="2"/>
  <c r="R738" i="2" s="1"/>
  <c r="U738" i="2" s="1"/>
  <c r="Q734" i="2"/>
  <c r="R734" i="2" s="1"/>
  <c r="U734" i="2" s="1"/>
  <c r="Q730" i="2"/>
  <c r="R730" i="2" s="1"/>
  <c r="U730" i="2" s="1"/>
  <c r="Q726" i="2"/>
  <c r="R726" i="2" s="1"/>
  <c r="U726" i="2" s="1"/>
  <c r="Q722" i="2"/>
  <c r="R722" i="2" s="1"/>
  <c r="U722" i="2" s="1"/>
  <c r="Q718" i="2"/>
  <c r="R718" i="2" s="1"/>
  <c r="U718" i="2" s="1"/>
  <c r="Q714" i="2"/>
  <c r="R714" i="2" s="1"/>
  <c r="U714" i="2" s="1"/>
  <c r="Q710" i="2"/>
  <c r="R710" i="2" s="1"/>
  <c r="U710" i="2" s="1"/>
  <c r="Q706" i="2"/>
  <c r="R706" i="2" s="1"/>
  <c r="U706" i="2" s="1"/>
  <c r="Q702" i="2"/>
  <c r="R702" i="2" s="1"/>
  <c r="U702" i="2" s="1"/>
  <c r="Q698" i="2"/>
  <c r="R698" i="2" s="1"/>
  <c r="U698" i="2" s="1"/>
  <c r="Q694" i="2"/>
  <c r="R694" i="2" s="1"/>
  <c r="U694" i="2" s="1"/>
  <c r="Q690" i="2"/>
  <c r="R690" i="2" s="1"/>
  <c r="U690" i="2" s="1"/>
  <c r="Q686" i="2"/>
  <c r="R686" i="2" s="1"/>
  <c r="U686" i="2" s="1"/>
  <c r="Q682" i="2"/>
  <c r="R682" i="2" s="1"/>
  <c r="U682" i="2" s="1"/>
  <c r="Q678" i="2"/>
  <c r="R678" i="2" s="1"/>
  <c r="U678" i="2" s="1"/>
  <c r="Q674" i="2"/>
  <c r="R674" i="2" s="1"/>
  <c r="U674" i="2" s="1"/>
  <c r="Q670" i="2"/>
  <c r="R670" i="2" s="1"/>
  <c r="U670" i="2" s="1"/>
  <c r="Q666" i="2"/>
  <c r="R666" i="2" s="1"/>
  <c r="U666" i="2" s="1"/>
  <c r="Q662" i="2"/>
  <c r="R662" i="2" s="1"/>
  <c r="U662" i="2" s="1"/>
  <c r="Q658" i="2"/>
  <c r="R658" i="2" s="1"/>
  <c r="U658" i="2" s="1"/>
  <c r="Q654" i="2"/>
  <c r="Q650" i="2"/>
  <c r="R650" i="2" s="1"/>
  <c r="U650" i="2" s="1"/>
  <c r="Q646" i="2"/>
  <c r="R646" i="2" s="1"/>
  <c r="U646" i="2" s="1"/>
  <c r="Q642" i="2"/>
  <c r="R642" i="2" s="1"/>
  <c r="U642" i="2" s="1"/>
  <c r="Q638" i="2"/>
  <c r="R638" i="2" s="1"/>
  <c r="U638" i="2" s="1"/>
  <c r="Q634" i="2"/>
  <c r="R634" i="2" s="1"/>
  <c r="U634" i="2" s="1"/>
  <c r="Q630" i="2"/>
  <c r="R630" i="2" s="1"/>
  <c r="U630" i="2" s="1"/>
  <c r="Q626" i="2"/>
  <c r="R626" i="2" s="1"/>
  <c r="U626" i="2" s="1"/>
  <c r="Q622" i="2"/>
  <c r="R622" i="2" s="1"/>
  <c r="U622" i="2" s="1"/>
  <c r="Q618" i="2"/>
  <c r="R618" i="2" s="1"/>
  <c r="U618" i="2" s="1"/>
  <c r="Q614" i="2"/>
  <c r="R614" i="2" s="1"/>
  <c r="U614" i="2" s="1"/>
  <c r="Q610" i="2"/>
  <c r="R610" i="2" s="1"/>
  <c r="U610" i="2" s="1"/>
  <c r="Q606" i="2"/>
  <c r="R606" i="2" s="1"/>
  <c r="U606" i="2" s="1"/>
  <c r="Q602" i="2"/>
  <c r="R602" i="2" s="1"/>
  <c r="U602" i="2" s="1"/>
  <c r="Q598" i="2"/>
  <c r="R598" i="2" s="1"/>
  <c r="U598" i="2" s="1"/>
  <c r="Q594" i="2"/>
  <c r="R594" i="2" s="1"/>
  <c r="U594" i="2" s="1"/>
  <c r="Q590" i="2"/>
  <c r="R590" i="2" s="1"/>
  <c r="U590" i="2" s="1"/>
  <c r="Q586" i="2"/>
  <c r="R586" i="2" s="1"/>
  <c r="U586" i="2" s="1"/>
  <c r="Q582" i="2"/>
  <c r="R582" i="2" s="1"/>
  <c r="U582" i="2" s="1"/>
  <c r="Q578" i="2"/>
  <c r="R578" i="2" s="1"/>
  <c r="U578" i="2" s="1"/>
  <c r="Q574" i="2"/>
  <c r="R574" i="2" s="1"/>
  <c r="U574" i="2" s="1"/>
  <c r="Q570" i="2"/>
  <c r="R570" i="2" s="1"/>
  <c r="U570" i="2" s="1"/>
  <c r="Q566" i="2"/>
  <c r="R566" i="2" s="1"/>
  <c r="U566" i="2" s="1"/>
  <c r="Q562" i="2"/>
  <c r="R562" i="2" s="1"/>
  <c r="U562" i="2" s="1"/>
  <c r="Q558" i="2"/>
  <c r="R558" i="2" s="1"/>
  <c r="U558" i="2" s="1"/>
  <c r="Q554" i="2"/>
  <c r="R554" i="2" s="1"/>
  <c r="U554" i="2" s="1"/>
  <c r="Q550" i="2"/>
  <c r="R550" i="2" s="1"/>
  <c r="U550" i="2" s="1"/>
  <c r="Q546" i="2"/>
  <c r="R546" i="2" s="1"/>
  <c r="U546" i="2" s="1"/>
  <c r="Q542" i="2"/>
  <c r="R542" i="2" s="1"/>
  <c r="U542" i="2" s="1"/>
  <c r="Q538" i="2"/>
  <c r="R538" i="2" s="1"/>
  <c r="U538" i="2" s="1"/>
  <c r="Q534" i="2"/>
  <c r="R534" i="2" s="1"/>
  <c r="U534" i="2" s="1"/>
  <c r="Q530" i="2"/>
  <c r="R530" i="2" s="1"/>
  <c r="U530" i="2" s="1"/>
  <c r="Q526" i="2"/>
  <c r="R526" i="2" s="1"/>
  <c r="U526" i="2" s="1"/>
  <c r="Q522" i="2"/>
  <c r="R522" i="2" s="1"/>
  <c r="U522" i="2" s="1"/>
  <c r="Q518" i="2"/>
  <c r="R518" i="2" s="1"/>
  <c r="U518" i="2" s="1"/>
  <c r="Q514" i="2"/>
  <c r="R514" i="2" s="1"/>
  <c r="U514" i="2" s="1"/>
  <c r="Q510" i="2"/>
  <c r="R510" i="2" s="1"/>
  <c r="U510" i="2" s="1"/>
  <c r="Q506" i="2"/>
  <c r="R506" i="2" s="1"/>
  <c r="U506" i="2" s="1"/>
  <c r="Q502" i="2"/>
  <c r="R502" i="2" s="1"/>
  <c r="U502" i="2" s="1"/>
  <c r="Q498" i="2"/>
  <c r="R498" i="2" s="1"/>
  <c r="U498" i="2" s="1"/>
  <c r="Q494" i="2"/>
  <c r="R494" i="2" s="1"/>
  <c r="U494" i="2" s="1"/>
  <c r="Q490" i="2"/>
  <c r="R490" i="2" s="1"/>
  <c r="U490" i="2" s="1"/>
  <c r="Q486" i="2"/>
  <c r="R486" i="2" s="1"/>
  <c r="U486" i="2" s="1"/>
  <c r="Q482" i="2"/>
  <c r="R482" i="2" s="1"/>
  <c r="U482" i="2" s="1"/>
  <c r="Q478" i="2"/>
  <c r="R478" i="2" s="1"/>
  <c r="U478" i="2" s="1"/>
  <c r="Q474" i="2"/>
  <c r="R474" i="2" s="1"/>
  <c r="U474" i="2" s="1"/>
  <c r="Q470" i="2"/>
  <c r="R470" i="2" s="1"/>
  <c r="U470" i="2" s="1"/>
  <c r="Q466" i="2"/>
  <c r="R466" i="2" s="1"/>
  <c r="U466" i="2" s="1"/>
  <c r="Q462" i="2"/>
  <c r="R462" i="2" s="1"/>
  <c r="U462" i="2" s="1"/>
  <c r="Q458" i="2"/>
  <c r="R458" i="2" s="1"/>
  <c r="U458" i="2" s="1"/>
  <c r="Q454" i="2"/>
  <c r="R454" i="2" s="1"/>
  <c r="U454" i="2" s="1"/>
  <c r="Q450" i="2"/>
  <c r="R450" i="2" s="1"/>
  <c r="U450" i="2" s="1"/>
  <c r="Q446" i="2"/>
  <c r="R446" i="2" s="1"/>
  <c r="U446" i="2" s="1"/>
  <c r="Q442" i="2"/>
  <c r="R442" i="2" s="1"/>
  <c r="U442" i="2" s="1"/>
  <c r="Q438" i="2"/>
  <c r="R438" i="2" s="1"/>
  <c r="U438" i="2" s="1"/>
  <c r="Q434" i="2"/>
  <c r="R434" i="2" s="1"/>
  <c r="U434" i="2" s="1"/>
  <c r="Q430" i="2"/>
  <c r="R430" i="2" s="1"/>
  <c r="U430" i="2" s="1"/>
  <c r="Q426" i="2"/>
  <c r="R426" i="2" s="1"/>
  <c r="U426" i="2" s="1"/>
  <c r="Q145" i="2"/>
  <c r="R145" i="2" s="1"/>
  <c r="U145" i="2" s="1"/>
  <c r="Q141" i="2"/>
  <c r="R141" i="2" s="1"/>
  <c r="U141" i="2" s="1"/>
  <c r="Q137" i="2"/>
  <c r="R137" i="2" s="1"/>
  <c r="U137" i="2" s="1"/>
  <c r="Q133" i="2"/>
  <c r="Q129" i="2"/>
  <c r="R129" i="2" s="1"/>
  <c r="U129" i="2" s="1"/>
  <c r="Q125" i="2"/>
  <c r="R125" i="2" s="1"/>
  <c r="U125" i="2" s="1"/>
  <c r="Q121" i="2"/>
  <c r="R121" i="2" s="1"/>
  <c r="U121" i="2" s="1"/>
  <c r="Q117" i="2"/>
  <c r="R117" i="2" s="1"/>
  <c r="U117" i="2" s="1"/>
  <c r="Q113" i="2"/>
  <c r="R113" i="2" s="1"/>
  <c r="U113" i="2" s="1"/>
  <c r="Q109" i="2"/>
  <c r="R109" i="2" s="1"/>
  <c r="U109" i="2" s="1"/>
  <c r="Q105" i="2"/>
  <c r="R105" i="2" s="1"/>
  <c r="U105" i="2" s="1"/>
  <c r="Q101" i="2"/>
  <c r="R101" i="2" s="1"/>
  <c r="U101" i="2" s="1"/>
  <c r="Q97" i="2"/>
  <c r="R97" i="2" s="1"/>
  <c r="U97" i="2" s="1"/>
  <c r="Q93" i="2"/>
  <c r="R93" i="2" s="1"/>
  <c r="U93" i="2" s="1"/>
  <c r="Q89" i="2"/>
  <c r="R89" i="2" s="1"/>
  <c r="U89" i="2" s="1"/>
  <c r="Q744" i="2"/>
  <c r="R744" i="2" s="1"/>
  <c r="U744" i="2" s="1"/>
  <c r="Q740" i="2"/>
  <c r="R740" i="2" s="1"/>
  <c r="U740" i="2" s="1"/>
  <c r="Q736" i="2"/>
  <c r="R736" i="2" s="1"/>
  <c r="U736" i="2" s="1"/>
  <c r="Q732" i="2"/>
  <c r="R732" i="2" s="1"/>
  <c r="U732" i="2" s="1"/>
  <c r="Q728" i="2"/>
  <c r="R728" i="2" s="1"/>
  <c r="U728" i="2" s="1"/>
  <c r="Q724" i="2"/>
  <c r="R724" i="2" s="1"/>
  <c r="U724" i="2" s="1"/>
  <c r="Q720" i="2"/>
  <c r="R720" i="2" s="1"/>
  <c r="U720" i="2" s="1"/>
  <c r="Q716" i="2"/>
  <c r="R716" i="2" s="1"/>
  <c r="U716" i="2" s="1"/>
  <c r="Q712" i="2"/>
  <c r="R712" i="2" s="1"/>
  <c r="U712" i="2" s="1"/>
  <c r="Q708" i="2"/>
  <c r="R708" i="2" s="1"/>
  <c r="U708" i="2" s="1"/>
  <c r="Q704" i="2"/>
  <c r="R704" i="2" s="1"/>
  <c r="U704" i="2" s="1"/>
  <c r="Q700" i="2"/>
  <c r="R700" i="2" s="1"/>
  <c r="U700" i="2" s="1"/>
  <c r="Q696" i="2"/>
  <c r="R696" i="2" s="1"/>
  <c r="U696" i="2" s="1"/>
  <c r="Q692" i="2"/>
  <c r="R692" i="2" s="1"/>
  <c r="U692" i="2" s="1"/>
  <c r="Q688" i="2"/>
  <c r="R688" i="2" s="1"/>
  <c r="U688" i="2" s="1"/>
  <c r="Q684" i="2"/>
  <c r="R684" i="2" s="1"/>
  <c r="U684" i="2" s="1"/>
  <c r="Q680" i="2"/>
  <c r="R680" i="2" s="1"/>
  <c r="U680" i="2" s="1"/>
  <c r="Q676" i="2"/>
  <c r="R676" i="2" s="1"/>
  <c r="U676" i="2" s="1"/>
  <c r="Q672" i="2"/>
  <c r="R672" i="2" s="1"/>
  <c r="U672" i="2" s="1"/>
  <c r="Q668" i="2"/>
  <c r="R668" i="2" s="1"/>
  <c r="U668" i="2" s="1"/>
  <c r="Q664" i="2"/>
  <c r="R664" i="2" s="1"/>
  <c r="U664" i="2" s="1"/>
  <c r="Q660" i="2"/>
  <c r="R660" i="2" s="1"/>
  <c r="U660" i="2" s="1"/>
  <c r="Q656" i="2"/>
  <c r="R656" i="2" s="1"/>
  <c r="U656" i="2" s="1"/>
  <c r="Q652" i="2"/>
  <c r="R652" i="2" s="1"/>
  <c r="U652" i="2" s="1"/>
  <c r="Q648" i="2"/>
  <c r="R648" i="2" s="1"/>
  <c r="U648" i="2" s="1"/>
  <c r="Q644" i="2"/>
  <c r="R644" i="2" s="1"/>
  <c r="U644" i="2" s="1"/>
  <c r="Q640" i="2"/>
  <c r="R640" i="2" s="1"/>
  <c r="U640" i="2" s="1"/>
  <c r="Q636" i="2"/>
  <c r="R636" i="2" s="1"/>
  <c r="U636" i="2" s="1"/>
  <c r="Q632" i="2"/>
  <c r="R632" i="2" s="1"/>
  <c r="U632" i="2" s="1"/>
  <c r="Q628" i="2"/>
  <c r="R628" i="2" s="1"/>
  <c r="U628" i="2" s="1"/>
  <c r="Q624" i="2"/>
  <c r="R624" i="2" s="1"/>
  <c r="U624" i="2" s="1"/>
  <c r="Q620" i="2"/>
  <c r="R620" i="2" s="1"/>
  <c r="U620" i="2" s="1"/>
  <c r="Q616" i="2"/>
  <c r="R616" i="2" s="1"/>
  <c r="U616" i="2" s="1"/>
  <c r="Q612" i="2"/>
  <c r="R612" i="2" s="1"/>
  <c r="U612" i="2" s="1"/>
  <c r="Q608" i="2"/>
  <c r="R608" i="2" s="1"/>
  <c r="U608" i="2" s="1"/>
  <c r="Q604" i="2"/>
  <c r="R604" i="2" s="1"/>
  <c r="U604" i="2" s="1"/>
  <c r="Q600" i="2"/>
  <c r="R600" i="2" s="1"/>
  <c r="U600" i="2" s="1"/>
  <c r="Q596" i="2"/>
  <c r="R596" i="2" s="1"/>
  <c r="U596" i="2" s="1"/>
  <c r="Q592" i="2"/>
  <c r="R592" i="2" s="1"/>
  <c r="U592" i="2" s="1"/>
  <c r="Q588" i="2"/>
  <c r="R588" i="2" s="1"/>
  <c r="U588" i="2" s="1"/>
  <c r="Q584" i="2"/>
  <c r="R584" i="2" s="1"/>
  <c r="U584" i="2" s="1"/>
  <c r="Q580" i="2"/>
  <c r="R580" i="2" s="1"/>
  <c r="U580" i="2" s="1"/>
  <c r="Q576" i="2"/>
  <c r="R576" i="2" s="1"/>
  <c r="U576" i="2" s="1"/>
  <c r="Q572" i="2"/>
  <c r="R572" i="2" s="1"/>
  <c r="U572" i="2" s="1"/>
  <c r="Q568" i="2"/>
  <c r="R568" i="2" s="1"/>
  <c r="U568" i="2" s="1"/>
  <c r="Q564" i="2"/>
  <c r="R564" i="2" s="1"/>
  <c r="U564" i="2" s="1"/>
  <c r="Q560" i="2"/>
  <c r="R560" i="2" s="1"/>
  <c r="U560" i="2" s="1"/>
  <c r="Q556" i="2"/>
  <c r="R556" i="2" s="1"/>
  <c r="U556" i="2" s="1"/>
  <c r="Q552" i="2"/>
  <c r="R552" i="2" s="1"/>
  <c r="U552" i="2" s="1"/>
  <c r="Q548" i="2"/>
  <c r="R548" i="2" s="1"/>
  <c r="U548" i="2" s="1"/>
  <c r="Q544" i="2"/>
  <c r="R544" i="2" s="1"/>
  <c r="U544" i="2" s="1"/>
  <c r="Q540" i="2"/>
  <c r="R540" i="2" s="1"/>
  <c r="U540" i="2" s="1"/>
  <c r="Q536" i="2"/>
  <c r="R536" i="2" s="1"/>
  <c r="U536" i="2" s="1"/>
  <c r="Q532" i="2"/>
  <c r="R532" i="2" s="1"/>
  <c r="U532" i="2" s="1"/>
  <c r="Q528" i="2"/>
  <c r="R528" i="2" s="1"/>
  <c r="U528" i="2" s="1"/>
  <c r="Q524" i="2"/>
  <c r="R524" i="2" s="1"/>
  <c r="U524" i="2" s="1"/>
  <c r="Q520" i="2"/>
  <c r="R520" i="2" s="1"/>
  <c r="U520" i="2" s="1"/>
  <c r="Q516" i="2"/>
  <c r="R516" i="2" s="1"/>
  <c r="U516" i="2" s="1"/>
  <c r="Q512" i="2"/>
  <c r="R512" i="2" s="1"/>
  <c r="U512" i="2" s="1"/>
  <c r="Q508" i="2"/>
  <c r="R508" i="2" s="1"/>
  <c r="U508" i="2" s="1"/>
  <c r="Q504" i="2"/>
  <c r="R504" i="2" s="1"/>
  <c r="U504" i="2" s="1"/>
  <c r="Q500" i="2"/>
  <c r="R500" i="2" s="1"/>
  <c r="U500" i="2" s="1"/>
  <c r="Q496" i="2"/>
  <c r="R496" i="2" s="1"/>
  <c r="U496" i="2" s="1"/>
  <c r="Q492" i="2"/>
  <c r="R492" i="2" s="1"/>
  <c r="U492" i="2" s="1"/>
  <c r="Q488" i="2"/>
  <c r="R488" i="2" s="1"/>
  <c r="U488" i="2" s="1"/>
  <c r="Q484" i="2"/>
  <c r="R484" i="2" s="1"/>
  <c r="U484" i="2" s="1"/>
  <c r="Q480" i="2"/>
  <c r="R480" i="2" s="1"/>
  <c r="U480" i="2" s="1"/>
  <c r="Q476" i="2"/>
  <c r="R476" i="2" s="1"/>
  <c r="U476" i="2" s="1"/>
  <c r="Q472" i="2"/>
  <c r="R472" i="2" s="1"/>
  <c r="U472" i="2" s="1"/>
  <c r="Q468" i="2"/>
  <c r="R468" i="2" s="1"/>
  <c r="U468" i="2" s="1"/>
  <c r="Q464" i="2"/>
  <c r="R464" i="2" s="1"/>
  <c r="U464" i="2" s="1"/>
  <c r="Q460" i="2"/>
  <c r="R460" i="2" s="1"/>
  <c r="U460" i="2" s="1"/>
  <c r="Q456" i="2"/>
  <c r="R456" i="2" s="1"/>
  <c r="U456" i="2" s="1"/>
  <c r="Q452" i="2"/>
  <c r="R452" i="2" s="1"/>
  <c r="U452" i="2" s="1"/>
  <c r="Q448" i="2"/>
  <c r="R448" i="2" s="1"/>
  <c r="U448" i="2" s="1"/>
  <c r="Q444" i="2"/>
  <c r="R444" i="2" s="1"/>
  <c r="U444" i="2" s="1"/>
  <c r="Q440" i="2"/>
  <c r="R440" i="2" s="1"/>
  <c r="U440" i="2" s="1"/>
  <c r="Q436" i="2"/>
  <c r="R436" i="2" s="1"/>
  <c r="U436" i="2" s="1"/>
  <c r="Q432" i="2"/>
  <c r="R432" i="2" s="1"/>
  <c r="U432" i="2" s="1"/>
  <c r="Q428" i="2"/>
  <c r="R428" i="2" s="1"/>
  <c r="U428" i="2" s="1"/>
  <c r="Q743" i="2"/>
  <c r="R743" i="2" s="1"/>
  <c r="U743" i="2" s="1"/>
  <c r="Q739" i="2"/>
  <c r="R739" i="2" s="1"/>
  <c r="T739" i="2" s="1"/>
  <c r="Q735" i="2"/>
  <c r="R735" i="2" s="1"/>
  <c r="T735" i="2" s="1"/>
  <c r="Q731" i="2"/>
  <c r="R731" i="2" s="1"/>
  <c r="Q727" i="2"/>
  <c r="R727" i="2" s="1"/>
  <c r="U727" i="2" s="1"/>
  <c r="Q723" i="2"/>
  <c r="R723" i="2" s="1"/>
  <c r="T723" i="2" s="1"/>
  <c r="Q719" i="2"/>
  <c r="R719" i="2" s="1"/>
  <c r="Q715" i="2"/>
  <c r="R715" i="2" s="1"/>
  <c r="Q711" i="2"/>
  <c r="R711" i="2" s="1"/>
  <c r="U711" i="2" s="1"/>
  <c r="Q707" i="2"/>
  <c r="R707" i="2" s="1"/>
  <c r="T707" i="2" s="1"/>
  <c r="Q703" i="2"/>
  <c r="R703" i="2" s="1"/>
  <c r="Q699" i="2"/>
  <c r="R699" i="2" s="1"/>
  <c r="Q695" i="2"/>
  <c r="R695" i="2" s="1"/>
  <c r="U695" i="2" s="1"/>
  <c r="Q691" i="2"/>
  <c r="R691" i="2" s="1"/>
  <c r="T691" i="2" s="1"/>
  <c r="Q687" i="2"/>
  <c r="R687" i="2" s="1"/>
  <c r="S687" i="2" s="1"/>
  <c r="Q683" i="2"/>
  <c r="R683" i="2" s="1"/>
  <c r="Q679" i="2"/>
  <c r="R679" i="2" s="1"/>
  <c r="U679" i="2" s="1"/>
  <c r="Q675" i="2"/>
  <c r="R675" i="2" s="1"/>
  <c r="T675" i="2" s="1"/>
  <c r="Q671" i="2"/>
  <c r="R671" i="2" s="1"/>
  <c r="T671" i="2" s="1"/>
  <c r="Q667" i="2"/>
  <c r="R667" i="2" s="1"/>
  <c r="Q663" i="2"/>
  <c r="R663" i="2" s="1"/>
  <c r="U663" i="2" s="1"/>
  <c r="Q659" i="2"/>
  <c r="R659" i="2" s="1"/>
  <c r="T659" i="2" s="1"/>
  <c r="Q655" i="2"/>
  <c r="R655" i="2" s="1"/>
  <c r="Q651" i="2"/>
  <c r="R651" i="2" s="1"/>
  <c r="Q647" i="2"/>
  <c r="R647" i="2" s="1"/>
  <c r="U647" i="2" s="1"/>
  <c r="Q643" i="2"/>
  <c r="R643" i="2" s="1"/>
  <c r="T643" i="2" s="1"/>
  <c r="Q639" i="2"/>
  <c r="R639" i="2" s="1"/>
  <c r="Q635" i="2"/>
  <c r="R635" i="2" s="1"/>
  <c r="Q631" i="2"/>
  <c r="R631" i="2" s="1"/>
  <c r="U631" i="2" s="1"/>
  <c r="Q627" i="2"/>
  <c r="R627" i="2" s="1"/>
  <c r="T627" i="2" s="1"/>
  <c r="Q623" i="2"/>
  <c r="R623" i="2" s="1"/>
  <c r="S623" i="2" s="1"/>
  <c r="Q619" i="2"/>
  <c r="R619" i="2" s="1"/>
  <c r="Q615" i="2"/>
  <c r="R615" i="2" s="1"/>
  <c r="U615" i="2" s="1"/>
  <c r="Q611" i="2"/>
  <c r="R611" i="2" s="1"/>
  <c r="T611" i="2" s="1"/>
  <c r="Q607" i="2"/>
  <c r="R607" i="2" s="1"/>
  <c r="T607" i="2" s="1"/>
  <c r="Q603" i="2"/>
  <c r="R603" i="2" s="1"/>
  <c r="Q599" i="2"/>
  <c r="R599" i="2" s="1"/>
  <c r="U599" i="2" s="1"/>
  <c r="Q595" i="2"/>
  <c r="R595" i="2" s="1"/>
  <c r="T595" i="2" s="1"/>
  <c r="Q591" i="2"/>
  <c r="R591" i="2" s="1"/>
  <c r="Q587" i="2"/>
  <c r="R587" i="2" s="1"/>
  <c r="Q583" i="2"/>
  <c r="R583" i="2" s="1"/>
  <c r="U583" i="2" s="1"/>
  <c r="Q579" i="2"/>
  <c r="R579" i="2" s="1"/>
  <c r="T579" i="2" s="1"/>
  <c r="Q575" i="2"/>
  <c r="R575" i="2" s="1"/>
  <c r="Q571" i="2"/>
  <c r="R571" i="2" s="1"/>
  <c r="Q567" i="2"/>
  <c r="R567" i="2" s="1"/>
  <c r="U567" i="2" s="1"/>
  <c r="Q563" i="2"/>
  <c r="R563" i="2" s="1"/>
  <c r="T563" i="2" s="1"/>
  <c r="Q559" i="2"/>
  <c r="R559" i="2" s="1"/>
  <c r="S559" i="2" s="1"/>
  <c r="Q555" i="2"/>
  <c r="R555" i="2" s="1"/>
  <c r="Q551" i="2"/>
  <c r="R551" i="2" s="1"/>
  <c r="U551" i="2" s="1"/>
  <c r="Q547" i="2"/>
  <c r="R547" i="2" s="1"/>
  <c r="T547" i="2" s="1"/>
  <c r="Q543" i="2"/>
  <c r="R543" i="2" s="1"/>
  <c r="T543" i="2" s="1"/>
  <c r="Q539" i="2"/>
  <c r="R539" i="2" s="1"/>
  <c r="Q535" i="2"/>
  <c r="R535" i="2" s="1"/>
  <c r="U535" i="2" s="1"/>
  <c r="Q531" i="2"/>
  <c r="R531" i="2" s="1"/>
  <c r="T531" i="2" s="1"/>
  <c r="Q527" i="2"/>
  <c r="R527" i="2" s="1"/>
  <c r="Q523" i="2"/>
  <c r="R523" i="2" s="1"/>
  <c r="Q519" i="2"/>
  <c r="R519" i="2" s="1"/>
  <c r="U519" i="2" s="1"/>
  <c r="Q515" i="2"/>
  <c r="R515" i="2" s="1"/>
  <c r="T515" i="2" s="1"/>
  <c r="Q511" i="2"/>
  <c r="R511" i="2" s="1"/>
  <c r="Q507" i="2"/>
  <c r="R507" i="2" s="1"/>
  <c r="Q503" i="2"/>
  <c r="R503" i="2" s="1"/>
  <c r="U503" i="2" s="1"/>
  <c r="Q499" i="2"/>
  <c r="R499" i="2" s="1"/>
  <c r="T499" i="2" s="1"/>
  <c r="Q495" i="2"/>
  <c r="R495" i="2" s="1"/>
  <c r="S495" i="2" s="1"/>
  <c r="Q491" i="2"/>
  <c r="R491" i="2" s="1"/>
  <c r="Q487" i="2"/>
  <c r="R487" i="2" s="1"/>
  <c r="U487" i="2" s="1"/>
  <c r="Q483" i="2"/>
  <c r="R483" i="2" s="1"/>
  <c r="T483" i="2" s="1"/>
  <c r="Q479" i="2"/>
  <c r="R479" i="2" s="1"/>
  <c r="T479" i="2" s="1"/>
  <c r="Q475" i="2"/>
  <c r="R475" i="2" s="1"/>
  <c r="Q471" i="2"/>
  <c r="R471" i="2" s="1"/>
  <c r="U471" i="2" s="1"/>
  <c r="Q467" i="2"/>
  <c r="R467" i="2" s="1"/>
  <c r="T467" i="2" s="1"/>
  <c r="Q463" i="2"/>
  <c r="R463" i="2" s="1"/>
  <c r="Q459" i="2"/>
  <c r="R459" i="2" s="1"/>
  <c r="Q455" i="2"/>
  <c r="R455" i="2" s="1"/>
  <c r="U455" i="2" s="1"/>
  <c r="Q451" i="2"/>
  <c r="R451" i="2" s="1"/>
  <c r="T451" i="2" s="1"/>
  <c r="Q447" i="2"/>
  <c r="R447" i="2" s="1"/>
  <c r="Q443" i="2"/>
  <c r="R443" i="2" s="1"/>
  <c r="Q439" i="2"/>
  <c r="R439" i="2" s="1"/>
  <c r="U439" i="2" s="1"/>
  <c r="Q435" i="2"/>
  <c r="R435" i="2" s="1"/>
  <c r="T435" i="2" s="1"/>
  <c r="Q431" i="2"/>
  <c r="R431" i="2" s="1"/>
  <c r="S431" i="2" s="1"/>
  <c r="Q427" i="2"/>
  <c r="R427" i="2" s="1"/>
  <c r="Q422" i="2"/>
  <c r="R422" i="2" s="1"/>
  <c r="U422" i="2" s="1"/>
  <c r="Q418" i="2"/>
  <c r="R418" i="2" s="1"/>
  <c r="U418" i="2" s="1"/>
  <c r="Q414" i="2"/>
  <c r="R414" i="2" s="1"/>
  <c r="U414" i="2" s="1"/>
  <c r="Q410" i="2"/>
  <c r="R410" i="2" s="1"/>
  <c r="U410" i="2" s="1"/>
  <c r="Q406" i="2"/>
  <c r="R406" i="2" s="1"/>
  <c r="U406" i="2" s="1"/>
  <c r="Q402" i="2"/>
  <c r="R402" i="2" s="1"/>
  <c r="U402" i="2" s="1"/>
  <c r="Q398" i="2"/>
  <c r="R398" i="2" s="1"/>
  <c r="U398" i="2" s="1"/>
  <c r="Q394" i="2"/>
  <c r="R394" i="2" s="1"/>
  <c r="U394" i="2" s="1"/>
  <c r="Q390" i="2"/>
  <c r="R390" i="2" s="1"/>
  <c r="U390" i="2" s="1"/>
  <c r="Q386" i="2"/>
  <c r="R386" i="2" s="1"/>
  <c r="U386" i="2" s="1"/>
  <c r="Q382" i="2"/>
  <c r="R382" i="2" s="1"/>
  <c r="U382" i="2" s="1"/>
  <c r="Q378" i="2"/>
  <c r="R378" i="2" s="1"/>
  <c r="U378" i="2" s="1"/>
  <c r="Q374" i="2"/>
  <c r="R374" i="2" s="1"/>
  <c r="U374" i="2" s="1"/>
  <c r="Q370" i="2"/>
  <c r="R370" i="2" s="1"/>
  <c r="U370" i="2" s="1"/>
  <c r="Q366" i="2"/>
  <c r="R366" i="2" s="1"/>
  <c r="U366" i="2" s="1"/>
  <c r="Q362" i="2"/>
  <c r="R362" i="2" s="1"/>
  <c r="U362" i="2" s="1"/>
  <c r="Q358" i="2"/>
  <c r="R358" i="2" s="1"/>
  <c r="U358" i="2" s="1"/>
  <c r="Q354" i="2"/>
  <c r="R354" i="2" s="1"/>
  <c r="U354" i="2" s="1"/>
  <c r="Q350" i="2"/>
  <c r="R350" i="2" s="1"/>
  <c r="U350" i="2" s="1"/>
  <c r="Q346" i="2"/>
  <c r="R346" i="2" s="1"/>
  <c r="U346" i="2" s="1"/>
  <c r="Q342" i="2"/>
  <c r="R342" i="2" s="1"/>
  <c r="U342" i="2" s="1"/>
  <c r="Q338" i="2"/>
  <c r="R338" i="2" s="1"/>
  <c r="U338" i="2" s="1"/>
  <c r="Q334" i="2"/>
  <c r="R334" i="2" s="1"/>
  <c r="U334" i="2" s="1"/>
  <c r="Q330" i="2"/>
  <c r="R330" i="2" s="1"/>
  <c r="U330" i="2" s="1"/>
  <c r="Q326" i="2"/>
  <c r="R326" i="2" s="1"/>
  <c r="U326" i="2" s="1"/>
  <c r="Q322" i="2"/>
  <c r="R322" i="2" s="1"/>
  <c r="U322" i="2" s="1"/>
  <c r="Q318" i="2"/>
  <c r="R318" i="2" s="1"/>
  <c r="U318" i="2" s="1"/>
  <c r="Q314" i="2"/>
  <c r="R314" i="2" s="1"/>
  <c r="U314" i="2" s="1"/>
  <c r="Q310" i="2"/>
  <c r="R310" i="2" s="1"/>
  <c r="U310" i="2" s="1"/>
  <c r="Q306" i="2"/>
  <c r="R306" i="2" s="1"/>
  <c r="U306" i="2" s="1"/>
  <c r="Q302" i="2"/>
  <c r="R302" i="2" s="1"/>
  <c r="U302" i="2" s="1"/>
  <c r="Q298" i="2"/>
  <c r="R298" i="2" s="1"/>
  <c r="U298" i="2" s="1"/>
  <c r="Q294" i="2"/>
  <c r="R294" i="2" s="1"/>
  <c r="U294" i="2" s="1"/>
  <c r="Q290" i="2"/>
  <c r="R290" i="2" s="1"/>
  <c r="U290" i="2" s="1"/>
  <c r="Q286" i="2"/>
  <c r="R286" i="2" s="1"/>
  <c r="U286" i="2" s="1"/>
  <c r="Q282" i="2"/>
  <c r="R282" i="2" s="1"/>
  <c r="U282" i="2" s="1"/>
  <c r="Q278" i="2"/>
  <c r="R278" i="2" s="1"/>
  <c r="U278" i="2" s="1"/>
  <c r="Q274" i="2"/>
  <c r="R274" i="2" s="1"/>
  <c r="U274" i="2" s="1"/>
  <c r="Q270" i="2"/>
  <c r="R270" i="2" s="1"/>
  <c r="U270" i="2" s="1"/>
  <c r="Q266" i="2"/>
  <c r="R266" i="2" s="1"/>
  <c r="U266" i="2" s="1"/>
  <c r="Q262" i="2"/>
  <c r="R262" i="2" s="1"/>
  <c r="U262" i="2" s="1"/>
  <c r="Q258" i="2"/>
  <c r="R258" i="2" s="1"/>
  <c r="U258" i="2" s="1"/>
  <c r="Q254" i="2"/>
  <c r="R254" i="2" s="1"/>
  <c r="U254" i="2" s="1"/>
  <c r="Q250" i="2"/>
  <c r="R250" i="2" s="1"/>
  <c r="U250" i="2" s="1"/>
  <c r="Q246" i="2"/>
  <c r="R246" i="2" s="1"/>
  <c r="U246" i="2" s="1"/>
  <c r="Q242" i="2"/>
  <c r="R242" i="2" s="1"/>
  <c r="U242" i="2" s="1"/>
  <c r="Q238" i="2"/>
  <c r="R238" i="2" s="1"/>
  <c r="U238" i="2" s="1"/>
  <c r="Q234" i="2"/>
  <c r="R234" i="2" s="1"/>
  <c r="U234" i="2" s="1"/>
  <c r="Q230" i="2"/>
  <c r="R230" i="2" s="1"/>
  <c r="U230" i="2" s="1"/>
  <c r="Q226" i="2"/>
  <c r="R226" i="2" s="1"/>
  <c r="U226" i="2" s="1"/>
  <c r="Q222" i="2"/>
  <c r="R222" i="2" s="1"/>
  <c r="U222" i="2" s="1"/>
  <c r="Q218" i="2"/>
  <c r="R218" i="2" s="1"/>
  <c r="U218" i="2" s="1"/>
  <c r="Q214" i="2"/>
  <c r="R214" i="2" s="1"/>
  <c r="U214" i="2" s="1"/>
  <c r="Q210" i="2"/>
  <c r="R210" i="2" s="1"/>
  <c r="U210" i="2" s="1"/>
  <c r="Q206" i="2"/>
  <c r="R206" i="2" s="1"/>
  <c r="U206" i="2" s="1"/>
  <c r="Q202" i="2"/>
  <c r="R202" i="2" s="1"/>
  <c r="U202" i="2" s="1"/>
  <c r="Q198" i="2"/>
  <c r="R198" i="2" s="1"/>
  <c r="U198" i="2" s="1"/>
  <c r="Q194" i="2"/>
  <c r="R194" i="2" s="1"/>
  <c r="U194" i="2" s="1"/>
  <c r="Q190" i="2"/>
  <c r="R190" i="2" s="1"/>
  <c r="U190" i="2" s="1"/>
  <c r="Q186" i="2"/>
  <c r="R186" i="2" s="1"/>
  <c r="U186" i="2" s="1"/>
  <c r="Q182" i="2"/>
  <c r="R182" i="2" s="1"/>
  <c r="U182" i="2" s="1"/>
  <c r="Q178" i="2"/>
  <c r="R178" i="2" s="1"/>
  <c r="U178" i="2" s="1"/>
  <c r="Q174" i="2"/>
  <c r="R174" i="2" s="1"/>
  <c r="U174" i="2" s="1"/>
  <c r="Q170" i="2"/>
  <c r="R170" i="2" s="1"/>
  <c r="U170" i="2" s="1"/>
  <c r="Q166" i="2"/>
  <c r="R166" i="2" s="1"/>
  <c r="U166" i="2" s="1"/>
  <c r="Q162" i="2"/>
  <c r="R162" i="2" s="1"/>
  <c r="U162" i="2" s="1"/>
  <c r="Q158" i="2"/>
  <c r="R158" i="2" s="1"/>
  <c r="U158" i="2" s="1"/>
  <c r="Q154" i="2"/>
  <c r="R154" i="2" s="1"/>
  <c r="U154" i="2" s="1"/>
  <c r="Q150" i="2"/>
  <c r="R150" i="2" s="1"/>
  <c r="U150" i="2" s="1"/>
  <c r="Q146" i="2"/>
  <c r="R146" i="2" s="1"/>
  <c r="U146" i="2" s="1"/>
  <c r="Q142" i="2"/>
  <c r="R142" i="2" s="1"/>
  <c r="U142" i="2" s="1"/>
  <c r="Q138" i="2"/>
  <c r="R138" i="2" s="1"/>
  <c r="U138" i="2" s="1"/>
  <c r="Q134" i="2"/>
  <c r="R134" i="2" s="1"/>
  <c r="U134" i="2" s="1"/>
  <c r="Q130" i="2"/>
  <c r="R130" i="2" s="1"/>
  <c r="U130" i="2" s="1"/>
  <c r="Q126" i="2"/>
  <c r="R126" i="2" s="1"/>
  <c r="U126" i="2" s="1"/>
  <c r="Q122" i="2"/>
  <c r="R122" i="2" s="1"/>
  <c r="U122" i="2" s="1"/>
  <c r="Q118" i="2"/>
  <c r="R118" i="2" s="1"/>
  <c r="U118" i="2" s="1"/>
  <c r="Q114" i="2"/>
  <c r="R114" i="2" s="1"/>
  <c r="U114" i="2" s="1"/>
  <c r="Q110" i="2"/>
  <c r="R110" i="2" s="1"/>
  <c r="U110" i="2" s="1"/>
  <c r="Q106" i="2"/>
  <c r="R106" i="2" s="1"/>
  <c r="U106" i="2" s="1"/>
  <c r="Q102" i="2"/>
  <c r="R102" i="2" s="1"/>
  <c r="U102" i="2" s="1"/>
  <c r="Q98" i="2"/>
  <c r="R98" i="2" s="1"/>
  <c r="U98" i="2" s="1"/>
  <c r="Q94" i="2"/>
  <c r="R94" i="2" s="1"/>
  <c r="U94" i="2" s="1"/>
  <c r="Q90" i="2"/>
  <c r="R90" i="2" s="1"/>
  <c r="U90" i="2" s="1"/>
  <c r="Q86" i="2"/>
  <c r="R86" i="2" s="1"/>
  <c r="U86" i="2" s="1"/>
  <c r="Q424" i="2"/>
  <c r="R424" i="2" s="1"/>
  <c r="U424" i="2" s="1"/>
  <c r="Q420" i="2"/>
  <c r="R420" i="2" s="1"/>
  <c r="U420" i="2" s="1"/>
  <c r="Q416" i="2"/>
  <c r="R416" i="2" s="1"/>
  <c r="U416" i="2" s="1"/>
  <c r="Q412" i="2"/>
  <c r="R412" i="2" s="1"/>
  <c r="U412" i="2" s="1"/>
  <c r="Q408" i="2"/>
  <c r="R408" i="2" s="1"/>
  <c r="U408" i="2" s="1"/>
  <c r="Q404" i="2"/>
  <c r="R404" i="2" s="1"/>
  <c r="U404" i="2" s="1"/>
  <c r="Q400" i="2"/>
  <c r="R400" i="2" s="1"/>
  <c r="U400" i="2" s="1"/>
  <c r="Q396" i="2"/>
  <c r="R396" i="2" s="1"/>
  <c r="U396" i="2" s="1"/>
  <c r="Q392" i="2"/>
  <c r="R392" i="2" s="1"/>
  <c r="U392" i="2" s="1"/>
  <c r="Q388" i="2"/>
  <c r="R388" i="2" s="1"/>
  <c r="U388" i="2" s="1"/>
  <c r="Q384" i="2"/>
  <c r="R384" i="2" s="1"/>
  <c r="U384" i="2" s="1"/>
  <c r="Q380" i="2"/>
  <c r="R380" i="2" s="1"/>
  <c r="U380" i="2" s="1"/>
  <c r="Q376" i="2"/>
  <c r="R376" i="2" s="1"/>
  <c r="U376" i="2" s="1"/>
  <c r="Q372" i="2"/>
  <c r="R372" i="2" s="1"/>
  <c r="U372" i="2" s="1"/>
  <c r="Q368" i="2"/>
  <c r="R368" i="2" s="1"/>
  <c r="U368" i="2" s="1"/>
  <c r="Q364" i="2"/>
  <c r="R364" i="2" s="1"/>
  <c r="U364" i="2" s="1"/>
  <c r="Q360" i="2"/>
  <c r="R360" i="2" s="1"/>
  <c r="U360" i="2" s="1"/>
  <c r="Q356" i="2"/>
  <c r="R356" i="2" s="1"/>
  <c r="U356" i="2" s="1"/>
  <c r="Q352" i="2"/>
  <c r="R352" i="2" s="1"/>
  <c r="U352" i="2" s="1"/>
  <c r="Q348" i="2"/>
  <c r="R348" i="2" s="1"/>
  <c r="U348" i="2" s="1"/>
  <c r="Q344" i="2"/>
  <c r="R344" i="2" s="1"/>
  <c r="U344" i="2" s="1"/>
  <c r="Q340" i="2"/>
  <c r="R340" i="2" s="1"/>
  <c r="U340" i="2" s="1"/>
  <c r="Q336" i="2"/>
  <c r="R336" i="2" s="1"/>
  <c r="U336" i="2" s="1"/>
  <c r="Q332" i="2"/>
  <c r="R332" i="2" s="1"/>
  <c r="U332" i="2" s="1"/>
  <c r="Q328" i="2"/>
  <c r="R328" i="2" s="1"/>
  <c r="U328" i="2" s="1"/>
  <c r="Q324" i="2"/>
  <c r="R324" i="2" s="1"/>
  <c r="U324" i="2" s="1"/>
  <c r="Q320" i="2"/>
  <c r="R320" i="2" s="1"/>
  <c r="U320" i="2" s="1"/>
  <c r="Q316" i="2"/>
  <c r="R316" i="2" s="1"/>
  <c r="U316" i="2" s="1"/>
  <c r="Q312" i="2"/>
  <c r="R312" i="2" s="1"/>
  <c r="U312" i="2" s="1"/>
  <c r="Q308" i="2"/>
  <c r="R308" i="2" s="1"/>
  <c r="U308" i="2" s="1"/>
  <c r="Q304" i="2"/>
  <c r="R304" i="2" s="1"/>
  <c r="U304" i="2" s="1"/>
  <c r="Q300" i="2"/>
  <c r="R300" i="2" s="1"/>
  <c r="Q296" i="2"/>
  <c r="R296" i="2" s="1"/>
  <c r="U296" i="2" s="1"/>
  <c r="Q292" i="2"/>
  <c r="R292" i="2" s="1"/>
  <c r="U292" i="2" s="1"/>
  <c r="Q288" i="2"/>
  <c r="R288" i="2" s="1"/>
  <c r="U288" i="2" s="1"/>
  <c r="Q284" i="2"/>
  <c r="R284" i="2" s="1"/>
  <c r="U284" i="2" s="1"/>
  <c r="Q280" i="2"/>
  <c r="R280" i="2" s="1"/>
  <c r="U280" i="2" s="1"/>
  <c r="Q276" i="2"/>
  <c r="R276" i="2" s="1"/>
  <c r="U276" i="2" s="1"/>
  <c r="Q272" i="2"/>
  <c r="R272" i="2" s="1"/>
  <c r="U272" i="2" s="1"/>
  <c r="Q268" i="2"/>
  <c r="R268" i="2" s="1"/>
  <c r="U268" i="2" s="1"/>
  <c r="Q264" i="2"/>
  <c r="R264" i="2" s="1"/>
  <c r="U264" i="2" s="1"/>
  <c r="Q260" i="2"/>
  <c r="R260" i="2" s="1"/>
  <c r="U260" i="2" s="1"/>
  <c r="Q256" i="2"/>
  <c r="R256" i="2" s="1"/>
  <c r="U256" i="2" s="1"/>
  <c r="Q252" i="2"/>
  <c r="R252" i="2" s="1"/>
  <c r="U252" i="2" s="1"/>
  <c r="Q248" i="2"/>
  <c r="R248" i="2" s="1"/>
  <c r="U248" i="2" s="1"/>
  <c r="Q244" i="2"/>
  <c r="R244" i="2" s="1"/>
  <c r="U244" i="2" s="1"/>
  <c r="Q240" i="2"/>
  <c r="R240" i="2" s="1"/>
  <c r="U240" i="2" s="1"/>
  <c r="Q236" i="2"/>
  <c r="R236" i="2" s="1"/>
  <c r="U236" i="2" s="1"/>
  <c r="Q232" i="2"/>
  <c r="R232" i="2" s="1"/>
  <c r="U232" i="2" s="1"/>
  <c r="Q228" i="2"/>
  <c r="R228" i="2" s="1"/>
  <c r="U228" i="2" s="1"/>
  <c r="Q224" i="2"/>
  <c r="R224" i="2" s="1"/>
  <c r="U224" i="2" s="1"/>
  <c r="Q220" i="2"/>
  <c r="R220" i="2" s="1"/>
  <c r="U220" i="2" s="1"/>
  <c r="Q216" i="2"/>
  <c r="R216" i="2" s="1"/>
  <c r="U216" i="2" s="1"/>
  <c r="Q212" i="2"/>
  <c r="R212" i="2" s="1"/>
  <c r="U212" i="2" s="1"/>
  <c r="Q208" i="2"/>
  <c r="R208" i="2" s="1"/>
  <c r="U208" i="2" s="1"/>
  <c r="Q204" i="2"/>
  <c r="R204" i="2" s="1"/>
  <c r="U204" i="2" s="1"/>
  <c r="Q200" i="2"/>
  <c r="R200" i="2" s="1"/>
  <c r="U200" i="2" s="1"/>
  <c r="Q196" i="2"/>
  <c r="R196" i="2" s="1"/>
  <c r="U196" i="2" s="1"/>
  <c r="Q192" i="2"/>
  <c r="R192" i="2" s="1"/>
  <c r="U192" i="2" s="1"/>
  <c r="Q188" i="2"/>
  <c r="R188" i="2" s="1"/>
  <c r="U188" i="2" s="1"/>
  <c r="Q184" i="2"/>
  <c r="R184" i="2" s="1"/>
  <c r="U184" i="2" s="1"/>
  <c r="Q180" i="2"/>
  <c r="R180" i="2" s="1"/>
  <c r="U180" i="2" s="1"/>
  <c r="Q176" i="2"/>
  <c r="R176" i="2" s="1"/>
  <c r="U176" i="2" s="1"/>
  <c r="Q172" i="2"/>
  <c r="R172" i="2" s="1"/>
  <c r="U172" i="2" s="1"/>
  <c r="Q168" i="2"/>
  <c r="R168" i="2" s="1"/>
  <c r="U168" i="2" s="1"/>
  <c r="Q164" i="2"/>
  <c r="R164" i="2" s="1"/>
  <c r="U164" i="2" s="1"/>
  <c r="Q160" i="2"/>
  <c r="R160" i="2" s="1"/>
  <c r="U160" i="2" s="1"/>
  <c r="Q156" i="2"/>
  <c r="R156" i="2" s="1"/>
  <c r="U156" i="2" s="1"/>
  <c r="Q152" i="2"/>
  <c r="R152" i="2" s="1"/>
  <c r="U152" i="2" s="1"/>
  <c r="Q148" i="2"/>
  <c r="R148" i="2" s="1"/>
  <c r="U148" i="2" s="1"/>
  <c r="Q144" i="2"/>
  <c r="R144" i="2" s="1"/>
  <c r="U144" i="2" s="1"/>
  <c r="Q140" i="2"/>
  <c r="R140" i="2" s="1"/>
  <c r="U140" i="2" s="1"/>
  <c r="Q136" i="2"/>
  <c r="R136" i="2" s="1"/>
  <c r="U136" i="2" s="1"/>
  <c r="Q132" i="2"/>
  <c r="R132" i="2" s="1"/>
  <c r="U132" i="2" s="1"/>
  <c r="Q128" i="2"/>
  <c r="R128" i="2" s="1"/>
  <c r="U128" i="2" s="1"/>
  <c r="Q124" i="2"/>
  <c r="R124" i="2" s="1"/>
  <c r="U124" i="2" s="1"/>
  <c r="Q120" i="2"/>
  <c r="R120" i="2" s="1"/>
  <c r="U120" i="2" s="1"/>
  <c r="Q116" i="2"/>
  <c r="R116" i="2" s="1"/>
  <c r="U116" i="2" s="1"/>
  <c r="Q112" i="2"/>
  <c r="R112" i="2" s="1"/>
  <c r="U112" i="2" s="1"/>
  <c r="Q108" i="2"/>
  <c r="R108" i="2" s="1"/>
  <c r="U108" i="2" s="1"/>
  <c r="Q104" i="2"/>
  <c r="R104" i="2" s="1"/>
  <c r="U104" i="2" s="1"/>
  <c r="Q100" i="2"/>
  <c r="R100" i="2" s="1"/>
  <c r="U100" i="2" s="1"/>
  <c r="Q96" i="2"/>
  <c r="R96" i="2" s="1"/>
  <c r="U96" i="2" s="1"/>
  <c r="Q92" i="2"/>
  <c r="R92" i="2" s="1"/>
  <c r="U92" i="2" s="1"/>
  <c r="Q88" i="2"/>
  <c r="R88" i="2" s="1"/>
  <c r="U88" i="2" s="1"/>
  <c r="Q423" i="2"/>
  <c r="R423" i="2" s="1"/>
  <c r="U423" i="2" s="1"/>
  <c r="Q419" i="2"/>
  <c r="R419" i="2" s="1"/>
  <c r="T419" i="2" s="1"/>
  <c r="Q415" i="2"/>
  <c r="R415" i="2" s="1"/>
  <c r="T415" i="2" s="1"/>
  <c r="Q411" i="2"/>
  <c r="R411" i="2" s="1"/>
  <c r="Q407" i="2"/>
  <c r="R407" i="2" s="1"/>
  <c r="U407" i="2" s="1"/>
  <c r="Q403" i="2"/>
  <c r="R403" i="2" s="1"/>
  <c r="T403" i="2" s="1"/>
  <c r="Q399" i="2"/>
  <c r="R399" i="2" s="1"/>
  <c r="Q395" i="2"/>
  <c r="R395" i="2" s="1"/>
  <c r="Q391" i="2"/>
  <c r="R391" i="2" s="1"/>
  <c r="U391" i="2" s="1"/>
  <c r="Q387" i="2"/>
  <c r="R387" i="2" s="1"/>
  <c r="T387" i="2" s="1"/>
  <c r="Q383" i="2"/>
  <c r="R383" i="2" s="1"/>
  <c r="Q379" i="2"/>
  <c r="R379" i="2" s="1"/>
  <c r="Q375" i="2"/>
  <c r="R375" i="2" s="1"/>
  <c r="U375" i="2" s="1"/>
  <c r="Q371" i="2"/>
  <c r="R371" i="2" s="1"/>
  <c r="T371" i="2" s="1"/>
  <c r="Q367" i="2"/>
  <c r="R367" i="2" s="1"/>
  <c r="S367" i="2" s="1"/>
  <c r="Q363" i="2"/>
  <c r="R363" i="2" s="1"/>
  <c r="Q359" i="2"/>
  <c r="R359" i="2" s="1"/>
  <c r="U359" i="2" s="1"/>
  <c r="Q355" i="2"/>
  <c r="R355" i="2" s="1"/>
  <c r="T355" i="2" s="1"/>
  <c r="Q351" i="2"/>
  <c r="R351" i="2" s="1"/>
  <c r="T351" i="2" s="1"/>
  <c r="Q347" i="2"/>
  <c r="R347" i="2" s="1"/>
  <c r="Q343" i="2"/>
  <c r="R343" i="2" s="1"/>
  <c r="U343" i="2" s="1"/>
  <c r="Q339" i="2"/>
  <c r="R339" i="2" s="1"/>
  <c r="T339" i="2" s="1"/>
  <c r="Q335" i="2"/>
  <c r="R335" i="2" s="1"/>
  <c r="Q331" i="2"/>
  <c r="R331" i="2" s="1"/>
  <c r="Q327" i="2"/>
  <c r="R327" i="2" s="1"/>
  <c r="U327" i="2" s="1"/>
  <c r="Q323" i="2"/>
  <c r="R323" i="2" s="1"/>
  <c r="T323" i="2" s="1"/>
  <c r="Q319" i="2"/>
  <c r="R319" i="2" s="1"/>
  <c r="Q315" i="2"/>
  <c r="R315" i="2" s="1"/>
  <c r="Q311" i="2"/>
  <c r="R311" i="2" s="1"/>
  <c r="U311" i="2" s="1"/>
  <c r="Q307" i="2"/>
  <c r="R307" i="2" s="1"/>
  <c r="T307" i="2" s="1"/>
  <c r="Q303" i="2"/>
  <c r="R303" i="2" s="1"/>
  <c r="S303" i="2" s="1"/>
  <c r="Q299" i="2"/>
  <c r="R299" i="2" s="1"/>
  <c r="Q295" i="2"/>
  <c r="R295" i="2" s="1"/>
  <c r="U295" i="2" s="1"/>
  <c r="Q291" i="2"/>
  <c r="R291" i="2" s="1"/>
  <c r="T291" i="2" s="1"/>
  <c r="Q287" i="2"/>
  <c r="R287" i="2" s="1"/>
  <c r="T287" i="2" s="1"/>
  <c r="Q283" i="2"/>
  <c r="R283" i="2" s="1"/>
  <c r="Q279" i="2"/>
  <c r="R279" i="2" s="1"/>
  <c r="U279" i="2" s="1"/>
  <c r="Q275" i="2"/>
  <c r="R275" i="2" s="1"/>
  <c r="T275" i="2" s="1"/>
  <c r="Q271" i="2"/>
  <c r="R271" i="2" s="1"/>
  <c r="Q267" i="2"/>
  <c r="R267" i="2" s="1"/>
  <c r="Q263" i="2"/>
  <c r="R263" i="2" s="1"/>
  <c r="U263" i="2" s="1"/>
  <c r="Q259" i="2"/>
  <c r="R259" i="2" s="1"/>
  <c r="T259" i="2" s="1"/>
  <c r="Q255" i="2"/>
  <c r="R255" i="2" s="1"/>
  <c r="Q251" i="2"/>
  <c r="R251" i="2" s="1"/>
  <c r="Q247" i="2"/>
  <c r="R247" i="2" s="1"/>
  <c r="U247" i="2" s="1"/>
  <c r="Q243" i="2"/>
  <c r="R243" i="2" s="1"/>
  <c r="T243" i="2" s="1"/>
  <c r="Q239" i="2"/>
  <c r="R239" i="2" s="1"/>
  <c r="S239" i="2" s="1"/>
  <c r="Q235" i="2"/>
  <c r="R235" i="2" s="1"/>
  <c r="Q231" i="2"/>
  <c r="R231" i="2" s="1"/>
  <c r="U231" i="2" s="1"/>
  <c r="Q227" i="2"/>
  <c r="R227" i="2" s="1"/>
  <c r="T227" i="2" s="1"/>
  <c r="Q223" i="2"/>
  <c r="R223" i="2" s="1"/>
  <c r="T223" i="2" s="1"/>
  <c r="Q219" i="2"/>
  <c r="R219" i="2" s="1"/>
  <c r="Q215" i="2"/>
  <c r="R215" i="2" s="1"/>
  <c r="U215" i="2" s="1"/>
  <c r="Q211" i="2"/>
  <c r="R211" i="2" s="1"/>
  <c r="T211" i="2" s="1"/>
  <c r="Q207" i="2"/>
  <c r="R207" i="2" s="1"/>
  <c r="Q203" i="2"/>
  <c r="R203" i="2" s="1"/>
  <c r="Q199" i="2"/>
  <c r="R199" i="2" s="1"/>
  <c r="U199" i="2" s="1"/>
  <c r="Q195" i="2"/>
  <c r="R195" i="2" s="1"/>
  <c r="T195" i="2" s="1"/>
  <c r="Q191" i="2"/>
  <c r="R191" i="2" s="1"/>
  <c r="Q187" i="2"/>
  <c r="R187" i="2" s="1"/>
  <c r="Q183" i="2"/>
  <c r="R183" i="2" s="1"/>
  <c r="U183" i="2" s="1"/>
  <c r="Q179" i="2"/>
  <c r="R179" i="2" s="1"/>
  <c r="T179" i="2" s="1"/>
  <c r="Q175" i="2"/>
  <c r="R175" i="2" s="1"/>
  <c r="S175" i="2" s="1"/>
  <c r="Q171" i="2"/>
  <c r="R171" i="2" s="1"/>
  <c r="Q167" i="2"/>
  <c r="R167" i="2" s="1"/>
  <c r="U167" i="2" s="1"/>
  <c r="Q163" i="2"/>
  <c r="R163" i="2" s="1"/>
  <c r="T163" i="2" s="1"/>
  <c r="Q159" i="2"/>
  <c r="R159" i="2" s="1"/>
  <c r="T159" i="2" s="1"/>
  <c r="Q155" i="2"/>
  <c r="R155" i="2" s="1"/>
  <c r="Q151" i="2"/>
  <c r="R151" i="2" s="1"/>
  <c r="U151" i="2" s="1"/>
  <c r="Q147" i="2"/>
  <c r="R147" i="2" s="1"/>
  <c r="T147" i="2" s="1"/>
  <c r="Q143" i="2"/>
  <c r="R143" i="2" s="1"/>
  <c r="Q139" i="2"/>
  <c r="R139" i="2" s="1"/>
  <c r="Q135" i="2"/>
  <c r="R135" i="2" s="1"/>
  <c r="U135" i="2" s="1"/>
  <c r="Q131" i="2"/>
  <c r="R131" i="2" s="1"/>
  <c r="T131" i="2" s="1"/>
  <c r="Q127" i="2"/>
  <c r="R127" i="2" s="1"/>
  <c r="Q123" i="2"/>
  <c r="R123" i="2" s="1"/>
  <c r="Q119" i="2"/>
  <c r="R119" i="2" s="1"/>
  <c r="U119" i="2" s="1"/>
  <c r="Q115" i="2"/>
  <c r="R115" i="2" s="1"/>
  <c r="T115" i="2" s="1"/>
  <c r="Q111" i="2"/>
  <c r="R111" i="2" s="1"/>
  <c r="S111" i="2" s="1"/>
  <c r="Q107" i="2"/>
  <c r="R107" i="2" s="1"/>
  <c r="Q103" i="2"/>
  <c r="R103" i="2" s="1"/>
  <c r="U103" i="2" s="1"/>
  <c r="Q99" i="2"/>
  <c r="R99" i="2" s="1"/>
  <c r="T99" i="2" s="1"/>
  <c r="Q95" i="2"/>
  <c r="R95" i="2" s="1"/>
  <c r="T95" i="2" s="1"/>
  <c r="Q91" i="2"/>
  <c r="R91" i="2" s="1"/>
  <c r="Q87" i="2"/>
  <c r="R87" i="2" s="1"/>
  <c r="U87" i="2" s="1"/>
  <c r="Q82" i="2"/>
  <c r="R82" i="2" s="1"/>
  <c r="U82" i="2" s="1"/>
  <c r="Q83" i="2"/>
  <c r="R83" i="2" s="1"/>
  <c r="T83" i="2" s="1"/>
  <c r="Q84" i="2"/>
  <c r="R84" i="2" s="1"/>
  <c r="U84" i="2" s="1"/>
  <c r="Q80" i="2"/>
  <c r="R80" i="2" s="1"/>
  <c r="U80" i="2" s="1"/>
  <c r="Q76" i="2"/>
  <c r="R76" i="2" s="1"/>
  <c r="U76" i="2" s="1"/>
  <c r="Q85" i="2"/>
  <c r="R85" i="2" s="1"/>
  <c r="U85" i="2" s="1"/>
  <c r="Q81" i="2"/>
  <c r="R81" i="2" s="1"/>
  <c r="U81" i="2" s="1"/>
  <c r="O49" i="2"/>
  <c r="Q49" i="2" s="1"/>
  <c r="R49" i="2" s="1"/>
  <c r="U49" i="2" s="1"/>
  <c r="O58" i="2"/>
  <c r="Q58" i="2" s="1"/>
  <c r="R58" i="2" s="1"/>
  <c r="U58" i="2" s="1"/>
  <c r="O30" i="2"/>
  <c r="Q30" i="2" s="1"/>
  <c r="R30" i="2" s="1"/>
  <c r="T30" i="2" s="1"/>
  <c r="O26" i="2"/>
  <c r="Q26" i="2" s="1"/>
  <c r="R26" i="2" s="1"/>
  <c r="O22" i="2"/>
  <c r="Q22" i="2" s="1"/>
  <c r="R22" i="2" s="1"/>
  <c r="O50" i="2"/>
  <c r="Q50" i="2" s="1"/>
  <c r="R50" i="2" s="1"/>
  <c r="O46" i="2"/>
  <c r="Q46" i="2" s="1"/>
  <c r="R46" i="2" s="1"/>
  <c r="U46" i="2" s="1"/>
  <c r="O48" i="2"/>
  <c r="Q48" i="2" s="1"/>
  <c r="R48" i="2" s="1"/>
  <c r="O39" i="2"/>
  <c r="Q39" i="2" s="1"/>
  <c r="R39" i="2" s="1"/>
  <c r="U39" i="2" s="1"/>
  <c r="O31" i="2"/>
  <c r="Q31" i="2" s="1"/>
  <c r="R31" i="2" s="1"/>
  <c r="T31" i="2" s="1"/>
  <c r="O27" i="2"/>
  <c r="Q27" i="2" s="1"/>
  <c r="R27" i="2" s="1"/>
  <c r="O23" i="2"/>
  <c r="Q23" i="2" s="1"/>
  <c r="R23" i="2" s="1"/>
  <c r="O47" i="2"/>
  <c r="Q47" i="2" s="1"/>
  <c r="R47" i="2" s="1"/>
  <c r="S47" i="2" s="1"/>
  <c r="O40" i="2"/>
  <c r="Q40" i="2" s="1"/>
  <c r="R40" i="2" s="1"/>
  <c r="U40" i="2" s="1"/>
  <c r="O45" i="2"/>
  <c r="Q45" i="2" s="1"/>
  <c r="R45" i="2" s="1"/>
  <c r="U45" i="2" s="1"/>
  <c r="O35" i="2"/>
  <c r="Q35" i="2" s="1"/>
  <c r="R35" i="2" s="1"/>
  <c r="O43" i="2"/>
  <c r="Q43" i="2" s="1"/>
  <c r="R43" i="2" s="1"/>
  <c r="O44" i="2"/>
  <c r="Q44" i="2" s="1"/>
  <c r="R44" i="2" s="1"/>
  <c r="O38" i="2"/>
  <c r="Q38" i="2" s="1"/>
  <c r="R38" i="2" s="1"/>
  <c r="O32" i="2"/>
  <c r="Q32" i="2" s="1"/>
  <c r="R32" i="2" s="1"/>
  <c r="U32" i="2" s="1"/>
  <c r="O28" i="2"/>
  <c r="Q28" i="2" s="1"/>
  <c r="R28" i="2" s="1"/>
  <c r="T28" i="2" s="1"/>
  <c r="O24" i="2"/>
  <c r="Q24" i="2" s="1"/>
  <c r="R24" i="2" s="1"/>
  <c r="O20" i="2"/>
  <c r="Q20" i="2" s="1"/>
  <c r="R20" i="2" s="1"/>
  <c r="U20" i="2" s="1"/>
  <c r="O41" i="2"/>
  <c r="Q41" i="2" s="1"/>
  <c r="R41" i="2" s="1"/>
  <c r="U41" i="2" s="1"/>
  <c r="O36" i="2"/>
  <c r="Q36" i="2" s="1"/>
  <c r="R36" i="2" s="1"/>
  <c r="O19" i="2"/>
  <c r="Q19" i="2" s="1"/>
  <c r="R19" i="2" s="1"/>
  <c r="O33" i="2"/>
  <c r="Q33" i="2" s="1"/>
  <c r="R33" i="2" s="1"/>
  <c r="T33" i="2" s="1"/>
  <c r="O29" i="2"/>
  <c r="Q29" i="2" s="1"/>
  <c r="R29" i="2" s="1"/>
  <c r="O25" i="2"/>
  <c r="Q25" i="2" s="1"/>
  <c r="R25" i="2" s="1"/>
  <c r="O21" i="2"/>
  <c r="Q21" i="2" s="1"/>
  <c r="R21" i="2" s="1"/>
  <c r="O42" i="2"/>
  <c r="Q42" i="2" s="1"/>
  <c r="R42" i="2" s="1"/>
  <c r="U42" i="2" s="1"/>
  <c r="O37" i="2"/>
  <c r="Q37" i="2" s="1"/>
  <c r="R37" i="2" s="1"/>
  <c r="T37" i="2" s="1"/>
  <c r="Q15" i="2"/>
  <c r="R15" i="2" s="1"/>
  <c r="U15" i="2" s="1"/>
  <c r="Q11" i="2"/>
  <c r="R11" i="2" s="1"/>
  <c r="T11" i="2" s="1"/>
  <c r="Q56" i="2"/>
  <c r="R56" i="2" s="1"/>
  <c r="U56" i="2" s="1"/>
  <c r="Q52" i="2"/>
  <c r="R52" i="2" s="1"/>
  <c r="U52" i="2" s="1"/>
  <c r="Q57" i="2"/>
  <c r="R57" i="2" s="1"/>
  <c r="U57" i="2" s="1"/>
  <c r="Q53" i="2"/>
  <c r="R53" i="2" s="1"/>
  <c r="U53" i="2" s="1"/>
  <c r="Q54" i="2"/>
  <c r="R54" i="2" s="1"/>
  <c r="U54" i="2" s="1"/>
  <c r="Q16" i="2"/>
  <c r="R16" i="2" s="1"/>
  <c r="T16" i="2" s="1"/>
  <c r="Q12" i="2"/>
  <c r="R12" i="2" s="1"/>
  <c r="T12" i="2" s="1"/>
  <c r="Q55" i="2"/>
  <c r="R55" i="2" s="1"/>
  <c r="U55" i="2" s="1"/>
  <c r="Q51" i="2"/>
  <c r="R51" i="2" s="1"/>
  <c r="T51" i="2" s="1"/>
  <c r="R774" i="2"/>
  <c r="U774" i="2" s="1"/>
  <c r="R654" i="2"/>
  <c r="U654" i="2" s="1"/>
  <c r="Q17" i="2"/>
  <c r="R17" i="2" s="1"/>
  <c r="T17" i="2" s="1"/>
  <c r="Q13" i="2"/>
  <c r="R13" i="2" s="1"/>
  <c r="U13" i="2" s="1"/>
  <c r="Q18" i="2"/>
  <c r="R18" i="2" s="1"/>
  <c r="S18" i="2" s="1"/>
  <c r="Q14" i="2"/>
  <c r="R14" i="2" s="1"/>
  <c r="Q34" i="2"/>
  <c r="R34" i="2" s="1"/>
  <c r="R979" i="2"/>
  <c r="T979" i="2" s="1"/>
  <c r="R997" i="2"/>
  <c r="U997" i="2" s="1"/>
  <c r="R813" i="2"/>
  <c r="U813" i="2" s="1"/>
  <c r="R429" i="2"/>
  <c r="U429" i="2" s="1"/>
  <c r="R273" i="2"/>
  <c r="U273" i="2" s="1"/>
  <c r="R133" i="2"/>
  <c r="U133" i="2" s="1"/>
  <c r="L2" i="2"/>
  <c r="Q10" i="2"/>
  <c r="S938" i="2" l="1"/>
  <c r="T938" i="2"/>
  <c r="S970" i="2"/>
  <c r="U906" i="2"/>
  <c r="T906" i="2"/>
  <c r="T556" i="2"/>
  <c r="T860" i="2"/>
  <c r="T636" i="2"/>
  <c r="T890" i="2"/>
  <c r="S954" i="2"/>
  <c r="T954" i="2"/>
  <c r="T970" i="2"/>
  <c r="U300" i="2"/>
  <c r="T300" i="2"/>
  <c r="T380" i="2"/>
  <c r="S906" i="2"/>
  <c r="S922" i="2"/>
  <c r="S986" i="2"/>
  <c r="T922" i="2"/>
  <c r="T986" i="2"/>
  <c r="T926" i="2"/>
  <c r="S682" i="2"/>
  <c r="S894" i="2"/>
  <c r="T974" i="2"/>
  <c r="T942" i="2"/>
  <c r="S990" i="2"/>
  <c r="S910" i="2"/>
  <c r="S934" i="2"/>
  <c r="T768" i="2"/>
  <c r="S176" i="2"/>
  <c r="T958" i="2"/>
  <c r="T944" i="2"/>
  <c r="S170" i="2"/>
  <c r="T634" i="2"/>
  <c r="T894" i="2"/>
  <c r="T910" i="2"/>
  <c r="S926" i="2"/>
  <c r="S942" i="2"/>
  <c r="S958" i="2"/>
  <c r="S974" i="2"/>
  <c r="T990" i="2"/>
  <c r="S334" i="2"/>
  <c r="S918" i="2"/>
  <c r="S950" i="2"/>
  <c r="T902" i="2"/>
  <c r="S202" i="2"/>
  <c r="S394" i="2"/>
  <c r="T64" i="2"/>
  <c r="T192" i="2"/>
  <c r="S448" i="2"/>
  <c r="S858" i="2"/>
  <c r="T898" i="2"/>
  <c r="T946" i="2"/>
  <c r="T784" i="2"/>
  <c r="T896" i="2"/>
  <c r="T962" i="2"/>
  <c r="S522" i="2"/>
  <c r="S144" i="2"/>
  <c r="S320" i="2"/>
  <c r="S576" i="2"/>
  <c r="S930" i="2"/>
  <c r="S994" i="2"/>
  <c r="T816" i="2"/>
  <c r="T928" i="2"/>
  <c r="S330" i="2"/>
  <c r="S266" i="2"/>
  <c r="S458" i="2"/>
  <c r="T96" i="2"/>
  <c r="T800" i="2"/>
  <c r="T912" i="2"/>
  <c r="S206" i="2"/>
  <c r="S622" i="2"/>
  <c r="S914" i="2"/>
  <c r="T930" i="2"/>
  <c r="T994" i="2"/>
  <c r="S898" i="2"/>
  <c r="S946" i="2"/>
  <c r="T978" i="2"/>
  <c r="S962" i="2"/>
  <c r="T62" i="2"/>
  <c r="T212" i="2"/>
  <c r="T914" i="2"/>
  <c r="S978" i="2"/>
  <c r="T290" i="2"/>
  <c r="S966" i="2"/>
  <c r="S146" i="2"/>
  <c r="T386" i="2"/>
  <c r="T530" i="2"/>
  <c r="S642" i="2"/>
  <c r="T918" i="2"/>
  <c r="T934" i="2"/>
  <c r="T950" i="2"/>
  <c r="T770" i="2"/>
  <c r="T966" i="2"/>
  <c r="T982" i="2"/>
  <c r="T998" i="2"/>
  <c r="S902" i="2"/>
  <c r="S982" i="2"/>
  <c r="S998" i="2"/>
  <c r="T140" i="2"/>
  <c r="T268" i="2"/>
  <c r="T348" i="2"/>
  <c r="T444" i="2"/>
  <c r="T524" i="2"/>
  <c r="T604" i="2"/>
  <c r="S854" i="2"/>
  <c r="T764" i="2"/>
  <c r="T988" i="2"/>
  <c r="T252" i="2"/>
  <c r="T428" i="2"/>
  <c r="T508" i="2"/>
  <c r="T684" i="2"/>
  <c r="S806" i="2"/>
  <c r="T732" i="2"/>
  <c r="T92" i="2"/>
  <c r="T172" i="2"/>
  <c r="T220" i="2"/>
  <c r="T316" i="2"/>
  <c r="T396" i="2"/>
  <c r="T476" i="2"/>
  <c r="T572" i="2"/>
  <c r="T652" i="2"/>
  <c r="S890" i="2"/>
  <c r="T892" i="2"/>
  <c r="S754" i="2"/>
  <c r="T834" i="2"/>
  <c r="T712" i="2"/>
  <c r="T354" i="2"/>
  <c r="S610" i="2"/>
  <c r="T82" i="2"/>
  <c r="S194" i="2"/>
  <c r="S242" i="2"/>
  <c r="S418" i="2"/>
  <c r="S514" i="2"/>
  <c r="S594" i="2"/>
  <c r="S706" i="2"/>
  <c r="S818" i="2"/>
  <c r="T114" i="2"/>
  <c r="T434" i="2"/>
  <c r="T66" i="2"/>
  <c r="S210" i="2"/>
  <c r="S482" i="2"/>
  <c r="S562" i="2"/>
  <c r="T760" i="2"/>
  <c r="T968" i="2"/>
  <c r="T662" i="2"/>
  <c r="T726" i="2"/>
  <c r="S822" i="2"/>
  <c r="S886" i="2"/>
  <c r="T840" i="2"/>
  <c r="T888" i="2"/>
  <c r="S758" i="2"/>
  <c r="T728" i="2"/>
  <c r="T872" i="2"/>
  <c r="T984" i="2"/>
  <c r="T678" i="2"/>
  <c r="T742" i="2"/>
  <c r="S790" i="2"/>
  <c r="T744" i="2"/>
  <c r="T856" i="2"/>
  <c r="T1000" i="2"/>
  <c r="T446" i="2"/>
  <c r="S192" i="2"/>
  <c r="S416" i="2"/>
  <c r="T464" i="2"/>
  <c r="S544" i="2"/>
  <c r="T592" i="2"/>
  <c r="S672" i="2"/>
  <c r="S503" i="2"/>
  <c r="S704" i="2"/>
  <c r="S784" i="2"/>
  <c r="S816" i="2"/>
  <c r="S912" i="2"/>
  <c r="S944" i="2"/>
  <c r="S960" i="2"/>
  <c r="S138" i="2"/>
  <c r="T124" i="2"/>
  <c r="T208" i="2"/>
  <c r="T304" i="2"/>
  <c r="T412" i="2"/>
  <c r="T492" i="2"/>
  <c r="T588" i="2"/>
  <c r="T688" i="2"/>
  <c r="S780" i="2"/>
  <c r="T828" i="2"/>
  <c r="S940" i="2"/>
  <c r="S78" i="2"/>
  <c r="S64" i="2"/>
  <c r="S288" i="2"/>
  <c r="T336" i="2"/>
  <c r="S800" i="2"/>
  <c r="S832" i="2"/>
  <c r="S928" i="2"/>
  <c r="S74" i="2"/>
  <c r="T318" i="2"/>
  <c r="S554" i="2"/>
  <c r="T52" i="2"/>
  <c r="T80" i="2"/>
  <c r="S160" i="2"/>
  <c r="T188" i="2"/>
  <c r="T236" i="2"/>
  <c r="T284" i="2"/>
  <c r="T332" i="2"/>
  <c r="T364" i="2"/>
  <c r="T432" i="2"/>
  <c r="T460" i="2"/>
  <c r="T540" i="2"/>
  <c r="T560" i="2"/>
  <c r="T620" i="2"/>
  <c r="T668" i="2"/>
  <c r="S846" i="2"/>
  <c r="T874" i="2"/>
  <c r="T700" i="2"/>
  <c r="T796" i="2"/>
  <c r="S812" i="2"/>
  <c r="S908" i="2"/>
  <c r="T924" i="2"/>
  <c r="T956" i="2"/>
  <c r="T190" i="2"/>
  <c r="S298" i="2"/>
  <c r="S426" i="2"/>
  <c r="S462" i="2"/>
  <c r="S598" i="2"/>
  <c r="S52" i="2"/>
  <c r="T76" i="2"/>
  <c r="T108" i="2"/>
  <c r="T156" i="2"/>
  <c r="T176" i="2"/>
  <c r="T204" i="2"/>
  <c r="T224" i="2"/>
  <c r="S272" i="2"/>
  <c r="S304" i="2"/>
  <c r="T320" i="2"/>
  <c r="T352" i="2"/>
  <c r="S400" i="2"/>
  <c r="S432" i="2"/>
  <c r="T448" i="2"/>
  <c r="T480" i="2"/>
  <c r="S528" i="2"/>
  <c r="S560" i="2"/>
  <c r="T576" i="2"/>
  <c r="T608" i="2"/>
  <c r="S656" i="2"/>
  <c r="S688" i="2"/>
  <c r="T694" i="2"/>
  <c r="S794" i="2"/>
  <c r="S870" i="2"/>
  <c r="T696" i="2"/>
  <c r="S716" i="2"/>
  <c r="S748" i="2"/>
  <c r="T776" i="2"/>
  <c r="T792" i="2"/>
  <c r="T808" i="2"/>
  <c r="T824" i="2"/>
  <c r="S844" i="2"/>
  <c r="S876" i="2"/>
  <c r="T904" i="2"/>
  <c r="T920" i="2"/>
  <c r="T936" i="2"/>
  <c r="T952" i="2"/>
  <c r="S972" i="2"/>
  <c r="T98" i="2"/>
  <c r="S162" i="2"/>
  <c r="T178" i="2"/>
  <c r="S226" i="2"/>
  <c r="T274" i="2"/>
  <c r="T322" i="2"/>
  <c r="T370" i="2"/>
  <c r="S466" i="2"/>
  <c r="T468" i="2"/>
  <c r="S658" i="2"/>
  <c r="T690" i="2"/>
  <c r="S722" i="2"/>
  <c r="T738" i="2"/>
  <c r="T786" i="2"/>
  <c r="T802" i="2"/>
  <c r="S850" i="2"/>
  <c r="S882" i="2"/>
  <c r="T772" i="2"/>
  <c r="S98" i="2"/>
  <c r="S130" i="2"/>
  <c r="T146" i="2"/>
  <c r="S178" i="2"/>
  <c r="T194" i="2"/>
  <c r="T210" i="2"/>
  <c r="T242" i="2"/>
  <c r="S274" i="2"/>
  <c r="S322" i="2"/>
  <c r="S338" i="2"/>
  <c r="S370" i="2"/>
  <c r="T418" i="2"/>
  <c r="T482" i="2"/>
  <c r="T514" i="2"/>
  <c r="S546" i="2"/>
  <c r="T562" i="2"/>
  <c r="T594" i="2"/>
  <c r="T626" i="2"/>
  <c r="T340" i="2"/>
  <c r="T642" i="2"/>
  <c r="S674" i="2"/>
  <c r="S690" i="2"/>
  <c r="T706" i="2"/>
  <c r="S738" i="2"/>
  <c r="T754" i="2"/>
  <c r="S786" i="2"/>
  <c r="S802" i="2"/>
  <c r="T818" i="2"/>
  <c r="S66" i="2"/>
  <c r="S82" i="2"/>
  <c r="S114" i="2"/>
  <c r="T162" i="2"/>
  <c r="T226" i="2"/>
  <c r="T258" i="2"/>
  <c r="S290" i="2"/>
  <c r="T306" i="2"/>
  <c r="S354" i="2"/>
  <c r="S386" i="2"/>
  <c r="T402" i="2"/>
  <c r="S434" i="2"/>
  <c r="T450" i="2"/>
  <c r="T466" i="2"/>
  <c r="T498" i="2"/>
  <c r="S530" i="2"/>
  <c r="T578" i="2"/>
  <c r="T610" i="2"/>
  <c r="T84" i="2"/>
  <c r="T596" i="2"/>
  <c r="T658" i="2"/>
  <c r="T722" i="2"/>
  <c r="S770" i="2"/>
  <c r="S834" i="2"/>
  <c r="T850" i="2"/>
  <c r="T866" i="2"/>
  <c r="T882" i="2"/>
  <c r="T900" i="2"/>
  <c r="T130" i="2"/>
  <c r="S258" i="2"/>
  <c r="S306" i="2"/>
  <c r="T338" i="2"/>
  <c r="S402" i="2"/>
  <c r="S450" i="2"/>
  <c r="S498" i="2"/>
  <c r="T546" i="2"/>
  <c r="S578" i="2"/>
  <c r="S626" i="2"/>
  <c r="T674" i="2"/>
  <c r="S866" i="2"/>
  <c r="U44" i="2"/>
  <c r="T44" i="2"/>
  <c r="U48" i="2"/>
  <c r="T48" i="2"/>
  <c r="U50" i="2"/>
  <c r="S50" i="2"/>
  <c r="T50" i="2"/>
  <c r="S94" i="2"/>
  <c r="S222" i="2"/>
  <c r="S350" i="2"/>
  <c r="S478" i="2"/>
  <c r="T116" i="2"/>
  <c r="T372" i="2"/>
  <c r="T750" i="2"/>
  <c r="T884" i="2"/>
  <c r="S80" i="2"/>
  <c r="S96" i="2"/>
  <c r="T112" i="2"/>
  <c r="T128" i="2"/>
  <c r="T148" i="2"/>
  <c r="S208" i="2"/>
  <c r="S224" i="2"/>
  <c r="T240" i="2"/>
  <c r="T256" i="2"/>
  <c r="T276" i="2"/>
  <c r="S336" i="2"/>
  <c r="S352" i="2"/>
  <c r="T368" i="2"/>
  <c r="T384" i="2"/>
  <c r="T404" i="2"/>
  <c r="S464" i="2"/>
  <c r="S480" i="2"/>
  <c r="T496" i="2"/>
  <c r="T512" i="2"/>
  <c r="T532" i="2"/>
  <c r="S592" i="2"/>
  <c r="S608" i="2"/>
  <c r="T624" i="2"/>
  <c r="T640" i="2"/>
  <c r="S660" i="2"/>
  <c r="T558" i="2"/>
  <c r="T666" i="2"/>
  <c r="T718" i="2"/>
  <c r="T730" i="2"/>
  <c r="S746" i="2"/>
  <c r="S708" i="2"/>
  <c r="T720" i="2"/>
  <c r="T736" i="2"/>
  <c r="T752" i="2"/>
  <c r="S768" i="2"/>
  <c r="T836" i="2"/>
  <c r="T848" i="2"/>
  <c r="T864" i="2"/>
  <c r="T880" i="2"/>
  <c r="S896" i="2"/>
  <c r="T964" i="2"/>
  <c r="T976" i="2"/>
  <c r="T992" i="2"/>
  <c r="T244" i="2"/>
  <c r="T500" i="2"/>
  <c r="T628" i="2"/>
  <c r="T590" i="2"/>
  <c r="T670" i="2"/>
  <c r="S702" i="2"/>
  <c r="T756" i="2"/>
  <c r="S106" i="2"/>
  <c r="S234" i="2"/>
  <c r="S362" i="2"/>
  <c r="S490" i="2"/>
  <c r="S42" i="2"/>
  <c r="T174" i="2"/>
  <c r="T302" i="2"/>
  <c r="T430" i="2"/>
  <c r="S112" i="2"/>
  <c r="S128" i="2"/>
  <c r="T144" i="2"/>
  <c r="T160" i="2"/>
  <c r="T180" i="2"/>
  <c r="S240" i="2"/>
  <c r="S256" i="2"/>
  <c r="T272" i="2"/>
  <c r="T288" i="2"/>
  <c r="T308" i="2"/>
  <c r="S368" i="2"/>
  <c r="S384" i="2"/>
  <c r="T400" i="2"/>
  <c r="T416" i="2"/>
  <c r="T436" i="2"/>
  <c r="S496" i="2"/>
  <c r="S512" i="2"/>
  <c r="T528" i="2"/>
  <c r="T544" i="2"/>
  <c r="T564" i="2"/>
  <c r="S624" i="2"/>
  <c r="S640" i="2"/>
  <c r="T656" i="2"/>
  <c r="T672" i="2"/>
  <c r="S692" i="2"/>
  <c r="T798" i="2"/>
  <c r="T810" i="2"/>
  <c r="T830" i="2"/>
  <c r="S878" i="2"/>
  <c r="T704" i="2"/>
  <c r="S720" i="2"/>
  <c r="S736" i="2"/>
  <c r="S752" i="2"/>
  <c r="T820" i="2"/>
  <c r="T832" i="2"/>
  <c r="S848" i="2"/>
  <c r="S864" i="2"/>
  <c r="S880" i="2"/>
  <c r="T948" i="2"/>
  <c r="T960" i="2"/>
  <c r="S976" i="2"/>
  <c r="S992" i="2"/>
  <c r="S62" i="2"/>
  <c r="T142" i="2"/>
  <c r="T158" i="2"/>
  <c r="S174" i="2"/>
  <c r="S190" i="2"/>
  <c r="T270" i="2"/>
  <c r="T286" i="2"/>
  <c r="S302" i="2"/>
  <c r="S318" i="2"/>
  <c r="T398" i="2"/>
  <c r="T414" i="2"/>
  <c r="S430" i="2"/>
  <c r="S446" i="2"/>
  <c r="T526" i="2"/>
  <c r="T542" i="2"/>
  <c r="T630" i="2"/>
  <c r="S48" i="2"/>
  <c r="S76" i="2"/>
  <c r="S84" i="2"/>
  <c r="S108" i="2"/>
  <c r="S116" i="2"/>
  <c r="S140" i="2"/>
  <c r="S148" i="2"/>
  <c r="S172" i="2"/>
  <c r="S180" i="2"/>
  <c r="S204" i="2"/>
  <c r="S212" i="2"/>
  <c r="S236" i="2"/>
  <c r="S244" i="2"/>
  <c r="S268" i="2"/>
  <c r="S276" i="2"/>
  <c r="S300" i="2"/>
  <c r="S308" i="2"/>
  <c r="S332" i="2"/>
  <c r="S340" i="2"/>
  <c r="S364" i="2"/>
  <c r="S372" i="2"/>
  <c r="S396" i="2"/>
  <c r="S404" i="2"/>
  <c r="S428" i="2"/>
  <c r="S436" i="2"/>
  <c r="S460" i="2"/>
  <c r="S468" i="2"/>
  <c r="S492" i="2"/>
  <c r="S500" i="2"/>
  <c r="S524" i="2"/>
  <c r="S532" i="2"/>
  <c r="S556" i="2"/>
  <c r="S564" i="2"/>
  <c r="S588" i="2"/>
  <c r="S596" i="2"/>
  <c r="S620" i="2"/>
  <c r="S628" i="2"/>
  <c r="S652" i="2"/>
  <c r="T660" i="2"/>
  <c r="S684" i="2"/>
  <c r="T692" i="2"/>
  <c r="S558" i="2"/>
  <c r="S590" i="2"/>
  <c r="T622" i="2"/>
  <c r="S654" i="2"/>
  <c r="S686" i="2"/>
  <c r="T702" i="2"/>
  <c r="T710" i="2"/>
  <c r="S734" i="2"/>
  <c r="T782" i="2"/>
  <c r="T814" i="2"/>
  <c r="S830" i="2"/>
  <c r="S838" i="2"/>
  <c r="S862" i="2"/>
  <c r="S700" i="2"/>
  <c r="T708" i="2"/>
  <c r="T716" i="2"/>
  <c r="S724" i="2"/>
  <c r="S764" i="2"/>
  <c r="S772" i="2"/>
  <c r="T780" i="2"/>
  <c r="S788" i="2"/>
  <c r="S828" i="2"/>
  <c r="S836" i="2"/>
  <c r="T844" i="2"/>
  <c r="S852" i="2"/>
  <c r="S892" i="2"/>
  <c r="S900" i="2"/>
  <c r="T908" i="2"/>
  <c r="S916" i="2"/>
  <c r="S956" i="2"/>
  <c r="S964" i="2"/>
  <c r="T972" i="2"/>
  <c r="S980" i="2"/>
  <c r="T110" i="2"/>
  <c r="T126" i="2"/>
  <c r="S142" i="2"/>
  <c r="S158" i="2"/>
  <c r="T238" i="2"/>
  <c r="T254" i="2"/>
  <c r="S270" i="2"/>
  <c r="S286" i="2"/>
  <c r="T366" i="2"/>
  <c r="T382" i="2"/>
  <c r="S398" i="2"/>
  <c r="S414" i="2"/>
  <c r="T494" i="2"/>
  <c r="T510" i="2"/>
  <c r="S526" i="2"/>
  <c r="S542" i="2"/>
  <c r="T68" i="2"/>
  <c r="T100" i="2"/>
  <c r="T132" i="2"/>
  <c r="T164" i="2"/>
  <c r="T196" i="2"/>
  <c r="T228" i="2"/>
  <c r="T260" i="2"/>
  <c r="T292" i="2"/>
  <c r="T324" i="2"/>
  <c r="T356" i="2"/>
  <c r="T388" i="2"/>
  <c r="T420" i="2"/>
  <c r="T452" i="2"/>
  <c r="T484" i="2"/>
  <c r="T516" i="2"/>
  <c r="T548" i="2"/>
  <c r="T580" i="2"/>
  <c r="T612" i="2"/>
  <c r="S644" i="2"/>
  <c r="S676" i="2"/>
  <c r="T574" i="2"/>
  <c r="S606" i="2"/>
  <c r="S638" i="2"/>
  <c r="T654" i="2"/>
  <c r="T686" i="2"/>
  <c r="T734" i="2"/>
  <c r="T766" i="2"/>
  <c r="S782" i="2"/>
  <c r="S814" i="2"/>
  <c r="T862" i="2"/>
  <c r="T724" i="2"/>
  <c r="S740" i="2"/>
  <c r="T788" i="2"/>
  <c r="S804" i="2"/>
  <c r="T852" i="2"/>
  <c r="S868" i="2"/>
  <c r="T916" i="2"/>
  <c r="S932" i="2"/>
  <c r="T980" i="2"/>
  <c r="S996" i="2"/>
  <c r="T78" i="2"/>
  <c r="T94" i="2"/>
  <c r="S110" i="2"/>
  <c r="S126" i="2"/>
  <c r="T206" i="2"/>
  <c r="T222" i="2"/>
  <c r="S238" i="2"/>
  <c r="S254" i="2"/>
  <c r="T334" i="2"/>
  <c r="T350" i="2"/>
  <c r="S366" i="2"/>
  <c r="S382" i="2"/>
  <c r="T462" i="2"/>
  <c r="T478" i="2"/>
  <c r="S494" i="2"/>
  <c r="S510" i="2"/>
  <c r="S566" i="2"/>
  <c r="S20" i="2"/>
  <c r="S68" i="2"/>
  <c r="S92" i="2"/>
  <c r="S100" i="2"/>
  <c r="S124" i="2"/>
  <c r="S132" i="2"/>
  <c r="S156" i="2"/>
  <c r="S164" i="2"/>
  <c r="S188" i="2"/>
  <c r="S196" i="2"/>
  <c r="S220" i="2"/>
  <c r="S228" i="2"/>
  <c r="S252" i="2"/>
  <c r="S260" i="2"/>
  <c r="S284" i="2"/>
  <c r="S292" i="2"/>
  <c r="S316" i="2"/>
  <c r="S324" i="2"/>
  <c r="S348" i="2"/>
  <c r="S356" i="2"/>
  <c r="S380" i="2"/>
  <c r="S388" i="2"/>
  <c r="S412" i="2"/>
  <c r="S420" i="2"/>
  <c r="S444" i="2"/>
  <c r="S452" i="2"/>
  <c r="S476" i="2"/>
  <c r="S484" i="2"/>
  <c r="S508" i="2"/>
  <c r="S516" i="2"/>
  <c r="S540" i="2"/>
  <c r="S548" i="2"/>
  <c r="S572" i="2"/>
  <c r="S580" i="2"/>
  <c r="S604" i="2"/>
  <c r="S612" i="2"/>
  <c r="S636" i="2"/>
  <c r="T644" i="2"/>
  <c r="S668" i="2"/>
  <c r="T676" i="2"/>
  <c r="S574" i="2"/>
  <c r="T606" i="2"/>
  <c r="T638" i="2"/>
  <c r="T646" i="2"/>
  <c r="S670" i="2"/>
  <c r="S718" i="2"/>
  <c r="S750" i="2"/>
  <c r="S766" i="2"/>
  <c r="S774" i="2"/>
  <c r="S798" i="2"/>
  <c r="T846" i="2"/>
  <c r="T878" i="2"/>
  <c r="S732" i="2"/>
  <c r="T740" i="2"/>
  <c r="T748" i="2"/>
  <c r="S756" i="2"/>
  <c r="S796" i="2"/>
  <c r="T804" i="2"/>
  <c r="T812" i="2"/>
  <c r="S820" i="2"/>
  <c r="S860" i="2"/>
  <c r="T868" i="2"/>
  <c r="T876" i="2"/>
  <c r="S884" i="2"/>
  <c r="S924" i="2"/>
  <c r="T932" i="2"/>
  <c r="T940" i="2"/>
  <c r="S948" i="2"/>
  <c r="S988" i="2"/>
  <c r="T996" i="2"/>
  <c r="U24" i="2"/>
  <c r="S24" i="2"/>
  <c r="S46" i="2"/>
  <c r="T20" i="2"/>
  <c r="S60" i="2"/>
  <c r="T46" i="2"/>
  <c r="S44" i="2"/>
  <c r="T60" i="2"/>
  <c r="U22" i="2"/>
  <c r="T22" i="2"/>
  <c r="T58" i="2"/>
  <c r="T90" i="2"/>
  <c r="T122" i="2"/>
  <c r="T154" i="2"/>
  <c r="T186" i="2"/>
  <c r="T218" i="2"/>
  <c r="T250" i="2"/>
  <c r="T282" i="2"/>
  <c r="T314" i="2"/>
  <c r="T346" i="2"/>
  <c r="T378" i="2"/>
  <c r="T410" i="2"/>
  <c r="T442" i="2"/>
  <c r="T618" i="2"/>
  <c r="S634" i="2"/>
  <c r="S375" i="2"/>
  <c r="S887" i="2"/>
  <c r="T682" i="2"/>
  <c r="S698" i="2"/>
  <c r="T746" i="2"/>
  <c r="T762" i="2"/>
  <c r="S810" i="2"/>
  <c r="T826" i="2"/>
  <c r="S874" i="2"/>
  <c r="S696" i="2"/>
  <c r="S712" i="2"/>
  <c r="S728" i="2"/>
  <c r="S744" i="2"/>
  <c r="S760" i="2"/>
  <c r="S776" i="2"/>
  <c r="S792" i="2"/>
  <c r="S808" i="2"/>
  <c r="S824" i="2"/>
  <c r="S840" i="2"/>
  <c r="S856" i="2"/>
  <c r="S872" i="2"/>
  <c r="S888" i="2"/>
  <c r="S904" i="2"/>
  <c r="S920" i="2"/>
  <c r="S936" i="2"/>
  <c r="S952" i="2"/>
  <c r="S968" i="2"/>
  <c r="S984" i="2"/>
  <c r="S1000" i="2"/>
  <c r="T474" i="2"/>
  <c r="T506" i="2"/>
  <c r="T538" i="2"/>
  <c r="T602" i="2"/>
  <c r="S58" i="2"/>
  <c r="S90" i="2"/>
  <c r="S122" i="2"/>
  <c r="S154" i="2"/>
  <c r="S186" i="2"/>
  <c r="S218" i="2"/>
  <c r="S250" i="2"/>
  <c r="S282" i="2"/>
  <c r="S314" i="2"/>
  <c r="S346" i="2"/>
  <c r="S378" i="2"/>
  <c r="S410" i="2"/>
  <c r="S442" i="2"/>
  <c r="S474" i="2"/>
  <c r="S506" i="2"/>
  <c r="S538" i="2"/>
  <c r="T570" i="2"/>
  <c r="T586" i="2"/>
  <c r="S602" i="2"/>
  <c r="S618" i="2"/>
  <c r="S40" i="2"/>
  <c r="T56" i="2"/>
  <c r="T72" i="2"/>
  <c r="T88" i="2"/>
  <c r="T104" i="2"/>
  <c r="T120" i="2"/>
  <c r="T136" i="2"/>
  <c r="T152" i="2"/>
  <c r="T168" i="2"/>
  <c r="T184" i="2"/>
  <c r="T200" i="2"/>
  <c r="T216" i="2"/>
  <c r="T232" i="2"/>
  <c r="T248" i="2"/>
  <c r="T264" i="2"/>
  <c r="T280" i="2"/>
  <c r="T296" i="2"/>
  <c r="T312" i="2"/>
  <c r="T328" i="2"/>
  <c r="T344" i="2"/>
  <c r="T360" i="2"/>
  <c r="T376" i="2"/>
  <c r="T392" i="2"/>
  <c r="T408" i="2"/>
  <c r="T424" i="2"/>
  <c r="T440" i="2"/>
  <c r="T456" i="2"/>
  <c r="T472" i="2"/>
  <c r="T488" i="2"/>
  <c r="T504" i="2"/>
  <c r="T520" i="2"/>
  <c r="T536" i="2"/>
  <c r="T552" i="2"/>
  <c r="T568" i="2"/>
  <c r="T584" i="2"/>
  <c r="T600" i="2"/>
  <c r="T616" i="2"/>
  <c r="T632" i="2"/>
  <c r="T648" i="2"/>
  <c r="T664" i="2"/>
  <c r="T680" i="2"/>
  <c r="S247" i="2"/>
  <c r="S759" i="2"/>
  <c r="S650" i="2"/>
  <c r="T698" i="2"/>
  <c r="S714" i="2"/>
  <c r="S762" i="2"/>
  <c r="T778" i="2"/>
  <c r="S826" i="2"/>
  <c r="T842" i="2"/>
  <c r="T42" i="2"/>
  <c r="T74" i="2"/>
  <c r="T106" i="2"/>
  <c r="T138" i="2"/>
  <c r="T170" i="2"/>
  <c r="T202" i="2"/>
  <c r="T234" i="2"/>
  <c r="T266" i="2"/>
  <c r="T298" i="2"/>
  <c r="T330" i="2"/>
  <c r="T362" i="2"/>
  <c r="T394" i="2"/>
  <c r="T426" i="2"/>
  <c r="T458" i="2"/>
  <c r="T490" i="2"/>
  <c r="T522" i="2"/>
  <c r="T554" i="2"/>
  <c r="S570" i="2"/>
  <c r="S586" i="2"/>
  <c r="T24" i="2"/>
  <c r="S56" i="2"/>
  <c r="S72" i="2"/>
  <c r="S88" i="2"/>
  <c r="S104" i="2"/>
  <c r="S120" i="2"/>
  <c r="S136" i="2"/>
  <c r="S152" i="2"/>
  <c r="S168" i="2"/>
  <c r="S184" i="2"/>
  <c r="S200" i="2"/>
  <c r="S216" i="2"/>
  <c r="S232" i="2"/>
  <c r="S248" i="2"/>
  <c r="S264" i="2"/>
  <c r="S280" i="2"/>
  <c r="S296" i="2"/>
  <c r="S312" i="2"/>
  <c r="S328" i="2"/>
  <c r="S344" i="2"/>
  <c r="S360" i="2"/>
  <c r="S376" i="2"/>
  <c r="S392" i="2"/>
  <c r="S408" i="2"/>
  <c r="S424" i="2"/>
  <c r="S440" i="2"/>
  <c r="S456" i="2"/>
  <c r="S472" i="2"/>
  <c r="S488" i="2"/>
  <c r="S504" i="2"/>
  <c r="S520" i="2"/>
  <c r="S536" i="2"/>
  <c r="S552" i="2"/>
  <c r="S568" i="2"/>
  <c r="S584" i="2"/>
  <c r="S600" i="2"/>
  <c r="S616" i="2"/>
  <c r="S632" i="2"/>
  <c r="S648" i="2"/>
  <c r="S664" i="2"/>
  <c r="S680" i="2"/>
  <c r="S119" i="2"/>
  <c r="S631" i="2"/>
  <c r="T650" i="2"/>
  <c r="S666" i="2"/>
  <c r="T714" i="2"/>
  <c r="S730" i="2"/>
  <c r="S778" i="2"/>
  <c r="T794" i="2"/>
  <c r="S842" i="2"/>
  <c r="T858" i="2"/>
  <c r="S15" i="2"/>
  <c r="S103" i="2"/>
  <c r="S231" i="2"/>
  <c r="S359" i="2"/>
  <c r="S487" i="2"/>
  <c r="S615" i="2"/>
  <c r="S743" i="2"/>
  <c r="S871" i="2"/>
  <c r="S999" i="2"/>
  <c r="S87" i="2"/>
  <c r="T135" i="2"/>
  <c r="S215" i="2"/>
  <c r="T263" i="2"/>
  <c r="S343" i="2"/>
  <c r="T391" i="2"/>
  <c r="S471" i="2"/>
  <c r="T519" i="2"/>
  <c r="S599" i="2"/>
  <c r="T647" i="2"/>
  <c r="S727" i="2"/>
  <c r="T775" i="2"/>
  <c r="S855" i="2"/>
  <c r="T903" i="2"/>
  <c r="S983" i="2"/>
  <c r="S43" i="2"/>
  <c r="U43" i="2"/>
  <c r="S59" i="2"/>
  <c r="U59" i="2"/>
  <c r="S75" i="2"/>
  <c r="U75" i="2"/>
  <c r="S91" i="2"/>
  <c r="U91" i="2"/>
  <c r="S107" i="2"/>
  <c r="U107" i="2"/>
  <c r="S123" i="2"/>
  <c r="U123" i="2"/>
  <c r="S139" i="2"/>
  <c r="U139" i="2"/>
  <c r="S155" i="2"/>
  <c r="U155" i="2"/>
  <c r="S171" i="2"/>
  <c r="U171" i="2"/>
  <c r="S187" i="2"/>
  <c r="U187" i="2"/>
  <c r="S203" i="2"/>
  <c r="U203" i="2"/>
  <c r="S219" i="2"/>
  <c r="U219" i="2"/>
  <c r="S235" i="2"/>
  <c r="U235" i="2"/>
  <c r="S251" i="2"/>
  <c r="U251" i="2"/>
  <c r="S267" i="2"/>
  <c r="U267" i="2"/>
  <c r="S283" i="2"/>
  <c r="U283" i="2"/>
  <c r="S299" i="2"/>
  <c r="U299" i="2"/>
  <c r="S315" i="2"/>
  <c r="U315" i="2"/>
  <c r="S331" i="2"/>
  <c r="U331" i="2"/>
  <c r="S347" i="2"/>
  <c r="U347" i="2"/>
  <c r="S363" i="2"/>
  <c r="U363" i="2"/>
  <c r="S379" i="2"/>
  <c r="U379" i="2"/>
  <c r="S395" i="2"/>
  <c r="U395" i="2"/>
  <c r="S411" i="2"/>
  <c r="U411" i="2"/>
  <c r="S427" i="2"/>
  <c r="U427" i="2"/>
  <c r="S443" i="2"/>
  <c r="U443" i="2"/>
  <c r="S459" i="2"/>
  <c r="U459" i="2"/>
  <c r="S475" i="2"/>
  <c r="U475" i="2"/>
  <c r="S491" i="2"/>
  <c r="U491" i="2"/>
  <c r="S507" i="2"/>
  <c r="U507" i="2"/>
  <c r="S523" i="2"/>
  <c r="U523" i="2"/>
  <c r="S539" i="2"/>
  <c r="U539" i="2"/>
  <c r="S555" i="2"/>
  <c r="U555" i="2"/>
  <c r="S571" i="2"/>
  <c r="U571" i="2"/>
  <c r="S587" i="2"/>
  <c r="U587" i="2"/>
  <c r="S603" i="2"/>
  <c r="U603" i="2"/>
  <c r="S619" i="2"/>
  <c r="U619" i="2"/>
  <c r="S635" i="2"/>
  <c r="U635" i="2"/>
  <c r="S651" i="2"/>
  <c r="U651" i="2"/>
  <c r="S667" i="2"/>
  <c r="U667" i="2"/>
  <c r="S683" i="2"/>
  <c r="U683" i="2"/>
  <c r="S699" i="2"/>
  <c r="U699" i="2"/>
  <c r="S715" i="2"/>
  <c r="U715" i="2"/>
  <c r="S731" i="2"/>
  <c r="U731" i="2"/>
  <c r="S747" i="2"/>
  <c r="U747" i="2"/>
  <c r="S763" i="2"/>
  <c r="U763" i="2"/>
  <c r="S779" i="2"/>
  <c r="U779" i="2"/>
  <c r="S795" i="2"/>
  <c r="U795" i="2"/>
  <c r="S811" i="2"/>
  <c r="U811" i="2"/>
  <c r="S827" i="2"/>
  <c r="U827" i="2"/>
  <c r="S843" i="2"/>
  <c r="U843" i="2"/>
  <c r="S859" i="2"/>
  <c r="U859" i="2"/>
  <c r="S875" i="2"/>
  <c r="U875" i="2"/>
  <c r="S891" i="2"/>
  <c r="U891" i="2"/>
  <c r="S907" i="2"/>
  <c r="U907" i="2"/>
  <c r="S923" i="2"/>
  <c r="U923" i="2"/>
  <c r="S939" i="2"/>
  <c r="U939" i="2"/>
  <c r="S955" i="2"/>
  <c r="U955" i="2"/>
  <c r="S971" i="2"/>
  <c r="U971" i="2"/>
  <c r="S987" i="2"/>
  <c r="U987" i="2"/>
  <c r="T566" i="2"/>
  <c r="T598" i="2"/>
  <c r="S630" i="2"/>
  <c r="T15" i="2"/>
  <c r="S71" i="2"/>
  <c r="T87" i="2"/>
  <c r="T103" i="2"/>
  <c r="T119" i="2"/>
  <c r="S199" i="2"/>
  <c r="T215" i="2"/>
  <c r="T231" i="2"/>
  <c r="T247" i="2"/>
  <c r="S327" i="2"/>
  <c r="T343" i="2"/>
  <c r="T359" i="2"/>
  <c r="T375" i="2"/>
  <c r="S455" i="2"/>
  <c r="T471" i="2"/>
  <c r="T487" i="2"/>
  <c r="T503" i="2"/>
  <c r="S583" i="2"/>
  <c r="T599" i="2"/>
  <c r="T615" i="2"/>
  <c r="T631" i="2"/>
  <c r="S711" i="2"/>
  <c r="T727" i="2"/>
  <c r="T743" i="2"/>
  <c r="T759" i="2"/>
  <c r="S839" i="2"/>
  <c r="T855" i="2"/>
  <c r="T871" i="2"/>
  <c r="T887" i="2"/>
  <c r="S967" i="2"/>
  <c r="T983" i="2"/>
  <c r="T999" i="2"/>
  <c r="S646" i="2"/>
  <c r="S662" i="2"/>
  <c r="S678" i="2"/>
  <c r="S694" i="2"/>
  <c r="S710" i="2"/>
  <c r="S726" i="2"/>
  <c r="S742" i="2"/>
  <c r="T758" i="2"/>
  <c r="T774" i="2"/>
  <c r="T790" i="2"/>
  <c r="T806" i="2"/>
  <c r="T822" i="2"/>
  <c r="T838" i="2"/>
  <c r="T854" i="2"/>
  <c r="T870" i="2"/>
  <c r="T886" i="2"/>
  <c r="S51" i="2"/>
  <c r="U51" i="2"/>
  <c r="S67" i="2"/>
  <c r="U67" i="2"/>
  <c r="S83" i="2"/>
  <c r="U83" i="2"/>
  <c r="S99" i="2"/>
  <c r="U99" i="2"/>
  <c r="S115" i="2"/>
  <c r="U115" i="2"/>
  <c r="S131" i="2"/>
  <c r="U131" i="2"/>
  <c r="S147" i="2"/>
  <c r="U147" i="2"/>
  <c r="S163" i="2"/>
  <c r="U163" i="2"/>
  <c r="S179" i="2"/>
  <c r="U179" i="2"/>
  <c r="S195" i="2"/>
  <c r="U195" i="2"/>
  <c r="S211" i="2"/>
  <c r="U211" i="2"/>
  <c r="S227" i="2"/>
  <c r="U227" i="2"/>
  <c r="S243" i="2"/>
  <c r="U243" i="2"/>
  <c r="S259" i="2"/>
  <c r="U259" i="2"/>
  <c r="S275" i="2"/>
  <c r="U275" i="2"/>
  <c r="S291" i="2"/>
  <c r="U291" i="2"/>
  <c r="S307" i="2"/>
  <c r="U307" i="2"/>
  <c r="S323" i="2"/>
  <c r="U323" i="2"/>
  <c r="S339" i="2"/>
  <c r="U339" i="2"/>
  <c r="S355" i="2"/>
  <c r="U355" i="2"/>
  <c r="S371" i="2"/>
  <c r="U371" i="2"/>
  <c r="S387" i="2"/>
  <c r="U387" i="2"/>
  <c r="S403" i="2"/>
  <c r="U403" i="2"/>
  <c r="S419" i="2"/>
  <c r="U419" i="2"/>
  <c r="S435" i="2"/>
  <c r="U435" i="2"/>
  <c r="S451" i="2"/>
  <c r="U451" i="2"/>
  <c r="S467" i="2"/>
  <c r="U467" i="2"/>
  <c r="S483" i="2"/>
  <c r="U483" i="2"/>
  <c r="S499" i="2"/>
  <c r="U499" i="2"/>
  <c r="S515" i="2"/>
  <c r="U515" i="2"/>
  <c r="S531" i="2"/>
  <c r="U531" i="2"/>
  <c r="S547" i="2"/>
  <c r="U547" i="2"/>
  <c r="S563" i="2"/>
  <c r="U563" i="2"/>
  <c r="S579" i="2"/>
  <c r="U579" i="2"/>
  <c r="S595" i="2"/>
  <c r="U595" i="2"/>
  <c r="S611" i="2"/>
  <c r="U611" i="2"/>
  <c r="S627" i="2"/>
  <c r="U627" i="2"/>
  <c r="S643" i="2"/>
  <c r="U643" i="2"/>
  <c r="S659" i="2"/>
  <c r="U659" i="2"/>
  <c r="S675" i="2"/>
  <c r="U675" i="2"/>
  <c r="S691" i="2"/>
  <c r="U691" i="2"/>
  <c r="S707" i="2"/>
  <c r="U707" i="2"/>
  <c r="S723" i="2"/>
  <c r="U723" i="2"/>
  <c r="S739" i="2"/>
  <c r="U739" i="2"/>
  <c r="S755" i="2"/>
  <c r="U755" i="2"/>
  <c r="S771" i="2"/>
  <c r="U771" i="2"/>
  <c r="S787" i="2"/>
  <c r="U787" i="2"/>
  <c r="S803" i="2"/>
  <c r="U803" i="2"/>
  <c r="S819" i="2"/>
  <c r="U819" i="2"/>
  <c r="S835" i="2"/>
  <c r="U835" i="2"/>
  <c r="S851" i="2"/>
  <c r="U851" i="2"/>
  <c r="S867" i="2"/>
  <c r="U867" i="2"/>
  <c r="S883" i="2"/>
  <c r="U883" i="2"/>
  <c r="S899" i="2"/>
  <c r="U899" i="2"/>
  <c r="S915" i="2"/>
  <c r="U915" i="2"/>
  <c r="S931" i="2"/>
  <c r="U931" i="2"/>
  <c r="S947" i="2"/>
  <c r="U947" i="2"/>
  <c r="S963" i="2"/>
  <c r="U963" i="2"/>
  <c r="S979" i="2"/>
  <c r="U979" i="2"/>
  <c r="S995" i="2"/>
  <c r="U995" i="2"/>
  <c r="T54" i="2"/>
  <c r="T70" i="2"/>
  <c r="T86" i="2"/>
  <c r="T102" i="2"/>
  <c r="T118" i="2"/>
  <c r="T134" i="2"/>
  <c r="T150" i="2"/>
  <c r="T166" i="2"/>
  <c r="T182" i="2"/>
  <c r="T198" i="2"/>
  <c r="T214" i="2"/>
  <c r="T230" i="2"/>
  <c r="T246" i="2"/>
  <c r="T262" i="2"/>
  <c r="T278" i="2"/>
  <c r="T294" i="2"/>
  <c r="T310" i="2"/>
  <c r="T326" i="2"/>
  <c r="T342" i="2"/>
  <c r="T358" i="2"/>
  <c r="T374" i="2"/>
  <c r="T390" i="2"/>
  <c r="T406" i="2"/>
  <c r="T422" i="2"/>
  <c r="T438" i="2"/>
  <c r="T454" i="2"/>
  <c r="T470" i="2"/>
  <c r="T486" i="2"/>
  <c r="T502" i="2"/>
  <c r="T518" i="2"/>
  <c r="T534" i="2"/>
  <c r="T550" i="2"/>
  <c r="T582" i="2"/>
  <c r="S614" i="2"/>
  <c r="T39" i="2"/>
  <c r="T55" i="2"/>
  <c r="S135" i="2"/>
  <c r="T151" i="2"/>
  <c r="T167" i="2"/>
  <c r="T183" i="2"/>
  <c r="S263" i="2"/>
  <c r="T279" i="2"/>
  <c r="T295" i="2"/>
  <c r="T311" i="2"/>
  <c r="S391" i="2"/>
  <c r="T407" i="2"/>
  <c r="T423" i="2"/>
  <c r="T439" i="2"/>
  <c r="S519" i="2"/>
  <c r="T535" i="2"/>
  <c r="T551" i="2"/>
  <c r="T567" i="2"/>
  <c r="S647" i="2"/>
  <c r="T663" i="2"/>
  <c r="T679" i="2"/>
  <c r="T695" i="2"/>
  <c r="S775" i="2"/>
  <c r="T791" i="2"/>
  <c r="T807" i="2"/>
  <c r="T823" i="2"/>
  <c r="S903" i="2"/>
  <c r="T919" i="2"/>
  <c r="T935" i="2"/>
  <c r="T951" i="2"/>
  <c r="T47" i="2"/>
  <c r="U47" i="2"/>
  <c r="S63" i="2"/>
  <c r="U63" i="2"/>
  <c r="S79" i="2"/>
  <c r="U79" i="2"/>
  <c r="S95" i="2"/>
  <c r="U95" i="2"/>
  <c r="T111" i="2"/>
  <c r="U111" i="2"/>
  <c r="S127" i="2"/>
  <c r="U127" i="2"/>
  <c r="S143" i="2"/>
  <c r="U143" i="2"/>
  <c r="S159" i="2"/>
  <c r="U159" i="2"/>
  <c r="T175" i="2"/>
  <c r="U175" i="2"/>
  <c r="S191" i="2"/>
  <c r="U191" i="2"/>
  <c r="S207" i="2"/>
  <c r="U207" i="2"/>
  <c r="S223" i="2"/>
  <c r="U223" i="2"/>
  <c r="T239" i="2"/>
  <c r="U239" i="2"/>
  <c r="S255" i="2"/>
  <c r="U255" i="2"/>
  <c r="S271" i="2"/>
  <c r="U271" i="2"/>
  <c r="S287" i="2"/>
  <c r="U287" i="2"/>
  <c r="T303" i="2"/>
  <c r="U303" i="2"/>
  <c r="S319" i="2"/>
  <c r="U319" i="2"/>
  <c r="S335" i="2"/>
  <c r="U335" i="2"/>
  <c r="S351" i="2"/>
  <c r="U351" i="2"/>
  <c r="T367" i="2"/>
  <c r="U367" i="2"/>
  <c r="S383" i="2"/>
  <c r="U383" i="2"/>
  <c r="S399" i="2"/>
  <c r="U399" i="2"/>
  <c r="S415" i="2"/>
  <c r="U415" i="2"/>
  <c r="T431" i="2"/>
  <c r="U431" i="2"/>
  <c r="S447" i="2"/>
  <c r="U447" i="2"/>
  <c r="S463" i="2"/>
  <c r="U463" i="2"/>
  <c r="S479" i="2"/>
  <c r="U479" i="2"/>
  <c r="T495" i="2"/>
  <c r="U495" i="2"/>
  <c r="S511" i="2"/>
  <c r="U511" i="2"/>
  <c r="S527" i="2"/>
  <c r="U527" i="2"/>
  <c r="S543" i="2"/>
  <c r="U543" i="2"/>
  <c r="T559" i="2"/>
  <c r="U559" i="2"/>
  <c r="S575" i="2"/>
  <c r="U575" i="2"/>
  <c r="S591" i="2"/>
  <c r="U591" i="2"/>
  <c r="S607" i="2"/>
  <c r="U607" i="2"/>
  <c r="T623" i="2"/>
  <c r="U623" i="2"/>
  <c r="S639" i="2"/>
  <c r="U639" i="2"/>
  <c r="S655" i="2"/>
  <c r="U655" i="2"/>
  <c r="S671" i="2"/>
  <c r="U671" i="2"/>
  <c r="T687" i="2"/>
  <c r="U687" i="2"/>
  <c r="S703" i="2"/>
  <c r="U703" i="2"/>
  <c r="S719" i="2"/>
  <c r="U719" i="2"/>
  <c r="S735" i="2"/>
  <c r="U735" i="2"/>
  <c r="T751" i="2"/>
  <c r="U751" i="2"/>
  <c r="S767" i="2"/>
  <c r="U767" i="2"/>
  <c r="S783" i="2"/>
  <c r="U783" i="2"/>
  <c r="S799" i="2"/>
  <c r="U799" i="2"/>
  <c r="T815" i="2"/>
  <c r="U815" i="2"/>
  <c r="S831" i="2"/>
  <c r="U831" i="2"/>
  <c r="S847" i="2"/>
  <c r="U847" i="2"/>
  <c r="S863" i="2"/>
  <c r="U863" i="2"/>
  <c r="T879" i="2"/>
  <c r="U879" i="2"/>
  <c r="S895" i="2"/>
  <c r="U895" i="2"/>
  <c r="S911" i="2"/>
  <c r="U911" i="2"/>
  <c r="S927" i="2"/>
  <c r="U927" i="2"/>
  <c r="T943" i="2"/>
  <c r="U943" i="2"/>
  <c r="S959" i="2"/>
  <c r="U959" i="2"/>
  <c r="S975" i="2"/>
  <c r="U975" i="2"/>
  <c r="S991" i="2"/>
  <c r="U991" i="2"/>
  <c r="S54" i="2"/>
  <c r="S70" i="2"/>
  <c r="S86" i="2"/>
  <c r="S102" i="2"/>
  <c r="S118" i="2"/>
  <c r="S134" i="2"/>
  <c r="S150" i="2"/>
  <c r="S166" i="2"/>
  <c r="S182" i="2"/>
  <c r="S198" i="2"/>
  <c r="S214" i="2"/>
  <c r="S230" i="2"/>
  <c r="S246" i="2"/>
  <c r="S262" i="2"/>
  <c r="S278" i="2"/>
  <c r="S294" i="2"/>
  <c r="S310" i="2"/>
  <c r="S326" i="2"/>
  <c r="S342" i="2"/>
  <c r="S358" i="2"/>
  <c r="S374" i="2"/>
  <c r="S390" i="2"/>
  <c r="S406" i="2"/>
  <c r="S422" i="2"/>
  <c r="S438" i="2"/>
  <c r="S454" i="2"/>
  <c r="S470" i="2"/>
  <c r="S486" i="2"/>
  <c r="S502" i="2"/>
  <c r="S518" i="2"/>
  <c r="S534" i="2"/>
  <c r="S550" i="2"/>
  <c r="S582" i="2"/>
  <c r="T614" i="2"/>
  <c r="S39" i="2"/>
  <c r="S55" i="2"/>
  <c r="T71" i="2"/>
  <c r="S151" i="2"/>
  <c r="S167" i="2"/>
  <c r="S183" i="2"/>
  <c r="T199" i="2"/>
  <c r="S279" i="2"/>
  <c r="S295" i="2"/>
  <c r="S311" i="2"/>
  <c r="T327" i="2"/>
  <c r="S407" i="2"/>
  <c r="S423" i="2"/>
  <c r="S439" i="2"/>
  <c r="T455" i="2"/>
  <c r="S535" i="2"/>
  <c r="S551" i="2"/>
  <c r="S567" i="2"/>
  <c r="T583" i="2"/>
  <c r="S663" i="2"/>
  <c r="S679" i="2"/>
  <c r="S695" i="2"/>
  <c r="T711" i="2"/>
  <c r="S791" i="2"/>
  <c r="S807" i="2"/>
  <c r="S823" i="2"/>
  <c r="T839" i="2"/>
  <c r="S919" i="2"/>
  <c r="S935" i="2"/>
  <c r="S951" i="2"/>
  <c r="T967" i="2"/>
  <c r="U29" i="2"/>
  <c r="S29" i="2"/>
  <c r="T29" i="2"/>
  <c r="T32" i="2"/>
  <c r="S22" i="2"/>
  <c r="S32" i="2"/>
  <c r="U38" i="2"/>
  <c r="S38" i="2"/>
  <c r="T38" i="2"/>
  <c r="U34" i="2"/>
  <c r="S34" i="2"/>
  <c r="T34" i="2"/>
  <c r="S21" i="2"/>
  <c r="U21" i="2"/>
  <c r="U35" i="2"/>
  <c r="S35" i="2"/>
  <c r="T35" i="2"/>
  <c r="U19" i="2"/>
  <c r="S19" i="2"/>
  <c r="T19" i="2"/>
  <c r="S14" i="2"/>
  <c r="U14" i="2"/>
  <c r="S23" i="2"/>
  <c r="U23" i="2"/>
  <c r="S36" i="2"/>
  <c r="U36" i="2"/>
  <c r="T26" i="2"/>
  <c r="U26" i="2"/>
  <c r="S17" i="2"/>
  <c r="U17" i="2"/>
  <c r="S33" i="2"/>
  <c r="U33" i="2"/>
  <c r="S28" i="2"/>
  <c r="U28" i="2"/>
  <c r="S26" i="2"/>
  <c r="T13" i="2"/>
  <c r="T36" i="2"/>
  <c r="S11" i="2"/>
  <c r="U11" i="2"/>
  <c r="S31" i="2"/>
  <c r="U31" i="2"/>
  <c r="T18" i="2"/>
  <c r="U18" i="2"/>
  <c r="S16" i="2"/>
  <c r="U16" i="2"/>
  <c r="S25" i="2"/>
  <c r="U25" i="2"/>
  <c r="S12" i="2"/>
  <c r="U12" i="2"/>
  <c r="S27" i="2"/>
  <c r="U27" i="2"/>
  <c r="S30" i="2"/>
  <c r="U30" i="2"/>
  <c r="S37" i="2"/>
  <c r="U37" i="2"/>
  <c r="S13" i="2"/>
  <c r="T25" i="2"/>
  <c r="T40" i="2"/>
  <c r="T23" i="2"/>
  <c r="T79" i="2"/>
  <c r="T143" i="2"/>
  <c r="T207" i="2"/>
  <c r="T271" i="2"/>
  <c r="T335" i="2"/>
  <c r="T399" i="2"/>
  <c r="T463" i="2"/>
  <c r="T527" i="2"/>
  <c r="T591" i="2"/>
  <c r="T655" i="2"/>
  <c r="T719" i="2"/>
  <c r="T783" i="2"/>
  <c r="T847" i="2"/>
  <c r="T911" i="2"/>
  <c r="T975" i="2"/>
  <c r="T14" i="2"/>
  <c r="T21" i="2"/>
  <c r="T27" i="2"/>
  <c r="T63" i="2"/>
  <c r="T127" i="2"/>
  <c r="T191" i="2"/>
  <c r="T255" i="2"/>
  <c r="T319" i="2"/>
  <c r="T383" i="2"/>
  <c r="T447" i="2"/>
  <c r="T511" i="2"/>
  <c r="T575" i="2"/>
  <c r="T639" i="2"/>
  <c r="T703" i="2"/>
  <c r="T767" i="2"/>
  <c r="T831" i="2"/>
  <c r="T895" i="2"/>
  <c r="T959" i="2"/>
  <c r="T43" i="2"/>
  <c r="T59" i="2"/>
  <c r="T75" i="2"/>
  <c r="T91" i="2"/>
  <c r="T107" i="2"/>
  <c r="T123" i="2"/>
  <c r="T139" i="2"/>
  <c r="T155" i="2"/>
  <c r="T171" i="2"/>
  <c r="T187" i="2"/>
  <c r="T203" i="2"/>
  <c r="T219" i="2"/>
  <c r="T235" i="2"/>
  <c r="T251" i="2"/>
  <c r="T267" i="2"/>
  <c r="T283" i="2"/>
  <c r="T299" i="2"/>
  <c r="T315" i="2"/>
  <c r="T331" i="2"/>
  <c r="T347" i="2"/>
  <c r="T363" i="2"/>
  <c r="T379" i="2"/>
  <c r="T395" i="2"/>
  <c r="T411" i="2"/>
  <c r="T427" i="2"/>
  <c r="T443" i="2"/>
  <c r="T459" i="2"/>
  <c r="T475" i="2"/>
  <c r="T491" i="2"/>
  <c r="T507" i="2"/>
  <c r="T523" i="2"/>
  <c r="T539" i="2"/>
  <c r="T555" i="2"/>
  <c r="T571" i="2"/>
  <c r="T587" i="2"/>
  <c r="T603" i="2"/>
  <c r="T619" i="2"/>
  <c r="T635" i="2"/>
  <c r="T651" i="2"/>
  <c r="T667" i="2"/>
  <c r="T683" i="2"/>
  <c r="T699" i="2"/>
  <c r="T715" i="2"/>
  <c r="T731" i="2"/>
  <c r="T747" i="2"/>
  <c r="T763" i="2"/>
  <c r="T779" i="2"/>
  <c r="T795" i="2"/>
  <c r="T811" i="2"/>
  <c r="T827" i="2"/>
  <c r="T843" i="2"/>
  <c r="T859" i="2"/>
  <c r="T875" i="2"/>
  <c r="T891" i="2"/>
  <c r="T907" i="2"/>
  <c r="T923" i="2"/>
  <c r="T939" i="2"/>
  <c r="T955" i="2"/>
  <c r="T971" i="2"/>
  <c r="T987" i="2"/>
  <c r="T45" i="2"/>
  <c r="S45" i="2"/>
  <c r="T77" i="2"/>
  <c r="S77" i="2"/>
  <c r="T125" i="2"/>
  <c r="S125" i="2"/>
  <c r="T141" i="2"/>
  <c r="S141" i="2"/>
  <c r="T189" i="2"/>
  <c r="S189" i="2"/>
  <c r="T205" i="2"/>
  <c r="S205" i="2"/>
  <c r="T253" i="2"/>
  <c r="S253" i="2"/>
  <c r="T301" i="2"/>
  <c r="S301" i="2"/>
  <c r="T317" i="2"/>
  <c r="S317" i="2"/>
  <c r="T333" i="2"/>
  <c r="S333" i="2"/>
  <c r="T381" i="2"/>
  <c r="S381" i="2"/>
  <c r="T397" i="2"/>
  <c r="S397" i="2"/>
  <c r="T413" i="2"/>
  <c r="S413" i="2"/>
  <c r="T445" i="2"/>
  <c r="S445" i="2"/>
  <c r="T477" i="2"/>
  <c r="S477" i="2"/>
  <c r="T493" i="2"/>
  <c r="S493" i="2"/>
  <c r="T509" i="2"/>
  <c r="S509" i="2"/>
  <c r="T525" i="2"/>
  <c r="S525" i="2"/>
  <c r="T549" i="2"/>
  <c r="S549" i="2"/>
  <c r="T573" i="2"/>
  <c r="S573" i="2"/>
  <c r="T593" i="2"/>
  <c r="S593" i="2"/>
  <c r="T613" i="2"/>
  <c r="S613" i="2"/>
  <c r="T637" i="2"/>
  <c r="S637" i="2"/>
  <c r="T657" i="2"/>
  <c r="S657" i="2"/>
  <c r="T533" i="2"/>
  <c r="S533" i="2"/>
  <c r="T585" i="2"/>
  <c r="S585" i="2"/>
  <c r="S649" i="2"/>
  <c r="T649" i="2"/>
  <c r="T701" i="2"/>
  <c r="S701" i="2"/>
  <c r="T717" i="2"/>
  <c r="S717" i="2"/>
  <c r="T733" i="2"/>
  <c r="S733" i="2"/>
  <c r="T749" i="2"/>
  <c r="S749" i="2"/>
  <c r="T765" i="2"/>
  <c r="S765" i="2"/>
  <c r="T781" i="2"/>
  <c r="S781" i="2"/>
  <c r="T797" i="2"/>
  <c r="S797" i="2"/>
  <c r="T813" i="2"/>
  <c r="S813" i="2"/>
  <c r="T829" i="2"/>
  <c r="S829" i="2"/>
  <c r="T845" i="2"/>
  <c r="S845" i="2"/>
  <c r="T861" i="2"/>
  <c r="S861" i="2"/>
  <c r="T877" i="2"/>
  <c r="S877" i="2"/>
  <c r="T893" i="2"/>
  <c r="S893" i="2"/>
  <c r="T909" i="2"/>
  <c r="S909" i="2"/>
  <c r="T925" i="2"/>
  <c r="S925" i="2"/>
  <c r="T941" i="2"/>
  <c r="S941" i="2"/>
  <c r="T957" i="2"/>
  <c r="S957" i="2"/>
  <c r="T973" i="2"/>
  <c r="S973" i="2"/>
  <c r="T989" i="2"/>
  <c r="S989" i="2"/>
  <c r="T41" i="2"/>
  <c r="S41" i="2"/>
  <c r="T57" i="2"/>
  <c r="S57" i="2"/>
  <c r="T73" i="2"/>
  <c r="S73" i="2"/>
  <c r="T89" i="2"/>
  <c r="S89" i="2"/>
  <c r="T105" i="2"/>
  <c r="S105" i="2"/>
  <c r="T121" i="2"/>
  <c r="S121" i="2"/>
  <c r="T137" i="2"/>
  <c r="S137" i="2"/>
  <c r="T153" i="2"/>
  <c r="S153" i="2"/>
  <c r="T169" i="2"/>
  <c r="S169" i="2"/>
  <c r="T185" i="2"/>
  <c r="S185" i="2"/>
  <c r="T201" i="2"/>
  <c r="S201" i="2"/>
  <c r="T217" i="2"/>
  <c r="S217" i="2"/>
  <c r="T233" i="2"/>
  <c r="S233" i="2"/>
  <c r="T249" i="2"/>
  <c r="S249" i="2"/>
  <c r="T265" i="2"/>
  <c r="S265" i="2"/>
  <c r="T281" i="2"/>
  <c r="S281" i="2"/>
  <c r="T297" i="2"/>
  <c r="S297" i="2"/>
  <c r="T313" i="2"/>
  <c r="S313" i="2"/>
  <c r="T329" i="2"/>
  <c r="S329" i="2"/>
  <c r="T345" i="2"/>
  <c r="S345" i="2"/>
  <c r="T361" i="2"/>
  <c r="S361" i="2"/>
  <c r="T377" i="2"/>
  <c r="S377" i="2"/>
  <c r="T393" i="2"/>
  <c r="S393" i="2"/>
  <c r="T409" i="2"/>
  <c r="S409" i="2"/>
  <c r="T425" i="2"/>
  <c r="S425" i="2"/>
  <c r="T441" i="2"/>
  <c r="S441" i="2"/>
  <c r="T457" i="2"/>
  <c r="S457" i="2"/>
  <c r="T473" i="2"/>
  <c r="S473" i="2"/>
  <c r="T489" i="2"/>
  <c r="S489" i="2"/>
  <c r="T505" i="2"/>
  <c r="S505" i="2"/>
  <c r="T521" i="2"/>
  <c r="S521" i="2"/>
  <c r="T541" i="2"/>
  <c r="S541" i="2"/>
  <c r="T565" i="2"/>
  <c r="S565" i="2"/>
  <c r="T589" i="2"/>
  <c r="S589" i="2"/>
  <c r="T609" i="2"/>
  <c r="S609" i="2"/>
  <c r="T629" i="2"/>
  <c r="S629" i="2"/>
  <c r="T653" i="2"/>
  <c r="S653" i="2"/>
  <c r="T673" i="2"/>
  <c r="S673" i="2"/>
  <c r="S693" i="2"/>
  <c r="T693" i="2"/>
  <c r="T569" i="2"/>
  <c r="S569" i="2"/>
  <c r="T633" i="2"/>
  <c r="S633" i="2"/>
  <c r="S697" i="2"/>
  <c r="T697" i="2"/>
  <c r="S713" i="2"/>
  <c r="T713" i="2"/>
  <c r="S729" i="2"/>
  <c r="T729" i="2"/>
  <c r="S745" i="2"/>
  <c r="T745" i="2"/>
  <c r="S761" i="2"/>
  <c r="T761" i="2"/>
  <c r="T777" i="2"/>
  <c r="S777" i="2"/>
  <c r="T793" i="2"/>
  <c r="S793" i="2"/>
  <c r="T809" i="2"/>
  <c r="S809" i="2"/>
  <c r="T825" i="2"/>
  <c r="S825" i="2"/>
  <c r="T841" i="2"/>
  <c r="S841" i="2"/>
  <c r="T857" i="2"/>
  <c r="S857" i="2"/>
  <c r="T873" i="2"/>
  <c r="S873" i="2"/>
  <c r="T889" i="2"/>
  <c r="S889" i="2"/>
  <c r="T905" i="2"/>
  <c r="S905" i="2"/>
  <c r="T921" i="2"/>
  <c r="S921" i="2"/>
  <c r="T937" i="2"/>
  <c r="S937" i="2"/>
  <c r="T953" i="2"/>
  <c r="S953" i="2"/>
  <c r="T969" i="2"/>
  <c r="S969" i="2"/>
  <c r="T985" i="2"/>
  <c r="S985" i="2"/>
  <c r="T93" i="2"/>
  <c r="S93" i="2"/>
  <c r="T157" i="2"/>
  <c r="S157" i="2"/>
  <c r="T221" i="2"/>
  <c r="S221" i="2"/>
  <c r="T269" i="2"/>
  <c r="S269" i="2"/>
  <c r="T349" i="2"/>
  <c r="S349" i="2"/>
  <c r="T461" i="2"/>
  <c r="S461" i="2"/>
  <c r="T53" i="2"/>
  <c r="S53" i="2"/>
  <c r="T69" i="2"/>
  <c r="S69" i="2"/>
  <c r="T85" i="2"/>
  <c r="S85" i="2"/>
  <c r="T101" i="2"/>
  <c r="S101" i="2"/>
  <c r="T117" i="2"/>
  <c r="S117" i="2"/>
  <c r="T133" i="2"/>
  <c r="S133" i="2"/>
  <c r="T149" i="2"/>
  <c r="S149" i="2"/>
  <c r="T165" i="2"/>
  <c r="S165" i="2"/>
  <c r="T181" i="2"/>
  <c r="S181" i="2"/>
  <c r="T197" i="2"/>
  <c r="S197" i="2"/>
  <c r="T213" i="2"/>
  <c r="S213" i="2"/>
  <c r="T229" i="2"/>
  <c r="S229" i="2"/>
  <c r="T245" i="2"/>
  <c r="S245" i="2"/>
  <c r="T261" i="2"/>
  <c r="S261" i="2"/>
  <c r="T277" i="2"/>
  <c r="S277" i="2"/>
  <c r="T293" i="2"/>
  <c r="S293" i="2"/>
  <c r="T309" i="2"/>
  <c r="S309" i="2"/>
  <c r="T325" i="2"/>
  <c r="S325" i="2"/>
  <c r="T341" i="2"/>
  <c r="S341" i="2"/>
  <c r="T357" i="2"/>
  <c r="S357" i="2"/>
  <c r="T373" i="2"/>
  <c r="S373" i="2"/>
  <c r="T389" i="2"/>
  <c r="S389" i="2"/>
  <c r="T405" i="2"/>
  <c r="S405" i="2"/>
  <c r="T421" i="2"/>
  <c r="S421" i="2"/>
  <c r="T437" i="2"/>
  <c r="S437" i="2"/>
  <c r="T453" i="2"/>
  <c r="S453" i="2"/>
  <c r="T469" i="2"/>
  <c r="S469" i="2"/>
  <c r="T485" i="2"/>
  <c r="S485" i="2"/>
  <c r="T501" i="2"/>
  <c r="S501" i="2"/>
  <c r="T517" i="2"/>
  <c r="S517" i="2"/>
  <c r="T537" i="2"/>
  <c r="S537" i="2"/>
  <c r="T561" i="2"/>
  <c r="S561" i="2"/>
  <c r="T581" i="2"/>
  <c r="S581" i="2"/>
  <c r="T605" i="2"/>
  <c r="S605" i="2"/>
  <c r="T625" i="2"/>
  <c r="S625" i="2"/>
  <c r="S645" i="2"/>
  <c r="T645" i="2"/>
  <c r="T669" i="2"/>
  <c r="S669" i="2"/>
  <c r="T689" i="2"/>
  <c r="S689" i="2"/>
  <c r="T553" i="2"/>
  <c r="S553" i="2"/>
  <c r="T617" i="2"/>
  <c r="S617" i="2"/>
  <c r="S681" i="2"/>
  <c r="T681" i="2"/>
  <c r="S709" i="2"/>
  <c r="T709" i="2"/>
  <c r="S725" i="2"/>
  <c r="T725" i="2"/>
  <c r="S741" i="2"/>
  <c r="T741" i="2"/>
  <c r="S757" i="2"/>
  <c r="T757" i="2"/>
  <c r="T773" i="2"/>
  <c r="S773" i="2"/>
  <c r="T789" i="2"/>
  <c r="S789" i="2"/>
  <c r="T805" i="2"/>
  <c r="S805" i="2"/>
  <c r="T821" i="2"/>
  <c r="S821" i="2"/>
  <c r="T837" i="2"/>
  <c r="S837" i="2"/>
  <c r="T853" i="2"/>
  <c r="S853" i="2"/>
  <c r="T869" i="2"/>
  <c r="S869" i="2"/>
  <c r="T885" i="2"/>
  <c r="S885" i="2"/>
  <c r="T901" i="2"/>
  <c r="S901" i="2"/>
  <c r="T917" i="2"/>
  <c r="S917" i="2"/>
  <c r="T933" i="2"/>
  <c r="S933" i="2"/>
  <c r="T949" i="2"/>
  <c r="S949" i="2"/>
  <c r="T965" i="2"/>
  <c r="S965" i="2"/>
  <c r="T981" i="2"/>
  <c r="S981" i="2"/>
  <c r="T997" i="2"/>
  <c r="S997" i="2"/>
  <c r="T61" i="2"/>
  <c r="S61" i="2"/>
  <c r="T109" i="2"/>
  <c r="S109" i="2"/>
  <c r="T173" i="2"/>
  <c r="S173" i="2"/>
  <c r="T237" i="2"/>
  <c r="S237" i="2"/>
  <c r="T285" i="2"/>
  <c r="S285" i="2"/>
  <c r="T365" i="2"/>
  <c r="S365" i="2"/>
  <c r="T429" i="2"/>
  <c r="S429" i="2"/>
  <c r="S677" i="2"/>
  <c r="T677" i="2"/>
  <c r="T49" i="2"/>
  <c r="S49" i="2"/>
  <c r="T65" i="2"/>
  <c r="S65" i="2"/>
  <c r="T81" i="2"/>
  <c r="S81" i="2"/>
  <c r="T97" i="2"/>
  <c r="S97" i="2"/>
  <c r="T113" i="2"/>
  <c r="S113" i="2"/>
  <c r="T129" i="2"/>
  <c r="S129" i="2"/>
  <c r="T145" i="2"/>
  <c r="S145" i="2"/>
  <c r="T161" i="2"/>
  <c r="S161" i="2"/>
  <c r="T177" i="2"/>
  <c r="S177" i="2"/>
  <c r="T193" i="2"/>
  <c r="S193" i="2"/>
  <c r="T209" i="2"/>
  <c r="S209" i="2"/>
  <c r="T225" i="2"/>
  <c r="S225" i="2"/>
  <c r="T241" i="2"/>
  <c r="S241" i="2"/>
  <c r="T257" i="2"/>
  <c r="S257" i="2"/>
  <c r="T273" i="2"/>
  <c r="S273" i="2"/>
  <c r="T289" i="2"/>
  <c r="S289" i="2"/>
  <c r="T305" i="2"/>
  <c r="S305" i="2"/>
  <c r="T321" i="2"/>
  <c r="S321" i="2"/>
  <c r="T337" i="2"/>
  <c r="S337" i="2"/>
  <c r="T353" i="2"/>
  <c r="S353" i="2"/>
  <c r="T369" i="2"/>
  <c r="S369" i="2"/>
  <c r="T385" i="2"/>
  <c r="S385" i="2"/>
  <c r="T401" i="2"/>
  <c r="S401" i="2"/>
  <c r="T417" i="2"/>
  <c r="S417" i="2"/>
  <c r="T433" i="2"/>
  <c r="S433" i="2"/>
  <c r="T449" i="2"/>
  <c r="S449" i="2"/>
  <c r="T465" i="2"/>
  <c r="S465" i="2"/>
  <c r="T481" i="2"/>
  <c r="S481" i="2"/>
  <c r="T497" i="2"/>
  <c r="S497" i="2"/>
  <c r="T513" i="2"/>
  <c r="S513" i="2"/>
  <c r="T529" i="2"/>
  <c r="S529" i="2"/>
  <c r="T557" i="2"/>
  <c r="S557" i="2"/>
  <c r="T577" i="2"/>
  <c r="S577" i="2"/>
  <c r="T597" i="2"/>
  <c r="S597" i="2"/>
  <c r="T621" i="2"/>
  <c r="S621" i="2"/>
  <c r="T641" i="2"/>
  <c r="S641" i="2"/>
  <c r="S661" i="2"/>
  <c r="T661" i="2"/>
  <c r="T685" i="2"/>
  <c r="S685" i="2"/>
  <c r="T545" i="2"/>
  <c r="S545" i="2"/>
  <c r="T601" i="2"/>
  <c r="S601" i="2"/>
  <c r="S665" i="2"/>
  <c r="T665" i="2"/>
  <c r="T705" i="2"/>
  <c r="S705" i="2"/>
  <c r="T721" i="2"/>
  <c r="S721" i="2"/>
  <c r="T737" i="2"/>
  <c r="S737" i="2"/>
  <c r="T753" i="2"/>
  <c r="S753" i="2"/>
  <c r="T769" i="2"/>
  <c r="S769" i="2"/>
  <c r="T785" i="2"/>
  <c r="S785" i="2"/>
  <c r="T801" i="2"/>
  <c r="S801" i="2"/>
  <c r="T817" i="2"/>
  <c r="S817" i="2"/>
  <c r="T833" i="2"/>
  <c r="S833" i="2"/>
  <c r="T849" i="2"/>
  <c r="S849" i="2"/>
  <c r="T865" i="2"/>
  <c r="S865" i="2"/>
  <c r="T881" i="2"/>
  <c r="S881" i="2"/>
  <c r="T897" i="2"/>
  <c r="S897" i="2"/>
  <c r="T913" i="2"/>
  <c r="S913" i="2"/>
  <c r="T929" i="2"/>
  <c r="S929" i="2"/>
  <c r="T945" i="2"/>
  <c r="S945" i="2"/>
  <c r="T961" i="2"/>
  <c r="S961" i="2"/>
  <c r="T977" i="2"/>
  <c r="S977" i="2"/>
  <c r="T993" i="2"/>
  <c r="S993" i="2"/>
  <c r="O2" i="2"/>
  <c r="Q2" i="2"/>
  <c r="R10" i="2"/>
  <c r="U10" i="2" s="1"/>
  <c r="T10" i="2" l="1"/>
  <c r="R2" i="2"/>
  <c r="R4" i="2" s="1"/>
  <c r="S10" i="2"/>
  <c r="S2" i="2" l="1"/>
  <c r="S4" i="2" s="1"/>
  <c r="T2" i="2"/>
  <c r="T4" i="2" s="1"/>
</calcChain>
</file>

<file path=xl/sharedStrings.xml><?xml version="1.0" encoding="utf-8"?>
<sst xmlns="http://schemas.openxmlformats.org/spreadsheetml/2006/main" count="20122" uniqueCount="1796">
  <si>
    <t>Date</t>
  </si>
  <si>
    <t>Stock</t>
  </si>
  <si>
    <t>Action</t>
  </si>
  <si>
    <t>Qty</t>
  </si>
  <si>
    <t>Price</t>
  </si>
  <si>
    <t>Trade Value</t>
  </si>
  <si>
    <t>Order Ref.</t>
  </si>
  <si>
    <t>Settlement</t>
  </si>
  <si>
    <t>Segment</t>
  </si>
  <si>
    <t>DP Id - Client DP Id</t>
  </si>
  <si>
    <t>Exchange</t>
  </si>
  <si>
    <t>STT</t>
  </si>
  <si>
    <t>Transaction and SEBI Turnover charges</t>
  </si>
  <si>
    <t>Stamp Duty</t>
  </si>
  <si>
    <t>Brokerage + Service Tax</t>
  </si>
  <si>
    <t>Brokerage incl. taxes</t>
  </si>
  <si>
    <t>LTOVER</t>
  </si>
  <si>
    <t>Buy</t>
  </si>
  <si>
    <t>20171214B200011330</t>
  </si>
  <si>
    <t>Rolling</t>
  </si>
  <si>
    <t>IN302679-38296183</t>
  </si>
  <si>
    <t>BSE</t>
  </si>
  <si>
    <t>KOHFOO</t>
  </si>
  <si>
    <t>Sell</t>
  </si>
  <si>
    <t>20171214N200024296</t>
  </si>
  <si>
    <t>NSE</t>
  </si>
  <si>
    <t>GATLIM</t>
  </si>
  <si>
    <t>20171208N100025107</t>
  </si>
  <si>
    <t>20171208N400021198</t>
  </si>
  <si>
    <t>GMRINF</t>
  </si>
  <si>
    <t>20171206N100003917</t>
  </si>
  <si>
    <t>20171201B300008618</t>
  </si>
  <si>
    <t>20171121B300010264</t>
  </si>
  <si>
    <t>20171121B300011972</t>
  </si>
  <si>
    <t>20171116B300006963</t>
  </si>
  <si>
    <t>RELDEF</t>
  </si>
  <si>
    <t>20171004B300006524</t>
  </si>
  <si>
    <t>20170922B100007059</t>
  </si>
  <si>
    <t>20170623B100010048</t>
  </si>
  <si>
    <t>20170623B300004731</t>
  </si>
  <si>
    <t>20170621B300005278</t>
  </si>
  <si>
    <t>20170511B300004232</t>
  </si>
  <si>
    <t>20170502B300008484</t>
  </si>
  <si>
    <t>20170411B300005171</t>
  </si>
  <si>
    <t>20170330B300005168</t>
  </si>
  <si>
    <t>20170324B200004466</t>
  </si>
  <si>
    <t>MANAFI</t>
  </si>
  <si>
    <t>20170324B300005892</t>
  </si>
  <si>
    <t>20170314B300012194</t>
  </si>
  <si>
    <t>TVSMOT</t>
  </si>
  <si>
    <t>20161102B300011127</t>
  </si>
  <si>
    <t>JBCHEM</t>
  </si>
  <si>
    <t>20161102B300011216</t>
  </si>
  <si>
    <t>20161027B300008864</t>
  </si>
  <si>
    <t>ARVLIM</t>
  </si>
  <si>
    <t>20161025B300011486</t>
  </si>
  <si>
    <t>MINLIM</t>
  </si>
  <si>
    <t>20161024B300011086</t>
  </si>
  <si>
    <t>20161018B300009004</t>
  </si>
  <si>
    <t>20161018B300010645</t>
  </si>
  <si>
    <t>20160930B300013978</t>
  </si>
  <si>
    <t>20160930B300013990</t>
  </si>
  <si>
    <t>20160914B300009614</t>
  </si>
  <si>
    <t>20160831B300008786</t>
  </si>
  <si>
    <t>20160801B300012540</t>
  </si>
  <si>
    <t>PUNBAN</t>
  </si>
  <si>
    <t>20160721B300009291</t>
  </si>
  <si>
    <t>20160721B300009323</t>
  </si>
  <si>
    <t>TATPOW</t>
  </si>
  <si>
    <t>20160714B300014295</t>
  </si>
  <si>
    <t>20160714B300014314</t>
  </si>
  <si>
    <t>20160624B100022418</t>
  </si>
  <si>
    <t>20160322B100002433</t>
  </si>
  <si>
    <t>20160216B100003721</t>
  </si>
  <si>
    <t>INFTEC</t>
  </si>
  <si>
    <t>20160129B100005467</t>
  </si>
  <si>
    <t>20160104B100007560</t>
  </si>
  <si>
    <t>20151224B100005141</t>
  </si>
  <si>
    <t>20151217B100003547</t>
  </si>
  <si>
    <t>20150817B100006875</t>
  </si>
  <si>
    <t>SUNADV</t>
  </si>
  <si>
    <t>20150817B100006879</t>
  </si>
  <si>
    <t>20150817B100006923</t>
  </si>
  <si>
    <t>20150715B100005559</t>
  </si>
  <si>
    <t>20150710B100002164</t>
  </si>
  <si>
    <t>20150612B100001779</t>
  </si>
  <si>
    <t>20150417B100007333</t>
  </si>
  <si>
    <t>20150413B100000039</t>
  </si>
  <si>
    <t>20150407N700000957</t>
  </si>
  <si>
    <t>JAIPOW</t>
  </si>
  <si>
    <t>20150324N700009087</t>
  </si>
  <si>
    <t>20150318B700000064</t>
  </si>
  <si>
    <t>20150310B100005782</t>
  </si>
  <si>
    <t>20150228B100004273</t>
  </si>
  <si>
    <t>20150218B100010899</t>
  </si>
  <si>
    <t>20150115B100003762</t>
  </si>
  <si>
    <t>20150109B100000091</t>
  </si>
  <si>
    <t>20141222B100001540</t>
  </si>
  <si>
    <t>CENBAN</t>
  </si>
  <si>
    <t>20141211B100005938</t>
  </si>
  <si>
    <t>ASHLEY</t>
  </si>
  <si>
    <t>20141211B100005948</t>
  </si>
  <si>
    <t>20141209B100003853</t>
  </si>
  <si>
    <t>20141205B100002362</t>
  </si>
  <si>
    <t>20141205B100002363</t>
  </si>
  <si>
    <t>RELPOW</t>
  </si>
  <si>
    <t>20141204N600007323</t>
  </si>
  <si>
    <t>20141204N700001366</t>
  </si>
  <si>
    <t>20140703N600012366</t>
  </si>
  <si>
    <t>20140703N700007915</t>
  </si>
  <si>
    <t>20140703N700013905</t>
  </si>
  <si>
    <t>SUNPHA</t>
  </si>
  <si>
    <t>20140630N600005926</t>
  </si>
  <si>
    <t>20140620N700006832</t>
  </si>
  <si>
    <t>20140618B100001873</t>
  </si>
  <si>
    <t>JAIASS</t>
  </si>
  <si>
    <t>20140605B100004621</t>
  </si>
  <si>
    <t>20140605N700012601</t>
  </si>
  <si>
    <t>20140527N600001150</t>
  </si>
  <si>
    <t>HINCOP</t>
  </si>
  <si>
    <t>20140516N700016366</t>
  </si>
  <si>
    <t>20140516N700025700</t>
  </si>
  <si>
    <t>NHPC</t>
  </si>
  <si>
    <t>20140515N600005948</t>
  </si>
  <si>
    <t>20140515N700007835</t>
  </si>
  <si>
    <t>20140423N600004115</t>
  </si>
  <si>
    <t>20140417N500012593</t>
  </si>
  <si>
    <t>20140411B100004925</t>
  </si>
  <si>
    <t>MUTFIN</t>
  </si>
  <si>
    <t>20140404N600002190</t>
  </si>
  <si>
    <t>20140217B100003970</t>
  </si>
  <si>
    <t>LANINF</t>
  </si>
  <si>
    <t>20140217N500008838</t>
  </si>
  <si>
    <t>20131227N500016137</t>
  </si>
  <si>
    <t>20131227N600007339</t>
  </si>
  <si>
    <t>20131209N600006714</t>
  </si>
  <si>
    <t>20131103N600000141</t>
  </si>
  <si>
    <t>20131007N600004759</t>
  </si>
  <si>
    <t>ZENINF</t>
  </si>
  <si>
    <t>20130916B100006924</t>
  </si>
  <si>
    <t>TT</t>
  </si>
  <si>
    <t>20130911B100005275</t>
  </si>
  <si>
    <t>20130722N600000032</t>
  </si>
  <si>
    <t>20130715N500012051</t>
  </si>
  <si>
    <t>20130708B100001936</t>
  </si>
  <si>
    <t>20130520B100002658</t>
  </si>
  <si>
    <t>20130319N600003247</t>
  </si>
  <si>
    <t>20130108N500013186</t>
  </si>
  <si>
    <t>20121231N500007436</t>
  </si>
  <si>
    <t>20121231N600001615</t>
  </si>
  <si>
    <t>20121226N600000243</t>
  </si>
  <si>
    <t>20121220N600000154</t>
  </si>
  <si>
    <t>20120619N100000027</t>
  </si>
  <si>
    <t>20120327N900002419</t>
  </si>
  <si>
    <t>Row Labels</t>
  </si>
  <si>
    <t>Grand Total</t>
  </si>
  <si>
    <t>Sum of Trade Value</t>
  </si>
  <si>
    <t>Values</t>
  </si>
  <si>
    <t>Sum of Brokerage incl. taxes</t>
  </si>
  <si>
    <t>Sum of Qty</t>
  </si>
  <si>
    <t>Sum of Price</t>
  </si>
  <si>
    <t>BuyVal</t>
  </si>
  <si>
    <t xml:space="preserve">SELL Lookup </t>
  </si>
  <si>
    <t>Stk</t>
  </si>
  <si>
    <t>SQTY</t>
  </si>
  <si>
    <t>SellValue</t>
  </si>
  <si>
    <t>Sell Val</t>
  </si>
  <si>
    <t>QtyDiff</t>
  </si>
  <si>
    <t>ValDiff</t>
  </si>
  <si>
    <t>P/L</t>
  </si>
  <si>
    <t>P</t>
  </si>
  <si>
    <t>L</t>
  </si>
  <si>
    <t>Analysis</t>
  </si>
  <si>
    <t>20171214B200011228</t>
  </si>
  <si>
    <t>20171219N300022461</t>
  </si>
  <si>
    <t>20171228N300020983</t>
  </si>
  <si>
    <t>20171228N900018934</t>
  </si>
  <si>
    <t>SUZENE</t>
  </si>
  <si>
    <t>20171222N900018064</t>
  </si>
  <si>
    <t>FINCHE</t>
  </si>
  <si>
    <t>20180102N300037617</t>
  </si>
  <si>
    <t>20180102N900018763</t>
  </si>
  <si>
    <t>20180101N300027607</t>
  </si>
  <si>
    <t>20180101N300032556</t>
  </si>
  <si>
    <t>20180101N300032614</t>
  </si>
  <si>
    <t>20171229N300024242</t>
  </si>
  <si>
    <t>20171229N300038123</t>
  </si>
  <si>
    <t>BANMAH</t>
  </si>
  <si>
    <t>20180105N200000985</t>
  </si>
  <si>
    <t>20180105N300045940</t>
  </si>
  <si>
    <t>BURCEM</t>
  </si>
  <si>
    <t>20180104N200001169</t>
  </si>
  <si>
    <t>SJVLIM</t>
  </si>
  <si>
    <t>20180104N300035739</t>
  </si>
  <si>
    <t>20180104N300035979</t>
  </si>
  <si>
    <t>BHEL</t>
  </si>
  <si>
    <t>20180103N300032732</t>
  </si>
  <si>
    <t>20180110N300023054</t>
  </si>
  <si>
    <t>20180110N300024964</t>
  </si>
  <si>
    <t>20180110N300025510</t>
  </si>
  <si>
    <t>20180109N300036299</t>
  </si>
  <si>
    <t>20180109N300036397</t>
  </si>
  <si>
    <t>20180109N300038251</t>
  </si>
  <si>
    <t>20180109N300040691</t>
  </si>
  <si>
    <t>20180109N300042790</t>
  </si>
  <si>
    <t>SINPLA</t>
  </si>
  <si>
    <t>20180112N300024521</t>
  </si>
  <si>
    <t>DISHTV</t>
  </si>
  <si>
    <t>20180112N300025051</t>
  </si>
  <si>
    <t>20180112N300025284</t>
  </si>
  <si>
    <t>20180112N300028804</t>
  </si>
  <si>
    <t>20180112N300028903</t>
  </si>
  <si>
    <t>20180112N300032365</t>
  </si>
  <si>
    <t>20180112N300041069</t>
  </si>
  <si>
    <t>HTMED</t>
  </si>
  <si>
    <t>20180112N300043044</t>
  </si>
  <si>
    <t>20180112N300044879</t>
  </si>
  <si>
    <t>20180111N300026217</t>
  </si>
  <si>
    <t>20180111N300028781</t>
  </si>
  <si>
    <t>20180111N300040838</t>
  </si>
  <si>
    <t>20180117N300024103</t>
  </si>
  <si>
    <t>20180117N300024164</t>
  </si>
  <si>
    <t>20180117N300026235</t>
  </si>
  <si>
    <t>20180117N300030192</t>
  </si>
  <si>
    <t>20180117N300030292</t>
  </si>
  <si>
    <t>20180117N300034959</t>
  </si>
  <si>
    <t>ZEEENT</t>
  </si>
  <si>
    <t>20180117N300040526</t>
  </si>
  <si>
    <t>20180116N300031182</t>
  </si>
  <si>
    <t>20180116N300044946</t>
  </si>
  <si>
    <t>NETW18</t>
  </si>
  <si>
    <t>20180115N300025674</t>
  </si>
  <si>
    <t>20180115N300026137</t>
  </si>
  <si>
    <t>RELIND</t>
  </si>
  <si>
    <t>20180115N300026819</t>
  </si>
  <si>
    <t>20180115N300026884</t>
  </si>
  <si>
    <t>20180115N300028379</t>
  </si>
  <si>
    <t>JSWSTE</t>
  </si>
  <si>
    <t>20180115N300029163</t>
  </si>
  <si>
    <t>20180115N300029374</t>
  </si>
  <si>
    <t>20180115N300031845</t>
  </si>
  <si>
    <t>20180115N300034185</t>
  </si>
  <si>
    <t>20180115N300034342</t>
  </si>
  <si>
    <t>20180115N300035246</t>
  </si>
  <si>
    <t>20180115N300044603</t>
  </si>
  <si>
    <t>SREINF</t>
  </si>
  <si>
    <t>20180118N300022150</t>
  </si>
  <si>
    <t>MASTEK</t>
  </si>
  <si>
    <t>20180118N300037300</t>
  </si>
  <si>
    <t>20180118N300037365</t>
  </si>
  <si>
    <t>20180118N900019468</t>
  </si>
  <si>
    <t>PRAIND</t>
  </si>
  <si>
    <t>20180122N300023763</t>
  </si>
  <si>
    <t>20180122N300023882</t>
  </si>
  <si>
    <t>20180119N300020287</t>
  </si>
  <si>
    <t>20180119N300020381</t>
  </si>
  <si>
    <t>PCJEW</t>
  </si>
  <si>
    <t>20180119N300030124</t>
  </si>
  <si>
    <t>20180119N300030531</t>
  </si>
  <si>
    <t>20180119N300032868</t>
  </si>
  <si>
    <t>20180119N300034464</t>
  </si>
  <si>
    <t>20180119N300034624</t>
  </si>
  <si>
    <t>20180119N300034771</t>
  </si>
  <si>
    <t>20180119N300034975</t>
  </si>
  <si>
    <t>20180119N300036498</t>
  </si>
  <si>
    <t>20180119N300036535</t>
  </si>
  <si>
    <t>20180119N300037124</t>
  </si>
  <si>
    <t>20180119N300038058</t>
  </si>
  <si>
    <t>STABAN</t>
  </si>
  <si>
    <t>20180125N300022051</t>
  </si>
  <si>
    <t>BANBAR</t>
  </si>
  <si>
    <t>20180125N300022259</t>
  </si>
  <si>
    <t>20180125N300037225</t>
  </si>
  <si>
    <t>20180125N900017806</t>
  </si>
  <si>
    <t>20180125N900017824</t>
  </si>
  <si>
    <t>20180123N300025914</t>
  </si>
  <si>
    <t>MENBEA</t>
  </si>
  <si>
    <t>20180123N300033763</t>
  </si>
  <si>
    <t>20180123N300034407</t>
  </si>
  <si>
    <t>CANHOM</t>
  </si>
  <si>
    <t>20180123N300034606</t>
  </si>
  <si>
    <t>20180123N300034712</t>
  </si>
  <si>
    <t>BIOCON</t>
  </si>
  <si>
    <t>20180206N300040909</t>
  </si>
  <si>
    <t>20180206N300044031</t>
  </si>
  <si>
    <t>20180206N300044736</t>
  </si>
  <si>
    <t>20180206N300050080</t>
  </si>
  <si>
    <t>20180206N900019901</t>
  </si>
  <si>
    <t>VAKRAN</t>
  </si>
  <si>
    <t>20180205B300015638</t>
  </si>
  <si>
    <t>20180202N200013648</t>
  </si>
  <si>
    <t>BHAELE</t>
  </si>
  <si>
    <t>20180202N300020032</t>
  </si>
  <si>
    <t>20180202N300025376</t>
  </si>
  <si>
    <t>20180131N300041988</t>
  </si>
  <si>
    <t>20180131N900021200</t>
  </si>
  <si>
    <t>BHUST</t>
  </si>
  <si>
    <t>20180129B300011483</t>
  </si>
  <si>
    <t>20180129N300023752</t>
  </si>
  <si>
    <t>20180129N300023811</t>
  </si>
  <si>
    <t>20180208N300033164</t>
  </si>
  <si>
    <t>20180208N300034127</t>
  </si>
  <si>
    <t>20180208N300034279</t>
  </si>
  <si>
    <t>20180208N300035918</t>
  </si>
  <si>
    <t>20180208N300038133</t>
  </si>
  <si>
    <t>20180208N300038429</t>
  </si>
  <si>
    <t>20180208N900020226</t>
  </si>
  <si>
    <t>20180209N300025062</t>
  </si>
  <si>
    <t>20180209N300025137</t>
  </si>
  <si>
    <t>20180209N300027890</t>
  </si>
  <si>
    <t>20180209N300029456</t>
  </si>
  <si>
    <t>20180215N200001473</t>
  </si>
  <si>
    <t>20180215N200001728</t>
  </si>
  <si>
    <t>20180215N300033410</t>
  </si>
  <si>
    <t>20180214N300025108</t>
  </si>
  <si>
    <t>20180216N200001218</t>
  </si>
  <si>
    <t>20180216N200001818</t>
  </si>
  <si>
    <t>20180216N300023231</t>
  </si>
  <si>
    <t>20180216N300032770</t>
  </si>
  <si>
    <t>20180216N300033650</t>
  </si>
  <si>
    <t>20180216N300033787</t>
  </si>
  <si>
    <t>HINPET</t>
  </si>
  <si>
    <t>20180301N300026576</t>
  </si>
  <si>
    <t>20180301N300026905</t>
  </si>
  <si>
    <t>JUBLIF</t>
  </si>
  <si>
    <t>20180223N300028913</t>
  </si>
  <si>
    <t>20180222N300031088</t>
  </si>
  <si>
    <t>20180221N300022287</t>
  </si>
  <si>
    <t>20180221N300033357</t>
  </si>
  <si>
    <t>20180221N300033366</t>
  </si>
  <si>
    <t>20180220N300021386</t>
  </si>
  <si>
    <t>20180220N300022427</t>
  </si>
  <si>
    <t>20180220N300023277</t>
  </si>
  <si>
    <t>20180220N300023968</t>
  </si>
  <si>
    <t>20180308N200000664</t>
  </si>
  <si>
    <t>20180308N300017226</t>
  </si>
  <si>
    <t>20180308N300031445</t>
  </si>
  <si>
    <t>20180307B300010485</t>
  </si>
  <si>
    <t>20180307N300036339</t>
  </si>
  <si>
    <t>20180312N300016476</t>
  </si>
  <si>
    <t>20180312N300024128</t>
  </si>
  <si>
    <t>20180323N900013439</t>
  </si>
  <si>
    <t>20180323N900015257</t>
  </si>
  <si>
    <t>20180322N300018812</t>
  </si>
  <si>
    <t>20180319N300023053</t>
  </si>
  <si>
    <t>20180319N300024619</t>
  </si>
  <si>
    <t>20180315N300017801</t>
  </si>
  <si>
    <t>20180315N300022550</t>
  </si>
  <si>
    <t>20180314N300018122</t>
  </si>
  <si>
    <t>20180314N300020563</t>
  </si>
  <si>
    <t>20180313N300026465</t>
  </si>
  <si>
    <t>20180313N300030778</t>
  </si>
  <si>
    <t>20180413N200000982</t>
  </si>
  <si>
    <t>20180413N300015088</t>
  </si>
  <si>
    <t>20180412N300017774</t>
  </si>
  <si>
    <t>20180412N300018483</t>
  </si>
  <si>
    <t>20180412N300023896</t>
  </si>
  <si>
    <t>20180412N300028725</t>
  </si>
  <si>
    <t>20180410N300019344</t>
  </si>
  <si>
    <t>20180409N300027247</t>
  </si>
  <si>
    <t>20180406N300020719</t>
  </si>
  <si>
    <t>20180405N300013797</t>
  </si>
  <si>
    <t>20180405N300013857</t>
  </si>
  <si>
    <t>20180405N300024232</t>
  </si>
  <si>
    <t>20180404N200000803</t>
  </si>
  <si>
    <t>20180404N300017709</t>
  </si>
  <si>
    <t>20180404N300018059</t>
  </si>
  <si>
    <t>20180404N300018859</t>
  </si>
  <si>
    <t>20180404N300018892</t>
  </si>
  <si>
    <t>20180403N300023467</t>
  </si>
  <si>
    <t>20180403N300027109</t>
  </si>
  <si>
    <t>20180402N200001139</t>
  </si>
  <si>
    <t>20180402N300016426</t>
  </si>
  <si>
    <t>20180402N300019820</t>
  </si>
  <si>
    <t>20180402N300024654</t>
  </si>
  <si>
    <t>20180402N300025274</t>
  </si>
  <si>
    <t>20180402N300032012</t>
  </si>
  <si>
    <t>20180326N200000932</t>
  </si>
  <si>
    <t>20180326N200001569</t>
  </si>
  <si>
    <t>TINCO</t>
  </si>
  <si>
    <t>20180425N300015592</t>
  </si>
  <si>
    <t>20180425N300017118</t>
  </si>
  <si>
    <t>20180425N300027680</t>
  </si>
  <si>
    <t>20180425N900014199</t>
  </si>
  <si>
    <t>20180425N900015995</t>
  </si>
  <si>
    <t>20180424N300025146</t>
  </si>
  <si>
    <t>20180424N300027155</t>
  </si>
  <si>
    <t>RELHOM</t>
  </si>
  <si>
    <t>20180424N300027657</t>
  </si>
  <si>
    <t>20180424N300027917</t>
  </si>
  <si>
    <t>20180423B300005992</t>
  </si>
  <si>
    <t>20180423B700001870</t>
  </si>
  <si>
    <t>HDFC</t>
  </si>
  <si>
    <t>20180423N300017440</t>
  </si>
  <si>
    <t>20180423N300017625</t>
  </si>
  <si>
    <t>20180423N300020656</t>
  </si>
  <si>
    <t>20180423N300021060</t>
  </si>
  <si>
    <t>ELGEQU</t>
  </si>
  <si>
    <t>20180423N300026601</t>
  </si>
  <si>
    <t>20180423N900016609</t>
  </si>
  <si>
    <t>20180420N300024276</t>
  </si>
  <si>
    <t>20180420N300025254</t>
  </si>
  <si>
    <t>20180419N200000457</t>
  </si>
  <si>
    <t>20180419N300018951</t>
  </si>
  <si>
    <t>BHAPET</t>
  </si>
  <si>
    <t>20180419N300020130</t>
  </si>
  <si>
    <t>20180419N300029963</t>
  </si>
  <si>
    <t>20180418B500007930</t>
  </si>
  <si>
    <t>20180418B500007944</t>
  </si>
  <si>
    <t>20180418N300022775</t>
  </si>
  <si>
    <t>20180418N300023887</t>
  </si>
  <si>
    <t>20180416N300027914</t>
  </si>
  <si>
    <t>20180503N300020755</t>
  </si>
  <si>
    <t>20180503N300021418</t>
  </si>
  <si>
    <t>20180430N300019289</t>
  </si>
  <si>
    <t>20180430N300021260</t>
  </si>
  <si>
    <t>20180430N300023429</t>
  </si>
  <si>
    <t>20180430N300027963</t>
  </si>
  <si>
    <t>20180430N300030079</t>
  </si>
  <si>
    <t>20180427N300015778</t>
  </si>
  <si>
    <t>20180427N300016013</t>
  </si>
  <si>
    <t>20180427N300016322</t>
  </si>
  <si>
    <t>20180427N900015482</t>
  </si>
  <si>
    <t>20180426N300024083</t>
  </si>
  <si>
    <t>20180426N300026254</t>
  </si>
  <si>
    <t>20180601N300024608</t>
  </si>
  <si>
    <t>20180601N300024646</t>
  </si>
  <si>
    <t>20180531N200001746</t>
  </si>
  <si>
    <t>20180531N300015860</t>
  </si>
  <si>
    <t>20180531N300020400</t>
  </si>
  <si>
    <t>20180531N300027090</t>
  </si>
  <si>
    <t>20180531N300030204</t>
  </si>
  <si>
    <t>20180530N300016485</t>
  </si>
  <si>
    <t>RELCOM</t>
  </si>
  <si>
    <t>20180530N300018870</t>
  </si>
  <si>
    <t>20180530N300024283</t>
  </si>
  <si>
    <t>20180530N300024347</t>
  </si>
  <si>
    <t>20180529N300017743</t>
  </si>
  <si>
    <t>20180529N300021665</t>
  </si>
  <si>
    <t>20180529N300021740</t>
  </si>
  <si>
    <t>20180529N300021800</t>
  </si>
  <si>
    <t>20180529N300024491</t>
  </si>
  <si>
    <t>20180529N300027295</t>
  </si>
  <si>
    <t>20180529N300028298</t>
  </si>
  <si>
    <t>20180529N900014794</t>
  </si>
  <si>
    <t>20180525N300014942</t>
  </si>
  <si>
    <t>20180525N300015089</t>
  </si>
  <si>
    <t>20180525N300028219</t>
  </si>
  <si>
    <t>20180524N300020409</t>
  </si>
  <si>
    <t>20180524N300021149</t>
  </si>
  <si>
    <t>20180524N900000294</t>
  </si>
  <si>
    <t>20180523N300017945</t>
  </si>
  <si>
    <t>20180523N300018126</t>
  </si>
  <si>
    <t>20180523N300025064</t>
  </si>
  <si>
    <t>20180523N300025895</t>
  </si>
  <si>
    <t>20180523N300028357</t>
  </si>
  <si>
    <t>20180522N300025925</t>
  </si>
  <si>
    <t>20180521N300015838</t>
  </si>
  <si>
    <t>20180521N300016308</t>
  </si>
  <si>
    <t>20180521N300016793</t>
  </si>
  <si>
    <t>20180521N300019399</t>
  </si>
  <si>
    <t>20180521N300031291</t>
  </si>
  <si>
    <t>20180518N200001394</t>
  </si>
  <si>
    <t>20180518N300014730</t>
  </si>
  <si>
    <t>20180518N300017385</t>
  </si>
  <si>
    <t>20180518N300023953</t>
  </si>
  <si>
    <t>20180518N300025049</t>
  </si>
  <si>
    <t>20180517N300023359</t>
  </si>
  <si>
    <t>20180517N300023667</t>
  </si>
  <si>
    <t>20180517N300025903</t>
  </si>
  <si>
    <t>20180517N300026222</t>
  </si>
  <si>
    <t>POWTRA</t>
  </si>
  <si>
    <t>20180516N300027461</t>
  </si>
  <si>
    <t>20180516N300028810</t>
  </si>
  <si>
    <t>20180516N300030305</t>
  </si>
  <si>
    <t>20180514N300019809</t>
  </si>
  <si>
    <t>20180514N300022189</t>
  </si>
  <si>
    <t>20180514N300029473</t>
  </si>
  <si>
    <t>20180511N300016788</t>
  </si>
  <si>
    <t>20180511N300017605</t>
  </si>
  <si>
    <t>FEDBAN</t>
  </si>
  <si>
    <t>20180510N300016264</t>
  </si>
  <si>
    <t>20180510N300020487</t>
  </si>
  <si>
    <t>20180510N300020574</t>
  </si>
  <si>
    <t>20180510N300021118</t>
  </si>
  <si>
    <t>20180510N300024665</t>
  </si>
  <si>
    <t>20180509N300028623</t>
  </si>
  <si>
    <t>20180509N300029961</t>
  </si>
  <si>
    <t>20180504N300015638</t>
  </si>
  <si>
    <t>20180504N300015712</t>
  </si>
  <si>
    <t>20180605N300015849</t>
  </si>
  <si>
    <t>20180605N300016878</t>
  </si>
  <si>
    <t>20180605N300018323</t>
  </si>
  <si>
    <t>20180605N300021318</t>
  </si>
  <si>
    <t>20180605N300022769</t>
  </si>
  <si>
    <t>20180605N300022868</t>
  </si>
  <si>
    <t>20180605N300023018</t>
  </si>
  <si>
    <t>20180605N300026929</t>
  </si>
  <si>
    <t>20180605N300027911</t>
  </si>
  <si>
    <t>20180605N300027944</t>
  </si>
  <si>
    <t>20180605N300028333</t>
  </si>
  <si>
    <t>20180605N300028732</t>
  </si>
  <si>
    <t>20180605N300029021</t>
  </si>
  <si>
    <t>20180605N300029141</t>
  </si>
  <si>
    <t>20180605N300029261</t>
  </si>
  <si>
    <t>20180605N300029980</t>
  </si>
  <si>
    <t>20180604N300017003</t>
  </si>
  <si>
    <t>20180604N300022470</t>
  </si>
  <si>
    <t>20180604N300024067</t>
  </si>
  <si>
    <t>20180904N300016420</t>
  </si>
  <si>
    <t>20180904N300021395</t>
  </si>
  <si>
    <t>20180904N300031245</t>
  </si>
  <si>
    <t>20180904N300035550</t>
  </si>
  <si>
    <t>20180903N300020216</t>
  </si>
  <si>
    <t>20180903N300020271</t>
  </si>
  <si>
    <t>20180903N300030454</t>
  </si>
  <si>
    <t>20180903N300038095</t>
  </si>
  <si>
    <t>20180831N300017424</t>
  </si>
  <si>
    <t>20180831N300019116</t>
  </si>
  <si>
    <t>20180831N300034714</t>
  </si>
  <si>
    <t>20180829N300021262</t>
  </si>
  <si>
    <t>20180829N300023367</t>
  </si>
  <si>
    <t>20180828N300025634</t>
  </si>
  <si>
    <t>20180828N300029651</t>
  </si>
  <si>
    <t>20180828N900017439</t>
  </si>
  <si>
    <t>20180827N300026198</t>
  </si>
  <si>
    <t>20180827N300027182</t>
  </si>
  <si>
    <t>20180827N300030419</t>
  </si>
  <si>
    <t>20180827N300030649</t>
  </si>
  <si>
    <t>20180827N300031398</t>
  </si>
  <si>
    <t>20180827N300033622</t>
  </si>
  <si>
    <t>20180821N300015890</t>
  </si>
  <si>
    <t>20180821N300019613</t>
  </si>
  <si>
    <t>20180821N300020195</t>
  </si>
  <si>
    <t>20180821N300021799</t>
  </si>
  <si>
    <t>20180821N300022975</t>
  </si>
  <si>
    <t>20180820N300018655</t>
  </si>
  <si>
    <t>20180820N300018855</t>
  </si>
  <si>
    <t>20180820N300026320</t>
  </si>
  <si>
    <t>20180820N300026449</t>
  </si>
  <si>
    <t>20180820N300026801</t>
  </si>
  <si>
    <t>20180820N300028488</t>
  </si>
  <si>
    <t>20180820N300030854</t>
  </si>
  <si>
    <t>20180816N300018986</t>
  </si>
  <si>
    <t>20180816N300026581</t>
  </si>
  <si>
    <t>20180814N300020137</t>
  </si>
  <si>
    <t>20180814N300030451</t>
  </si>
  <si>
    <t>20180810N300015985</t>
  </si>
  <si>
    <t>20180810N300024510</t>
  </si>
  <si>
    <t>20180810N300025020</t>
  </si>
  <si>
    <t>20180810N900016614</t>
  </si>
  <si>
    <t>20180809N300016026</t>
  </si>
  <si>
    <t>20180809N300018376</t>
  </si>
  <si>
    <t>20180809N300018448</t>
  </si>
  <si>
    <t>20180809N300018982</t>
  </si>
  <si>
    <t>20180809N300022463</t>
  </si>
  <si>
    <t>20180809N300023336</t>
  </si>
  <si>
    <t>20180809N300024093</t>
  </si>
  <si>
    <t>20180809N300031738</t>
  </si>
  <si>
    <t>20180809N300035409</t>
  </si>
  <si>
    <t>20180808N300019880</t>
  </si>
  <si>
    <t>20180808N300020048</t>
  </si>
  <si>
    <t>20180808N300023462</t>
  </si>
  <si>
    <t>20180808N300031702</t>
  </si>
  <si>
    <t>20180807N300016987</t>
  </si>
  <si>
    <t>20180807N300017435</t>
  </si>
  <si>
    <t>20180807N300027278</t>
  </si>
  <si>
    <t>20180807N300027326</t>
  </si>
  <si>
    <t>20180807N300027699</t>
  </si>
  <si>
    <t>20180807N300029238</t>
  </si>
  <si>
    <t>20180806N300016204</t>
  </si>
  <si>
    <t>20180806N300018320</t>
  </si>
  <si>
    <t>20180806N300020522</t>
  </si>
  <si>
    <t>20180806N300021349</t>
  </si>
  <si>
    <t>20180806N300034005</t>
  </si>
  <si>
    <t>IDBI</t>
  </si>
  <si>
    <t>20180803N300014891</t>
  </si>
  <si>
    <t>20180803N300016125</t>
  </si>
  <si>
    <t>20180803N300020050</t>
  </si>
  <si>
    <t>20180803N300027755</t>
  </si>
  <si>
    <t>20180803N300029430</t>
  </si>
  <si>
    <t>20180803N300029644</t>
  </si>
  <si>
    <t>20180802N300014974</t>
  </si>
  <si>
    <t>20180802N300021583</t>
  </si>
  <si>
    <t>20180801N300025755</t>
  </si>
  <si>
    <t>20180801N300025821</t>
  </si>
  <si>
    <t>20180801N300027188</t>
  </si>
  <si>
    <t>20180801N300030018</t>
  </si>
  <si>
    <t>20180801N900000311</t>
  </si>
  <si>
    <t>20180731N300017065</t>
  </si>
  <si>
    <t>20180731N300018246</t>
  </si>
  <si>
    <t>20180731N300019000</t>
  </si>
  <si>
    <t>20180730N300014024</t>
  </si>
  <si>
    <t>20180730N300026360</t>
  </si>
  <si>
    <t>ARRGRE</t>
  </si>
  <si>
    <t>20180719N300012451</t>
  </si>
  <si>
    <t>20180718N300012750</t>
  </si>
  <si>
    <t>20180718N300017473</t>
  </si>
  <si>
    <t>20180718N300018919</t>
  </si>
  <si>
    <t>20180718N300027277</t>
  </si>
  <si>
    <t>20180706N300013753</t>
  </si>
  <si>
    <t>20180626N300014603</t>
  </si>
  <si>
    <t>20180626N300024052</t>
  </si>
  <si>
    <t>20180626N300025804</t>
  </si>
  <si>
    <t>20180622N300013273</t>
  </si>
  <si>
    <t>20180622N300018494</t>
  </si>
  <si>
    <t>20180622N300019009</t>
  </si>
  <si>
    <t>20180622N300020265</t>
  </si>
  <si>
    <t>20180622N300024441</t>
  </si>
  <si>
    <t>20180620N300019606</t>
  </si>
  <si>
    <t>20180620N300020465</t>
  </si>
  <si>
    <t>20180620N900014269</t>
  </si>
  <si>
    <t>20180619N900013987</t>
  </si>
  <si>
    <t>20180618N300019051</t>
  </si>
  <si>
    <t>20180618N300019828</t>
  </si>
  <si>
    <t>20180618N300021111</t>
  </si>
  <si>
    <t>20180618N300022231</t>
  </si>
  <si>
    <t>20180618N300023937</t>
  </si>
  <si>
    <t>20180615N200003289</t>
  </si>
  <si>
    <t>20180615N200004589</t>
  </si>
  <si>
    <t>20180615N200005775</t>
  </si>
  <si>
    <t>20180615N200006823</t>
  </si>
  <si>
    <t>20180615N200009336</t>
  </si>
  <si>
    <t>20180615N200021269</t>
  </si>
  <si>
    <t>20180615N200021564</t>
  </si>
  <si>
    <t>20180614N300015503</t>
  </si>
  <si>
    <t>20180614N300015532</t>
  </si>
  <si>
    <t>20180613N200000888</t>
  </si>
  <si>
    <t>20180613N300020482</t>
  </si>
  <si>
    <t>20180613N300020940</t>
  </si>
  <si>
    <t>20180613N300020984</t>
  </si>
  <si>
    <t>20180612N300013601</t>
  </si>
  <si>
    <t>20180612N300013655</t>
  </si>
  <si>
    <t>20180612N300013873</t>
  </si>
  <si>
    <t>20180612N300016831</t>
  </si>
  <si>
    <t>20180612N300019095</t>
  </si>
  <si>
    <t>20180612N300019934</t>
  </si>
  <si>
    <t>20180612N900013689</t>
  </si>
  <si>
    <t>20180611N300014348</t>
  </si>
  <si>
    <t>20180611N300017998</t>
  </si>
  <si>
    <t>20180611N300018231</t>
  </si>
  <si>
    <t>20180611N300028315</t>
  </si>
  <si>
    <t>20180608N300014671</t>
  </si>
  <si>
    <t>20180608N300018818</t>
  </si>
  <si>
    <t>CROGRE</t>
  </si>
  <si>
    <t>20180607N300014977</t>
  </si>
  <si>
    <t>20180607N300016962</t>
  </si>
  <si>
    <t>20180607N300017015</t>
  </si>
  <si>
    <t>20180606N300015348</t>
  </si>
  <si>
    <t>20180606N300016499</t>
  </si>
  <si>
    <t>20180606N300016807</t>
  </si>
  <si>
    <t>20180606N300017632</t>
  </si>
  <si>
    <t>20180606N300017824</t>
  </si>
  <si>
    <t>20180606N300023180</t>
  </si>
  <si>
    <t>20180606N300027423</t>
  </si>
  <si>
    <t>20180925N300016314</t>
  </si>
  <si>
    <t>20180925N300016393</t>
  </si>
  <si>
    <t>20180925N300018634</t>
  </si>
  <si>
    <t>20180925N300018859</t>
  </si>
  <si>
    <t>YESBAN</t>
  </si>
  <si>
    <t>20180925N300032802</t>
  </si>
  <si>
    <t>20180925N300037747</t>
  </si>
  <si>
    <t>20180924N300018617</t>
  </si>
  <si>
    <t>20180924N300019362</t>
  </si>
  <si>
    <t>20180924N300022447</t>
  </si>
  <si>
    <t>DEWHOU</t>
  </si>
  <si>
    <t>20180924N300025439</t>
  </si>
  <si>
    <t>20180924N300025767</t>
  </si>
  <si>
    <t>20180924N300028391</t>
  </si>
  <si>
    <t>20180924N300028762</t>
  </si>
  <si>
    <t>20180924N300034857</t>
  </si>
  <si>
    <t>20180924N300034892</t>
  </si>
  <si>
    <t>20180924N300036459</t>
  </si>
  <si>
    <t>20180924N300036622</t>
  </si>
  <si>
    <t>20180921N300018571</t>
  </si>
  <si>
    <t>20180921N300018649</t>
  </si>
  <si>
    <t>20180921N300020252</t>
  </si>
  <si>
    <t>KNRCON</t>
  </si>
  <si>
    <t>20180921N300021865</t>
  </si>
  <si>
    <t>20180921N300024265</t>
  </si>
  <si>
    <t>20180921N900000094</t>
  </si>
  <si>
    <t>20180919N300017123</t>
  </si>
  <si>
    <t>20180919N300032212</t>
  </si>
  <si>
    <t>GUJMI</t>
  </si>
  <si>
    <t>20180914N300025856</t>
  </si>
  <si>
    <t>20180907N300030485</t>
  </si>
  <si>
    <t>20180907N300031461</t>
  </si>
  <si>
    <t>20180907N300033987</t>
  </si>
  <si>
    <t>20180907N300034337</t>
  </si>
  <si>
    <t>20180906N300029148</t>
  </si>
  <si>
    <t>20180906N300029177</t>
  </si>
  <si>
    <t>20180906N300029661</t>
  </si>
  <si>
    <t>20180905N300031782</t>
  </si>
  <si>
    <t>Status</t>
  </si>
  <si>
    <t>#N/A</t>
  </si>
  <si>
    <t>Sum of P/L</t>
  </si>
  <si>
    <t>20181016N300015547</t>
  </si>
  <si>
    <t>TV18BR</t>
  </si>
  <si>
    <t>20181016N300017496</t>
  </si>
  <si>
    <t>20181016N300024558</t>
  </si>
  <si>
    <t>20181016N300025225</t>
  </si>
  <si>
    <t>20181016N300026100</t>
  </si>
  <si>
    <t>20181016N300026584</t>
  </si>
  <si>
    <t>20181016N300030350</t>
  </si>
  <si>
    <t>20181015N300029943</t>
  </si>
  <si>
    <t>20181015N300030664</t>
  </si>
  <si>
    <t>BANBAN</t>
  </si>
  <si>
    <t>20181012N300016812</t>
  </si>
  <si>
    <t>20181012N300018585</t>
  </si>
  <si>
    <t>20181012N300018901</t>
  </si>
  <si>
    <t>20181012N300022697</t>
  </si>
  <si>
    <t>20181012N300028606</t>
  </si>
  <si>
    <t>20181011N300017231</t>
  </si>
  <si>
    <t>20181011N300029951</t>
  </si>
  <si>
    <t>20181011N300035265</t>
  </si>
  <si>
    <t>20181009N300018488</t>
  </si>
  <si>
    <t>20181009N300023084</t>
  </si>
  <si>
    <t>20181009N300023456</t>
  </si>
  <si>
    <t>20181009N300023671</t>
  </si>
  <si>
    <t>20181009N300025189</t>
  </si>
  <si>
    <t>20181009N300027588</t>
  </si>
  <si>
    <t>20181009N300033613</t>
  </si>
  <si>
    <t>20181009N300034584</t>
  </si>
  <si>
    <t>20181009N900015183</t>
  </si>
  <si>
    <t>20181008N300028308</t>
  </si>
  <si>
    <t>20181008N300034363</t>
  </si>
  <si>
    <t>20181008N300034501</t>
  </si>
  <si>
    <t>20181008N300036651</t>
  </si>
  <si>
    <t>20181008N300038855</t>
  </si>
  <si>
    <t>20181008N300038859</t>
  </si>
  <si>
    <t>20181005N300023049</t>
  </si>
  <si>
    <t>20181005N300028868</t>
  </si>
  <si>
    <t>20181005N300029135</t>
  </si>
  <si>
    <t>20181005N300029711</t>
  </si>
  <si>
    <t>20181005N300034793</t>
  </si>
  <si>
    <t>20181004N200001135</t>
  </si>
  <si>
    <t>20181004N300028247</t>
  </si>
  <si>
    <t>20181004N300028852</t>
  </si>
  <si>
    <t>ICIBAN</t>
  </si>
  <si>
    <t>20181004N300033166</t>
  </si>
  <si>
    <t>20181004N300033391</t>
  </si>
  <si>
    <t>20181004N300033486</t>
  </si>
  <si>
    <t>20181004N300033943</t>
  </si>
  <si>
    <t>20181004N300034942</t>
  </si>
  <si>
    <t>20181003N200001206</t>
  </si>
  <si>
    <t>20181003N300017546</t>
  </si>
  <si>
    <t>20181003N300018815</t>
  </si>
  <si>
    <t>20181003N300019236</t>
  </si>
  <si>
    <t>20181003N300019486</t>
  </si>
  <si>
    <t>20181003N300021717</t>
  </si>
  <si>
    <t>20181003N300025154</t>
  </si>
  <si>
    <t>20181003N300025362</t>
  </si>
  <si>
    <t>20181003N300026504</t>
  </si>
  <si>
    <t>20181003N300027207</t>
  </si>
  <si>
    <t>20180928N300020383</t>
  </si>
  <si>
    <t>20180928N300022191</t>
  </si>
  <si>
    <t>20180928N300024936</t>
  </si>
  <si>
    <t>20180928N300025120</t>
  </si>
  <si>
    <t>20180928N300027110</t>
  </si>
  <si>
    <t>20180928N300030924</t>
  </si>
  <si>
    <t>20180928N300038416</t>
  </si>
  <si>
    <t>20180927N300015621</t>
  </si>
  <si>
    <t>20180927N300016415</t>
  </si>
  <si>
    <t>20180927N300016439</t>
  </si>
  <si>
    <t>20180927N300019525</t>
  </si>
  <si>
    <t>20180927N300022158</t>
  </si>
  <si>
    <t>20180927N300022454</t>
  </si>
  <si>
    <t>20180926N300017964</t>
  </si>
  <si>
    <t>20180926N300018259</t>
  </si>
  <si>
    <t>20180926N300024982</t>
  </si>
  <si>
    <t>20180926N300025006</t>
  </si>
  <si>
    <t>20180926N300025473</t>
  </si>
  <si>
    <t>20180926N300025995</t>
  </si>
  <si>
    <t>20180926N300031266</t>
  </si>
  <si>
    <t>20181017N300024205</t>
  </si>
  <si>
    <t>20181017N300025147</t>
  </si>
  <si>
    <t>20181017N300030641</t>
  </si>
  <si>
    <t>20181017N300031004</t>
  </si>
  <si>
    <t>20181017N300031217</t>
  </si>
  <si>
    <t>20181017N300031249</t>
  </si>
  <si>
    <t>20181017N300031265</t>
  </si>
  <si>
    <t>20181017N300031302</t>
  </si>
  <si>
    <t>20181017N300031316</t>
  </si>
  <si>
    <t>20181031N300017447</t>
  </si>
  <si>
    <t>20181031N300019019</t>
  </si>
  <si>
    <t>20181031N300025444</t>
  </si>
  <si>
    <t>20181031N300029156</t>
  </si>
  <si>
    <t>20181031N300029471</t>
  </si>
  <si>
    <t>20181031N300031542</t>
  </si>
  <si>
    <t>20181030N300021038</t>
  </si>
  <si>
    <t>20181030N300021936</t>
  </si>
  <si>
    <t>20181030N300021981</t>
  </si>
  <si>
    <t>20181030N300027966</t>
  </si>
  <si>
    <t>20181030N300028851</t>
  </si>
  <si>
    <t>20181030N300029507</t>
  </si>
  <si>
    <t>20181029N300016513</t>
  </si>
  <si>
    <t>20181029N300016897</t>
  </si>
  <si>
    <t>20181029N300017966</t>
  </si>
  <si>
    <t>20181029N300027222</t>
  </si>
  <si>
    <t>20181029N300031272</t>
  </si>
  <si>
    <t>WIPRO</t>
  </si>
  <si>
    <t>20181026N200001037</t>
  </si>
  <si>
    <t>20181026N300013983</t>
  </si>
  <si>
    <t>20181026N300017592</t>
  </si>
  <si>
    <t>20181026N300029069</t>
  </si>
  <si>
    <t>20181026N300029504</t>
  </si>
  <si>
    <t>20181026N300030617</t>
  </si>
  <si>
    <t>20181025N300014038</t>
  </si>
  <si>
    <t>20181025N300014311</t>
  </si>
  <si>
    <t>20181025N300018359</t>
  </si>
  <si>
    <t>20181025N300020004</t>
  </si>
  <si>
    <t>20181025N300021681</t>
  </si>
  <si>
    <t>20181025N300029331</t>
  </si>
  <si>
    <t>20181025N900014953</t>
  </si>
  <si>
    <t>20181115N300027683</t>
  </si>
  <si>
    <t>20181115N300027789</t>
  </si>
  <si>
    <t>20181115N300027857</t>
  </si>
  <si>
    <t>20181115N300030522</t>
  </si>
  <si>
    <t>20181115N300030816</t>
  </si>
  <si>
    <t>20181115N300030832</t>
  </si>
  <si>
    <t>20181115N300030846</t>
  </si>
  <si>
    <t>20181115N300030855</t>
  </si>
  <si>
    <t>20181114N300019753</t>
  </si>
  <si>
    <t>20181114N300021375</t>
  </si>
  <si>
    <t>20181114N300023513</t>
  </si>
  <si>
    <t>20181114N300023600</t>
  </si>
  <si>
    <t>20181114N300023843</t>
  </si>
  <si>
    <t>20181114N300024349</t>
  </si>
  <si>
    <t>20181114N300024369</t>
  </si>
  <si>
    <t>20181114N300026868</t>
  </si>
  <si>
    <t>20181114N300029894</t>
  </si>
  <si>
    <t>20181114N300030029</t>
  </si>
  <si>
    <t>20181114N300030081</t>
  </si>
  <si>
    <t>20181114N300032418</t>
  </si>
  <si>
    <t>20190123N200000881</t>
  </si>
  <si>
    <t>20190123N300013434</t>
  </si>
  <si>
    <t>20190123N300014711</t>
  </si>
  <si>
    <t>20190123N300015665</t>
  </si>
  <si>
    <t>20190123N300017461</t>
  </si>
  <si>
    <t>20190122N200000915</t>
  </si>
  <si>
    <t>20190122N300013829</t>
  </si>
  <si>
    <t>20190122N300017649</t>
  </si>
  <si>
    <t>20190122N300024785</t>
  </si>
  <si>
    <t>20190121N200001851</t>
  </si>
  <si>
    <t>20190121N300016689</t>
  </si>
  <si>
    <t>20190121N300017785</t>
  </si>
  <si>
    <t>20190121N300018697</t>
  </si>
  <si>
    <t>20190118N300015524</t>
  </si>
  <si>
    <t>20190118N300021170</t>
  </si>
  <si>
    <t>JETAIR</t>
  </si>
  <si>
    <t>20190118N300025219</t>
  </si>
  <si>
    <t>20190118N300025371</t>
  </si>
  <si>
    <t>20190118N900015190</t>
  </si>
  <si>
    <t>20190117B700001180</t>
  </si>
  <si>
    <t>20190117B700001387</t>
  </si>
  <si>
    <t>20190117B700001409</t>
  </si>
  <si>
    <t>20190117B700004353</t>
  </si>
  <si>
    <t>20190117N200000903</t>
  </si>
  <si>
    <t>20190117N200001085</t>
  </si>
  <si>
    <t>20190117N300021990</t>
  </si>
  <si>
    <t>20190117N300022748</t>
  </si>
  <si>
    <t>20190117N300025476</t>
  </si>
  <si>
    <t>GRUFIN</t>
  </si>
  <si>
    <t>20190109B700003420</t>
  </si>
  <si>
    <t>20190109B700003904</t>
  </si>
  <si>
    <t>20190109B700004166</t>
  </si>
  <si>
    <t>20190109B700004178</t>
  </si>
  <si>
    <t>20190108N300019340</t>
  </si>
  <si>
    <t>20190108N300022303</t>
  </si>
  <si>
    <t>20190104B100004663</t>
  </si>
  <si>
    <t>20190104B100004697</t>
  </si>
  <si>
    <t>VEDLIM</t>
  </si>
  <si>
    <t>20190104B700000969</t>
  </si>
  <si>
    <t>20190104B700002894</t>
  </si>
  <si>
    <t>20190104B700003913</t>
  </si>
  <si>
    <t>20190104B700004480</t>
  </si>
  <si>
    <t>20190103B700003944</t>
  </si>
  <si>
    <t>20190103B700004120</t>
  </si>
  <si>
    <t>20190103N300020366</t>
  </si>
  <si>
    <t>20190103N300023499</t>
  </si>
  <si>
    <t>20190103N300024217</t>
  </si>
  <si>
    <t>20190103N300026385</t>
  </si>
  <si>
    <t>20190102N300014996</t>
  </si>
  <si>
    <t>20190102N300019214</t>
  </si>
  <si>
    <t>20190102N300019622</t>
  </si>
  <si>
    <t>20190102N300021840</t>
  </si>
  <si>
    <t>20190102N300021873</t>
  </si>
  <si>
    <t>20190102N300024636</t>
  </si>
  <si>
    <t>KOTMAH</t>
  </si>
  <si>
    <t>20181218B100006107</t>
  </si>
  <si>
    <t>20181218B700004295</t>
  </si>
  <si>
    <t>20181214N300013799</t>
  </si>
  <si>
    <t>20181214N300026786</t>
  </si>
  <si>
    <t>20181213N300021567</t>
  </si>
  <si>
    <t>20181213N300028555</t>
  </si>
  <si>
    <t>20181212B700002092</t>
  </si>
  <si>
    <t>20181129N300015940</t>
  </si>
  <si>
    <t>20181129N300018440</t>
  </si>
  <si>
    <t>20181129N300019893</t>
  </si>
  <si>
    <t>20181129N300030493</t>
  </si>
  <si>
    <t>20190307B700003876</t>
  </si>
  <si>
    <t>20190307B700003886</t>
  </si>
  <si>
    <t>20190307N300015800</t>
  </si>
  <si>
    <t>20190307N300016118</t>
  </si>
  <si>
    <t>20190307N300017071</t>
  </si>
  <si>
    <t>20190307N300017159</t>
  </si>
  <si>
    <t>20190307N300017647</t>
  </si>
  <si>
    <t>20190307N300020020</t>
  </si>
  <si>
    <t>20190307N300021763</t>
  </si>
  <si>
    <t>20190307N300021787</t>
  </si>
  <si>
    <t>20190307N300021812</t>
  </si>
  <si>
    <t>20190307N300028242</t>
  </si>
  <si>
    <t>20190307N300030457</t>
  </si>
  <si>
    <t>20190306N300021900</t>
  </si>
  <si>
    <t>20190306N300025330</t>
  </si>
  <si>
    <t>20190306N300026006</t>
  </si>
  <si>
    <t>20190305N300021599</t>
  </si>
  <si>
    <t>20190305N300021648</t>
  </si>
  <si>
    <t>20190305N300031636</t>
  </si>
  <si>
    <t>20190305N300034375</t>
  </si>
  <si>
    <t>20190305N300035042</t>
  </si>
  <si>
    <t>20190305N300035094</t>
  </si>
  <si>
    <t>20190305N300036216</t>
  </si>
  <si>
    <t>20190305N300037352</t>
  </si>
  <si>
    <t>20190301N300014094</t>
  </si>
  <si>
    <t>20190301N300014173</t>
  </si>
  <si>
    <t>20190301N300022508</t>
  </si>
  <si>
    <t>20190301N300025283</t>
  </si>
  <si>
    <t>20190218N300023019</t>
  </si>
  <si>
    <t>20190205N300012554</t>
  </si>
  <si>
    <t>20190205N300013823</t>
  </si>
  <si>
    <t>20190205N300014545</t>
  </si>
  <si>
    <t>20190205N300014662</t>
  </si>
  <si>
    <t>20190205N300027959</t>
  </si>
  <si>
    <t>20190204N300014899</t>
  </si>
  <si>
    <t>20190204N300016286</t>
  </si>
  <si>
    <t>20190204N300019856</t>
  </si>
  <si>
    <t>20190204N300019896</t>
  </si>
  <si>
    <t>20190204N300027592</t>
  </si>
  <si>
    <t>20190204N300030662</t>
  </si>
  <si>
    <t>20190201N300013943</t>
  </si>
  <si>
    <t>20190201N300014141</t>
  </si>
  <si>
    <t>20190201N300014644</t>
  </si>
  <si>
    <t>20190312N200001044</t>
  </si>
  <si>
    <t>NATALU</t>
  </si>
  <si>
    <t>20190312N300015298</t>
  </si>
  <si>
    <t>20190312N300015359</t>
  </si>
  <si>
    <t>20190312N300021906</t>
  </si>
  <si>
    <t>20190312N300022103</t>
  </si>
  <si>
    <t>20190312N300024993</t>
  </si>
  <si>
    <t>20190312N300025281</t>
  </si>
  <si>
    <t>20190312N300030715</t>
  </si>
  <si>
    <t>20190312N300032904</t>
  </si>
  <si>
    <t>20190312N300033134</t>
  </si>
  <si>
    <t>20190311N300019566</t>
  </si>
  <si>
    <t>20190311N300021991</t>
  </si>
  <si>
    <t>20190311N300022128</t>
  </si>
  <si>
    <t>20190311N300025957</t>
  </si>
  <si>
    <t>20190311N300029427</t>
  </si>
  <si>
    <t>20190311N300031638</t>
  </si>
  <si>
    <t>20190311N300033357</t>
  </si>
  <si>
    <t>20190308N300018395</t>
  </si>
  <si>
    <t>20190308N300018430</t>
  </si>
  <si>
    <t>20190308N900015068</t>
  </si>
  <si>
    <t>20190403N300016324</t>
  </si>
  <si>
    <t>20190403N300016723</t>
  </si>
  <si>
    <t>20190403N300027966</t>
  </si>
  <si>
    <t>20190403N300028271</t>
  </si>
  <si>
    <t>20190403N300028283</t>
  </si>
  <si>
    <t>20190403N300030548</t>
  </si>
  <si>
    <t>20190403N300031152</t>
  </si>
  <si>
    <t>20190402N200000855</t>
  </si>
  <si>
    <t>20190402N300015968</t>
  </si>
  <si>
    <t>20190402N300018391</t>
  </si>
  <si>
    <t>20190402N300019520</t>
  </si>
  <si>
    <t>20190402N300020241</t>
  </si>
  <si>
    <t>20190401N300017587</t>
  </si>
  <si>
    <t>20190401N300017968</t>
  </si>
  <si>
    <t>20190401N300018740</t>
  </si>
  <si>
    <t>20190401N300023666</t>
  </si>
  <si>
    <t>20190401N300026015</t>
  </si>
  <si>
    <t>INDOIL</t>
  </si>
  <si>
    <t>20190329N200000934</t>
  </si>
  <si>
    <t>20190329N300016335</t>
  </si>
  <si>
    <t>20190328N200000770</t>
  </si>
  <si>
    <t>20190328N200001816</t>
  </si>
  <si>
    <t>20190328N300015909</t>
  </si>
  <si>
    <t>20190328N300029615</t>
  </si>
  <si>
    <t>20190328N900016251</t>
  </si>
  <si>
    <t>20190327N300018668</t>
  </si>
  <si>
    <t>20190327N300019539</t>
  </si>
  <si>
    <t>20190327N300019798</t>
  </si>
  <si>
    <t>20190327N300020670</t>
  </si>
  <si>
    <t>20190327N300021875</t>
  </si>
  <si>
    <t>20190327N300023783</t>
  </si>
  <si>
    <t>20190327N300025540</t>
  </si>
  <si>
    <t>20190327N300030904</t>
  </si>
  <si>
    <t>20190322N300016765</t>
  </si>
  <si>
    <t>20190322N300018329</t>
  </si>
  <si>
    <t>20190322N300019769</t>
  </si>
  <si>
    <t>20190322N300026515</t>
  </si>
  <si>
    <t>20190322N300026632</t>
  </si>
  <si>
    <t>20190322N300030739</t>
  </si>
  <si>
    <t>20190318N300027768</t>
  </si>
  <si>
    <t>20190314N200000919</t>
  </si>
  <si>
    <t>20190314N200001371</t>
  </si>
  <si>
    <t>20190314N300017388</t>
  </si>
  <si>
    <t>20190314N300027786</t>
  </si>
  <si>
    <t>20190314N300029059</t>
  </si>
  <si>
    <t>20190313B700002220</t>
  </si>
  <si>
    <t>20190313N300015876</t>
  </si>
  <si>
    <t>20190313N300016930</t>
  </si>
  <si>
    <t>20190313N300024234</t>
  </si>
  <si>
    <t>20190313N300024250</t>
  </si>
  <si>
    <t>20190405N300018923</t>
  </si>
  <si>
    <t>20190404N200000724</t>
  </si>
  <si>
    <t>20190404N300015611</t>
  </si>
  <si>
    <t>20190404N300018070</t>
  </si>
  <si>
    <t>20190404N300026413</t>
  </si>
  <si>
    <t>20190404N300027617</t>
  </si>
  <si>
    <t>20190404N300028626</t>
  </si>
  <si>
    <t>20190624N300017179</t>
  </si>
  <si>
    <t>20190624N300017198</t>
  </si>
  <si>
    <t>JAIIRR</t>
  </si>
  <si>
    <t>20190624N300018614</t>
  </si>
  <si>
    <t>20190624N300018800</t>
  </si>
  <si>
    <t>20190624N300019752</t>
  </si>
  <si>
    <t>20190624N300024853</t>
  </si>
  <si>
    <t>20190624N300025566</t>
  </si>
  <si>
    <t>20190624N300026743</t>
  </si>
  <si>
    <t>20190624N900016027</t>
  </si>
  <si>
    <t>20190621N300016333</t>
  </si>
  <si>
    <t>20190621N300016493</t>
  </si>
  <si>
    <t>20190621N300017059</t>
  </si>
  <si>
    <t>CANBAN</t>
  </si>
  <si>
    <t>20190621N300017374</t>
  </si>
  <si>
    <t>20190621N300017656</t>
  </si>
  <si>
    <t>AURPHA</t>
  </si>
  <si>
    <t>20190621N300018609</t>
  </si>
  <si>
    <t>20190621N300018626</t>
  </si>
  <si>
    <t>20190621N300021339</t>
  </si>
  <si>
    <t>20190621N300022576</t>
  </si>
  <si>
    <t>20190621N300027904</t>
  </si>
  <si>
    <t>20190620N300017915</t>
  </si>
  <si>
    <t>20190620N300018203</t>
  </si>
  <si>
    <t>20190620N300019908</t>
  </si>
  <si>
    <t>20190620N300024800</t>
  </si>
  <si>
    <t>20190620N300024852</t>
  </si>
  <si>
    <t>20190619N300019889</t>
  </si>
  <si>
    <t>20190619N300020092</t>
  </si>
  <si>
    <t>CHAFER</t>
  </si>
  <si>
    <t>20190618N300018964</t>
  </si>
  <si>
    <t>20190618N300020133</t>
  </si>
  <si>
    <t>20190618N300020966</t>
  </si>
  <si>
    <t>TATSTE</t>
  </si>
  <si>
    <t>20190618N300021548</t>
  </si>
  <si>
    <t>20190618N300021798</t>
  </si>
  <si>
    <t>20190618N300024492</t>
  </si>
  <si>
    <t>20190617N300016803</t>
  </si>
  <si>
    <t>20190617N300016946</t>
  </si>
  <si>
    <t>20190617N300018427</t>
  </si>
  <si>
    <t>20190617N300020202</t>
  </si>
  <si>
    <t>20190617N300021376</t>
  </si>
  <si>
    <t>20190617N300021509</t>
  </si>
  <si>
    <t>20190614N300017279</t>
  </si>
  <si>
    <t>20190614N300017360</t>
  </si>
  <si>
    <t>RELINF</t>
  </si>
  <si>
    <t>20190614N300020334</t>
  </si>
  <si>
    <t>20190614N300020396</t>
  </si>
  <si>
    <t>20190614N300024400</t>
  </si>
  <si>
    <t>20190614N300024416</t>
  </si>
  <si>
    <t>20190613N300016875</t>
  </si>
  <si>
    <t>20190613N300017249</t>
  </si>
  <si>
    <t>20190613N300020046</t>
  </si>
  <si>
    <t>20190613N300020100</t>
  </si>
  <si>
    <t>20190613N300020300</t>
  </si>
  <si>
    <t>20190613N300020333</t>
  </si>
  <si>
    <t>NATMIN</t>
  </si>
  <si>
    <t>20190613N300025384</t>
  </si>
  <si>
    <t>20190613N300025535</t>
  </si>
  <si>
    <t>20190613N900015727</t>
  </si>
  <si>
    <t>BANIND</t>
  </si>
  <si>
    <t>20190612N300018244</t>
  </si>
  <si>
    <t>20190612N300018385</t>
  </si>
  <si>
    <t>20190612N300022702</t>
  </si>
  <si>
    <t>20190612N300022940</t>
  </si>
  <si>
    <t>NAGCON</t>
  </si>
  <si>
    <t>20190611N300016914</t>
  </si>
  <si>
    <t>20190611N300016966</t>
  </si>
  <si>
    <t>20190611N300017954</t>
  </si>
  <si>
    <t>20190611N300018171</t>
  </si>
  <si>
    <t>BERPAI</t>
  </si>
  <si>
    <t>20190611N300025629</t>
  </si>
  <si>
    <t>20190611N300026275</t>
  </si>
  <si>
    <t>20190611N300026297</t>
  </si>
  <si>
    <t>20190611N300028669</t>
  </si>
  <si>
    <t>BAJFI</t>
  </si>
  <si>
    <t>20190610N300017123</t>
  </si>
  <si>
    <t>NIITEC</t>
  </si>
  <si>
    <t>20190610N300017707</t>
  </si>
  <si>
    <t>20190610N300017842</t>
  </si>
  <si>
    <t>DABIND</t>
  </si>
  <si>
    <t>20190610N300019997</t>
  </si>
  <si>
    <t>20190610N300020070</t>
  </si>
  <si>
    <t>20190610N300022202</t>
  </si>
  <si>
    <t>CEAT</t>
  </si>
  <si>
    <t>20190610N300027273</t>
  </si>
  <si>
    <t>DLFLIM</t>
  </si>
  <si>
    <t>20190610N300027292</t>
  </si>
  <si>
    <t>JINSP</t>
  </si>
  <si>
    <t>20190610N300027330</t>
  </si>
  <si>
    <t>20190610N300030051</t>
  </si>
  <si>
    <t>20190610N300030570</t>
  </si>
  <si>
    <t>20190610N300030617</t>
  </si>
  <si>
    <t>20190610N300030621</t>
  </si>
  <si>
    <t>RURELE</t>
  </si>
  <si>
    <t>20190607N300017963</t>
  </si>
  <si>
    <t>20190607N300018441</t>
  </si>
  <si>
    <t>20190607N300018526</t>
  </si>
  <si>
    <t>20190607N300018819</t>
  </si>
  <si>
    <t>20190607N300020514</t>
  </si>
  <si>
    <t>ACC</t>
  </si>
  <si>
    <t>20190606N300019967</t>
  </si>
  <si>
    <t>20190606N300020083</t>
  </si>
  <si>
    <t>20190606N300020306</t>
  </si>
  <si>
    <t>20190606N300020335</t>
  </si>
  <si>
    <t>20190606N300021306</t>
  </si>
  <si>
    <t>20190606N300021394</t>
  </si>
  <si>
    <t>POWFIN</t>
  </si>
  <si>
    <t>20190606N300021559</t>
  </si>
  <si>
    <t>20190606N300021572</t>
  </si>
  <si>
    <t>MARLIM</t>
  </si>
  <si>
    <t>20190606N300022299</t>
  </si>
  <si>
    <t>20190606N300022593</t>
  </si>
  <si>
    <t>20190606N300022691</t>
  </si>
  <si>
    <t>20190606N300022788</t>
  </si>
  <si>
    <t>DCB</t>
  </si>
  <si>
    <t>20190606N300023864</t>
  </si>
  <si>
    <t>20190606N300023907</t>
  </si>
  <si>
    <t>20190606N300025186</t>
  </si>
  <si>
    <t>20190606N300026668</t>
  </si>
  <si>
    <t>20190606N300027144</t>
  </si>
  <si>
    <t>20190606N300029697</t>
  </si>
  <si>
    <t>20190606N300030749</t>
  </si>
  <si>
    <t>20190606N300031309</t>
  </si>
  <si>
    <t>20190606N300032039</t>
  </si>
  <si>
    <t>20190606N300033850</t>
  </si>
  <si>
    <t>COALIN</t>
  </si>
  <si>
    <t>20190531N300016249</t>
  </si>
  <si>
    <t>20190531N300016782</t>
  </si>
  <si>
    <t>20190531N300018321</t>
  </si>
  <si>
    <t>20190531N300028416</t>
  </si>
  <si>
    <t>20190531N300030785</t>
  </si>
  <si>
    <t>HCLTEC</t>
  </si>
  <si>
    <t>20190530N300017237</t>
  </si>
  <si>
    <t>20190530N300017472</t>
  </si>
  <si>
    <t>UNIBAN</t>
  </si>
  <si>
    <t>20190530N300018790</t>
  </si>
  <si>
    <t>20190530N300022041</t>
  </si>
  <si>
    <t>20190530N300022142</t>
  </si>
  <si>
    <t>20190530N300022158</t>
  </si>
  <si>
    <t>20190530N300023575</t>
  </si>
  <si>
    <t>20190530N300024380</t>
  </si>
  <si>
    <t>20190529N300017549</t>
  </si>
  <si>
    <t>20190529N300017583</t>
  </si>
  <si>
    <t>SUNTV</t>
  </si>
  <si>
    <t>20190529N300026791</t>
  </si>
  <si>
    <t>20190529N300027705</t>
  </si>
  <si>
    <t>20190529N300029059</t>
  </si>
  <si>
    <t>20190528N200001522</t>
  </si>
  <si>
    <t>20190528N300016429</t>
  </si>
  <si>
    <t>20190528N300019229</t>
  </si>
  <si>
    <t>20190528N300019402</t>
  </si>
  <si>
    <t>20190528N300019957</t>
  </si>
  <si>
    <t>RELCAP</t>
  </si>
  <si>
    <t>20190528N300022653</t>
  </si>
  <si>
    <t>20190528N300022681</t>
  </si>
  <si>
    <t>20190528N300026972</t>
  </si>
  <si>
    <t>20190528N300027013</t>
  </si>
  <si>
    <t>20190527N300016805</t>
  </si>
  <si>
    <t>20190527N300017711</t>
  </si>
  <si>
    <t>20190527N300020409</t>
  </si>
  <si>
    <t>20190527N300023015</t>
  </si>
  <si>
    <t>20190527N300023729</t>
  </si>
  <si>
    <t>20190527N300023755</t>
  </si>
  <si>
    <t>20190527N300030998</t>
  </si>
  <si>
    <t>20190527N300031157</t>
  </si>
  <si>
    <t>20190527N300032098</t>
  </si>
  <si>
    <t>20190527N300033302</t>
  </si>
  <si>
    <t>20190527N300033724</t>
  </si>
  <si>
    <t>20190524N300014803</t>
  </si>
  <si>
    <t>20190524N300021660</t>
  </si>
  <si>
    <t>20190524N300023046</t>
  </si>
  <si>
    <t>20190524N300024355</t>
  </si>
  <si>
    <t>20190524N300027271</t>
  </si>
  <si>
    <t>20190524N300028386</t>
  </si>
  <si>
    <t>20190524N300030252</t>
  </si>
  <si>
    <t>20190524N300030953</t>
  </si>
  <si>
    <t>20190523N200001395</t>
  </si>
  <si>
    <t>20190523N300016893</t>
  </si>
  <si>
    <t>20190523N300017880</t>
  </si>
  <si>
    <t>20190523N300019123</t>
  </si>
  <si>
    <t>20190523N300019713</t>
  </si>
  <si>
    <t>20190523N300021326</t>
  </si>
  <si>
    <t>20190523N300021854</t>
  </si>
  <si>
    <t>20190523N300024161</t>
  </si>
  <si>
    <t>20190523N300024564</t>
  </si>
  <si>
    <t>20190523N300024728</t>
  </si>
  <si>
    <t>20190522N300014936</t>
  </si>
  <si>
    <t>20190522N300015123</t>
  </si>
  <si>
    <t>20190522N300015416</t>
  </si>
  <si>
    <t>20190522N300017431</t>
  </si>
  <si>
    <t>20190522N300020216</t>
  </si>
  <si>
    <t>20190522N300021346</t>
  </si>
  <si>
    <t>20190522N300022680</t>
  </si>
  <si>
    <t>20190522N300023305</t>
  </si>
  <si>
    <t>20190521N300018706</t>
  </si>
  <si>
    <t>20190521N300019142</t>
  </si>
  <si>
    <t>20190521N300019908</t>
  </si>
  <si>
    <t>20190520N300016087</t>
  </si>
  <si>
    <t>20190520N300016307</t>
  </si>
  <si>
    <t>20190520N300017946</t>
  </si>
  <si>
    <t>20190520N300026092</t>
  </si>
  <si>
    <t>20190520N300033208</t>
  </si>
  <si>
    <t>20190520N300034029</t>
  </si>
  <si>
    <t>20190520N300034216</t>
  </si>
  <si>
    <t>20190520N300034740</t>
  </si>
  <si>
    <t>20190520N300036842</t>
  </si>
  <si>
    <t>20190517N200000829</t>
  </si>
  <si>
    <t>20190517N200001087</t>
  </si>
  <si>
    <t>20190517N300013097</t>
  </si>
  <si>
    <t>20190517N300014893</t>
  </si>
  <si>
    <t>20190517N300019808</t>
  </si>
  <si>
    <t>20190517N300021113</t>
  </si>
  <si>
    <t>20190517N300021320</t>
  </si>
  <si>
    <t>20190516N300015304</t>
  </si>
  <si>
    <t>20190516N300016025</t>
  </si>
  <si>
    <t>20190516N300019934</t>
  </si>
  <si>
    <t>20190516N300020859</t>
  </si>
  <si>
    <t>20190516N300022312</t>
  </si>
  <si>
    <t>20190516N300024246</t>
  </si>
  <si>
    <t>20190516N300025296</t>
  </si>
  <si>
    <t>20190516N300025344</t>
  </si>
  <si>
    <t>20190515N300018409</t>
  </si>
  <si>
    <t>20190515N300019807</t>
  </si>
  <si>
    <t>20190515N300019848</t>
  </si>
  <si>
    <t>20190514N300016846</t>
  </si>
  <si>
    <t>20190514N300017169</t>
  </si>
  <si>
    <t>20190514N300018221</t>
  </si>
  <si>
    <t>20190513N300016677</t>
  </si>
  <si>
    <t>20190513N300017886</t>
  </si>
  <si>
    <t>20190513N300021889</t>
  </si>
  <si>
    <t>20190510N300014131</t>
  </si>
  <si>
    <t>20190510N300016656</t>
  </si>
  <si>
    <t>20190510N300016988</t>
  </si>
  <si>
    <t>20190510N300018415</t>
  </si>
  <si>
    <t>20190510N300020858</t>
  </si>
  <si>
    <t>20190510N300021060</t>
  </si>
  <si>
    <t>20190506N300017657</t>
  </si>
  <si>
    <t>20190506N300017727</t>
  </si>
  <si>
    <t>20190506N300020477</t>
  </si>
  <si>
    <t>20190506N300028809</t>
  </si>
  <si>
    <t>20190506N300029063</t>
  </si>
  <si>
    <t>20190502N300028221</t>
  </si>
  <si>
    <t>20190425N300024325</t>
  </si>
  <si>
    <t>20190424N300020723</t>
  </si>
  <si>
    <t>20190423N300015228</t>
  </si>
  <si>
    <t>20190423N300015644</t>
  </si>
  <si>
    <t>20190423N300016232</t>
  </si>
  <si>
    <t>20190423N300019534</t>
  </si>
  <si>
    <t>20190423N300021358</t>
  </si>
  <si>
    <t>20190423N300021456</t>
  </si>
  <si>
    <t>20190423N300024966</t>
  </si>
  <si>
    <t>20190423N300025002</t>
  </si>
  <si>
    <t>20190423N300025288</t>
  </si>
  <si>
    <t>20190423N300025860</t>
  </si>
  <si>
    <t>20190423N300026894</t>
  </si>
  <si>
    <t>20190422N200000814</t>
  </si>
  <si>
    <t>20190422N300018060</t>
  </si>
  <si>
    <t>20190422N300018614</t>
  </si>
  <si>
    <t>20190422N300019165</t>
  </si>
  <si>
    <t>20190422N300019807</t>
  </si>
  <si>
    <t>20190422N300020313</t>
  </si>
  <si>
    <t>20190422N300020965</t>
  </si>
  <si>
    <t>20190422N300021699</t>
  </si>
  <si>
    <t>20190422N300027255</t>
  </si>
  <si>
    <t>20190422N300030880</t>
  </si>
  <si>
    <t>20190418N300019464</t>
  </si>
  <si>
    <t>20190418N300021284</t>
  </si>
  <si>
    <t>20190418N300027951</t>
  </si>
  <si>
    <t>20190418N300028234</t>
  </si>
  <si>
    <t>20190418N300029991</t>
  </si>
  <si>
    <t>20190418N300032340</t>
  </si>
  <si>
    <t>20190418N300033221</t>
  </si>
  <si>
    <t>20190418N300033934</t>
  </si>
  <si>
    <t>20190416B700004353</t>
  </si>
  <si>
    <t>20190416B700005435</t>
  </si>
  <si>
    <t>20190416B700006640</t>
  </si>
  <si>
    <t>20190416N200001710</t>
  </si>
  <si>
    <t>20190416N300022233</t>
  </si>
  <si>
    <t>20190416N300023055</t>
  </si>
  <si>
    <t>20190416N300023221</t>
  </si>
  <si>
    <t>20190415N200001585</t>
  </si>
  <si>
    <t>20190415N300016984</t>
  </si>
  <si>
    <t>20190415N300017998</t>
  </si>
  <si>
    <t>20190415N300021145</t>
  </si>
  <si>
    <t>20190412N300015686</t>
  </si>
  <si>
    <t>20190412N300016815</t>
  </si>
  <si>
    <t>20190412N300017342</t>
  </si>
  <si>
    <t>20190412N300017458</t>
  </si>
  <si>
    <t>20190412N300019242</t>
  </si>
  <si>
    <t>20190412N300025958</t>
  </si>
  <si>
    <t>20190411N300023528</t>
  </si>
  <si>
    <t>20190411N300023857</t>
  </si>
  <si>
    <t>20190411N300025716</t>
  </si>
  <si>
    <t>20190411N300025774</t>
  </si>
  <si>
    <t>20190823N300013818</t>
  </si>
  <si>
    <t>20190823N300020173</t>
  </si>
  <si>
    <t>20190823N300020753</t>
  </si>
  <si>
    <t>20190823N300020785</t>
  </si>
  <si>
    <t>20190823N300020792</t>
  </si>
  <si>
    <t>20190823N300026644</t>
  </si>
  <si>
    <t>20190822N300014433</t>
  </si>
  <si>
    <t>20190821N200000851</t>
  </si>
  <si>
    <t>20190821N200000990</t>
  </si>
  <si>
    <t>20190821N300012928</t>
  </si>
  <si>
    <t>20190821N300013424</t>
  </si>
  <si>
    <t>20190821N300014259</t>
  </si>
  <si>
    <t>20190821N300014626</t>
  </si>
  <si>
    <t>CAPINF</t>
  </si>
  <si>
    <t>20190821N300015899</t>
  </si>
  <si>
    <t>20190821N300018873</t>
  </si>
  <si>
    <t>20190821N300019065</t>
  </si>
  <si>
    <t>20190821N300021975</t>
  </si>
  <si>
    <t>20190821N300022014</t>
  </si>
  <si>
    <t>20190821N900009641</t>
  </si>
  <si>
    <t>20190820N300014903</t>
  </si>
  <si>
    <t>20190820N300022115</t>
  </si>
  <si>
    <t>20190820N300025318</t>
  </si>
  <si>
    <t>20190820N900000231</t>
  </si>
  <si>
    <t>20190820N900000232</t>
  </si>
  <si>
    <t>20190820N900012166</t>
  </si>
  <si>
    <t>20190819N300013410</t>
  </si>
  <si>
    <t>20190819N300013446</t>
  </si>
  <si>
    <t>20190819N300016803</t>
  </si>
  <si>
    <t>20190819N300021743</t>
  </si>
  <si>
    <t>20190819N300022752</t>
  </si>
  <si>
    <t>20190819N300025651</t>
  </si>
  <si>
    <t>20190819N900008475</t>
  </si>
  <si>
    <t>20190816N300015170</t>
  </si>
  <si>
    <t>20190816N300016588</t>
  </si>
  <si>
    <t>20190816N300023159</t>
  </si>
  <si>
    <t>20190816N300024990</t>
  </si>
  <si>
    <t>20190816N300025445</t>
  </si>
  <si>
    <t>20190816N300026722</t>
  </si>
  <si>
    <t>20190814N300013827</t>
  </si>
  <si>
    <t>20190814N300014943</t>
  </si>
  <si>
    <t>20190814N300016653</t>
  </si>
  <si>
    <t>20190814N300017179</t>
  </si>
  <si>
    <t>20190814N300017760</t>
  </si>
  <si>
    <t>20190814N300018856</t>
  </si>
  <si>
    <t>20190814N300021102</t>
  </si>
  <si>
    <t>20190814N300024477</t>
  </si>
  <si>
    <t>20190813N300028752</t>
  </si>
  <si>
    <t>20190813N300029028</t>
  </si>
  <si>
    <t>20190813N300037288</t>
  </si>
  <si>
    <t>BALIND</t>
  </si>
  <si>
    <t>20190809N300019451</t>
  </si>
  <si>
    <t>20190809N300019547</t>
  </si>
  <si>
    <t>20190809N300019557</t>
  </si>
  <si>
    <t>20190809N300019865</t>
  </si>
  <si>
    <t>20190809N300020332</t>
  </si>
  <si>
    <t>20190809N300023545</t>
  </si>
  <si>
    <t>20190808N300011898</t>
  </si>
  <si>
    <t>20190808N300012004</t>
  </si>
  <si>
    <t>20190808N300012151</t>
  </si>
  <si>
    <t>20190808N300026554</t>
  </si>
  <si>
    <t>20190808N900000157</t>
  </si>
  <si>
    <t>20190807N300015255</t>
  </si>
  <si>
    <t>20190807N300016052</t>
  </si>
  <si>
    <t>20190807N300023223</t>
  </si>
  <si>
    <t>20190807N300026757</t>
  </si>
  <si>
    <t>20190805N300017122</t>
  </si>
  <si>
    <t>20190805N300017228</t>
  </si>
  <si>
    <t>20190805N300017270</t>
  </si>
  <si>
    <t>20190805N300017330</t>
  </si>
  <si>
    <t>20190802N900008622</t>
  </si>
  <si>
    <t>20190730N300015544</t>
  </si>
  <si>
    <t>20190730N300020939</t>
  </si>
  <si>
    <t>20190729N300017927</t>
  </si>
  <si>
    <t>20190726N300021848</t>
  </si>
  <si>
    <t>20190726N300025595</t>
  </si>
  <si>
    <t>20190725N300011235</t>
  </si>
  <si>
    <t>20190725N300020698</t>
  </si>
  <si>
    <t>PRAIN</t>
  </si>
  <si>
    <t>20190724N300014806</t>
  </si>
  <si>
    <t>20190724N300020664</t>
  </si>
  <si>
    <t>20190723N300022836</t>
  </si>
  <si>
    <t>20190722N900013125</t>
  </si>
  <si>
    <t>20190717N300014208</t>
  </si>
  <si>
    <t>20190717N300021267</t>
  </si>
  <si>
    <t>20190717N300021419</t>
  </si>
  <si>
    <t>20190717N300026001</t>
  </si>
  <si>
    <t>20190716N300015251</t>
  </si>
  <si>
    <t>20190716N300019968</t>
  </si>
  <si>
    <t>20190715N300015769</t>
  </si>
  <si>
    <t>20190715N300024304</t>
  </si>
  <si>
    <t>RBLBAN</t>
  </si>
  <si>
    <t>20190709N300023239</t>
  </si>
  <si>
    <t>20190709N300029278</t>
  </si>
  <si>
    <t>20190708N900000477</t>
  </si>
  <si>
    <t>WELCOR</t>
  </si>
  <si>
    <t>20190704N300019714</t>
  </si>
  <si>
    <t>20190704N300020047</t>
  </si>
  <si>
    <t>20190704N300021344</t>
  </si>
  <si>
    <t>20190704N300021701</t>
  </si>
  <si>
    <t>20190704N300023069</t>
  </si>
  <si>
    <t>20190704N300023240</t>
  </si>
  <si>
    <t>20190704N300024440</t>
  </si>
  <si>
    <t>20190704N300025840</t>
  </si>
  <si>
    <t>20190703N300015040</t>
  </si>
  <si>
    <t>20190703N300015066</t>
  </si>
  <si>
    <t>20190703N300017452</t>
  </si>
  <si>
    <t>20190703N300018966</t>
  </si>
  <si>
    <t>20190703N300024969</t>
  </si>
  <si>
    <t>20190703N300025508</t>
  </si>
  <si>
    <t>20190703N300026100</t>
  </si>
  <si>
    <t>20190703N300026410</t>
  </si>
  <si>
    <t>20190702N300023230</t>
  </si>
  <si>
    <t>20190702N300023301</t>
  </si>
  <si>
    <t>20190628N300015756</t>
  </si>
  <si>
    <t>20190628N300016721</t>
  </si>
  <si>
    <t>20190628N300017310</t>
  </si>
  <si>
    <t>20190628N300018795</t>
  </si>
  <si>
    <t>20190628N300019530</t>
  </si>
  <si>
    <t>20190628N300019559</t>
  </si>
  <si>
    <t>20190628N300020136</t>
  </si>
  <si>
    <t>20190628N300022858</t>
  </si>
  <si>
    <t>20190628N300022952</t>
  </si>
  <si>
    <t>20190628N300023022</t>
  </si>
  <si>
    <t>20190628N300023139</t>
  </si>
  <si>
    <t>20190628N300025805</t>
  </si>
  <si>
    <t>20190628N300026412</t>
  </si>
  <si>
    <t>20190627N300018517</t>
  </si>
  <si>
    <t>20190627N300025877</t>
  </si>
  <si>
    <t>20190627N300027192</t>
  </si>
  <si>
    <t>20190626N200000855</t>
  </si>
  <si>
    <t>20190626N300014393</t>
  </si>
  <si>
    <t>20190626N300014550</t>
  </si>
  <si>
    <t>20190625N300014510</t>
  </si>
  <si>
    <t>20190625N300015565</t>
  </si>
  <si>
    <t>20190625N300015620</t>
  </si>
  <si>
    <t>20190625N300017047</t>
  </si>
  <si>
    <t>20190625N300021453</t>
  </si>
  <si>
    <t>20190625N300021547</t>
  </si>
  <si>
    <t>20190625N300021978</t>
  </si>
  <si>
    <t>20190625N300022062</t>
  </si>
  <si>
    <t>20190625N300023487</t>
  </si>
  <si>
    <t>20190625N300023538</t>
  </si>
  <si>
    <t>20190625N300026110</t>
  </si>
  <si>
    <t>20190826N300012437</t>
  </si>
  <si>
    <t>20190826N300014121</t>
  </si>
  <si>
    <t>20190826N300014838</t>
  </si>
  <si>
    <t>20190826N300016221</t>
  </si>
  <si>
    <t>20190826N300016596</t>
  </si>
  <si>
    <t>20190826N300018204</t>
  </si>
  <si>
    <t>20190826N300019643</t>
  </si>
  <si>
    <t>20190826N300021702</t>
  </si>
  <si>
    <t>20190826N300022347</t>
  </si>
  <si>
    <t>20190826N300024607</t>
  </si>
  <si>
    <t>20190826N300025205</t>
  </si>
  <si>
    <t>20190826N300025227</t>
  </si>
  <si>
    <t>20190826N300025426</t>
  </si>
  <si>
    <t>20190826N300026527</t>
  </si>
  <si>
    <t>20190826N300028383</t>
  </si>
  <si>
    <t>20190826N300029047</t>
  </si>
  <si>
    <t>INDHO</t>
  </si>
  <si>
    <t>20191108N200001027</t>
  </si>
  <si>
    <t>20191108N300017878</t>
  </si>
  <si>
    <t>20191108N300020598</t>
  </si>
  <si>
    <t>20191108N300025147</t>
  </si>
  <si>
    <t>20191108N300026970</t>
  </si>
  <si>
    <t>20191108N300027013</t>
  </si>
  <si>
    <t>20191108N300031385</t>
  </si>
  <si>
    <t>20191107N300018578</t>
  </si>
  <si>
    <t>20191107N300022359</t>
  </si>
  <si>
    <t>20191107N300022507</t>
  </si>
  <si>
    <t>20191107N300024099</t>
  </si>
  <si>
    <t>20191107N300024122</t>
  </si>
  <si>
    <t>20191107N300027894</t>
  </si>
  <si>
    <t>20191107N300031044</t>
  </si>
  <si>
    <t>20191107N300036991</t>
  </si>
  <si>
    <t>20191106N300016993</t>
  </si>
  <si>
    <t>20191106N300024393</t>
  </si>
  <si>
    <t>20191106N300026709</t>
  </si>
  <si>
    <t>20191106N300029539</t>
  </si>
  <si>
    <t>20191106N300029687</t>
  </si>
  <si>
    <t>20191106N300030965</t>
  </si>
  <si>
    <t>20191106N300037216</t>
  </si>
  <si>
    <t>20191106N300037507</t>
  </si>
  <si>
    <t>20191106N300037673</t>
  </si>
  <si>
    <t>20191105N300016768</t>
  </si>
  <si>
    <t>20191105N300018009</t>
  </si>
  <si>
    <t>20191105N300019845</t>
  </si>
  <si>
    <t>20191105N300020055</t>
  </si>
  <si>
    <t>20191105N300033850</t>
  </si>
  <si>
    <t>20191105N300037962</t>
  </si>
  <si>
    <t>20191104N300021866</t>
  </si>
  <si>
    <t>20191104N300022782</t>
  </si>
  <si>
    <t>20191104N300032592</t>
  </si>
  <si>
    <t>20191104N300034126</t>
  </si>
  <si>
    <t>20191104N300037369</t>
  </si>
  <si>
    <t>20191104N300040597</t>
  </si>
  <si>
    <t>20191101N300024383</t>
  </si>
  <si>
    <t>20191101N300031474</t>
  </si>
  <si>
    <t>20191101N300037182</t>
  </si>
  <si>
    <t>20191031N300016270</t>
  </si>
  <si>
    <t>20191031N300016742</t>
  </si>
  <si>
    <t>20191031N300021015</t>
  </si>
  <si>
    <t>20191031N300029752</t>
  </si>
  <si>
    <t>20191031N300030035</t>
  </si>
  <si>
    <t>20191030N300015625</t>
  </si>
  <si>
    <t>INDRAI</t>
  </si>
  <si>
    <t>20191030N300015961</t>
  </si>
  <si>
    <t>20191030N300018866</t>
  </si>
  <si>
    <t>20191030N300021459</t>
  </si>
  <si>
    <t>20191030N300026814</t>
  </si>
  <si>
    <t>20191030N300027389</t>
  </si>
  <si>
    <t>20191030N300028766</t>
  </si>
  <si>
    <t>20191030N300036305</t>
  </si>
  <si>
    <t>20191029N200001022</t>
  </si>
  <si>
    <t>20191029N300015618</t>
  </si>
  <si>
    <t>20191027N200001822</t>
  </si>
  <si>
    <t>20191027N300017714</t>
  </si>
  <si>
    <t>20191027N300024840</t>
  </si>
  <si>
    <t>20191027N300025429</t>
  </si>
  <si>
    <t>20191025N300014415</t>
  </si>
  <si>
    <t>20191025N300017203</t>
  </si>
  <si>
    <t>20191025N300020943</t>
  </si>
  <si>
    <t>PIRENT</t>
  </si>
  <si>
    <t>20191025N300026309</t>
  </si>
  <si>
    <t>20191025N300029839</t>
  </si>
  <si>
    <t>20191025N300029882</t>
  </si>
  <si>
    <t>20191025N300030640</t>
  </si>
  <si>
    <t>20191025N300033793</t>
  </si>
  <si>
    <t>20191024N300015998</t>
  </si>
  <si>
    <t>20191024N300017350</t>
  </si>
  <si>
    <t>20191024N300020970</t>
  </si>
  <si>
    <t>20191024N300023533</t>
  </si>
  <si>
    <t>20191024N300023547</t>
  </si>
  <si>
    <t>20191024N300028919</t>
  </si>
  <si>
    <t>20191024N300029034</t>
  </si>
  <si>
    <t>20191024N300029048</t>
  </si>
  <si>
    <t>20191023N900012978</t>
  </si>
  <si>
    <t>20191022N300021951</t>
  </si>
  <si>
    <t>20191022N300044155</t>
  </si>
  <si>
    <t>20191018N300014569</t>
  </si>
  <si>
    <t>20191018N300015437</t>
  </si>
  <si>
    <t>20191018N300017205</t>
  </si>
  <si>
    <t>20191018N300018038</t>
  </si>
  <si>
    <t>20191018N300022106</t>
  </si>
  <si>
    <t>20191018N300022968</t>
  </si>
  <si>
    <t>20191018N300027207</t>
  </si>
  <si>
    <t>20191018N300036164</t>
  </si>
  <si>
    <t>20191017N300013802</t>
  </si>
  <si>
    <t>20191017N300014094</t>
  </si>
  <si>
    <t>20191017N300024092</t>
  </si>
  <si>
    <t>20191017N300024169</t>
  </si>
  <si>
    <t>20191017N300028308</t>
  </si>
  <si>
    <t>20191017N300029747</t>
  </si>
  <si>
    <t>20191017N300029800</t>
  </si>
  <si>
    <t>20191016N300014164</t>
  </si>
  <si>
    <t>20191016N300024561</t>
  </si>
  <si>
    <t>20191016N300027358</t>
  </si>
  <si>
    <t>20191016N300029824</t>
  </si>
  <si>
    <t>20191015N300015638</t>
  </si>
  <si>
    <t>20191015N300026973</t>
  </si>
  <si>
    <t>20191014N300014614</t>
  </si>
  <si>
    <t>20191014N300015178</t>
  </si>
  <si>
    <t>20191014N300020158</t>
  </si>
  <si>
    <t>20191011N300014856</t>
  </si>
  <si>
    <t>20191011N300016875</t>
  </si>
  <si>
    <t>20191011N300016948</t>
  </si>
  <si>
    <t>20191011N300028361</t>
  </si>
  <si>
    <t>20191011N900013891</t>
  </si>
  <si>
    <t>20191010N200000849</t>
  </si>
  <si>
    <t>20191010N300013763</t>
  </si>
  <si>
    <t>20191010N300016520</t>
  </si>
  <si>
    <t>20191010N300017812</t>
  </si>
  <si>
    <t>20191010N300017897</t>
  </si>
  <si>
    <t>20191010N300021912</t>
  </si>
  <si>
    <t>20191010N300022202</t>
  </si>
  <si>
    <t>20191010N300025561</t>
  </si>
  <si>
    <t>20191010N300028251</t>
  </si>
  <si>
    <t>20191009N200000658</t>
  </si>
  <si>
    <t>20191009N200024437</t>
  </si>
  <si>
    <t>20191009N200044713</t>
  </si>
  <si>
    <t>20191009N300015929</t>
  </si>
  <si>
    <t>20191009N300016169</t>
  </si>
  <si>
    <t>20191009N300018321</t>
  </si>
  <si>
    <t>20191007N200000870</t>
  </si>
  <si>
    <t>20191007N300013363</t>
  </si>
  <si>
    <t>20191007N300022862</t>
  </si>
  <si>
    <t>20191007N300023742</t>
  </si>
  <si>
    <t>20191004N300020431</t>
  </si>
  <si>
    <t>20191004N300022482</t>
  </si>
  <si>
    <t>20191003N300015484</t>
  </si>
  <si>
    <t>20191003N300016016</t>
  </si>
  <si>
    <t>20191003N300025326</t>
  </si>
  <si>
    <t>20191003N300029151</t>
  </si>
  <si>
    <t>20191003N300032421</t>
  </si>
  <si>
    <t>20191001N200001120</t>
  </si>
  <si>
    <t>20191001N300017052</t>
  </si>
  <si>
    <t>20191001N300026194</t>
  </si>
  <si>
    <t>20191001N300034857</t>
  </si>
  <si>
    <t>20191001N900000314</t>
  </si>
  <si>
    <t>20190930N300014794</t>
  </si>
  <si>
    <t>20190927N300026861</t>
  </si>
  <si>
    <t>20190925N300016620</t>
  </si>
  <si>
    <t>20190924N300014185</t>
  </si>
  <si>
    <t>20190924N300014840</t>
  </si>
  <si>
    <t>20190924N300019867</t>
  </si>
  <si>
    <t>20190919N300025632</t>
  </si>
  <si>
    <t>20190903N300016177</t>
  </si>
  <si>
    <t>20190903N300022857</t>
  </si>
  <si>
    <t>20190903N300027630</t>
  </si>
  <si>
    <t>20190903N300030008</t>
  </si>
  <si>
    <t>20190830N300020078</t>
  </si>
  <si>
    <t>20190830N300020088</t>
  </si>
  <si>
    <t>20190827N300012584</t>
  </si>
  <si>
    <t>20190827N300013979</t>
  </si>
  <si>
    <t>20190827N300013995</t>
  </si>
  <si>
    <t>20190827N300015670</t>
  </si>
  <si>
    <t>20190827N300019131</t>
  </si>
  <si>
    <t>IN302902-46841937</t>
  </si>
  <si>
    <t>20191218N300015716</t>
  </si>
  <si>
    <t>20191218N300017034</t>
  </si>
  <si>
    <t>20191218N300018267</t>
  </si>
  <si>
    <t>20191218N300020799</t>
  </si>
  <si>
    <t>20191218N300027081</t>
  </si>
  <si>
    <t>20191218N300032550</t>
  </si>
  <si>
    <t>20191217N300021604</t>
  </si>
  <si>
    <t>20191217N300028896</t>
  </si>
  <si>
    <t>20191216N300015908</t>
  </si>
  <si>
    <t>20191216N300016628</t>
  </si>
  <si>
    <t>JAGPRA</t>
  </si>
  <si>
    <t>20191213N300015089</t>
  </si>
  <si>
    <t>20191213N300016088</t>
  </si>
  <si>
    <t>20191213N300016517</t>
  </si>
  <si>
    <t>20191213N300017234</t>
  </si>
  <si>
    <t>20191213N300018749</t>
  </si>
  <si>
    <t>20191213N300021686</t>
  </si>
  <si>
    <t>20191213N300021901</t>
  </si>
  <si>
    <t>20191213N300022753</t>
  </si>
  <si>
    <t>20191213N300022929</t>
  </si>
  <si>
    <t>20191213N300022946</t>
  </si>
  <si>
    <t>20191213N300033546</t>
  </si>
  <si>
    <t>20191209N300017237</t>
  </si>
  <si>
    <t>20191209N300018786</t>
  </si>
  <si>
    <t>20191209N300019686</t>
  </si>
  <si>
    <t>-</t>
  </si>
  <si>
    <t>20191209N300022409</t>
  </si>
  <si>
    <t>20191209N300032504</t>
  </si>
  <si>
    <t>20191209N300032992</t>
  </si>
  <si>
    <t>20191209N300033105</t>
  </si>
  <si>
    <t>20191206N300025458</t>
  </si>
  <si>
    <t>BHAAIR</t>
  </si>
  <si>
    <t>20191205N300015893</t>
  </si>
  <si>
    <t>20191205N300016078</t>
  </si>
  <si>
    <t>20191205N300017667</t>
  </si>
  <si>
    <t>20191205N300017952</t>
  </si>
  <si>
    <t>20191205N300022185</t>
  </si>
  <si>
    <t>20191205N300027835</t>
  </si>
  <si>
    <t>20191205N300027876</t>
  </si>
  <si>
    <t>20191205N300030394</t>
  </si>
  <si>
    <t>20191204N300032351</t>
  </si>
  <si>
    <t>20191204N300033171</t>
  </si>
  <si>
    <t>20191203N300015814</t>
  </si>
  <si>
    <t>20191203N300017223</t>
  </si>
  <si>
    <t>20191203N300018088</t>
  </si>
  <si>
    <t>20191203N300025763</t>
  </si>
  <si>
    <t>20191203N300030994</t>
  </si>
  <si>
    <t>20191202N300019964</t>
  </si>
  <si>
    <t>20191202N300020734</t>
  </si>
  <si>
    <t>20191202N300024158</t>
  </si>
  <si>
    <t>20191202N300026943</t>
  </si>
  <si>
    <t>20191202N300032768</t>
  </si>
  <si>
    <t>20191129N300017369</t>
  </si>
  <si>
    <t>20191129N300025893</t>
  </si>
  <si>
    <t>20191129N300027762</t>
  </si>
  <si>
    <t>20191129N300037610</t>
  </si>
  <si>
    <t>20191128N300027150</t>
  </si>
  <si>
    <t>20191128N300032664</t>
  </si>
  <si>
    <t>20191127N300017347</t>
  </si>
  <si>
    <t>20191127N300022400</t>
  </si>
  <si>
    <t>20191126N300023404</t>
  </si>
  <si>
    <t>20191126N300023852</t>
  </si>
  <si>
    <t>20191126N300026667</t>
  </si>
  <si>
    <t>20191126N300026812</t>
  </si>
  <si>
    <t>20191126N300027118</t>
  </si>
  <si>
    <t>20191126N300028628</t>
  </si>
  <si>
    <t>20191125N300017509</t>
  </si>
  <si>
    <t>20191125N300017535</t>
  </si>
  <si>
    <t>20191125N300021335</t>
  </si>
  <si>
    <t>20191125N300021354</t>
  </si>
  <si>
    <t>20191125N300021936</t>
  </si>
  <si>
    <t>20191125N300028042</t>
  </si>
  <si>
    <t>20191125N300032780</t>
  </si>
  <si>
    <t>20191125N300034016</t>
  </si>
  <si>
    <t>20191125N300034244</t>
  </si>
  <si>
    <t>20191122N300017416</t>
  </si>
  <si>
    <t>20191122N300017454</t>
  </si>
  <si>
    <t>20191122N300019276</t>
  </si>
  <si>
    <t>20191122N300020111</t>
  </si>
  <si>
    <t>20191122N300021778</t>
  </si>
  <si>
    <t>20191122N300021845</t>
  </si>
  <si>
    <t>20191122N300024107</t>
  </si>
  <si>
    <t>20191122N300026761</t>
  </si>
  <si>
    <t>20191122N300030918</t>
  </si>
  <si>
    <t>20191121N300025681</t>
  </si>
  <si>
    <t>20191121N300031468</t>
  </si>
  <si>
    <t>IDECEL</t>
  </si>
  <si>
    <t>20191120N300016644</t>
  </si>
  <si>
    <t>20191119N300017889</t>
  </si>
  <si>
    <t>20191119N300019707</t>
  </si>
  <si>
    <t>20191119N300025722</t>
  </si>
  <si>
    <t>20191119N300034842</t>
  </si>
  <si>
    <t>20191115N200001865</t>
  </si>
  <si>
    <t>20191115N300016829</t>
  </si>
  <si>
    <t>20191115N300017590</t>
  </si>
  <si>
    <t>20191115N300017633</t>
  </si>
  <si>
    <t>20191115N300020022</t>
  </si>
  <si>
    <t>20191115N300021685</t>
  </si>
  <si>
    <t>20191115N300022582</t>
  </si>
  <si>
    <t>20191115N300033852</t>
  </si>
  <si>
    <t>20191115N300035745</t>
  </si>
  <si>
    <t>20191114N300019670</t>
  </si>
  <si>
    <t>20191114N300028017</t>
  </si>
  <si>
    <t>20191113N300018057</t>
  </si>
  <si>
    <t>20191113N300021396</t>
  </si>
  <si>
    <t>20191113N300025126</t>
  </si>
  <si>
    <t>20191113N300025585</t>
  </si>
  <si>
    <t>20191113N300029141</t>
  </si>
  <si>
    <t>20191113N300029879</t>
  </si>
  <si>
    <t>20191113N300030278</t>
  </si>
  <si>
    <t>20191113N300031537</t>
  </si>
  <si>
    <t>20191111N300018479</t>
  </si>
  <si>
    <t>20191111N300018512</t>
  </si>
  <si>
    <t>20191111N300018766</t>
  </si>
  <si>
    <t>20191111N300019891</t>
  </si>
  <si>
    <t>20191111N300021572</t>
  </si>
  <si>
    <t>20191111N300022474</t>
  </si>
  <si>
    <t>20191111N300026809</t>
  </si>
  <si>
    <t>20191111N300026968</t>
  </si>
  <si>
    <t>20191111N300029924</t>
  </si>
  <si>
    <t>20191111N300034601</t>
  </si>
  <si>
    <t>20191111N300034621</t>
  </si>
  <si>
    <t>Column Labels</t>
  </si>
  <si>
    <t>Total Sum of Trade Value</t>
  </si>
  <si>
    <t>Total Sum of Brokerage incl. taxes</t>
  </si>
  <si>
    <t>BuyValue</t>
  </si>
  <si>
    <t>20191224N300015202</t>
  </si>
  <si>
    <t>20191224N300018981</t>
  </si>
  <si>
    <t>20191224N300019401</t>
  </si>
  <si>
    <t>20191224N300021904</t>
  </si>
  <si>
    <t>20191224N300024805</t>
  </si>
  <si>
    <t>20191224N300026387</t>
  </si>
  <si>
    <t>20191224N300028987</t>
  </si>
  <si>
    <t>20191224N900014798</t>
  </si>
  <si>
    <t>20191223N300016041</t>
  </si>
  <si>
    <t>20191223N300017561</t>
  </si>
  <si>
    <t>20191223N300018688</t>
  </si>
  <si>
    <t>20191223N300018770</t>
  </si>
  <si>
    <t>20191223N300021215</t>
  </si>
  <si>
    <t>20191223N300021694</t>
  </si>
  <si>
    <t>20191223N300022894</t>
  </si>
  <si>
    <t>20191223N300023162</t>
  </si>
  <si>
    <t>20191223N300023172</t>
  </si>
  <si>
    <t>20191223N300023206</t>
  </si>
  <si>
    <t>20191223N300023943</t>
  </si>
  <si>
    <t>20191223N300024045</t>
  </si>
  <si>
    <t>20191223N300029740</t>
  </si>
  <si>
    <t>20191223N300031177</t>
  </si>
  <si>
    <t>20191223N300031247</t>
  </si>
  <si>
    <t>20191223N900017818</t>
  </si>
  <si>
    <t>20191219N300015599</t>
  </si>
  <si>
    <t>20191219N300016088</t>
  </si>
  <si>
    <t>20191219N300021468</t>
  </si>
  <si>
    <t>20191219N300022014</t>
  </si>
  <si>
    <t>20191219N300022230</t>
  </si>
  <si>
    <t>TCS</t>
  </si>
  <si>
    <t>20191219N300023845</t>
  </si>
  <si>
    <t>20191219N300028460</t>
  </si>
  <si>
    <t>20191219N300030619</t>
  </si>
  <si>
    <t>s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</si>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</sst>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0" xfId="0" applyFont="1" applyFill="1"/>
    <xf numFmtId="0" fontId="16" fillId="33" borderId="10" xfId="0" applyFont="1" applyFill="1" applyBorder="1"/>
    <xf numFmtId="0" fontId="16" fillId="33" borderId="11" xfId="0" applyFont="1" applyFill="1" applyBorder="1" applyAlignment="1">
      <alignment horizontal="left"/>
    </xf>
    <xf numFmtId="0" fontId="16" fillId="33" borderId="11" xfId="0" applyNumberFormat="1" applyFont="1" applyFill="1" applyBorder="1"/>
    <xf numFmtId="0" fontId="0" fillId="34" borderId="0" xfId="0" applyFill="1"/>
    <xf numFmtId="0" fontId="16" fillId="35" borderId="0" xfId="0" applyFont="1" applyFill="1" applyBorder="1"/>
    <xf numFmtId="2" fontId="0" fillId="0" borderId="0" xfId="0" applyNumberFormat="1"/>
    <xf numFmtId="0" fontId="16" fillId="33" borderId="12" xfId="0" applyFont="1" applyFill="1" applyBorder="1"/>
    <xf numFmtId="2" fontId="16" fillId="33" borderId="12" xfId="0" applyNumberFormat="1" applyFont="1" applyFill="1" applyBorder="1"/>
    <xf numFmtId="2" fontId="0" fillId="0" borderId="12" xfId="0" applyNumberFormat="1" applyBorder="1"/>
    <xf numFmtId="0" fontId="0" fillId="0" borderId="12" xfId="0" applyBorder="1"/>
    <xf numFmtId="0" fontId="16" fillId="0" borderId="12" xfId="0" applyFont="1" applyBorder="1"/>
    <xf numFmtId="2" fontId="16" fillId="0" borderId="12" xfId="0" applyNumberFormat="1" applyFont="1" applyBorder="1"/>
    <xf numFmtId="0" fontId="0" fillId="36" borderId="12" xfId="0" applyFill="1" applyBorder="1"/>
    <xf numFmtId="2" fontId="0" fillId="36" borderId="12" xfId="0" applyNumberFormat="1" applyFill="1" applyBorder="1"/>
    <xf numFmtId="2" fontId="16" fillId="0" borderId="12" xfId="0" applyNumberFormat="1" applyFont="1" applyFill="1" applyBorder="1"/>
    <xf numFmtId="2" fontId="0" fillId="34" borderId="12" xfId="0" applyNumberFormat="1" applyFill="1" applyBorder="1"/>
    <xf numFmtId="2" fontId="16" fillId="35" borderId="12" xfId="0" applyNumberFormat="1" applyFont="1" applyFill="1" applyBorder="1"/>
    <xf numFmtId="0" fontId="0" fillId="0" borderId="0" xfId="0"/>
    <xf numFmtId="43" fontId="16" fillId="34" borderId="12" xfId="42" applyFont="1" applyFill="1" applyBorder="1"/>
    <xf numFmtId="0" fontId="16" fillId="0" borderId="0" xfId="0" applyFont="1"/>
    <xf numFmtId="0" fontId="0" fillId="0" borderId="0" xfId="0"/>
    <xf numFmtId="15" fontId="0" fillId="0" borderId="0" xfId="0" applyNumberFormat="1"/>
    <xf numFmtId="2" fontId="14" fillId="0" borderId="12" xfId="0" applyNumberFormat="1" applyFont="1" applyBorder="1"/>
    <xf numFmtId="0" fontId="16" fillId="36" borderId="12" xfId="0" applyFont="1" applyFill="1" applyBorder="1"/>
    <xf numFmtId="0" fontId="16" fillId="37" borderId="12" xfId="0" applyFont="1" applyFill="1" applyBorder="1"/>
    <xf numFmtId="15" fontId="0" fillId="0" borderId="0" xfId="0" applyNumberFormat="1" applyAlignment="1">
      <alignment horizontal="left" indent="1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0" fillId="34" borderId="0" xfId="0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2" formatCode="0.00"/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santh Kumar" refreshedDate="43823.672542476852" createdVersion="5" refreshedVersion="5" minRefreshableVersion="3" recordCount="991">
  <cacheSource type="worksheet">
    <worksheetSource ref="L9:U1000" sheet="Buy"/>
  </cacheSource>
  <cacheFields count="10">
    <cacheField name="BuyVal" numFmtId="2">
      <sharedItems containsSemiMixedTypes="0" containsString="0" containsNumber="1" minValue="0" maxValue="30677802.496399999"/>
    </cacheField>
    <cacheField name="Stk" numFmtId="0">
      <sharedItems count="115">
        <s v="ARVLIM"/>
        <s v="ASHLEY"/>
        <s v="CENBAN"/>
        <s v="GATLIM"/>
        <s v="GMRINF"/>
        <s v="HINCOP"/>
        <s v="INFTEC"/>
        <s v="JAIASS"/>
        <s v="JAIPOW"/>
        <s v="JBCHEM"/>
        <s v="KOHFOO"/>
        <s v="LANINF"/>
        <s v="LTOVER"/>
        <s v="MANAFI"/>
        <s v="MINLIM"/>
        <s v="MUTFIN"/>
        <s v="NHPC"/>
        <s v="PUNBAN"/>
        <s v="RELDEF"/>
        <s v="RELPOW"/>
        <s v="SUNADV"/>
        <s v="SUNPHA"/>
        <s v="TATPOW"/>
        <s v="TVSMOT"/>
        <e v="#N/A"/>
        <s v="SUZENE"/>
        <s v="FINCHE"/>
        <s v="BANMAH"/>
        <s v="BURCEM"/>
        <s v="SJVLIM"/>
        <s v="BHEL"/>
        <s v="SINPLA"/>
        <s v="DISHTV"/>
        <s v="HTMED"/>
        <s v="ZEEENT"/>
        <s v="NETW18"/>
        <s v="RELIND"/>
        <s v="JSWSTE"/>
        <s v="SREINF"/>
        <s v="MASTEK"/>
        <s v="PRAIND"/>
        <s v="PCJEW"/>
        <s v="STABAN"/>
        <s v="BANBAR"/>
        <s v="MENBEA"/>
        <s v="CANHOM"/>
        <s v="BIOCON"/>
        <s v="VAKRAN"/>
        <s v="BHAELE"/>
        <s v="BHUST"/>
        <s v="HINPET"/>
        <s v="JUBLIF"/>
        <s v="TINCO"/>
        <s v="RELHOM"/>
        <s v="HDFC"/>
        <s v="ELGEQU"/>
        <s v="BHAPET"/>
        <s v="RELCOM"/>
        <s v="POWTRA"/>
        <s v="FEDBAN"/>
        <s v="IDBI"/>
        <s v="ARRGRE"/>
        <s v="CROGRE"/>
        <s v="YESBAN"/>
        <s v="DEWHOU"/>
        <s v="KNRCON"/>
        <s v="GUJMI"/>
        <s v="TV18BR"/>
        <s v="BANBAN"/>
        <s v="ICIBAN"/>
        <s v="WIPRO"/>
        <s v="JETAIR"/>
        <s v="GRUFIN"/>
        <s v="VEDLIM"/>
        <s v="KOTMAH"/>
        <s v="NATALU"/>
        <s v="INDOIL"/>
        <s v="JAIIRR"/>
        <s v="CANBAN"/>
        <s v="AURPHA"/>
        <s v="CHAFER"/>
        <s v="TATSTE"/>
        <s v="RELINF"/>
        <s v="NATMIN"/>
        <s v="BANIND"/>
        <s v="NAGCON"/>
        <s v="BERPAI"/>
        <s v="BAJFI"/>
        <s v="NIITEC"/>
        <s v="DABIND"/>
        <s v="CEAT"/>
        <s v="DLFLIM"/>
        <s v="JINSP"/>
        <s v="RURELE"/>
        <s v="ACC"/>
        <s v="POWFIN"/>
        <s v="MARLIM"/>
        <s v="DCB"/>
        <s v="COALIN"/>
        <s v="HCLTEC"/>
        <s v="UNIBAN"/>
        <s v="SUNTV"/>
        <s v="RELCAP"/>
        <s v="CAPINF"/>
        <s v="BALIND"/>
        <s v="PRAIN"/>
        <s v="RBLBAN"/>
        <s v="WELCOR"/>
        <s v="INDHO"/>
        <s v="INDRAI"/>
        <s v="PIRENT"/>
        <s v="JAGPRA"/>
        <s v="BHAAIR"/>
        <s v="IDECEL"/>
        <s v="TCS"/>
      </sharedItems>
    </cacheField>
    <cacheField name="SQTY" numFmtId="0">
      <sharedItems containsSemiMixedTypes="0" containsString="0" containsNumber="1" containsInteger="1" minValue="0" maxValue="98750"/>
    </cacheField>
    <cacheField name="Sell Val" numFmtId="2">
      <sharedItems containsSemiMixedTypes="0" containsString="0" containsNumber="1" minValue="0" maxValue="30589114.589999996"/>
    </cacheField>
    <cacheField name="QtyDiff" numFmtId="0">
      <sharedItems containsSemiMixedTypes="0" containsString="0" containsNumber="1" containsInteger="1" minValue="0" maxValue="5000"/>
    </cacheField>
    <cacheField name="ValDiff" numFmtId="2">
      <sharedItems containsSemiMixedTypes="0" containsString="0" containsNumber="1" minValue="-119959.34259999999" maxValue="46542.243699999875"/>
    </cacheField>
    <cacheField name="P/L" numFmtId="2">
      <sharedItems containsSemiMixedTypes="0" containsString="0" containsNumber="1" minValue="-88687.906400002539" maxValue="46542.243699999875"/>
    </cacheField>
    <cacheField name="P" numFmtId="2">
      <sharedItems containsSemiMixedTypes="0" containsString="0" containsNumber="1" minValue="0" maxValue="46542.243699999875"/>
    </cacheField>
    <cacheField name="L" numFmtId="2">
      <sharedItems containsSemiMixedTypes="0" containsString="0" containsNumber="1" minValue="-88687.906400002539" maxValue="0"/>
    </cacheField>
    <cacheField name="Status" numFmtId="0">
      <sharedItems count="2">
        <s v=""/>
        <s v="Op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santh Kumar" refreshedDate="43823.672542708337" createdVersion="3" refreshedVersion="5" minRefreshableVersion="3" recordCount="1629">
  <cacheSource type="worksheet">
    <worksheetSource ref="A1:P1048576" sheet="8502271974_TradeBook"/>
  </cacheSource>
  <cacheFields count="16">
    <cacheField name="Date" numFmtId="0">
      <sharedItems containsNonDate="0" containsDate="1" containsString="0" containsBlank="1" minDate="2012-03-27T00:00:00" maxDate="2019-12-25T00:00:00"/>
    </cacheField>
    <cacheField name="Stock" numFmtId="0">
      <sharedItems containsBlank="1" count="116">
        <s v="BHAAIR"/>
        <s v="ZEEENT"/>
        <s v="VAKRAN"/>
        <s v="VEDLIM"/>
        <s v="YESBAN"/>
        <s v="BIOCON"/>
        <s v="LTOVER"/>
        <s v="INDHO"/>
        <s v="TINCO"/>
        <s v="STABAN"/>
        <s v="TCS"/>
        <s v="JSWSTE"/>
        <s v="JAGPRA"/>
        <s v="RELCOM"/>
        <s v="RBLBAN"/>
        <s v="FEDBAN"/>
        <s v="SUNPHA"/>
        <s v="IDECEL"/>
        <s v="ASHLEY"/>
        <s v="BANBAR"/>
        <s v="PCJEW"/>
        <s v="INFTEC"/>
        <s v="CENBAN"/>
        <s v="INDRAI"/>
        <s v="INDOIL"/>
        <s v="PIRENT"/>
        <s v="AURPHA"/>
        <s v="MASTEK"/>
        <s v="ICIBAN"/>
        <s v="NAGCON"/>
        <s v="UNIBAN"/>
        <s v="CAPINF"/>
        <s v="COALIN"/>
        <s v="FINCHE"/>
        <s v="ACC"/>
        <s v="BHAELE"/>
        <s v="DEWHOU"/>
        <s v="BALIND"/>
        <s v="POWFIN"/>
        <s v="CANBAN"/>
        <s v="CEAT"/>
        <s v="HINPET"/>
        <s v="PRAIN"/>
        <s v="SINPLA"/>
        <s v="CANHOM"/>
        <s v="WELCOR"/>
        <s v="RELCAP"/>
        <s v="PUNBAN"/>
        <s v="JAIIRR"/>
        <s v="JBCHEM"/>
        <s v="JETAIR"/>
        <s v="CHAFER"/>
        <s v="TATSTE"/>
        <s v="RELINF"/>
        <s v="RELIND"/>
        <s v="NATMIN"/>
        <s v="BANIND"/>
        <s v="BERPAI"/>
        <s v="BAJFI"/>
        <s v="NIITEC"/>
        <s v="DABIND"/>
        <s v="DLFLIM"/>
        <s v="JINSP"/>
        <s v="RURELE"/>
        <s v="MARLIM"/>
        <s v="DCB"/>
        <s v="HCLTEC"/>
        <s v="SUNTV"/>
        <s v="GRUFIN"/>
        <s v="MINLIM"/>
        <s v="ELGEQU"/>
        <s v="KNRCON"/>
        <s v="NATALU"/>
        <s v="SUNADV"/>
        <s v="WIPRO"/>
        <s v="KOTMAH"/>
        <s v="BURCEM"/>
        <s v="BHAPET"/>
        <s v="GATLIM"/>
        <s v="GUJMI"/>
        <s v="TV18BR"/>
        <s v="BANBAN"/>
        <s v="IDBI"/>
        <s v="ARRGRE"/>
        <s v="CROGRE"/>
        <s v="GMRINF"/>
        <s v="RELDEF"/>
        <s v="POWTRA"/>
        <s v="RELHOM"/>
        <s v="HDFC"/>
        <s v="JUBLIF"/>
        <s v="BHUST"/>
        <s v="MUTFIN"/>
        <s v="SREINF"/>
        <s v="MENBEA"/>
        <s v="PRAIND"/>
        <s v="SUZENE"/>
        <s v="NETW18"/>
        <s v="DISHTV"/>
        <s v="HTMED"/>
        <s v="BHEL"/>
        <s v="BANMAH"/>
        <s v="SJVLIM"/>
        <s v="KOHFOO"/>
        <s v="MANAFI"/>
        <s v="TVSMOT"/>
        <s v="ARVLIM"/>
        <s v="TATPOW"/>
        <s v="JAIPOW"/>
        <s v="RELPOW"/>
        <s v="JAIASS"/>
        <s v="HINCOP"/>
        <s v="NHPC"/>
        <s v="LANINF"/>
        <s v="ZENINF"/>
        <m/>
      </sharedItems>
    </cacheField>
    <cacheField name="Action" numFmtId="0">
      <sharedItems containsBlank="1" count="3">
        <s v="Buy"/>
        <s v="Sell"/>
        <m/>
      </sharedItems>
    </cacheField>
    <cacheField name="Qty" numFmtId="0">
      <sharedItems containsString="0" containsBlank="1" containsNumber="1" containsInteger="1" minValue="3" maxValue="11000"/>
    </cacheField>
    <cacheField name="Price" numFmtId="0">
      <sharedItems containsString="0" containsBlank="1" containsNumber="1" minValue="1.2" maxValue="3536"/>
    </cacheField>
    <cacheField name="Trade Value" numFmtId="0">
      <sharedItems containsString="0" containsBlank="1" containsNumber="1" minValue="490" maxValue="3640000"/>
    </cacheField>
    <cacheField name="Order Ref." numFmtId="0">
      <sharedItems containsBlank="1"/>
    </cacheField>
    <cacheField name="Settlement" numFmtId="0">
      <sharedItems containsString="0" containsBlank="1" containsNumber="1" containsInteger="1" minValue="2012059" maxValue="201920014"/>
    </cacheField>
    <cacheField name="Segment" numFmtId="0">
      <sharedItems containsBlank="1"/>
    </cacheField>
    <cacheField name="DP Id - Client DP Id" numFmtId="0">
      <sharedItems containsBlank="1"/>
    </cacheField>
    <cacheField name="Exchange" numFmtId="0">
      <sharedItems containsBlank="1"/>
    </cacheField>
    <cacheField name="STT" numFmtId="0">
      <sharedItems containsString="0" containsBlank="1" containsNumber="1" minValue="0" maxValue="914.24"/>
    </cacheField>
    <cacheField name="Transaction and SEBI Turnover charges" numFmtId="0">
      <sharedItems containsString="0" containsBlank="1" containsNumber="1" minValue="0" maxValue="132.58000000000001"/>
    </cacheField>
    <cacheField name="Stamp Duty" numFmtId="0">
      <sharedItems containsString="0" containsBlank="1" containsNumber="1" minValue="0" maxValue="702.3"/>
    </cacheField>
    <cacheField name="Brokerage + Service Tax" numFmtId="0">
      <sharedItems containsString="0" containsBlank="1" containsNumber="1" minValue="0" maxValue="4351.57"/>
    </cacheField>
    <cacheField name="Brokerage incl. taxes" numFmtId="0">
      <sharedItems containsString="0" containsBlank="1" containsNumber="1" minValue="0" maxValue="5019.1100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Vasanth Kumar" refreshedDate="43823.672543055553" createdVersion="5" refreshedVersion="5" minRefreshableVersion="3" recordCount="72">
  <cacheSource type="worksheet">
    <worksheetSource ref="A1:P73" sheet="Sheet1"/>
  </cacheSource>
  <cacheFields count="16">
    <cacheField name="Date" numFmtId="15">
      <sharedItems containsSemiMixedTypes="0" containsNonDate="0" containsDate="1" containsString="0" minDate="2018-01-25T00:00:00" maxDate="2019-12-19T00:00:00" count="34">
        <d v="2019-12-18T00:00:00"/>
        <d v="2019-12-17T00:00:00"/>
        <d v="2019-12-16T00:00:00"/>
        <d v="2019-12-13T00:00:00"/>
        <d v="2018-01-25T00:00:00"/>
        <d v="2019-12-09T00:00:00"/>
        <d v="2019-12-06T00:00:00"/>
        <d v="2019-12-05T00:00:00"/>
        <d v="2019-10-03T00:00:00"/>
        <d v="2019-12-03T00:00:00"/>
        <d v="2019-12-02T00:00:00"/>
        <d v="2019-10-04T00:00:00"/>
        <d v="2019-11-29T00:00:00"/>
        <d v="2019-11-28T00:00:00"/>
        <d v="2019-11-27T00:00:00"/>
        <d v="2019-11-26T00:00:00"/>
        <d v="2019-11-25T00:00:00"/>
        <d v="2019-11-11T00:00:00" u="1"/>
        <d v="2019-10-25T00:00:00" u="1"/>
        <d v="2019-11-04T00:00:00" u="1"/>
        <d v="2019-10-11T00:00:00" u="1"/>
        <d v="2019-10-30T00:00:00" u="1"/>
        <d v="2019-10-09T00:00:00" u="1"/>
        <d v="2019-11-14T00:00:00" u="1"/>
        <d v="2019-11-07T00:00:00" u="1"/>
        <d v="2019-11-19T00:00:00" u="1"/>
        <d v="2019-10-07T00:00:00" u="1"/>
        <d v="2019-11-05T00:00:00" u="1"/>
        <d v="2019-10-31T00:00:00" u="1"/>
        <d v="2019-11-15T00:00:00" u="1"/>
        <d v="2019-11-08T00:00:00" u="1"/>
        <d v="2019-11-01T00:00:00" u="1"/>
        <d v="2019-11-06T00:00:00" u="1"/>
        <d v="2019-12-04T00:00:00" u="1"/>
      </sharedItems>
    </cacheField>
    <cacheField name="Stock" numFmtId="0">
      <sharedItems count="11">
        <s v="JSWSTE"/>
        <s v="INDHO"/>
        <s v="JAGPRA"/>
        <s v="STABAN"/>
        <s v="RELCOM"/>
        <s v="BHAAIR"/>
        <s v="RBLBAN"/>
        <s v="FEDBAN"/>
        <s v="BIOCON"/>
        <s v="LTOVER"/>
        <s v="SUNPHA"/>
      </sharedItems>
    </cacheField>
    <cacheField name="Action" numFmtId="0">
      <sharedItems count="2">
        <s v="Sell"/>
        <s v="Buy"/>
      </sharedItems>
    </cacheField>
    <cacheField name="Qty" numFmtId="0">
      <sharedItems containsSemiMixedTypes="0" containsString="0" containsNumber="1" containsInteger="1" minValue="100" maxValue="5500"/>
    </cacheField>
    <cacheField name="Price" numFmtId="0">
      <sharedItems containsSemiMixedTypes="0" containsString="0" containsNumber="1" minValue="1.2" maxValue="460"/>
    </cacheField>
    <cacheField name="Trade Value" numFmtId="0">
      <sharedItems containsSemiMixedTypes="0" containsString="0" containsNumber="1" minValue="2210" maxValue="1424500"/>
    </cacheField>
    <cacheField name="Order Ref." numFmtId="0">
      <sharedItems/>
    </cacheField>
    <cacheField name="Settlement" numFmtId="0">
      <sharedItems containsSemiMixedTypes="0" containsString="0" containsNumber="1" containsInteger="1" minValue="2018019" maxValue="2019237"/>
    </cacheField>
    <cacheField name="Segment" numFmtId="0">
      <sharedItems/>
    </cacheField>
    <cacheField name="DP Id - Client DP Id" numFmtId="0">
      <sharedItems/>
    </cacheField>
    <cacheField name="Exchange" numFmtId="0">
      <sharedItems/>
    </cacheField>
    <cacheField name="STT" numFmtId="0">
      <sharedItems containsSemiMixedTypes="0" containsString="0" containsNumber="1" minValue="0" maxValue="352.56"/>
    </cacheField>
    <cacheField name="Transaction and SEBI Turnover charges" numFmtId="0">
      <sharedItems containsSemiMixedTypes="0" containsString="0" containsNumber="1" minValue="0" maxValue="31.34"/>
    </cacheField>
    <cacheField name="Stamp Duty" numFmtId="0">
      <sharedItems containsSemiMixedTypes="0" containsString="0" containsNumber="1" minValue="0" maxValue="163.19999999999999"/>
    </cacheField>
    <cacheField name="Brokerage + Service Tax" numFmtId="0">
      <sharedItems containsSemiMixedTypes="0" containsString="0" containsNumber="1" minValue="0" maxValue="846.09"/>
    </cacheField>
    <cacheField name="Brokerage incl. taxes" numFmtId="0">
      <sharedItems containsSemiMixedTypes="0" containsString="0" containsNumber="1" minValue="0" maxValue="1229.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1">
  <r>
    <n v="35971.158100000001"/>
    <x v="0"/>
    <n v="100"/>
    <n v="37021.849099999999"/>
    <n v="0"/>
    <n v="1050.6909999999989"/>
    <n v="1050.6909999999989"/>
    <n v="1050.6909999999989"/>
    <n v="0"/>
    <x v="0"/>
  </r>
  <r>
    <n v="2033445.0109000001"/>
    <x v="1"/>
    <n v="20950"/>
    <n v="2010848.0245000001"/>
    <n v="0"/>
    <n v="-22596.986400000053"/>
    <n v="-22596.986400000053"/>
    <n v="0"/>
    <n v="-22596.986400000053"/>
    <x v="0"/>
  </r>
  <r>
    <n v="134438.11009999999"/>
    <x v="2"/>
    <n v="5349"/>
    <n v="145640.4999"/>
    <n v="0"/>
    <n v="11202.389800000004"/>
    <n v="11202.389800000004"/>
    <n v="11202.389800000004"/>
    <n v="0"/>
    <x v="0"/>
  </r>
  <r>
    <n v="1761195.8223999999"/>
    <x v="3"/>
    <n v="13139"/>
    <n v="1699130.3573999999"/>
    <n v="0"/>
    <n v="-62065.465000000084"/>
    <n v="-62065.465000000084"/>
    <n v="0"/>
    <n v="-62065.465000000084"/>
    <x v="0"/>
  </r>
  <r>
    <n v="455002.07290000003"/>
    <x v="4"/>
    <n v="25325"/>
    <n v="419457.30379999999"/>
    <n v="0"/>
    <n v="-35544.769100000034"/>
    <n v="-35544.769100000034"/>
    <n v="0"/>
    <n v="-35544.769100000034"/>
    <x v="0"/>
  </r>
  <r>
    <n v="38782.001900000003"/>
    <x v="5"/>
    <n v="500"/>
    <n v="40200.411999999997"/>
    <n v="0"/>
    <n v="1418.4100999999937"/>
    <n v="1418.4100999999937"/>
    <n v="1418.4100999999937"/>
    <n v="0"/>
    <x v="0"/>
  </r>
  <r>
    <n v="275828.78120000003"/>
    <x v="6"/>
    <n v="300"/>
    <n v="269196.34080000001"/>
    <n v="10"/>
    <n v="-6632.4404000000213"/>
    <n v="0"/>
    <n v="0"/>
    <n v="0"/>
    <x v="1"/>
  </r>
  <r>
    <n v="33238.618000000002"/>
    <x v="7"/>
    <n v="500"/>
    <n v="41444.437299999998"/>
    <n v="0"/>
    <n v="8205.8192999999956"/>
    <n v="8205.8192999999956"/>
    <n v="8205.8192999999956"/>
    <n v="0"/>
    <x v="0"/>
  </r>
  <r>
    <n v="46535.627399999998"/>
    <x v="8"/>
    <n v="3000"/>
    <n v="33499.015399999997"/>
    <n v="0"/>
    <n v="-13036.612000000001"/>
    <n v="-13036.612000000001"/>
    <n v="0"/>
    <n v="-13036.612000000001"/>
    <x v="0"/>
  </r>
  <r>
    <n v="441849.6433"/>
    <x v="9"/>
    <n v="1381"/>
    <n v="423470.76610000001"/>
    <n v="0"/>
    <n v="-18378.877199999988"/>
    <n v="-18378.877199999988"/>
    <n v="0"/>
    <n v="-18378.877199999988"/>
    <x v="0"/>
  </r>
  <r>
    <n v="79246.335999999996"/>
    <x v="10"/>
    <n v="1000"/>
    <n v="70805.881300000008"/>
    <n v="0"/>
    <n v="-8440.4546999999875"/>
    <n v="-8440.4546999999875"/>
    <n v="0"/>
    <n v="-8440.4546999999875"/>
    <x v="0"/>
  </r>
  <r>
    <n v="22378.666000000001"/>
    <x v="11"/>
    <n v="3000"/>
    <n v="21011.856800000001"/>
    <n v="0"/>
    <n v="-1366.8091999999997"/>
    <n v="-1366.8091999999997"/>
    <n v="0"/>
    <n v="-1366.8091999999997"/>
    <x v="0"/>
  </r>
  <r>
    <n v="1722953.8422999999"/>
    <x v="12"/>
    <n v="48250"/>
    <n v="1674613.1049000002"/>
    <n v="1250"/>
    <n v="-48340.737399999751"/>
    <n v="0"/>
    <n v="0"/>
    <n v="0"/>
    <x v="1"/>
  </r>
  <r>
    <n v="9268.4935999999998"/>
    <x v="13"/>
    <n v="100"/>
    <n v="9670.4982999999993"/>
    <n v="0"/>
    <n v="402.0046999999995"/>
    <n v="402.0046999999995"/>
    <n v="402.0046999999995"/>
    <n v="0"/>
    <x v="0"/>
  </r>
  <r>
    <n v="1768723.0022"/>
    <x v="14"/>
    <n v="1920"/>
    <n v="1725729.4744999998"/>
    <n v="0"/>
    <n v="-42993.52770000021"/>
    <n v="-42993.52770000021"/>
    <n v="0"/>
    <n v="-42993.52770000021"/>
    <x v="0"/>
  </r>
  <r>
    <n v="1952243.9490999999"/>
    <x v="15"/>
    <n v="4823"/>
    <n v="1923326.3576999998"/>
    <n v="0"/>
    <n v="-28917.591400000034"/>
    <n v="-28917.591400000034"/>
    <n v="0"/>
    <n v="-28917.591400000034"/>
    <x v="0"/>
  </r>
  <r>
    <n v="14102.424000000001"/>
    <x v="16"/>
    <n v="700"/>
    <n v="14176.955900000001"/>
    <n v="0"/>
    <n v="74.531899999999951"/>
    <n v="74.531899999999951"/>
    <n v="74.531899999999951"/>
    <n v="0"/>
    <x v="0"/>
  </r>
  <r>
    <n v="483581.79969999997"/>
    <x v="17"/>
    <n v="5500"/>
    <n v="474990.86149999994"/>
    <n v="0"/>
    <n v="-8590.9382000000332"/>
    <n v="-8590.9382000000332"/>
    <n v="0"/>
    <n v="-8590.9382000000332"/>
    <x v="0"/>
  </r>
  <r>
    <n v="679298.12770000007"/>
    <x v="18"/>
    <n v="11500"/>
    <n v="725840.37139999995"/>
    <n v="0"/>
    <n v="46542.243699999875"/>
    <n v="46542.243699999875"/>
    <n v="46542.243699999875"/>
    <n v="0"/>
    <x v="0"/>
  </r>
  <r>
    <n v="60941.178500000002"/>
    <x v="19"/>
    <n v="575"/>
    <n v="37733.203699999998"/>
    <n v="0"/>
    <n v="-23207.974800000004"/>
    <n v="-23207.974800000004"/>
    <n v="0"/>
    <n v="-23207.974800000004"/>
    <x v="0"/>
  </r>
  <r>
    <n v="132029.6643"/>
    <x v="20"/>
    <n v="410"/>
    <n v="123341.6666"/>
    <n v="0"/>
    <n v="-8687.9977000000072"/>
    <n v="-8687.9977000000072"/>
    <n v="0"/>
    <n v="-8687.9977000000072"/>
    <x v="0"/>
  </r>
  <r>
    <n v="1307003.8932"/>
    <x v="21"/>
    <n v="2990"/>
    <n v="1306411.1106999998"/>
    <n v="0"/>
    <n v="-592.78250000020489"/>
    <n v="-592.78250000020489"/>
    <n v="0"/>
    <n v="-592.78250000020489"/>
    <x v="0"/>
  </r>
  <r>
    <n v="69512.807100000005"/>
    <x v="22"/>
    <n v="1000"/>
    <n v="69663.033500000005"/>
    <n v="0"/>
    <n v="150.22639999999956"/>
    <n v="150.22639999999956"/>
    <n v="150.22639999999956"/>
    <n v="0"/>
    <x v="0"/>
  </r>
  <r>
    <n v="77371.814000000013"/>
    <x v="23"/>
    <n v="200"/>
    <n v="79332.532600000006"/>
    <n v="0"/>
    <n v="1960.7185999999929"/>
    <n v="1960.7185999999929"/>
    <n v="1960.7185999999929"/>
    <n v="0"/>
    <x v="0"/>
  </r>
  <r>
    <n v="5341.2691000000004"/>
    <x v="24"/>
    <n v="0"/>
    <n v="0"/>
    <n v="475"/>
    <n v="-5341.2691000000004"/>
    <n v="0"/>
    <n v="0"/>
    <n v="0"/>
    <x v="1"/>
  </r>
  <r>
    <n v="441569.71990000003"/>
    <x v="25"/>
    <n v="27500"/>
    <n v="436255.18859999999"/>
    <n v="0"/>
    <n v="-5314.5313000000315"/>
    <n v="-5314.5313000000315"/>
    <n v="0"/>
    <n v="-5314.5313000000315"/>
    <x v="0"/>
  </r>
  <r>
    <n v="712933.3905000001"/>
    <x v="26"/>
    <n v="9850"/>
    <n v="689043.3345"/>
    <n v="400"/>
    <n v="-23890.056000000099"/>
    <n v="0"/>
    <n v="0"/>
    <n v="0"/>
    <x v="1"/>
  </r>
  <r>
    <n v="120082.6"/>
    <x v="27"/>
    <n v="5000"/>
    <n v="118145.69680000001"/>
    <n v="0"/>
    <n v="-1936.9032000000007"/>
    <n v="-1936.9032000000007"/>
    <n v="0"/>
    <n v="-1936.9032000000007"/>
    <x v="0"/>
  </r>
  <r>
    <n v="115685.35189999999"/>
    <x v="28"/>
    <n v="10000"/>
    <n v="87076.7255"/>
    <n v="0"/>
    <n v="-28608.626399999994"/>
    <n v="-28608.626399999994"/>
    <n v="0"/>
    <n v="-28608.626399999994"/>
    <x v="0"/>
  </r>
  <r>
    <n v="3899.9458"/>
    <x v="29"/>
    <n v="100"/>
    <n v="3729.3578000000002"/>
    <n v="0"/>
    <n v="-170.58799999999974"/>
    <n v="-170.58799999999974"/>
    <n v="0"/>
    <n v="-170.58799999999974"/>
    <x v="0"/>
  </r>
  <r>
    <n v="99396.026199999993"/>
    <x v="30"/>
    <n v="1000"/>
    <n v="103217.05"/>
    <n v="0"/>
    <n v="3821.0238000000099"/>
    <n v="3821.0238000000099"/>
    <n v="3821.0238000000099"/>
    <n v="0"/>
    <x v="0"/>
  </r>
  <r>
    <n v="873999.02419999999"/>
    <x v="31"/>
    <n v="13780"/>
    <n v="796225.47560000012"/>
    <n v="0"/>
    <n v="-77773.548599999864"/>
    <n v="-77773.548599999864"/>
    <n v="0"/>
    <n v="-77773.548599999864"/>
    <x v="0"/>
  </r>
  <r>
    <n v="77548.698699999994"/>
    <x v="32"/>
    <n v="1000"/>
    <n v="79180.604399999997"/>
    <n v="0"/>
    <n v="1631.905700000003"/>
    <n v="1631.905700000003"/>
    <n v="1631.905700000003"/>
    <n v="0"/>
    <x v="0"/>
  </r>
  <r>
    <n v="114727.46519999999"/>
    <x v="33"/>
    <n v="1000"/>
    <n v="115478.60370000001"/>
    <n v="0"/>
    <n v="751.13850000001548"/>
    <n v="751.13850000001548"/>
    <n v="751.13850000001548"/>
    <n v="0"/>
    <x v="0"/>
  </r>
  <r>
    <n v="2391952.9271"/>
    <x v="34"/>
    <n v="6600"/>
    <n v="2389729.6332"/>
    <n v="0"/>
    <n v="-2223.2938999999315"/>
    <n v="-2223.2938999999315"/>
    <n v="0"/>
    <n v="-2223.2938999999315"/>
    <x v="0"/>
  </r>
  <r>
    <n v="63990.178399999997"/>
    <x v="35"/>
    <n v="1000"/>
    <n v="62819.636400000003"/>
    <n v="0"/>
    <n v="-1170.541999999994"/>
    <n v="-1170.541999999994"/>
    <n v="0"/>
    <n v="-1170.541999999994"/>
    <x v="0"/>
  </r>
  <r>
    <n v="108890.15210000001"/>
    <x v="36"/>
    <n v="110"/>
    <n v="108512.8132"/>
    <n v="0"/>
    <n v="-377.33890000000247"/>
    <n v="-377.33890000000247"/>
    <n v="0"/>
    <n v="-377.33890000000247"/>
    <x v="0"/>
  </r>
  <r>
    <n v="3100024.5397000001"/>
    <x v="37"/>
    <n v="11500"/>
    <n v="3067315.7928999998"/>
    <n v="0"/>
    <n v="-32708.746800000314"/>
    <n v="-32708.746800000314"/>
    <n v="0"/>
    <n v="-32708.746800000314"/>
    <x v="0"/>
  </r>
  <r>
    <n v="105212.9639"/>
    <x v="38"/>
    <n v="1000"/>
    <n v="100169.82829999999"/>
    <n v="0"/>
    <n v="-5043.1356000000087"/>
    <n v="-5043.1356000000087"/>
    <n v="0"/>
    <n v="-5043.1356000000087"/>
    <x v="0"/>
  </r>
  <r>
    <n v="696111.01549999998"/>
    <x v="39"/>
    <n v="1852"/>
    <n v="697325.12080000003"/>
    <n v="0"/>
    <n v="1214.1053000000538"/>
    <n v="1214.1053000000538"/>
    <n v="1214.1053000000538"/>
    <n v="0"/>
    <x v="0"/>
  </r>
  <r>
    <n v="250960.88069999998"/>
    <x v="40"/>
    <n v="1000"/>
    <n v="241548.58259999999"/>
    <n v="0"/>
    <n v="-9412.2980999999854"/>
    <n v="-9412.2980999999854"/>
    <n v="0"/>
    <n v="-9412.2980999999854"/>
    <x v="0"/>
  </r>
  <r>
    <n v="3112267.4739000001"/>
    <x v="41"/>
    <n v="7587"/>
    <n v="3105575.2147999997"/>
    <n v="100"/>
    <n v="-6692.259100000374"/>
    <n v="0"/>
    <n v="0"/>
    <n v="0"/>
    <x v="1"/>
  </r>
  <r>
    <n v="10435444.226600001"/>
    <x v="42"/>
    <n v="34011"/>
    <n v="10434127.286600001"/>
    <n v="0"/>
    <n v="-1316.9399999994785"/>
    <n v="-1316.9399999994785"/>
    <n v="0"/>
    <n v="-1316.9399999994785"/>
    <x v="0"/>
  </r>
  <r>
    <n v="983816.56129999994"/>
    <x v="43"/>
    <n v="7850"/>
    <n v="981431.23190000001"/>
    <n v="0"/>
    <n v="-2385.3293999999296"/>
    <n v="-2385.3293999999296"/>
    <n v="0"/>
    <n v="-2385.3293999999296"/>
    <x v="0"/>
  </r>
  <r>
    <n v="300188.5"/>
    <x v="44"/>
    <n v="2500"/>
    <n v="295389.6017"/>
    <n v="0"/>
    <n v="-4798.8983000000007"/>
    <n v="-4798.8983000000007"/>
    <n v="0"/>
    <n v="-4798.8983000000007"/>
    <x v="0"/>
  </r>
  <r>
    <n v="3310915.9273999999"/>
    <x v="45"/>
    <n v="10550"/>
    <n v="3281710.1589000002"/>
    <n v="0"/>
    <n v="-29205.768499999773"/>
    <n v="-29205.768499999773"/>
    <n v="0"/>
    <n v="-29205.768499999773"/>
    <x v="0"/>
  </r>
  <r>
    <n v="11622294.064999999"/>
    <x v="46"/>
    <n v="22150"/>
    <n v="11560690.226100001"/>
    <n v="65"/>
    <n v="-61603.838899997994"/>
    <n v="0"/>
    <n v="0"/>
    <n v="0"/>
    <x v="1"/>
  </r>
  <r>
    <n v="133953.22949999999"/>
    <x v="47"/>
    <n v="600"/>
    <n v="13993.8869"/>
    <n v="750"/>
    <n v="-119959.34259999999"/>
    <n v="0"/>
    <n v="0"/>
    <n v="0"/>
    <x v="1"/>
  </r>
  <r>
    <n v="436016.21399999998"/>
    <x v="48"/>
    <n v="3500"/>
    <n v="419584.5135"/>
    <n v="0"/>
    <n v="-16431.700499999977"/>
    <n v="-16431.700499999977"/>
    <n v="0"/>
    <n v="-16431.700499999977"/>
    <x v="0"/>
  </r>
  <r>
    <n v="42317.292099999999"/>
    <x v="49"/>
    <n v="750"/>
    <n v="28918.225900000001"/>
    <n v="0"/>
    <n v="-13399.066199999997"/>
    <n v="-13399.066199999997"/>
    <n v="0"/>
    <n v="-13399.066199999997"/>
    <x v="0"/>
  </r>
  <r>
    <n v="5207360.3831999991"/>
    <x v="50"/>
    <n v="17775"/>
    <n v="5174265.4342"/>
    <n v="0"/>
    <n v="-33094.948999999091"/>
    <n v="-33094.948999999091"/>
    <n v="0"/>
    <n v="-33094.948999999091"/>
    <x v="0"/>
  </r>
  <r>
    <n v="57043.686600000001"/>
    <x v="51"/>
    <n v="70"/>
    <n v="55053.3943"/>
    <n v="0"/>
    <n v="-1990.292300000001"/>
    <n v="-1990.292300000001"/>
    <n v="0"/>
    <n v="-1990.292300000001"/>
    <x v="0"/>
  </r>
  <r>
    <n v="1409225.3684"/>
    <x v="52"/>
    <n v="8722"/>
    <n v="1408794.9571"/>
    <n v="0"/>
    <n v="-430.41130000003614"/>
    <n v="-430.41130000003614"/>
    <n v="0"/>
    <n v="-430.41130000003614"/>
    <x v="0"/>
  </r>
  <r>
    <n v="64290.187599999997"/>
    <x v="53"/>
    <n v="1000"/>
    <n v="62650.828600000001"/>
    <n v="0"/>
    <n v="-1639.3589999999967"/>
    <n v="-1639.3589999999967"/>
    <n v="0"/>
    <n v="-1639.3589999999967"/>
    <x v="0"/>
  </r>
  <r>
    <n v="46162.332799999996"/>
    <x v="54"/>
    <n v="25"/>
    <n v="45724.896999999997"/>
    <n v="0"/>
    <n v="-437.43579999999929"/>
    <n v="-437.43579999999929"/>
    <n v="0"/>
    <n v="-437.43579999999929"/>
    <x v="0"/>
  </r>
  <r>
    <n v="1147488.2228000001"/>
    <x v="55"/>
    <n v="4292"/>
    <n v="1137976.1000000001"/>
    <n v="0"/>
    <n v="-9512.1228000000119"/>
    <n v="-9512.1228000000119"/>
    <n v="0"/>
    <n v="-9512.1228000000119"/>
    <x v="0"/>
  </r>
  <r>
    <n v="3848.2640000000001"/>
    <x v="56"/>
    <n v="10"/>
    <n v="2811.2343000000001"/>
    <n v="0"/>
    <n v="-1037.0297"/>
    <n v="-1037.0297"/>
    <n v="0"/>
    <n v="-1037.0297"/>
    <x v="0"/>
  </r>
  <r>
    <n v="1362498.9753"/>
    <x v="57"/>
    <n v="79200"/>
    <n v="1336584.2551999998"/>
    <n v="5000"/>
    <n v="-25914.720100000268"/>
    <n v="0"/>
    <n v="0"/>
    <n v="0"/>
    <x v="1"/>
  </r>
  <r>
    <n v="372493.12760000001"/>
    <x v="58"/>
    <n v="4000"/>
    <n v="367289.24200000003"/>
    <n v="0"/>
    <n v="-5203.8855999999796"/>
    <n v="-5203.8855999999796"/>
    <n v="0"/>
    <n v="-5203.8855999999796"/>
    <x v="0"/>
  </r>
  <r>
    <n v="8229081.6741000004"/>
    <x v="59"/>
    <n v="98750"/>
    <n v="8201043.1516999993"/>
    <n v="0"/>
    <n v="-28038.522400001064"/>
    <n v="-28038.522400001064"/>
    <n v="0"/>
    <n v="-28038.522400001064"/>
    <x v="0"/>
  </r>
  <r>
    <n v="68525.6342"/>
    <x v="60"/>
    <n v="1100"/>
    <n v="68579.930800000002"/>
    <n v="0"/>
    <n v="54.29660000000149"/>
    <n v="54.29660000000149"/>
    <n v="54.29660000000149"/>
    <n v="0"/>
    <x v="0"/>
  </r>
  <r>
    <n v="835.22429999999997"/>
    <x v="61"/>
    <n v="10"/>
    <n v="1269.0407"/>
    <n v="0"/>
    <n v="433.81640000000004"/>
    <n v="433.81640000000004"/>
    <n v="433.81640000000004"/>
    <n v="0"/>
    <x v="0"/>
  </r>
  <r>
    <n v="86697.118900000001"/>
    <x v="62"/>
    <n v="1500"/>
    <n v="86698.726699999999"/>
    <n v="0"/>
    <n v="1.6077999999979511"/>
    <n v="1.6077999999979511"/>
    <n v="1.6077999999979511"/>
    <n v="0"/>
    <x v="0"/>
  </r>
  <r>
    <n v="2309207.2305999999"/>
    <x v="63"/>
    <n v="22350"/>
    <n v="2309497.8781999997"/>
    <n v="200"/>
    <n v="290.64759999979287"/>
    <n v="0"/>
    <n v="0"/>
    <n v="0"/>
    <x v="1"/>
  </r>
  <r>
    <n v="250453.91740000001"/>
    <x v="64"/>
    <n v="2900"/>
    <n v="249087.56030000001"/>
    <n v="0"/>
    <n v="-1366.3570999999938"/>
    <n v="-1366.3570999999938"/>
    <n v="0"/>
    <n v="-1366.3570999999938"/>
    <x v="0"/>
  </r>
  <r>
    <n v="469222.34669999999"/>
    <x v="65"/>
    <n v="2050"/>
    <n v="467398.55149999994"/>
    <n v="0"/>
    <n v="-1823.7952000000514"/>
    <n v="-1823.7952000000514"/>
    <n v="0"/>
    <n v="-1823.7952000000514"/>
    <x v="0"/>
  </r>
  <r>
    <n v="1148.7135000000001"/>
    <x v="66"/>
    <n v="10"/>
    <n v="933.601"/>
    <n v="0"/>
    <n v="-215.11250000000007"/>
    <n v="-215.11250000000007"/>
    <n v="0"/>
    <n v="-215.11250000000007"/>
    <x v="0"/>
  </r>
  <r>
    <n v="39330.8891"/>
    <x v="67"/>
    <n v="1000"/>
    <n v="39559.612000000001"/>
    <n v="0"/>
    <n v="228.72290000000066"/>
    <n v="228.72290000000066"/>
    <n v="228.72290000000066"/>
    <n v="0"/>
    <x v="0"/>
  </r>
  <r>
    <n v="951577.06890000007"/>
    <x v="68"/>
    <n v="2000"/>
    <n v="953106.82949999999"/>
    <n v="0"/>
    <n v="1529.7605999999214"/>
    <n v="1529.7605999999214"/>
    <n v="1529.7605999999214"/>
    <n v="0"/>
    <x v="0"/>
  </r>
  <r>
    <n v="30677802.496399999"/>
    <x v="69"/>
    <n v="84600"/>
    <n v="30589114.589999996"/>
    <n v="0"/>
    <n v="-88687.906400002539"/>
    <n v="-88687.906400002539"/>
    <n v="0"/>
    <n v="-88687.906400002539"/>
    <x v="0"/>
  </r>
  <r>
    <n v="1630209.7154999999"/>
    <x v="70"/>
    <n v="5100"/>
    <n v="1612870.7508"/>
    <n v="0"/>
    <n v="-17338.964699999895"/>
    <n v="-17338.964699999895"/>
    <n v="0"/>
    <n v="-17338.964699999895"/>
    <x v="0"/>
  </r>
  <r>
    <n v="855666.59979999985"/>
    <x v="71"/>
    <n v="4220"/>
    <n v="857170.03609999991"/>
    <n v="0"/>
    <n v="1503.4363000000594"/>
    <n v="1503.4363000000594"/>
    <n v="1503.4363000000594"/>
    <n v="0"/>
    <x v="0"/>
  </r>
  <r>
    <n v="826988.05779999995"/>
    <x v="72"/>
    <n v="2952"/>
    <n v="820254.63529999997"/>
    <n v="0"/>
    <n v="-6733.422499999986"/>
    <n v="-6733.422499999986"/>
    <n v="0"/>
    <n v="-6733.422499999986"/>
    <x v="0"/>
  </r>
  <r>
    <n v="1562417.8751999999"/>
    <x v="73"/>
    <n v="9450"/>
    <n v="1557068.9912"/>
    <n v="0"/>
    <n v="-5348.8839999998454"/>
    <n v="-5348.8839999998454"/>
    <n v="0"/>
    <n v="-5348.8839999998454"/>
    <x v="0"/>
  </r>
  <r>
    <n v="61942.5242"/>
    <x v="74"/>
    <n v="50"/>
    <n v="60961.9211"/>
    <n v="0"/>
    <n v="-980.60310000000027"/>
    <n v="-980.60310000000027"/>
    <n v="0"/>
    <n v="-980.60310000000027"/>
    <x v="0"/>
  </r>
  <r>
    <n v="54034.180999999997"/>
    <x v="75"/>
    <n v="1000"/>
    <n v="55101.447"/>
    <n v="0"/>
    <n v="1067.2660000000033"/>
    <n v="1067.2660000000033"/>
    <n v="1067.2660000000033"/>
    <n v="0"/>
    <x v="0"/>
  </r>
  <r>
    <n v="2096887.3628"/>
    <x v="76"/>
    <n v="13464"/>
    <n v="2091091.5736"/>
    <n v="70"/>
    <n v="-5795.7891999999993"/>
    <n v="0"/>
    <n v="0"/>
    <n v="0"/>
    <x v="1"/>
  </r>
  <r>
    <n v="865022.82109999994"/>
    <x v="77"/>
    <n v="30500"/>
    <n v="851717.92790000001"/>
    <n v="0"/>
    <n v="-13304.893199999933"/>
    <n v="-13304.893199999933"/>
    <n v="0"/>
    <n v="-13304.893199999933"/>
    <x v="0"/>
  </r>
  <r>
    <n v="1394047.4734"/>
    <x v="78"/>
    <n v="5100"/>
    <n v="1386978.0104"/>
    <n v="0"/>
    <n v="-7069.4629999999888"/>
    <n v="-7069.4629999999888"/>
    <n v="0"/>
    <n v="-7069.4629999999888"/>
    <x v="0"/>
  </r>
  <r>
    <n v="539311.9264"/>
    <x v="79"/>
    <n v="900"/>
    <n v="535754.51560000004"/>
    <n v="0"/>
    <n v="-3557.4107999999542"/>
    <n v="-3557.4107999999542"/>
    <n v="0"/>
    <n v="-3557.4107999999542"/>
    <x v="0"/>
  </r>
  <r>
    <n v="53360.208599999998"/>
    <x v="80"/>
    <n v="300"/>
    <n v="53525.360399999998"/>
    <n v="0"/>
    <n v="165.15179999999964"/>
    <n v="165.15179999999964"/>
    <n v="165.15179999999964"/>
    <n v="0"/>
    <x v="0"/>
  </r>
  <r>
    <n v="1534146.4342999998"/>
    <x v="81"/>
    <n v="3200"/>
    <n v="1535827.8685000001"/>
    <n v="0"/>
    <n v="1681.4342000002507"/>
    <n v="1681.4342000002507"/>
    <n v="1681.4342000002507"/>
    <n v="0"/>
    <x v="0"/>
  </r>
  <r>
    <n v="29230.7412"/>
    <x v="82"/>
    <n v="500"/>
    <n v="29511.9061"/>
    <n v="0"/>
    <n v="281.16489999999976"/>
    <n v="281.16489999999976"/>
    <n v="281.16489999999976"/>
    <n v="0"/>
    <x v="0"/>
  </r>
  <r>
    <n v="52683.2955"/>
    <x v="83"/>
    <n v="500"/>
    <n v="52203.838900000002"/>
    <n v="0"/>
    <n v="-479.45659999999771"/>
    <n v="-479.45659999999771"/>
    <n v="0"/>
    <n v="-479.45659999999771"/>
    <x v="0"/>
  </r>
  <r>
    <n v="704176.59349999996"/>
    <x v="84"/>
    <n v="8000"/>
    <n v="705545.1568"/>
    <n v="0"/>
    <n v="1368.563300000038"/>
    <n v="1368.563300000038"/>
    <n v="1368.563300000038"/>
    <n v="0"/>
    <x v="0"/>
  </r>
  <r>
    <n v="1647726.6591"/>
    <x v="85"/>
    <n v="25500"/>
    <n v="1624896.3768"/>
    <n v="0"/>
    <n v="-22830.282300000079"/>
    <n v="-22830.282300000079"/>
    <n v="0"/>
    <n v="-22830.282300000079"/>
    <x v="0"/>
  </r>
  <r>
    <n v="32930.894399999997"/>
    <x v="86"/>
    <n v="100"/>
    <n v="32684.202000000001"/>
    <n v="0"/>
    <n v="-246.69239999999627"/>
    <n v="-246.69239999999627"/>
    <n v="0"/>
    <n v="-246.69239999999627"/>
    <x v="0"/>
  </r>
  <r>
    <n v="35391.002999999997"/>
    <x v="87"/>
    <n v="10"/>
    <n v="35070.196000000004"/>
    <n v="0"/>
    <n v="-320.80699999999342"/>
    <n v="-320.80699999999342"/>
    <n v="0"/>
    <n v="-320.80699999999342"/>
    <x v="0"/>
  </r>
  <r>
    <n v="134084.75399999999"/>
    <x v="88"/>
    <n v="100"/>
    <n v="134231.4933"/>
    <n v="0"/>
    <n v="146.73930000001565"/>
    <n v="146.73930000001565"/>
    <n v="146.73930000001565"/>
    <n v="0"/>
    <x v="0"/>
  </r>
  <r>
    <n v="41031.245999999999"/>
    <x v="89"/>
    <n v="100"/>
    <n v="41158.466800000002"/>
    <n v="0"/>
    <n v="127.22080000000278"/>
    <n v="127.22080000000278"/>
    <n v="127.22080000000278"/>
    <n v="0"/>
    <x v="0"/>
  </r>
  <r>
    <n v="312240.80330000003"/>
    <x v="90"/>
    <n v="350"/>
    <n v="312142.53249999997"/>
    <n v="0"/>
    <n v="-98.270800000056624"/>
    <n v="-98.270800000056624"/>
    <n v="0"/>
    <n v="-98.270800000056624"/>
    <x v="0"/>
  </r>
  <r>
    <n v="111607.52439999999"/>
    <x v="91"/>
    <n v="590"/>
    <n v="109937.86870000001"/>
    <n v="0"/>
    <n v="-1669.6556999999884"/>
    <n v="-1669.6556999999884"/>
    <n v="0"/>
    <n v="-1669.6556999999884"/>
    <x v="0"/>
  </r>
  <r>
    <n v="63117.290199999996"/>
    <x v="92"/>
    <n v="400"/>
    <n v="62822.585599999999"/>
    <n v="0"/>
    <n v="-294.7045999999973"/>
    <n v="-294.7045999999973"/>
    <n v="0"/>
    <n v="-294.7045999999973"/>
    <x v="0"/>
  </r>
  <r>
    <n v="86696.218200000003"/>
    <x v="93"/>
    <n v="574"/>
    <n v="87202.837"/>
    <n v="0"/>
    <n v="506.61879999999655"/>
    <n v="506.61879999999655"/>
    <n v="506.61879999999655"/>
    <n v="0"/>
    <x v="0"/>
  </r>
  <r>
    <n v="530703.02930000005"/>
    <x v="94"/>
    <n v="325"/>
    <n v="530264.63470000005"/>
    <n v="0"/>
    <n v="-438.39459999999963"/>
    <n v="-438.39459999999963"/>
    <n v="0"/>
    <n v="-438.39459999999963"/>
    <x v="0"/>
  </r>
  <r>
    <n v="178012.50450000001"/>
    <x v="95"/>
    <n v="1500"/>
    <n v="179791.6219"/>
    <n v="0"/>
    <n v="1779.1173999999883"/>
    <n v="1779.1173999999883"/>
    <n v="1779.1173999999883"/>
    <n v="0"/>
    <x v="0"/>
  </r>
  <r>
    <n v="561983.56819999998"/>
    <x v="96"/>
    <n v="1500"/>
    <n v="563127.87919999997"/>
    <n v="0"/>
    <n v="1144.310999999987"/>
    <n v="1144.310999999987"/>
    <n v="1144.310999999987"/>
    <n v="0"/>
    <x v="0"/>
  </r>
  <r>
    <n v="71707.167000000001"/>
    <x v="97"/>
    <n v="300"/>
    <n v="71630.0383"/>
    <n v="0"/>
    <n v="-77.128700000001118"/>
    <n v="-77.128700000001118"/>
    <n v="0"/>
    <n v="-77.128700000001118"/>
    <x v="0"/>
  </r>
  <r>
    <n v="360823.41749999998"/>
    <x v="98"/>
    <n v="1850"/>
    <n v="352163.20890000003"/>
    <n v="0"/>
    <n v="-8660.2085999999545"/>
    <n v="-8660.2085999999545"/>
    <n v="0"/>
    <n v="-8660.2085999999545"/>
    <x v="0"/>
  </r>
  <r>
    <n v="109659.6453"/>
    <x v="99"/>
    <n v="100"/>
    <n v="108875.1455"/>
    <n v="0"/>
    <n v="-784.49980000000505"/>
    <n v="-784.49980000000505"/>
    <n v="0"/>
    <n v="-784.49980000000505"/>
    <x v="0"/>
  </r>
  <r>
    <n v="2792465.5633999999"/>
    <x v="100"/>
    <n v="43775"/>
    <n v="2792943.0484000002"/>
    <n v="0"/>
    <n v="477.48500000033528"/>
    <n v="477.48500000033528"/>
    <n v="477.48500000033528"/>
    <n v="0"/>
    <x v="0"/>
  </r>
  <r>
    <n v="162462.685"/>
    <x v="101"/>
    <n v="300"/>
    <n v="160957.6704"/>
    <n v="0"/>
    <n v="-1505.014599999995"/>
    <n v="-1505.014599999995"/>
    <n v="0"/>
    <n v="-1505.014599999995"/>
    <x v="0"/>
  </r>
  <r>
    <n v="168243.1826"/>
    <x v="102"/>
    <n v="2000"/>
    <n v="169965.1655"/>
    <n v="0"/>
    <n v="1721.9829000000027"/>
    <n v="1721.9829000000027"/>
    <n v="1721.9829000000027"/>
    <n v="0"/>
    <x v="0"/>
  </r>
  <r>
    <n v="94865.055600000007"/>
    <x v="103"/>
    <n v="500"/>
    <n v="93714.085800000001"/>
    <n v="0"/>
    <n v="-1150.9698000000062"/>
    <n v="-1150.9698000000062"/>
    <n v="0"/>
    <n v="-1150.9698000000062"/>
    <x v="0"/>
  </r>
  <r>
    <n v="77098.181899999996"/>
    <x v="104"/>
    <n v="100"/>
    <n v="77131.900800000003"/>
    <n v="0"/>
    <n v="33.718900000007125"/>
    <n v="33.718900000007125"/>
    <n v="33.718900000007125"/>
    <n v="0"/>
    <x v="0"/>
  </r>
  <r>
    <n v="31405.8295"/>
    <x v="105"/>
    <n v="250"/>
    <n v="30959.083999999999"/>
    <n v="0"/>
    <n v="-446.7455000000009"/>
    <n v="-446.7455000000009"/>
    <n v="0"/>
    <n v="-446.7455000000009"/>
    <x v="0"/>
  </r>
  <r>
    <n v="270316.00209999998"/>
    <x v="106"/>
    <n v="700"/>
    <n v="271132.91139999998"/>
    <n v="0"/>
    <n v="816.90929999999935"/>
    <n v="816.90929999999935"/>
    <n v="816.90929999999935"/>
    <n v="0"/>
    <x v="0"/>
  </r>
  <r>
    <n v="36568.555399999997"/>
    <x v="107"/>
    <n v="250"/>
    <n v="36747.265599999999"/>
    <n v="0"/>
    <n v="178.71020000000135"/>
    <n v="178.71020000000135"/>
    <n v="178.71020000000135"/>
    <n v="0"/>
    <x v="0"/>
  </r>
  <r>
    <n v="7502736.5421000002"/>
    <x v="108"/>
    <n v="27150"/>
    <n v="7526884.9869999997"/>
    <n v="0"/>
    <n v="24148.444899999537"/>
    <n v="24148.444899999537"/>
    <n v="24148.444899999537"/>
    <n v="0"/>
    <x v="0"/>
  </r>
  <r>
    <n v="352355.00699999998"/>
    <x v="109"/>
    <n v="450"/>
    <n v="349446.00400000002"/>
    <n v="0"/>
    <n v="-2909.0029999999679"/>
    <n v="-2909.0029999999679"/>
    <n v="0"/>
    <n v="-2909.0029999999679"/>
    <x v="0"/>
  </r>
  <r>
    <n v="36828.919299999994"/>
    <x v="110"/>
    <n v="25"/>
    <n v="38780.046000000002"/>
    <n v="0"/>
    <n v="1951.126700000008"/>
    <n v="1951.126700000008"/>
    <n v="1951.126700000008"/>
    <n v="0"/>
    <x v="0"/>
  </r>
  <r>
    <n v="461562.08059999999"/>
    <x v="111"/>
    <n v="6000"/>
    <n v="344715.80040000001"/>
    <n v="2000"/>
    <n v="-116846.28019999998"/>
    <n v="0"/>
    <n v="0"/>
    <n v="0"/>
    <x v="1"/>
  </r>
  <r>
    <n v="4433488.1666999999"/>
    <x v="112"/>
    <n v="9750"/>
    <n v="4427865.4458999997"/>
    <n v="0"/>
    <n v="-5622.7208000002429"/>
    <n v="-5622.7208000002429"/>
    <n v="0"/>
    <n v="-5622.7208000002429"/>
    <x v="0"/>
  </r>
  <r>
    <n v="3812.8425999999999"/>
    <x v="113"/>
    <n v="1000"/>
    <n v="7432.5050000000001"/>
    <n v="0"/>
    <n v="3619.6624000000002"/>
    <n v="3619.6624000000002"/>
    <n v="3619.6624000000002"/>
    <n v="0"/>
    <x v="0"/>
  </r>
  <r>
    <n v="22119.576000000001"/>
    <x v="114"/>
    <n v="10"/>
    <n v="22235.87"/>
    <n v="0"/>
    <n v="116.29399999999805"/>
    <n v="116.29399999999805"/>
    <n v="116.29399999999805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29">
  <r>
    <d v="2019-12-24T00:00:00"/>
    <x v="0"/>
    <x v="0"/>
    <n v="1000"/>
    <n v="455.4"/>
    <n v="455400"/>
    <s v="20191224N300015202"/>
    <n v="2019241"/>
    <s v="Rolling"/>
    <s v="IN302679-38296183"/>
    <s v="NSE"/>
    <n v="0"/>
    <n v="0"/>
    <n v="0"/>
    <n v="0"/>
    <n v="0"/>
  </r>
  <r>
    <d v="2019-12-24T00:00:00"/>
    <x v="0"/>
    <x v="1"/>
    <n v="2500"/>
    <n v="454.68"/>
    <n v="1136711.75"/>
    <s v="20191224N300018981"/>
    <n v="2019241"/>
    <s v="Rolling"/>
    <s v="IN302679-38296183"/>
    <s v="NSE"/>
    <n v="0"/>
    <n v="0"/>
    <n v="0"/>
    <n v="0"/>
    <n v="0"/>
  </r>
  <r>
    <d v="2019-12-24T00:00:00"/>
    <x v="0"/>
    <x v="1"/>
    <n v="1000"/>
    <n v="456"/>
    <n v="456000"/>
    <s v="20191224N300019401"/>
    <n v="2019241"/>
    <s v="Rolling"/>
    <s v="IN302679-38296183"/>
    <s v="NSE"/>
    <n v="0"/>
    <n v="0"/>
    <n v="0"/>
    <n v="0"/>
    <n v="0"/>
  </r>
  <r>
    <d v="2019-12-24T00:00:00"/>
    <x v="1"/>
    <x v="1"/>
    <n v="1500"/>
    <n v="299"/>
    <n v="448500"/>
    <s v="20191224N300021904"/>
    <n v="2019241"/>
    <s v="Rolling"/>
    <s v="IN302679-38296183"/>
    <s v="NSE"/>
    <n v="0"/>
    <n v="0"/>
    <n v="0"/>
    <n v="0"/>
    <n v="0"/>
  </r>
  <r>
    <d v="2019-12-24T00:00:00"/>
    <x v="1"/>
    <x v="0"/>
    <n v="1500"/>
    <n v="298.10000000000002"/>
    <n v="447150"/>
    <s v="20191224N300024805"/>
    <n v="2019241"/>
    <s v="Rolling"/>
    <s v="IN302679-38296183"/>
    <s v="NSE"/>
    <n v="0"/>
    <n v="0"/>
    <n v="0"/>
    <n v="0"/>
    <n v="0"/>
  </r>
  <r>
    <d v="2019-12-24T00:00:00"/>
    <x v="0"/>
    <x v="1"/>
    <n v="2500"/>
    <n v="458.25"/>
    <n v="1145625"/>
    <s v="20191224N300026387"/>
    <n v="2019241"/>
    <s v="Rolling"/>
    <s v="IN302679-38296183"/>
    <s v="NSE"/>
    <n v="0"/>
    <n v="0"/>
    <n v="0"/>
    <n v="0"/>
    <n v="0"/>
  </r>
  <r>
    <d v="2019-12-24T00:00:00"/>
    <x v="0"/>
    <x v="0"/>
    <n v="5000"/>
    <n v="457.53"/>
    <n v="2287654.2999999998"/>
    <s v="20191224N300028987"/>
    <n v="2019241"/>
    <s v="Rolling"/>
    <s v="IN302679-38296183"/>
    <s v="NSE"/>
    <n v="0"/>
    <n v="0"/>
    <n v="0"/>
    <n v="0"/>
    <n v="0"/>
  </r>
  <r>
    <d v="2019-12-24T00:00:00"/>
    <x v="2"/>
    <x v="0"/>
    <n v="50"/>
    <n v="41"/>
    <n v="2050"/>
    <s v="20191224N900014798"/>
    <n v="2019241"/>
    <s v="Rolling"/>
    <s v="IN302679-38296183"/>
    <s v="NSE"/>
    <n v="0"/>
    <n v="0"/>
    <n v="0"/>
    <n v="0"/>
    <n v="0"/>
  </r>
  <r>
    <d v="2019-12-23T00:00:00"/>
    <x v="3"/>
    <x v="1"/>
    <n v="1000"/>
    <n v="147.5"/>
    <n v="147500"/>
    <s v="20191223N300016041"/>
    <n v="2019240"/>
    <s v="Rolling"/>
    <s v="IN302679-38296183"/>
    <s v="NSE"/>
    <n v="36.83"/>
    <n v="3.25"/>
    <n v="0"/>
    <n v="87.61"/>
    <n v="127.685"/>
  </r>
  <r>
    <d v="2019-12-23T00:00:00"/>
    <x v="4"/>
    <x v="1"/>
    <n v="5000"/>
    <n v="51.85"/>
    <n v="259250"/>
    <s v="20191223N300017561"/>
    <n v="2019240"/>
    <s v="Rolling"/>
    <s v="IN302679-38296183"/>
    <s v="NSE"/>
    <n v="256"/>
    <n v="5.7"/>
    <n v="0"/>
    <n v="153.97999999999999"/>
    <n v="415.68360000000001"/>
  </r>
  <r>
    <d v="2019-12-23T00:00:00"/>
    <x v="4"/>
    <x v="0"/>
    <n v="5000"/>
    <n v="51.5"/>
    <n v="257500"/>
    <s v="20191223N300018688"/>
    <n v="2019240"/>
    <s v="Rolling"/>
    <s v="IN302679-38296183"/>
    <s v="NSE"/>
    <n v="0"/>
    <n v="5.67"/>
    <n v="0"/>
    <n v="152.94"/>
    <n v="158.60499999999999"/>
  </r>
  <r>
    <d v="2019-12-23T00:00:00"/>
    <x v="3"/>
    <x v="0"/>
    <n v="1000"/>
    <n v="146.97999999999999"/>
    <n v="146979.35"/>
    <s v="20191223N300018770"/>
    <n v="2019240"/>
    <s v="Rolling"/>
    <s v="IN302679-38296183"/>
    <s v="NSE"/>
    <n v="0"/>
    <n v="3.23"/>
    <n v="0"/>
    <n v="87.3"/>
    <n v="90.533799999999999"/>
  </r>
  <r>
    <d v="2019-12-23T00:00:00"/>
    <x v="5"/>
    <x v="1"/>
    <n v="1000"/>
    <n v="288.10000000000002"/>
    <n v="288100"/>
    <s v="20191223N300021215"/>
    <n v="2019240"/>
    <s v="Rolling"/>
    <s v="IN302679-38296183"/>
    <s v="NSE"/>
    <n v="71.760000000000005"/>
    <n v="6.34"/>
    <n v="0"/>
    <n v="171.12"/>
    <n v="249.2182"/>
  </r>
  <r>
    <d v="2019-12-23T00:00:00"/>
    <x v="3"/>
    <x v="1"/>
    <n v="1000"/>
    <n v="146.84"/>
    <n v="146837.15"/>
    <s v="20191223N300021694"/>
    <n v="2019240"/>
    <s v="Rolling"/>
    <s v="IN302679-38296183"/>
    <s v="NSE"/>
    <n v="36.83"/>
    <n v="3.23"/>
    <n v="0"/>
    <n v="87.22"/>
    <n v="127.2804"/>
  </r>
  <r>
    <d v="2019-12-23T00:00:00"/>
    <x v="6"/>
    <x v="0"/>
    <n v="200"/>
    <n v="20"/>
    <n v="4000"/>
    <s v="20191223N300022894"/>
    <n v="2019240"/>
    <s v="Rolling"/>
    <s v="IN302679-38296183"/>
    <s v="NSE"/>
    <n v="4"/>
    <n v="0.09"/>
    <n v="0"/>
    <n v="41.32"/>
    <n v="45.408000000000001"/>
  </r>
  <r>
    <d v="2019-12-23T00:00:00"/>
    <x v="7"/>
    <x v="1"/>
    <n v="1000"/>
    <n v="298.55"/>
    <n v="298550"/>
    <s v="20191223N300023162"/>
    <n v="2019240"/>
    <s v="Rolling"/>
    <s v="IN302679-38296183"/>
    <s v="NSE"/>
    <n v="74.349999999999994"/>
    <n v="6.57"/>
    <n v="0"/>
    <n v="177.32"/>
    <n v="258.23820000000001"/>
  </r>
  <r>
    <d v="2019-12-23T00:00:00"/>
    <x v="7"/>
    <x v="1"/>
    <n v="1000"/>
    <n v="299"/>
    <n v="299000"/>
    <s v="20191223N300023172"/>
    <n v="2019240"/>
    <s v="Rolling"/>
    <s v="IN302679-38296183"/>
    <s v="NSE"/>
    <n v="74.069999999999993"/>
    <n v="6.58"/>
    <n v="138"/>
    <n v="177.59"/>
    <n v="396.23809999999997"/>
  </r>
  <r>
    <d v="2019-12-23T00:00:00"/>
    <x v="7"/>
    <x v="0"/>
    <n v="2000"/>
    <n v="296"/>
    <n v="592000"/>
    <s v="20191223N300023206"/>
    <n v="2019240"/>
    <s v="Rolling"/>
    <s v="IN302679-38296183"/>
    <s v="NSE"/>
    <n v="0"/>
    <n v="13.02"/>
    <n v="0"/>
    <n v="351.62"/>
    <n v="364.64400000000001"/>
  </r>
  <r>
    <d v="2019-12-23T00:00:00"/>
    <x v="1"/>
    <x v="0"/>
    <n v="1000"/>
    <n v="295.25"/>
    <n v="295250"/>
    <s v="20191223N300023943"/>
    <n v="2019240"/>
    <s v="Rolling"/>
    <s v="IN302679-38296183"/>
    <s v="NSE"/>
    <n v="0"/>
    <n v="6.5"/>
    <n v="0"/>
    <n v="175.36"/>
    <n v="181.85550000000001"/>
  </r>
  <r>
    <d v="2019-12-23T00:00:00"/>
    <x v="5"/>
    <x v="0"/>
    <n v="1000"/>
    <n v="286"/>
    <n v="286000"/>
    <s v="20191223N300024045"/>
    <n v="2019240"/>
    <s v="Rolling"/>
    <s v="IN302679-38296183"/>
    <s v="NSE"/>
    <n v="0"/>
    <n v="6.29"/>
    <n v="0"/>
    <n v="169.87"/>
    <n v="176.16200000000001"/>
  </r>
  <r>
    <d v="2019-12-23T00:00:00"/>
    <x v="1"/>
    <x v="0"/>
    <n v="1500"/>
    <n v="293.42"/>
    <n v="440134.85"/>
    <s v="20191223N300029740"/>
    <n v="2019240"/>
    <s v="Rolling"/>
    <s v="IN302679-38296183"/>
    <s v="NSE"/>
    <n v="0"/>
    <n v="9.68"/>
    <n v="0"/>
    <n v="261.42"/>
    <n v="271.10309999999998"/>
  </r>
  <r>
    <d v="2019-12-23T00:00:00"/>
    <x v="1"/>
    <x v="1"/>
    <n v="2500"/>
    <n v="295.17"/>
    <n v="737924.15"/>
    <s v="20191223N300031177"/>
    <n v="2019240"/>
    <s v="Rolling"/>
    <s v="IN302679-38296183"/>
    <s v="NSE"/>
    <n v="184.16"/>
    <n v="16.23"/>
    <n v="0"/>
    <n v="438.3"/>
    <n v="638.69439999999997"/>
  </r>
  <r>
    <d v="2019-12-23T00:00:00"/>
    <x v="3"/>
    <x v="0"/>
    <n v="1000"/>
    <n v="147.94999999999999"/>
    <n v="147950"/>
    <s v="20191223N300031247"/>
    <n v="2019240"/>
    <s v="Rolling"/>
    <s v="IN302679-38296183"/>
    <s v="NSE"/>
    <n v="0"/>
    <n v="3.25"/>
    <n v="0"/>
    <n v="87.88"/>
    <n v="91.134900000000002"/>
  </r>
  <r>
    <d v="2019-12-23T00:00:00"/>
    <x v="4"/>
    <x v="1"/>
    <n v="5000"/>
    <n v="50.25"/>
    <n v="251250"/>
    <s v="20191223N900017818"/>
    <n v="2019240"/>
    <s v="Rolling"/>
    <s v="-"/>
    <s v="NSE"/>
    <n v="64"/>
    <n v="5.53"/>
    <n v="0"/>
    <n v="1631.6"/>
    <n v="1701.1276"/>
  </r>
  <r>
    <d v="2019-12-19T00:00:00"/>
    <x v="8"/>
    <x v="1"/>
    <n v="1000"/>
    <n v="146.5"/>
    <n v="146500"/>
    <s v="20191219N300015599"/>
    <n v="2019238"/>
    <s v="Rolling"/>
    <s v="IN302679-38296183"/>
    <s v="NSE"/>
    <n v="36.31"/>
    <n v="3.22"/>
    <n v="0"/>
    <n v="87.02"/>
    <n v="126.5528"/>
  </r>
  <r>
    <d v="2019-12-19T00:00:00"/>
    <x v="8"/>
    <x v="0"/>
    <n v="1000"/>
    <n v="144"/>
    <n v="144000"/>
    <s v="20191219N300016088"/>
    <n v="2019238"/>
    <s v="Rolling"/>
    <s v="IN302679-38296183"/>
    <s v="NSE"/>
    <n v="0"/>
    <n v="3.17"/>
    <n v="0"/>
    <n v="85.53"/>
    <n v="88.697900000000004"/>
  </r>
  <r>
    <d v="2019-12-19T00:00:00"/>
    <x v="9"/>
    <x v="0"/>
    <n v="1000"/>
    <n v="327"/>
    <n v="327000"/>
    <s v="20191219N300021468"/>
    <n v="2019238"/>
    <s v="Rolling"/>
    <s v="IN302679-38296183"/>
    <s v="NSE"/>
    <n v="0"/>
    <n v="7.19"/>
    <n v="46.8"/>
    <n v="194.22"/>
    <n v="248.2141"/>
  </r>
  <r>
    <d v="2019-12-19T00:00:00"/>
    <x v="9"/>
    <x v="0"/>
    <n v="500"/>
    <n v="326.91000000000003"/>
    <n v="163454.6"/>
    <s v="20191219N300022014"/>
    <n v="2019238"/>
    <s v="Rolling"/>
    <s v="IN302679-38296183"/>
    <s v="NSE"/>
    <n v="0"/>
    <n v="3.6"/>
    <n v="0"/>
    <n v="97.09"/>
    <n v="100.6861"/>
  </r>
  <r>
    <d v="2019-12-19T00:00:00"/>
    <x v="9"/>
    <x v="1"/>
    <n v="1500"/>
    <n v="328.1"/>
    <n v="492150"/>
    <s v="20191219N300022230"/>
    <n v="2019238"/>
    <s v="Rolling"/>
    <s v="IN302679-38296183"/>
    <s v="NSE"/>
    <n v="122.83"/>
    <n v="10.83"/>
    <n v="0"/>
    <n v="292.32"/>
    <n v="425.97739999999999"/>
  </r>
  <r>
    <d v="2019-12-19T00:00:00"/>
    <x v="10"/>
    <x v="0"/>
    <n v="10"/>
    <n v="2208.9499999999998"/>
    <n v="22089.5"/>
    <s v="20191219N300023845"/>
    <n v="2019238"/>
    <s v="Rolling"/>
    <s v="IN302679-38296183"/>
    <s v="NSE"/>
    <n v="0"/>
    <n v="0.49"/>
    <n v="0"/>
    <n v="29.59"/>
    <n v="30.076000000000001"/>
  </r>
  <r>
    <d v="2019-12-19T00:00:00"/>
    <x v="4"/>
    <x v="0"/>
    <n v="5000"/>
    <n v="48.45"/>
    <n v="242250"/>
    <s v="20191219N300028460"/>
    <n v="2019238"/>
    <s v="Rolling"/>
    <s v="-"/>
    <s v="NSE"/>
    <n v="242.32"/>
    <n v="5.33"/>
    <n v="0"/>
    <n v="1573.15"/>
    <n v="1820.7997"/>
  </r>
  <r>
    <d v="2019-12-19T00:00:00"/>
    <x v="10"/>
    <x v="1"/>
    <n v="10"/>
    <n v="2227.15"/>
    <n v="22271.5"/>
    <s v="20191219N300030619"/>
    <n v="2019238"/>
    <s v="Rolling"/>
    <s v="IN302679-38296183"/>
    <s v="NSE"/>
    <n v="5.55"/>
    <n v="0.49"/>
    <n v="0"/>
    <n v="29.59"/>
    <n v="35.630000000000003"/>
  </r>
  <r>
    <d v="2019-12-18T00:00:00"/>
    <x v="11"/>
    <x v="1"/>
    <n v="2500"/>
    <n v="257.5"/>
    <n v="643750"/>
    <s v="20191218N300015716"/>
    <n v="2019237"/>
    <s v="Rolling"/>
    <s v="IN302679-38296183"/>
    <s v="NSE"/>
    <n v="163.62"/>
    <n v="14.16"/>
    <n v="0"/>
    <n v="382.36"/>
    <n v="560.14260000000002"/>
  </r>
  <r>
    <d v="2019-12-18T00:00:00"/>
    <x v="11"/>
    <x v="0"/>
    <n v="1036"/>
    <n v="260.93"/>
    <n v="270322.40000000002"/>
    <s v="20191218N300017034"/>
    <n v="2019237"/>
    <s v="Rolling"/>
    <s v="IN302679-38296183"/>
    <s v="NSE"/>
    <n v="0"/>
    <n v="5.95"/>
    <n v="70.8"/>
    <n v="160.56"/>
    <n v="237.30709999999999"/>
  </r>
  <r>
    <d v="2019-12-18T00:00:00"/>
    <x v="11"/>
    <x v="1"/>
    <n v="1000"/>
    <n v="263"/>
    <n v="263000"/>
    <s v="20191218N300018267"/>
    <n v="2019237"/>
    <s v="Rolling"/>
    <s v="IN302679-38296183"/>
    <s v="NSE"/>
    <n v="65.94"/>
    <n v="5.79"/>
    <n v="0"/>
    <n v="156.21"/>
    <n v="227.93600000000001"/>
  </r>
  <r>
    <d v="2019-12-18T00:00:00"/>
    <x v="11"/>
    <x v="1"/>
    <n v="1000"/>
    <n v="262.5"/>
    <n v="262500"/>
    <s v="20191218N300020799"/>
    <n v="2019237"/>
    <s v="Rolling"/>
    <s v="IN302679-38296183"/>
    <s v="NSE"/>
    <n v="65.45"/>
    <n v="5.78"/>
    <n v="0"/>
    <n v="155.91"/>
    <n v="227.13499999999999"/>
  </r>
  <r>
    <d v="2019-12-18T00:00:00"/>
    <x v="11"/>
    <x v="0"/>
    <n v="1445"/>
    <n v="265.45"/>
    <n v="383575.25"/>
    <s v="20191218N300027081"/>
    <n v="2019237"/>
    <s v="Rolling"/>
    <s v="IN302679-38296183"/>
    <s v="NSE"/>
    <n v="0"/>
    <n v="8.44"/>
    <n v="0"/>
    <n v="227.82"/>
    <n v="236.2586"/>
  </r>
  <r>
    <d v="2019-12-18T00:00:00"/>
    <x v="11"/>
    <x v="0"/>
    <n v="2019"/>
    <n v="263.95"/>
    <n v="532915.05000000005"/>
    <s v="20191218N300032550"/>
    <n v="2019237"/>
    <s v="Rolling"/>
    <s v="IN302679-38296183"/>
    <s v="NSE"/>
    <n v="0"/>
    <n v="11.72"/>
    <n v="0"/>
    <n v="316.54000000000002"/>
    <n v="328.26409999999998"/>
  </r>
  <r>
    <d v="2019-12-17T00:00:00"/>
    <x v="11"/>
    <x v="0"/>
    <n v="2500"/>
    <n v="261"/>
    <n v="652500"/>
    <s v="20191217N300021604"/>
    <n v="2019236"/>
    <s v="Rolling"/>
    <s v="IN302679-38296183"/>
    <s v="NSE"/>
    <n v="0"/>
    <n v="14.36"/>
    <n v="0"/>
    <n v="387.56"/>
    <n v="401.91500000000002"/>
  </r>
  <r>
    <d v="2019-12-17T00:00:00"/>
    <x v="11"/>
    <x v="1"/>
    <n v="2500"/>
    <n v="258.89999999999998"/>
    <n v="647250"/>
    <s v="20191217N300028896"/>
    <n v="2019236"/>
    <s v="Rolling"/>
    <s v="IN302679-38296183"/>
    <s v="NSE"/>
    <n v="162"/>
    <n v="14.24"/>
    <n v="39"/>
    <n v="384.46"/>
    <n v="599.69939999999997"/>
  </r>
  <r>
    <d v="2019-12-16T00:00:00"/>
    <x v="7"/>
    <x v="1"/>
    <n v="2500"/>
    <n v="317.8"/>
    <n v="794511.75"/>
    <s v="20191216N300015908"/>
    <n v="2019235"/>
    <s v="Rolling"/>
    <s v="IN302679-38296183"/>
    <s v="NSE"/>
    <n v="196"/>
    <n v="17.48"/>
    <n v="47.1"/>
    <n v="471.92"/>
    <n v="732.49950000000001"/>
  </r>
  <r>
    <d v="2019-12-16T00:00:00"/>
    <x v="7"/>
    <x v="0"/>
    <n v="2500"/>
    <n v="309"/>
    <n v="772500"/>
    <s v="20191216N300016628"/>
    <n v="2019235"/>
    <s v="Rolling"/>
    <s v="IN302679-38296183"/>
    <s v="NSE"/>
    <n v="0"/>
    <n v="17"/>
    <n v="0"/>
    <n v="458.84"/>
    <n v="475.83569999999997"/>
  </r>
  <r>
    <d v="2019-12-13T00:00:00"/>
    <x v="12"/>
    <x v="0"/>
    <n v="2500"/>
    <n v="56.29"/>
    <n v="140714.79999999999"/>
    <s v="20191213N300015089"/>
    <n v="2019234"/>
    <s v="Rolling"/>
    <s v="IN302679-38296183"/>
    <s v="NSE"/>
    <n v="0"/>
    <n v="3.1"/>
    <n v="0"/>
    <n v="83.57"/>
    <n v="86.665800000000004"/>
  </r>
  <r>
    <d v="2019-12-13T00:00:00"/>
    <x v="7"/>
    <x v="0"/>
    <n v="500"/>
    <n v="297"/>
    <n v="148500"/>
    <s v="20191213N300016088"/>
    <n v="2019234"/>
    <s v="Rolling"/>
    <s v="IN302679-38296183"/>
    <s v="NSE"/>
    <n v="0"/>
    <n v="3.27"/>
    <n v="0"/>
    <n v="88.21"/>
    <n v="91.477000000000004"/>
  </r>
  <r>
    <d v="2019-12-13T00:00:00"/>
    <x v="7"/>
    <x v="1"/>
    <n v="500"/>
    <n v="299.5"/>
    <n v="149750"/>
    <s v="20191213N300016517"/>
    <n v="2019234"/>
    <s v="Rolling"/>
    <s v="IN302679-38296183"/>
    <s v="NSE"/>
    <n v="38.020000000000003"/>
    <n v="3.29"/>
    <n v="0"/>
    <n v="88.95"/>
    <n v="130.2646"/>
  </r>
  <r>
    <d v="2019-12-13T00:00:00"/>
    <x v="12"/>
    <x v="0"/>
    <n v="2500"/>
    <n v="56.3"/>
    <n v="140746.35"/>
    <s v="20191213N300017234"/>
    <n v="2019234"/>
    <s v="Rolling"/>
    <s v="IN302679-38296183"/>
    <s v="NSE"/>
    <n v="0"/>
    <n v="3.1"/>
    <n v="0"/>
    <n v="83.6"/>
    <n v="86.696299999999994"/>
  </r>
  <r>
    <d v="2019-12-13T00:00:00"/>
    <x v="7"/>
    <x v="1"/>
    <n v="2500"/>
    <n v="298"/>
    <n v="745000"/>
    <s v="20191213N300018749"/>
    <n v="2019234"/>
    <s v="Rolling"/>
    <s v="IN302679-38296183"/>
    <s v="NSE"/>
    <n v="190.18"/>
    <n v="16.39"/>
    <n v="0"/>
    <n v="442.5"/>
    <n v="649.07000000000005"/>
  </r>
  <r>
    <d v="2019-12-13T00:00:00"/>
    <x v="7"/>
    <x v="0"/>
    <n v="2500"/>
    <n v="304.5"/>
    <n v="761250"/>
    <s v="20191213N300021686"/>
    <n v="2019234"/>
    <s v="Rolling"/>
    <s v="IN302679-38296183"/>
    <s v="NSE"/>
    <n v="0"/>
    <n v="16.75"/>
    <n v="0"/>
    <n v="452.15"/>
    <n v="468.89769999999999"/>
  </r>
  <r>
    <d v="2019-12-13T00:00:00"/>
    <x v="7"/>
    <x v="1"/>
    <n v="2500"/>
    <n v="303.81"/>
    <n v="759533"/>
    <s v="20191213N300021901"/>
    <n v="2019234"/>
    <s v="Rolling"/>
    <s v="IN302679-38296183"/>
    <s v="NSE"/>
    <n v="190.09"/>
    <n v="16.71"/>
    <n v="0"/>
    <n v="451.15"/>
    <n v="657.95"/>
  </r>
  <r>
    <d v="2019-12-13T00:00:00"/>
    <x v="7"/>
    <x v="0"/>
    <n v="2500"/>
    <n v="306.26"/>
    <n v="765642.65"/>
    <s v="20191213N300022753"/>
    <n v="2019234"/>
    <s v="Rolling"/>
    <s v="IN302679-38296183"/>
    <s v="NSE"/>
    <n v="0"/>
    <n v="16.84"/>
    <n v="163.19999999999999"/>
    <n v="454.76"/>
    <n v="634.80409999999995"/>
  </r>
  <r>
    <d v="2019-12-13T00:00:00"/>
    <x v="7"/>
    <x v="0"/>
    <n v="2500"/>
    <n v="305.64999999999998"/>
    <n v="764136.25"/>
    <s v="20191213N300022929"/>
    <n v="2019234"/>
    <s v="Rolling"/>
    <s v="IN302679-38296183"/>
    <s v="NSE"/>
    <n v="0"/>
    <n v="16.809999999999999"/>
    <n v="0"/>
    <n v="453.88"/>
    <n v="470.69110000000001"/>
  </r>
  <r>
    <d v="2019-12-13T00:00:00"/>
    <x v="7"/>
    <x v="1"/>
    <n v="2500"/>
    <n v="309"/>
    <n v="772500"/>
    <s v="20191213N300022946"/>
    <n v="2019234"/>
    <s v="Rolling"/>
    <s v="IN302679-38296183"/>
    <s v="NSE"/>
    <n v="190.09"/>
    <n v="17"/>
    <n v="0"/>
    <n v="458.84"/>
    <n v="665.92520000000002"/>
  </r>
  <r>
    <d v="2019-12-13T00:00:00"/>
    <x v="12"/>
    <x v="1"/>
    <n v="5000"/>
    <n v="56.7"/>
    <n v="283477.25"/>
    <s v="20191213N300033546"/>
    <n v="2019234"/>
    <s v="Rolling"/>
    <s v="IN302679-38296183"/>
    <s v="NSE"/>
    <n v="70.62"/>
    <n v="6.24"/>
    <n v="0"/>
    <n v="168.37"/>
    <n v="245.22659999999999"/>
  </r>
  <r>
    <d v="2019-12-09T00:00:00"/>
    <x v="9"/>
    <x v="0"/>
    <n v="2500"/>
    <n v="318.05"/>
    <n v="795125"/>
    <s v="20191209N300017237"/>
    <n v="2019230"/>
    <s v="Rolling"/>
    <s v="IN302679-38296183"/>
    <s v="NSE"/>
    <n v="0"/>
    <n v="17.489999999999998"/>
    <n v="0"/>
    <n v="472.28"/>
    <n v="489.77269999999999"/>
  </r>
  <r>
    <d v="2019-12-09T00:00:00"/>
    <x v="9"/>
    <x v="1"/>
    <n v="2500"/>
    <n v="320"/>
    <n v="800000"/>
    <s v="20191209N300018786"/>
    <n v="2019230"/>
    <s v="Rolling"/>
    <s v="IN302679-38296183"/>
    <s v="NSE"/>
    <n v="199.39"/>
    <n v="17.600000000000001"/>
    <n v="0"/>
    <n v="475.17"/>
    <n v="692.15980000000002"/>
  </r>
  <r>
    <d v="2019-12-09T00:00:00"/>
    <x v="12"/>
    <x v="1"/>
    <n v="1000"/>
    <n v="61.5"/>
    <n v="61500"/>
    <s v="20191209N300019686"/>
    <n v="2019230"/>
    <s v="Rolling"/>
    <s v="-"/>
    <s v="NSE"/>
    <n v="14.63"/>
    <n v="1.35"/>
    <n v="0"/>
    <n v="0.24"/>
    <n v="16.222999999999999"/>
  </r>
  <r>
    <d v="2019-12-09T00:00:00"/>
    <x v="12"/>
    <x v="0"/>
    <n v="701"/>
    <n v="61"/>
    <n v="42761"/>
    <s v="20191209N300022409"/>
    <n v="2019230"/>
    <s v="Rolling"/>
    <s v="-"/>
    <s v="NSE"/>
    <n v="0"/>
    <n v="0.94"/>
    <n v="53.4"/>
    <n v="277.69"/>
    <n v="332.0308"/>
  </r>
  <r>
    <d v="2019-12-09T00:00:00"/>
    <x v="12"/>
    <x v="0"/>
    <n v="699"/>
    <n v="58.94"/>
    <n v="41200.949999999997"/>
    <s v="20191209N300032504"/>
    <n v="2019230"/>
    <s v="Rolling"/>
    <s v="-"/>
    <s v="NSE"/>
    <n v="23.99"/>
    <n v="0.91"/>
    <n v="0"/>
    <n v="267.55"/>
    <n v="292.44630000000001"/>
  </r>
  <r>
    <d v="2019-12-09T00:00:00"/>
    <x v="12"/>
    <x v="0"/>
    <n v="100"/>
    <n v="58.45"/>
    <n v="5845"/>
    <s v="20191209N300032992"/>
    <n v="2019230"/>
    <s v="Rolling"/>
    <s v="-"/>
    <s v="NSE"/>
    <n v="6"/>
    <n v="0.13"/>
    <n v="0"/>
    <n v="41.32"/>
    <n v="47.448599999999999"/>
  </r>
  <r>
    <d v="2019-12-09T00:00:00"/>
    <x v="12"/>
    <x v="0"/>
    <n v="500"/>
    <n v="57.25"/>
    <n v="28625"/>
    <s v="20191209N300033105"/>
    <n v="2019230"/>
    <s v="Rolling"/>
    <s v="-"/>
    <s v="NSE"/>
    <n v="29.99"/>
    <n v="0.63"/>
    <n v="0"/>
    <n v="185.89"/>
    <n v="216.50970000000001"/>
  </r>
  <r>
    <d v="2019-12-06T00:00:00"/>
    <x v="13"/>
    <x v="0"/>
    <n v="5000"/>
    <n v="1.2"/>
    <n v="6000"/>
    <s v="20191206N300025458"/>
    <n v="2019229"/>
    <s v="Rolling"/>
    <s v="IN302679-38296183"/>
    <s v="NSE"/>
    <n v="6"/>
    <n v="0.13"/>
    <n v="0.3"/>
    <n v="295.02"/>
    <n v="301.452"/>
  </r>
  <r>
    <d v="2019-12-05T00:00:00"/>
    <x v="0"/>
    <x v="0"/>
    <n v="500"/>
    <n v="457.69"/>
    <n v="228843.25"/>
    <s v="20191205N300015893"/>
    <n v="2019228"/>
    <s v="Rolling"/>
    <s v="IN302679-38296183"/>
    <s v="NSE"/>
    <n v="0"/>
    <n v="5.03"/>
    <n v="0"/>
    <n v="135.94"/>
    <n v="140.97470000000001"/>
  </r>
  <r>
    <d v="2019-12-05T00:00:00"/>
    <x v="0"/>
    <x v="0"/>
    <n v="500"/>
    <n v="453.45"/>
    <n v="226725"/>
    <s v="20191205N300016078"/>
    <n v="2019228"/>
    <s v="Rolling"/>
    <s v="IN302679-38296183"/>
    <s v="NSE"/>
    <n v="0"/>
    <n v="4.99"/>
    <n v="0"/>
    <n v="134.66999999999999"/>
    <n v="139.65790000000001"/>
  </r>
  <r>
    <d v="2019-12-05T00:00:00"/>
    <x v="0"/>
    <x v="1"/>
    <n v="392"/>
    <n v="449.69"/>
    <n v="176276.55"/>
    <s v="20191205N300017667"/>
    <n v="2019228"/>
    <s v="Rolling"/>
    <s v="IN302679-38296183"/>
    <s v="NSE"/>
    <n v="44.17"/>
    <n v="3.88"/>
    <n v="0"/>
    <n v="104.71"/>
    <n v="152.75800000000001"/>
  </r>
  <r>
    <d v="2019-12-05T00:00:00"/>
    <x v="0"/>
    <x v="0"/>
    <n v="500"/>
    <n v="450"/>
    <n v="225000"/>
    <s v="20191205N300017952"/>
    <n v="2019228"/>
    <s v="Rolling"/>
    <s v="IN302679-38296183"/>
    <s v="NSE"/>
    <n v="0"/>
    <n v="4.95"/>
    <n v="0"/>
    <n v="133.63999999999999"/>
    <n v="138.59"/>
  </r>
  <r>
    <d v="2019-12-05T00:00:00"/>
    <x v="0"/>
    <x v="0"/>
    <n v="250"/>
    <n v="451.3"/>
    <n v="112825"/>
    <s v="20191205N300022185"/>
    <n v="2019228"/>
    <s v="Rolling"/>
    <s v="IN302679-38296183"/>
    <s v="NSE"/>
    <n v="0"/>
    <n v="2.48"/>
    <n v="0"/>
    <n v="67.010000000000005"/>
    <n v="69.492099999999994"/>
  </r>
  <r>
    <d v="2019-12-05T00:00:00"/>
    <x v="0"/>
    <x v="1"/>
    <n v="1358"/>
    <n v="450.91"/>
    <n v="612335.6"/>
    <s v="20191205N300027835"/>
    <n v="2019228"/>
    <s v="Rolling"/>
    <s v="IN302679-38296183"/>
    <s v="NSE"/>
    <n v="153.46"/>
    <n v="13.47"/>
    <n v="101.7"/>
    <n v="363.7"/>
    <n v="632.33140000000003"/>
  </r>
  <r>
    <d v="2019-12-05T00:00:00"/>
    <x v="0"/>
    <x v="1"/>
    <n v="2000"/>
    <n v="451.24"/>
    <n v="902482.9"/>
    <s v="20191205N300027876"/>
    <n v="2019228"/>
    <s v="Rolling"/>
    <s v="IN302679-38296183"/>
    <s v="NSE"/>
    <n v="225.37"/>
    <n v="19.850000000000001"/>
    <n v="0"/>
    <n v="536.04"/>
    <n v="781.26469999999995"/>
  </r>
  <r>
    <d v="2019-12-05T00:00:00"/>
    <x v="0"/>
    <x v="0"/>
    <n v="2000"/>
    <n v="448"/>
    <n v="896000"/>
    <s v="20191205N300030394"/>
    <n v="2019228"/>
    <s v="Rolling"/>
    <s v="IN302679-38296183"/>
    <s v="NSE"/>
    <n v="0"/>
    <n v="19.71"/>
    <n v="0"/>
    <n v="532.19000000000005"/>
    <n v="551.90200000000004"/>
  </r>
  <r>
    <d v="2019-12-04T00:00:00"/>
    <x v="9"/>
    <x v="0"/>
    <n v="250"/>
    <n v="337"/>
    <n v="84250"/>
    <s v="20191204N300032351"/>
    <n v="2019227"/>
    <s v="Rolling"/>
    <s v="IN302679-38296183"/>
    <s v="NSE"/>
    <n v="0"/>
    <n v="1.85"/>
    <n v="5.0999999999999996"/>
    <n v="50.05"/>
    <n v="57.003399999999999"/>
  </r>
  <r>
    <d v="2019-12-04T00:00:00"/>
    <x v="9"/>
    <x v="1"/>
    <n v="250"/>
    <n v="339.5"/>
    <n v="84875"/>
    <s v="20191204N300033171"/>
    <n v="2019227"/>
    <s v="Rolling"/>
    <s v="IN302679-38296183"/>
    <s v="NSE"/>
    <n v="21"/>
    <n v="1.87"/>
    <n v="0"/>
    <n v="50.41"/>
    <n v="73.277299999999997"/>
  </r>
  <r>
    <d v="2019-12-03T00:00:00"/>
    <x v="14"/>
    <x v="1"/>
    <n v="250"/>
    <n v="378.11"/>
    <n v="94527.5"/>
    <s v="20191203N300015814"/>
    <n v="2019226"/>
    <s v="Rolling"/>
    <s v="IN302679-38296183"/>
    <s v="NSE"/>
    <n v="23.46"/>
    <n v="2.08"/>
    <n v="0"/>
    <n v="56.14"/>
    <n v="81.679699999999997"/>
  </r>
  <r>
    <d v="2019-12-03T00:00:00"/>
    <x v="14"/>
    <x v="0"/>
    <n v="250"/>
    <n v="372.64"/>
    <n v="93161.2"/>
    <s v="20191203N300017223"/>
    <n v="2019226"/>
    <s v="Rolling"/>
    <s v="IN302679-38296183"/>
    <s v="NSE"/>
    <n v="0"/>
    <n v="2.0499999999999998"/>
    <n v="0"/>
    <n v="55.33"/>
    <n v="57.379399999999997"/>
  </r>
  <r>
    <d v="2019-12-03T00:00:00"/>
    <x v="9"/>
    <x v="1"/>
    <n v="250"/>
    <n v="342"/>
    <n v="85500"/>
    <s v="20191203N300018088"/>
    <n v="2019226"/>
    <s v="Rolling"/>
    <s v="IN302679-38296183"/>
    <s v="NSE"/>
    <n v="21.19"/>
    <n v="1.88"/>
    <n v="0"/>
    <n v="50.78"/>
    <n v="73.850999999999999"/>
  </r>
  <r>
    <d v="2019-12-03T00:00:00"/>
    <x v="9"/>
    <x v="0"/>
    <n v="250"/>
    <n v="336"/>
    <n v="84000"/>
    <s v="20191203N300025763"/>
    <n v="2019226"/>
    <s v="Rolling"/>
    <s v="IN302679-38296183"/>
    <s v="NSE"/>
    <n v="0"/>
    <n v="1.85"/>
    <n v="0"/>
    <n v="49.89"/>
    <n v="51.738"/>
  </r>
  <r>
    <d v="2019-12-03T00:00:00"/>
    <x v="12"/>
    <x v="0"/>
    <n v="1000"/>
    <n v="60.14"/>
    <n v="60142.35"/>
    <s v="20191203N300030994"/>
    <n v="2019226"/>
    <s v="Rolling"/>
    <s v="-"/>
    <s v="NSE"/>
    <n v="60.35"/>
    <n v="1.32"/>
    <n v="12.6"/>
    <n v="390.56"/>
    <n v="464.8331"/>
  </r>
  <r>
    <d v="2019-12-02T00:00:00"/>
    <x v="7"/>
    <x v="0"/>
    <n v="100"/>
    <n v="293.61"/>
    <n v="29361.45"/>
    <s v="20191202N300019964"/>
    <n v="2019225"/>
    <s v="Rolling"/>
    <s v="IN302679-38296183"/>
    <s v="NSE"/>
    <n v="0"/>
    <n v="0.65"/>
    <n v="0"/>
    <n v="29.61"/>
    <n v="30.2559"/>
  </r>
  <r>
    <d v="2019-12-02T00:00:00"/>
    <x v="7"/>
    <x v="0"/>
    <n v="100"/>
    <n v="284.39999999999998"/>
    <n v="28440"/>
    <s v="20191202N300020734"/>
    <n v="2019225"/>
    <s v="Rolling"/>
    <s v="IN302679-38296183"/>
    <s v="NSE"/>
    <n v="0"/>
    <n v="0.63"/>
    <n v="8.6999999999999993"/>
    <n v="29.62"/>
    <n v="38.945599999999999"/>
  </r>
  <r>
    <d v="2019-12-02T00:00:00"/>
    <x v="7"/>
    <x v="1"/>
    <n v="200"/>
    <n v="291.35000000000002"/>
    <n v="58270"/>
    <s v="20191202N300024158"/>
    <n v="2019225"/>
    <s v="Rolling"/>
    <s v="IN302679-38296183"/>
    <s v="NSE"/>
    <n v="14.88"/>
    <n v="1.28"/>
    <n v="0"/>
    <n v="34.61"/>
    <n v="50.771999999999998"/>
  </r>
  <r>
    <d v="2019-12-02T00:00:00"/>
    <x v="9"/>
    <x v="1"/>
    <n v="250"/>
    <n v="339"/>
    <n v="84750"/>
    <s v="20191202N300026943"/>
    <n v="2019225"/>
    <s v="Rolling"/>
    <s v="IN302679-38296183"/>
    <s v="NSE"/>
    <n v="21.13"/>
    <n v="1.86"/>
    <n v="0"/>
    <n v="50.34"/>
    <n v="73.334599999999995"/>
  </r>
  <r>
    <d v="2019-12-02T00:00:00"/>
    <x v="9"/>
    <x v="0"/>
    <n v="250"/>
    <n v="337"/>
    <n v="84250"/>
    <s v="20191202N300032768"/>
    <n v="2019225"/>
    <s v="Rolling"/>
    <s v="IN302679-38296183"/>
    <s v="NSE"/>
    <n v="0"/>
    <n v="1.85"/>
    <n v="0"/>
    <n v="50.04"/>
    <n v="51.893599999999999"/>
  </r>
  <r>
    <d v="2019-11-29T00:00:00"/>
    <x v="15"/>
    <x v="1"/>
    <n v="1000"/>
    <n v="91.1"/>
    <n v="91100"/>
    <s v="20191129N300017369"/>
    <n v="2019224"/>
    <s v="Rolling"/>
    <s v="IN302679-38296183"/>
    <s v="NSE"/>
    <n v="22.79"/>
    <n v="2"/>
    <n v="0"/>
    <n v="54.11"/>
    <n v="78.904200000000003"/>
  </r>
  <r>
    <d v="2019-11-29T00:00:00"/>
    <x v="7"/>
    <x v="0"/>
    <n v="200"/>
    <n v="364"/>
    <n v="72800"/>
    <s v="20191129N300025893"/>
    <n v="2019224"/>
    <s v="Rolling"/>
    <s v="IN302679-38296183"/>
    <s v="NSE"/>
    <n v="0"/>
    <n v="1.6"/>
    <n v="9.9"/>
    <n v="43.24"/>
    <n v="54.741599999999998"/>
  </r>
  <r>
    <d v="2019-11-29T00:00:00"/>
    <x v="7"/>
    <x v="1"/>
    <n v="200"/>
    <n v="364.25"/>
    <n v="72850"/>
    <s v="20191129N300027762"/>
    <n v="2019224"/>
    <s v="Rolling"/>
    <s v="IN302679-38296183"/>
    <s v="NSE"/>
    <n v="18.21"/>
    <n v="1.6"/>
    <n v="0"/>
    <n v="43.27"/>
    <n v="63.082700000000003"/>
  </r>
  <r>
    <d v="2019-11-29T00:00:00"/>
    <x v="15"/>
    <x v="0"/>
    <n v="1000"/>
    <n v="89"/>
    <n v="89000"/>
    <s v="20191129N300037610"/>
    <n v="2019224"/>
    <s v="Rolling"/>
    <s v="IN302679-38296183"/>
    <s v="NSE"/>
    <n v="0"/>
    <n v="1.96"/>
    <n v="0"/>
    <n v="52.86"/>
    <n v="54.817999999999998"/>
  </r>
  <r>
    <d v="2019-11-28T00:00:00"/>
    <x v="7"/>
    <x v="1"/>
    <n v="500"/>
    <n v="305.12"/>
    <n v="152560.35"/>
    <s v="20191128N300027150"/>
    <n v="2019223"/>
    <s v="Rolling"/>
    <s v="IN302679-38296183"/>
    <s v="NSE"/>
    <n v="38"/>
    <n v="3.36"/>
    <n v="9.3000000000000007"/>
    <n v="90.63"/>
    <n v="141.28639999999999"/>
  </r>
  <r>
    <d v="2019-11-28T00:00:00"/>
    <x v="7"/>
    <x v="0"/>
    <n v="500"/>
    <n v="298"/>
    <n v="149000"/>
    <s v="20191128N300032664"/>
    <n v="2019223"/>
    <s v="Rolling"/>
    <s v="IN302679-38296183"/>
    <s v="NSE"/>
    <n v="0"/>
    <n v="3.28"/>
    <n v="0"/>
    <n v="88.5"/>
    <n v="91.778000000000006"/>
  </r>
  <r>
    <d v="2019-11-27T00:00:00"/>
    <x v="5"/>
    <x v="0"/>
    <n v="700"/>
    <n v="273.27999999999997"/>
    <n v="191292.5"/>
    <s v="20191127N300017347"/>
    <n v="2019222"/>
    <s v="Rolling"/>
    <s v="IN302679-38296183"/>
    <s v="NSE"/>
    <n v="0"/>
    <n v="4.21"/>
    <n v="11.7"/>
    <n v="113.62"/>
    <n v="129.52850000000001"/>
  </r>
  <r>
    <d v="2019-11-27T00:00:00"/>
    <x v="5"/>
    <x v="1"/>
    <n v="700"/>
    <n v="276.89999999999998"/>
    <n v="193830"/>
    <s v="20191127N300022400"/>
    <n v="2019222"/>
    <s v="Rolling"/>
    <s v="IN302679-38296183"/>
    <s v="NSE"/>
    <n v="48"/>
    <n v="4.26"/>
    <n v="0"/>
    <n v="115.13"/>
    <n v="167.39420000000001"/>
  </r>
  <r>
    <d v="2019-11-26T00:00:00"/>
    <x v="6"/>
    <x v="0"/>
    <n v="100"/>
    <n v="22.1"/>
    <n v="2210"/>
    <s v="20191126N300023404"/>
    <n v="2019221"/>
    <s v="Rolling"/>
    <s v="IN302679-38296183"/>
    <s v="NSE"/>
    <n v="2.1"/>
    <n v="0.05"/>
    <n v="16.2"/>
    <n v="41.31"/>
    <n v="59.6586"/>
  </r>
  <r>
    <d v="2019-11-26T00:00:00"/>
    <x v="7"/>
    <x v="0"/>
    <n v="500"/>
    <n v="272.14999999999998"/>
    <n v="136075"/>
    <s v="20191126N300023852"/>
    <n v="2019221"/>
    <s v="Rolling"/>
    <s v="IN302679-38296183"/>
    <s v="NSE"/>
    <n v="0"/>
    <n v="2.99"/>
    <n v="0"/>
    <n v="80.819999999999993"/>
    <n v="83.813699999999997"/>
  </r>
  <r>
    <d v="2019-11-26T00:00:00"/>
    <x v="7"/>
    <x v="1"/>
    <n v="253"/>
    <n v="263.64"/>
    <n v="66701.149999999994"/>
    <s v="20191126N300026667"/>
    <n v="2019221"/>
    <s v="Rolling"/>
    <s v="IN302679-38296183"/>
    <s v="NSE"/>
    <n v="16.93"/>
    <n v="1.47"/>
    <n v="0"/>
    <n v="39.619999999999997"/>
    <n v="58.017400000000002"/>
  </r>
  <r>
    <d v="2019-11-26T00:00:00"/>
    <x v="7"/>
    <x v="1"/>
    <n v="247"/>
    <n v="265.45"/>
    <n v="65566.149999999994"/>
    <s v="20191126N300026812"/>
    <n v="2019221"/>
    <s v="Rolling"/>
    <s v="IN302679-38296183"/>
    <s v="NSE"/>
    <n v="16.52"/>
    <n v="1.44"/>
    <n v="0"/>
    <n v="38.94"/>
    <n v="56.9024"/>
  </r>
  <r>
    <d v="2019-11-26T00:00:00"/>
    <x v="7"/>
    <x v="1"/>
    <n v="500"/>
    <n v="267"/>
    <n v="133500"/>
    <s v="20191126N300027118"/>
    <n v="2019221"/>
    <s v="Rolling"/>
    <s v="IN302679-38296183"/>
    <s v="NSE"/>
    <n v="33.450000000000003"/>
    <n v="2.94"/>
    <n v="0"/>
    <n v="79.290000000000006"/>
    <n v="115.67700000000001"/>
  </r>
  <r>
    <d v="2019-11-26T00:00:00"/>
    <x v="7"/>
    <x v="0"/>
    <n v="500"/>
    <n v="266.7"/>
    <n v="133350"/>
    <s v="20191126N300028628"/>
    <n v="2019221"/>
    <s v="Rolling"/>
    <s v="IN302679-38296183"/>
    <s v="NSE"/>
    <n v="0"/>
    <n v="2.93"/>
    <n v="0"/>
    <n v="79.2"/>
    <n v="82.133799999999994"/>
  </r>
  <r>
    <d v="2019-11-25T00:00:00"/>
    <x v="16"/>
    <x v="0"/>
    <n v="100"/>
    <n v="454.5"/>
    <n v="45450"/>
    <s v="20191125N300017509"/>
    <n v="2019220"/>
    <s v="Rolling"/>
    <s v="IN302679-38296183"/>
    <s v="NSE"/>
    <n v="0"/>
    <n v="1"/>
    <n v="0"/>
    <n v="29.68"/>
    <n v="30.68"/>
  </r>
  <r>
    <d v="2019-11-25T00:00:00"/>
    <x v="16"/>
    <x v="1"/>
    <n v="100"/>
    <n v="460"/>
    <n v="46000"/>
    <s v="20191125N300017535"/>
    <n v="2019220"/>
    <s v="Rolling"/>
    <s v="IN302679-38296183"/>
    <s v="NSE"/>
    <n v="11.78"/>
    <n v="1.01"/>
    <n v="0"/>
    <n v="29.68"/>
    <n v="42.472000000000001"/>
  </r>
  <r>
    <d v="2019-11-25T00:00:00"/>
    <x v="16"/>
    <x v="1"/>
    <n v="250"/>
    <n v="458.6"/>
    <n v="114650"/>
    <s v="20191125N300021335"/>
    <n v="2019220"/>
    <s v="Rolling"/>
    <s v="IN302679-38296183"/>
    <s v="NSE"/>
    <n v="28.6"/>
    <n v="2.52"/>
    <n v="0"/>
    <n v="68.099999999999994"/>
    <n v="99.222399999999993"/>
  </r>
  <r>
    <d v="2019-11-25T00:00:00"/>
    <x v="16"/>
    <x v="0"/>
    <n v="250"/>
    <n v="457"/>
    <n v="114250"/>
    <s v="20191125N300021354"/>
    <n v="2019220"/>
    <s v="Rolling"/>
    <s v="IN302679-38296183"/>
    <s v="NSE"/>
    <n v="0"/>
    <n v="2.5099999999999998"/>
    <n v="0"/>
    <n v="67.86"/>
    <n v="70.373599999999996"/>
  </r>
  <r>
    <d v="2019-11-25T00:00:00"/>
    <x v="7"/>
    <x v="1"/>
    <n v="500"/>
    <n v="240"/>
    <n v="120000"/>
    <s v="20191125N300021936"/>
    <n v="2019220"/>
    <s v="Rolling"/>
    <s v="IN302679-38296183"/>
    <s v="NSE"/>
    <n v="32.049999999999997"/>
    <n v="2.64"/>
    <n v="0"/>
    <n v="71.28"/>
    <n v="105.97"/>
  </r>
  <r>
    <d v="2019-11-25T00:00:00"/>
    <x v="7"/>
    <x v="0"/>
    <n v="500"/>
    <n v="252.47"/>
    <n v="126234.3"/>
    <s v="20191125N300028042"/>
    <n v="2019220"/>
    <s v="Rolling"/>
    <s v="IN302679-38296183"/>
    <s v="NSE"/>
    <n v="0"/>
    <n v="2.78"/>
    <n v="102"/>
    <n v="74.98"/>
    <n v="179.75710000000001"/>
  </r>
  <r>
    <d v="2019-11-25T00:00:00"/>
    <x v="7"/>
    <x v="0"/>
    <n v="500"/>
    <n v="253.3"/>
    <n v="126650"/>
    <s v="20191125N300032780"/>
    <n v="2019220"/>
    <s v="Rolling"/>
    <s v="IN302679-38296183"/>
    <s v="NSE"/>
    <n v="0"/>
    <n v="2.79"/>
    <n v="0"/>
    <n v="75.22"/>
    <n v="78.006299999999996"/>
  </r>
  <r>
    <d v="2019-11-25T00:00:00"/>
    <x v="7"/>
    <x v="0"/>
    <n v="5000"/>
    <n v="255.91"/>
    <n v="1279537.8500000001"/>
    <s v="20191125N300034016"/>
    <n v="2019220"/>
    <s v="Rolling"/>
    <s v="IN302679-38296183"/>
    <s v="NSE"/>
    <n v="0"/>
    <n v="28.15"/>
    <n v="0"/>
    <n v="759.99"/>
    <n v="788.14"/>
  </r>
  <r>
    <d v="2019-11-25T00:00:00"/>
    <x v="7"/>
    <x v="1"/>
    <n v="5500"/>
    <n v="259"/>
    <n v="1424500"/>
    <s v="20191125N300034244"/>
    <n v="2019220"/>
    <s v="Rolling"/>
    <s v="IN302679-38296183"/>
    <s v="NSE"/>
    <n v="352.56"/>
    <n v="31.34"/>
    <n v="0"/>
    <n v="846.09"/>
    <n v="1229.989"/>
  </r>
  <r>
    <d v="2019-11-22T00:00:00"/>
    <x v="16"/>
    <x v="0"/>
    <n v="500"/>
    <n v="456.5"/>
    <n v="228250"/>
    <s v="20191122N300017416"/>
    <n v="2019219"/>
    <s v="Rolling"/>
    <s v="IN302679-38296183"/>
    <s v="NSE"/>
    <n v="0"/>
    <n v="5.0199999999999996"/>
    <n v="0"/>
    <n v="135.57"/>
    <n v="140.5916"/>
  </r>
  <r>
    <d v="2019-11-22T00:00:00"/>
    <x v="16"/>
    <x v="1"/>
    <n v="500"/>
    <n v="461"/>
    <n v="230500"/>
    <s v="20191122N300017454"/>
    <n v="2019219"/>
    <s v="Rolling"/>
    <s v="IN302679-38296183"/>
    <s v="NSE"/>
    <n v="56.92"/>
    <n v="5.07"/>
    <n v="0"/>
    <n v="136.91"/>
    <n v="198.90100000000001"/>
  </r>
  <r>
    <d v="2019-11-22T00:00:00"/>
    <x v="16"/>
    <x v="0"/>
    <n v="100"/>
    <n v="455.99"/>
    <n v="45599.3"/>
    <s v="20191122N300019276"/>
    <n v="2019219"/>
    <s v="Rolling"/>
    <s v="IN302679-38296183"/>
    <s v="NSE"/>
    <n v="0"/>
    <n v="1"/>
    <n v="0"/>
    <n v="29.67"/>
    <n v="30.673300000000001"/>
  </r>
  <r>
    <d v="2019-11-22T00:00:00"/>
    <x v="5"/>
    <x v="0"/>
    <n v="250"/>
    <n v="256"/>
    <n v="64000"/>
    <s v="20191122N300020111"/>
    <n v="2019219"/>
    <s v="Rolling"/>
    <s v="IN302679-38296183"/>
    <s v="NSE"/>
    <n v="0"/>
    <n v="1.41"/>
    <n v="0"/>
    <n v="38.020000000000003"/>
    <n v="39.427999999999997"/>
  </r>
  <r>
    <d v="2019-11-22T00:00:00"/>
    <x v="5"/>
    <x v="1"/>
    <n v="250"/>
    <n v="257"/>
    <n v="64250"/>
    <s v="20191122N300021778"/>
    <n v="2019219"/>
    <s v="Rolling"/>
    <s v="IN302679-38296183"/>
    <s v="NSE"/>
    <n v="16.170000000000002"/>
    <n v="1.41"/>
    <n v="31.2"/>
    <n v="38.159999999999997"/>
    <n v="86.9435"/>
  </r>
  <r>
    <d v="2019-11-22T00:00:00"/>
    <x v="16"/>
    <x v="0"/>
    <n v="100"/>
    <n v="453"/>
    <n v="45300"/>
    <s v="20191122N300021845"/>
    <n v="2019219"/>
    <s v="Rolling"/>
    <s v="IN302679-38296183"/>
    <s v="NSE"/>
    <n v="0"/>
    <n v="1"/>
    <n v="0"/>
    <n v="29.68"/>
    <n v="30.676600000000001"/>
  </r>
  <r>
    <d v="2019-11-22T00:00:00"/>
    <x v="16"/>
    <x v="0"/>
    <n v="100"/>
    <n v="452"/>
    <n v="45200"/>
    <s v="20191122N300024107"/>
    <n v="2019219"/>
    <s v="Rolling"/>
    <s v="IN302679-38296183"/>
    <s v="NSE"/>
    <n v="0"/>
    <n v="0.99"/>
    <n v="0"/>
    <n v="29.68"/>
    <n v="30.674399999999999"/>
  </r>
  <r>
    <d v="2019-11-22T00:00:00"/>
    <x v="16"/>
    <x v="0"/>
    <n v="200"/>
    <n v="448"/>
    <n v="89600"/>
    <s v="20191122N300026761"/>
    <n v="2019219"/>
    <s v="Rolling"/>
    <s v="IN302679-38296183"/>
    <s v="NSE"/>
    <n v="0"/>
    <n v="1.97"/>
    <n v="0"/>
    <n v="53.22"/>
    <n v="55.191200000000002"/>
  </r>
  <r>
    <d v="2019-11-22T00:00:00"/>
    <x v="16"/>
    <x v="1"/>
    <n v="500"/>
    <n v="452.4"/>
    <n v="226200"/>
    <s v="20191122N300030918"/>
    <n v="2019219"/>
    <s v="Rolling"/>
    <s v="IN302679-38296183"/>
    <s v="NSE"/>
    <n v="56.92"/>
    <n v="4.9800000000000004"/>
    <n v="0"/>
    <n v="134.36000000000001"/>
    <n v="196.25649999999999"/>
  </r>
  <r>
    <d v="2019-11-21T00:00:00"/>
    <x v="14"/>
    <x v="0"/>
    <n v="250"/>
    <n v="340.7"/>
    <n v="85175"/>
    <s v="20191121N300025681"/>
    <n v="2019218"/>
    <s v="Rolling"/>
    <s v="IN302679-38296183"/>
    <s v="NSE"/>
    <n v="0"/>
    <n v="1.87"/>
    <n v="0"/>
    <n v="50.58"/>
    <n v="52.453899999999997"/>
  </r>
  <r>
    <d v="2019-11-21T00:00:00"/>
    <x v="14"/>
    <x v="1"/>
    <n v="250"/>
    <n v="342"/>
    <n v="85500"/>
    <s v="20191121N300031468"/>
    <n v="2019218"/>
    <s v="Rolling"/>
    <s v="IN302679-38296183"/>
    <s v="NSE"/>
    <n v="21"/>
    <n v="1.88"/>
    <n v="5.4"/>
    <n v="50.78"/>
    <n v="79.061000000000007"/>
  </r>
  <r>
    <d v="2019-11-20T00:00:00"/>
    <x v="17"/>
    <x v="1"/>
    <n v="1000"/>
    <n v="7.5"/>
    <n v="7500"/>
    <s v="20191120N300016644"/>
    <n v="2019217"/>
    <s v="Rolling"/>
    <s v="IN302679-38296183"/>
    <s v="NSE"/>
    <n v="8"/>
    <n v="0.17"/>
    <n v="0.3"/>
    <n v="59.03"/>
    <n v="67.495000000000005"/>
  </r>
  <r>
    <d v="2019-11-19T00:00:00"/>
    <x v="15"/>
    <x v="1"/>
    <n v="1000"/>
    <n v="86.5"/>
    <n v="86500"/>
    <s v="20191119N300017889"/>
    <n v="2019216"/>
    <s v="Rolling"/>
    <s v="IN302679-38296183"/>
    <s v="NSE"/>
    <n v="21.57"/>
    <n v="1.9"/>
    <n v="0"/>
    <n v="51.38"/>
    <n v="74.852999999999994"/>
  </r>
  <r>
    <d v="2019-11-19T00:00:00"/>
    <x v="9"/>
    <x v="1"/>
    <n v="250"/>
    <n v="323"/>
    <n v="80750"/>
    <s v="20191119N300019707"/>
    <n v="2019216"/>
    <s v="Rolling"/>
    <s v="IN302679-38296183"/>
    <s v="NSE"/>
    <n v="20.43"/>
    <n v="1.78"/>
    <n v="0"/>
    <n v="47.96"/>
    <n v="70.166600000000003"/>
  </r>
  <r>
    <d v="2019-11-19T00:00:00"/>
    <x v="15"/>
    <x v="0"/>
    <n v="1000"/>
    <n v="88"/>
    <n v="88000"/>
    <s v="20191119N300025722"/>
    <n v="2019216"/>
    <s v="Rolling"/>
    <s v="IN302679-38296183"/>
    <s v="NSE"/>
    <n v="0"/>
    <n v="1.94"/>
    <n v="10.199999999999999"/>
    <n v="52.27"/>
    <n v="64.406000000000006"/>
  </r>
  <r>
    <d v="2019-11-19T00:00:00"/>
    <x v="9"/>
    <x v="0"/>
    <n v="250"/>
    <n v="330.65"/>
    <n v="82661.600000000006"/>
    <s v="20191119N300034842"/>
    <n v="2019216"/>
    <s v="Rolling"/>
    <s v="IN302679-38296183"/>
    <s v="NSE"/>
    <n v="0"/>
    <n v="1.82"/>
    <n v="0"/>
    <n v="49.09"/>
    <n v="50.9086"/>
  </r>
  <r>
    <d v="2019-11-15T00:00:00"/>
    <x v="9"/>
    <x v="1"/>
    <n v="250"/>
    <n v="312"/>
    <n v="78000"/>
    <s v="20191115N200001865"/>
    <n v="2019214"/>
    <s v="Rolling"/>
    <s v="IN302679-38296183"/>
    <s v="NSE"/>
    <n v="19.809999999999999"/>
    <n v="1.72"/>
    <n v="0"/>
    <n v="46.33"/>
    <n v="67.855999999999995"/>
  </r>
  <r>
    <d v="2019-11-15T00:00:00"/>
    <x v="9"/>
    <x v="1"/>
    <n v="250"/>
    <n v="315"/>
    <n v="78750"/>
    <s v="20191115N300016829"/>
    <n v="2019214"/>
    <s v="Rolling"/>
    <s v="IN302679-38296183"/>
    <s v="NSE"/>
    <n v="19.809999999999999"/>
    <n v="1.73"/>
    <n v="0"/>
    <n v="46.77"/>
    <n v="68.312600000000003"/>
  </r>
  <r>
    <d v="2019-11-15T00:00:00"/>
    <x v="9"/>
    <x v="0"/>
    <n v="500"/>
    <n v="314.7"/>
    <n v="157350"/>
    <s v="20191115N300017590"/>
    <n v="2019214"/>
    <s v="Rolling"/>
    <s v="IN302679-38296183"/>
    <s v="NSE"/>
    <n v="0"/>
    <n v="3.46"/>
    <n v="0"/>
    <n v="93.46"/>
    <n v="96.921800000000005"/>
  </r>
  <r>
    <d v="2019-11-15T00:00:00"/>
    <x v="9"/>
    <x v="0"/>
    <n v="500"/>
    <n v="314.5"/>
    <n v="157250"/>
    <s v="20191115N300017633"/>
    <n v="2019214"/>
    <s v="Rolling"/>
    <s v="IN302679-38296183"/>
    <s v="NSE"/>
    <n v="0"/>
    <n v="3.46"/>
    <n v="28.8"/>
    <n v="93.4"/>
    <n v="125.6596"/>
  </r>
  <r>
    <d v="2019-11-15T00:00:00"/>
    <x v="9"/>
    <x v="1"/>
    <n v="500"/>
    <n v="317.5"/>
    <n v="158750"/>
    <s v="20191115N300020022"/>
    <n v="2019214"/>
    <s v="Rolling"/>
    <s v="IN302679-38296183"/>
    <s v="NSE"/>
    <n v="40.020000000000003"/>
    <n v="3.49"/>
    <n v="0"/>
    <n v="94.29"/>
    <n v="137.80250000000001"/>
  </r>
  <r>
    <d v="2019-11-15T00:00:00"/>
    <x v="9"/>
    <x v="1"/>
    <n v="250"/>
    <n v="317.5"/>
    <n v="79375"/>
    <s v="20191115N300021685"/>
    <n v="2019214"/>
    <s v="Rolling"/>
    <s v="IN302679-38296183"/>
    <s v="NSE"/>
    <n v="19.809999999999999"/>
    <n v="1.75"/>
    <n v="0"/>
    <n v="47.15"/>
    <n v="68.706299999999999"/>
  </r>
  <r>
    <d v="2019-11-15T00:00:00"/>
    <x v="9"/>
    <x v="1"/>
    <n v="250"/>
    <n v="320.5"/>
    <n v="80125"/>
    <s v="20191115N300022582"/>
    <n v="2019214"/>
    <s v="Rolling"/>
    <s v="IN302679-38296183"/>
    <s v="NSE"/>
    <n v="19.809999999999999"/>
    <n v="1.76"/>
    <n v="0"/>
    <n v="47.59"/>
    <n v="69.162700000000001"/>
  </r>
  <r>
    <d v="2019-11-15T00:00:00"/>
    <x v="9"/>
    <x v="0"/>
    <n v="500"/>
    <n v="322.2"/>
    <n v="161100"/>
    <s v="20191115N300033852"/>
    <n v="2019214"/>
    <s v="Rolling"/>
    <s v="IN302679-38296183"/>
    <s v="NSE"/>
    <n v="0"/>
    <n v="3.54"/>
    <n v="0"/>
    <n v="95.69"/>
    <n v="99.234200000000001"/>
  </r>
  <r>
    <d v="2019-11-15T00:00:00"/>
    <x v="17"/>
    <x v="0"/>
    <n v="1000"/>
    <n v="3.75"/>
    <n v="3750"/>
    <s v="20191115N300035745"/>
    <n v="2019214"/>
    <s v="Rolling"/>
    <s v="IN302679-38296183"/>
    <s v="NSE"/>
    <n v="3.75"/>
    <n v="0.08"/>
    <n v="0"/>
    <n v="59.01"/>
    <n v="62.842599999999997"/>
  </r>
  <r>
    <d v="2019-11-14T00:00:00"/>
    <x v="9"/>
    <x v="0"/>
    <n v="250"/>
    <n v="303"/>
    <n v="75750"/>
    <s v="20191114N300019670"/>
    <n v="2019213"/>
    <s v="Rolling"/>
    <s v="IN302679-38296183"/>
    <s v="NSE"/>
    <n v="0"/>
    <n v="1.67"/>
    <n v="0"/>
    <n v="45"/>
    <n v="46.666400000000003"/>
  </r>
  <r>
    <d v="2019-11-14T00:00:00"/>
    <x v="9"/>
    <x v="1"/>
    <n v="250"/>
    <n v="304.5"/>
    <n v="76125"/>
    <s v="20191114N300028017"/>
    <n v="2019213"/>
    <s v="Rolling"/>
    <s v="IN302679-38296183"/>
    <s v="NSE"/>
    <n v="19"/>
    <n v="1.67"/>
    <n v="4.8"/>
    <n v="45.22"/>
    <n v="70.694699999999997"/>
  </r>
  <r>
    <d v="2019-11-13T00:00:00"/>
    <x v="18"/>
    <x v="1"/>
    <n v="2500"/>
    <n v="78.25"/>
    <n v="195625"/>
    <s v="20191113N300018057"/>
    <n v="2019212"/>
    <s v="Rolling"/>
    <s v="IN302679-38296183"/>
    <s v="NSE"/>
    <n v="50.4"/>
    <n v="4.3"/>
    <n v="0"/>
    <n v="116.19"/>
    <n v="170.8937"/>
  </r>
  <r>
    <d v="2019-11-13T00:00:00"/>
    <x v="15"/>
    <x v="1"/>
    <n v="5000"/>
    <n v="83.4"/>
    <n v="417000"/>
    <s v="20191113N300021396"/>
    <n v="2019212"/>
    <s v="Rolling"/>
    <s v="IN302679-38296183"/>
    <s v="NSE"/>
    <n v="103.84"/>
    <n v="9.17"/>
    <n v="0"/>
    <n v="247.68"/>
    <n v="360.69400000000002"/>
  </r>
  <r>
    <d v="2019-11-13T00:00:00"/>
    <x v="18"/>
    <x v="1"/>
    <n v="2500"/>
    <n v="79.400000000000006"/>
    <n v="198500"/>
    <s v="20191113N300025126"/>
    <n v="2019212"/>
    <s v="Rolling"/>
    <s v="IN302679-38296183"/>
    <s v="NSE"/>
    <n v="50.54"/>
    <n v="4.37"/>
    <n v="85.5"/>
    <n v="117.9"/>
    <n v="258.30700000000002"/>
  </r>
  <r>
    <d v="2019-11-13T00:00:00"/>
    <x v="18"/>
    <x v="1"/>
    <n v="2500"/>
    <n v="80.349999999999994"/>
    <n v="200875"/>
    <s v="20191113N300025585"/>
    <n v="2019212"/>
    <s v="Rolling"/>
    <s v="IN302679-38296183"/>
    <s v="NSE"/>
    <n v="50.4"/>
    <n v="4.42"/>
    <n v="0"/>
    <n v="119.3"/>
    <n v="174.1191"/>
  </r>
  <r>
    <d v="2019-11-13T00:00:00"/>
    <x v="18"/>
    <x v="0"/>
    <n v="3920"/>
    <n v="81.75"/>
    <n v="320460"/>
    <s v="20191113N300029141"/>
    <n v="2019212"/>
    <s v="Rolling"/>
    <s v="IN302679-38296183"/>
    <s v="NSE"/>
    <n v="0"/>
    <n v="7.05"/>
    <n v="0"/>
    <n v="190.34"/>
    <n v="197.39019999999999"/>
  </r>
  <r>
    <d v="2019-11-13T00:00:00"/>
    <x v="18"/>
    <x v="1"/>
    <n v="5000"/>
    <n v="82"/>
    <n v="410000"/>
    <s v="20191113N300029879"/>
    <n v="2019212"/>
    <s v="Rolling"/>
    <s v="IN302679-38296183"/>
    <s v="NSE"/>
    <n v="100.81"/>
    <n v="9.02"/>
    <n v="0"/>
    <n v="243.52"/>
    <n v="353.35"/>
  </r>
  <r>
    <d v="2019-11-13T00:00:00"/>
    <x v="15"/>
    <x v="0"/>
    <n v="5000"/>
    <n v="82.75"/>
    <n v="413750"/>
    <s v="20191113N300030278"/>
    <n v="2019212"/>
    <s v="Rolling"/>
    <s v="IN302679-38296183"/>
    <s v="NSE"/>
    <n v="0"/>
    <n v="9.1"/>
    <n v="0"/>
    <n v="245.75"/>
    <n v="254.8526"/>
  </r>
  <r>
    <d v="2019-11-13T00:00:00"/>
    <x v="18"/>
    <x v="0"/>
    <n v="8580"/>
    <n v="80.5"/>
    <n v="690690"/>
    <s v="20191113N300031537"/>
    <n v="2019212"/>
    <s v="Rolling"/>
    <s v="IN302679-38296183"/>
    <s v="NSE"/>
    <n v="0"/>
    <n v="15.2"/>
    <n v="0"/>
    <n v="410.24"/>
    <n v="425.43520000000001"/>
  </r>
  <r>
    <d v="2019-11-11T00:00:00"/>
    <x v="7"/>
    <x v="0"/>
    <n v="500"/>
    <n v="253.5"/>
    <n v="126750"/>
    <s v="20191111N300018479"/>
    <n v="2019211"/>
    <s v="Rolling"/>
    <s v="IN302679-38296183"/>
    <s v="NSE"/>
    <n v="0"/>
    <n v="2.79"/>
    <n v="0"/>
    <n v="75.290000000000006"/>
    <n v="78.078599999999994"/>
  </r>
  <r>
    <d v="2019-11-11T00:00:00"/>
    <x v="7"/>
    <x v="1"/>
    <n v="1000"/>
    <n v="249"/>
    <n v="249000"/>
    <s v="20191111N300018512"/>
    <n v="2019211"/>
    <s v="Rolling"/>
    <s v="IN302679-38296183"/>
    <s v="NSE"/>
    <n v="62.03"/>
    <n v="5.48"/>
    <n v="0"/>
    <n v="147.9"/>
    <n v="215.4083"/>
  </r>
  <r>
    <d v="2019-11-11T00:00:00"/>
    <x v="7"/>
    <x v="0"/>
    <n v="500"/>
    <n v="251.5"/>
    <n v="125750"/>
    <s v="20191111N300018766"/>
    <n v="2019211"/>
    <s v="Rolling"/>
    <s v="IN302679-38296183"/>
    <s v="NSE"/>
    <n v="0"/>
    <n v="2.77"/>
    <n v="0"/>
    <n v="74.69"/>
    <n v="77.456599999999995"/>
  </r>
  <r>
    <d v="2019-11-11T00:00:00"/>
    <x v="7"/>
    <x v="1"/>
    <n v="1000"/>
    <n v="249"/>
    <n v="249000"/>
    <s v="20191111N300019891"/>
    <n v="2019211"/>
    <s v="Rolling"/>
    <s v="IN302679-38296183"/>
    <s v="NSE"/>
    <n v="62.46"/>
    <n v="5.48"/>
    <n v="78.900000000000006"/>
    <n v="147.9"/>
    <n v="294.738"/>
  </r>
  <r>
    <d v="2019-11-11T00:00:00"/>
    <x v="7"/>
    <x v="0"/>
    <n v="1000"/>
    <n v="248.5"/>
    <n v="248500"/>
    <s v="20191111N300021572"/>
    <n v="2019211"/>
    <s v="Rolling"/>
    <s v="IN302679-38296183"/>
    <s v="NSE"/>
    <n v="0"/>
    <n v="5.47"/>
    <n v="0"/>
    <n v="147.6"/>
    <n v="153.06729999999999"/>
  </r>
  <r>
    <d v="2019-11-11T00:00:00"/>
    <x v="7"/>
    <x v="0"/>
    <n v="1000"/>
    <n v="248.95"/>
    <n v="248950"/>
    <s v="20191111N300022474"/>
    <n v="2019211"/>
    <s v="Rolling"/>
    <s v="IN302679-38296183"/>
    <s v="NSE"/>
    <n v="0"/>
    <n v="5.48"/>
    <n v="0"/>
    <n v="147.86000000000001"/>
    <n v="153.33690000000001"/>
  </r>
  <r>
    <d v="2019-11-11T00:00:00"/>
    <x v="7"/>
    <x v="1"/>
    <n v="1000"/>
    <n v="245.8"/>
    <n v="245800"/>
    <s v="20191111N300026809"/>
    <n v="2019211"/>
    <s v="Rolling"/>
    <s v="IN302679-38296183"/>
    <s v="NSE"/>
    <n v="62.03"/>
    <n v="5.41"/>
    <n v="0"/>
    <n v="146"/>
    <n v="213.4376"/>
  </r>
  <r>
    <d v="2019-11-11T00:00:00"/>
    <x v="7"/>
    <x v="1"/>
    <n v="1000"/>
    <n v="245.8"/>
    <n v="245800"/>
    <s v="20191111N300026968"/>
    <n v="2019211"/>
    <s v="Rolling"/>
    <s v="IN302679-38296183"/>
    <s v="NSE"/>
    <n v="62.03"/>
    <n v="5.41"/>
    <n v="0"/>
    <n v="146"/>
    <n v="213.43770000000001"/>
  </r>
  <r>
    <d v="2019-11-11T00:00:00"/>
    <x v="7"/>
    <x v="0"/>
    <n v="1000"/>
    <n v="245.5"/>
    <n v="245500"/>
    <s v="20191111N300029924"/>
    <n v="2019211"/>
    <s v="Rolling"/>
    <s v="IN302679-38296183"/>
    <s v="NSE"/>
    <n v="0"/>
    <n v="5.4"/>
    <n v="0"/>
    <n v="145.82"/>
    <n v="151.221"/>
  </r>
  <r>
    <d v="2019-11-11T00:00:00"/>
    <x v="9"/>
    <x v="0"/>
    <n v="1000"/>
    <n v="318"/>
    <n v="318000"/>
    <s v="20191111N300034601"/>
    <n v="2019211"/>
    <s v="Rolling"/>
    <s v="IN302679-38296183"/>
    <s v="NSE"/>
    <n v="0"/>
    <n v="7"/>
    <n v="0"/>
    <n v="188.88"/>
    <n v="195.876"/>
  </r>
  <r>
    <d v="2019-11-11T00:00:00"/>
    <x v="9"/>
    <x v="1"/>
    <n v="1000"/>
    <n v="317.5"/>
    <n v="317500"/>
    <s v="20191111N300034621"/>
    <n v="2019211"/>
    <s v="Rolling"/>
    <s v="IN302679-38296183"/>
    <s v="NSE"/>
    <n v="79.44"/>
    <n v="6.99"/>
    <n v="0"/>
    <n v="188.58"/>
    <n v="275.005"/>
  </r>
  <r>
    <d v="2019-11-08T00:00:00"/>
    <x v="7"/>
    <x v="1"/>
    <n v="250"/>
    <n v="240"/>
    <n v="60000"/>
    <s v="20191108N200001027"/>
    <n v="2019210"/>
    <s v="Rolling"/>
    <s v="IN302679-38296183"/>
    <s v="NSE"/>
    <n v="15.45"/>
    <n v="1.32"/>
    <n v="0"/>
    <n v="35.64"/>
    <n v="52.41"/>
  </r>
  <r>
    <d v="2019-11-08T00:00:00"/>
    <x v="7"/>
    <x v="1"/>
    <n v="250"/>
    <n v="234.15"/>
    <n v="58537.5"/>
    <s v="20191108N300017878"/>
    <n v="2019210"/>
    <s v="Rolling"/>
    <s v="IN302679-38296183"/>
    <s v="NSE"/>
    <n v="15.45"/>
    <n v="1.29"/>
    <n v="0"/>
    <n v="34.770000000000003"/>
    <n v="51.507800000000003"/>
  </r>
  <r>
    <d v="2019-11-08T00:00:00"/>
    <x v="9"/>
    <x v="0"/>
    <n v="2500"/>
    <n v="316.5"/>
    <n v="791250"/>
    <s v="20191108N300020598"/>
    <n v="2019210"/>
    <s v="Rolling"/>
    <s v="IN302679-38296183"/>
    <s v="NSE"/>
    <n v="0"/>
    <n v="17.41"/>
    <n v="0"/>
    <n v="469.97"/>
    <n v="487.37759999999997"/>
  </r>
  <r>
    <d v="2019-11-08T00:00:00"/>
    <x v="7"/>
    <x v="0"/>
    <n v="500"/>
    <n v="240"/>
    <n v="120000"/>
    <s v="20191108N300025147"/>
    <n v="2019210"/>
    <s v="Rolling"/>
    <s v="IN302679-38296183"/>
    <s v="NSE"/>
    <n v="0"/>
    <n v="2.64"/>
    <n v="0"/>
    <n v="71.28"/>
    <n v="73.92"/>
  </r>
  <r>
    <d v="2019-11-08T00:00:00"/>
    <x v="7"/>
    <x v="0"/>
    <n v="1000"/>
    <n v="248"/>
    <n v="248000"/>
    <s v="20191108N300026970"/>
    <n v="2019210"/>
    <s v="Rolling"/>
    <s v="IN302679-38296183"/>
    <s v="NSE"/>
    <n v="0"/>
    <n v="5.46"/>
    <n v="70.2"/>
    <n v="147.30000000000001"/>
    <n v="222.95590000000001"/>
  </r>
  <r>
    <d v="2019-11-08T00:00:00"/>
    <x v="7"/>
    <x v="1"/>
    <n v="1000"/>
    <n v="255"/>
    <n v="255000"/>
    <s v="20191108N300027013"/>
    <n v="2019210"/>
    <s v="Rolling"/>
    <s v="IN302679-38296183"/>
    <s v="NSE"/>
    <n v="61.79"/>
    <n v="5.61"/>
    <n v="0"/>
    <n v="151.46"/>
    <n v="218.86"/>
  </r>
  <r>
    <d v="2019-11-08T00:00:00"/>
    <x v="9"/>
    <x v="1"/>
    <n v="2500"/>
    <n v="319.5"/>
    <n v="798750"/>
    <s v="20191108N300031385"/>
    <n v="2019210"/>
    <s v="Rolling"/>
    <s v="IN302679-38296183"/>
    <s v="NSE"/>
    <n v="198.31"/>
    <n v="17.57"/>
    <n v="0"/>
    <n v="474.42"/>
    <n v="690.30250000000001"/>
  </r>
  <r>
    <d v="2019-11-07T00:00:00"/>
    <x v="6"/>
    <x v="0"/>
    <n v="10000"/>
    <n v="25"/>
    <n v="250000"/>
    <s v="20191107N300018578"/>
    <n v="2019209"/>
    <s v="Rolling"/>
    <s v="IN302679-38296183"/>
    <s v="NSE"/>
    <n v="0"/>
    <n v="5.5"/>
    <n v="0"/>
    <n v="148.47999999999999"/>
    <n v="153.97980000000001"/>
  </r>
  <r>
    <d v="2019-11-07T00:00:00"/>
    <x v="19"/>
    <x v="1"/>
    <n v="1000"/>
    <n v="98.6"/>
    <n v="98600"/>
    <s v="20191107N300022359"/>
    <n v="2019209"/>
    <s v="Rolling"/>
    <s v="IN302679-38296183"/>
    <s v="NSE"/>
    <n v="24.48"/>
    <n v="2.17"/>
    <n v="0"/>
    <n v="58.56"/>
    <n v="85.209199999999996"/>
  </r>
  <r>
    <d v="2019-11-07T00:00:00"/>
    <x v="9"/>
    <x v="1"/>
    <n v="1000"/>
    <n v="320"/>
    <n v="320000"/>
    <s v="20191107N300022507"/>
    <n v="2019209"/>
    <s v="Rolling"/>
    <s v="IN302679-38296183"/>
    <s v="NSE"/>
    <n v="79.72"/>
    <n v="7.04"/>
    <n v="0"/>
    <n v="190.07"/>
    <n v="276.83"/>
  </r>
  <r>
    <d v="2019-11-07T00:00:00"/>
    <x v="9"/>
    <x v="0"/>
    <n v="1000"/>
    <n v="318"/>
    <n v="318000"/>
    <s v="20191107N300024099"/>
    <n v="2019209"/>
    <s v="Rolling"/>
    <s v="IN302679-38296183"/>
    <s v="NSE"/>
    <n v="0"/>
    <n v="7"/>
    <n v="0"/>
    <n v="188.88"/>
    <n v="195.876"/>
  </r>
  <r>
    <d v="2019-11-07T00:00:00"/>
    <x v="19"/>
    <x v="0"/>
    <n v="1000"/>
    <n v="97.25"/>
    <n v="97250"/>
    <s v="20191107N300024122"/>
    <n v="2019209"/>
    <s v="Rolling"/>
    <s v="IN302679-38296183"/>
    <s v="NSE"/>
    <n v="0"/>
    <n v="2.14"/>
    <n v="0"/>
    <n v="57.76"/>
    <n v="59.8996"/>
  </r>
  <r>
    <d v="2019-11-07T00:00:00"/>
    <x v="9"/>
    <x v="1"/>
    <n v="1000"/>
    <n v="318.5"/>
    <n v="318500"/>
    <s v="20191107N300027894"/>
    <n v="2019209"/>
    <s v="Rolling"/>
    <s v="IN302679-38296183"/>
    <s v="NSE"/>
    <n v="79.72"/>
    <n v="7.01"/>
    <n v="0"/>
    <n v="189.18"/>
    <n v="275.90699999999998"/>
  </r>
  <r>
    <d v="2019-11-07T00:00:00"/>
    <x v="9"/>
    <x v="0"/>
    <n v="1000"/>
    <n v="319"/>
    <n v="319000"/>
    <s v="20191107N300031044"/>
    <n v="2019209"/>
    <s v="Rolling"/>
    <s v="IN302679-38296183"/>
    <s v="NSE"/>
    <n v="0"/>
    <n v="7.02"/>
    <n v="0"/>
    <n v="189.47"/>
    <n v="196.488"/>
  </r>
  <r>
    <d v="2019-11-07T00:00:00"/>
    <x v="6"/>
    <x v="1"/>
    <n v="10000"/>
    <n v="24.79"/>
    <n v="247921.7"/>
    <s v="20191107N300036991"/>
    <n v="2019209"/>
    <s v="Rolling"/>
    <s v="IN302679-38296183"/>
    <s v="NSE"/>
    <n v="62.08"/>
    <n v="5.45"/>
    <n v="59.1"/>
    <n v="147.26"/>
    <n v="273.89429999999999"/>
  </r>
  <r>
    <d v="2019-11-06T00:00:00"/>
    <x v="9"/>
    <x v="1"/>
    <n v="2500"/>
    <n v="318.5"/>
    <n v="796250"/>
    <s v="20191106N300016993"/>
    <n v="2019208"/>
    <s v="Rolling"/>
    <s v="IN302679-38296183"/>
    <s v="NSE"/>
    <n v="198.05"/>
    <n v="17.52"/>
    <n v="0"/>
    <n v="472.94"/>
    <n v="688.50800000000004"/>
  </r>
  <r>
    <d v="2019-11-06T00:00:00"/>
    <x v="9"/>
    <x v="0"/>
    <n v="2500"/>
    <n v="315.39999999999998"/>
    <n v="788500"/>
    <s v="20191106N300024393"/>
    <n v="2019208"/>
    <s v="Rolling"/>
    <s v="IN302679-38296183"/>
    <s v="NSE"/>
    <n v="0"/>
    <n v="17.350000000000001"/>
    <n v="0"/>
    <n v="468.34"/>
    <n v="485.68700000000001"/>
  </r>
  <r>
    <d v="2019-11-06T00:00:00"/>
    <x v="9"/>
    <x v="0"/>
    <n v="500"/>
    <n v="315.5"/>
    <n v="157750"/>
    <s v="20191106N300026709"/>
    <n v="2019208"/>
    <s v="Rolling"/>
    <s v="IN302679-38296183"/>
    <s v="NSE"/>
    <n v="0"/>
    <n v="3.47"/>
    <n v="0"/>
    <n v="93.7"/>
    <n v="97.170599999999993"/>
  </r>
  <r>
    <d v="2019-11-06T00:00:00"/>
    <x v="9"/>
    <x v="1"/>
    <n v="500"/>
    <n v="317.5"/>
    <n v="158750"/>
    <s v="20191106N300029539"/>
    <n v="2019208"/>
    <s v="Rolling"/>
    <s v="IN302679-38296183"/>
    <s v="NSE"/>
    <n v="39.61"/>
    <n v="3.49"/>
    <n v="0"/>
    <n v="94.29"/>
    <n v="137.39259999999999"/>
  </r>
  <r>
    <d v="2019-11-06T00:00:00"/>
    <x v="6"/>
    <x v="0"/>
    <n v="10000"/>
    <n v="25"/>
    <n v="250000"/>
    <s v="20191106N300029687"/>
    <n v="2019208"/>
    <s v="Rolling"/>
    <s v="IN302679-38296183"/>
    <s v="NSE"/>
    <n v="0"/>
    <n v="5.5"/>
    <n v="72.3"/>
    <n v="148.47"/>
    <n v="226.2698"/>
  </r>
  <r>
    <d v="2019-11-06T00:00:00"/>
    <x v="20"/>
    <x v="0"/>
    <n v="100"/>
    <n v="35.700000000000003"/>
    <n v="3570"/>
    <s v="20191106N300030965"/>
    <n v="2019208"/>
    <s v="Rolling"/>
    <s v="IN302679-38296183"/>
    <s v="NSE"/>
    <n v="3.57"/>
    <n v="0.08"/>
    <n v="0"/>
    <n v="41.31"/>
    <n v="44.958599999999997"/>
  </r>
  <r>
    <d v="2019-11-06T00:00:00"/>
    <x v="6"/>
    <x v="1"/>
    <n v="2074"/>
    <n v="24.9"/>
    <n v="51642.6"/>
    <s v="20191106N300037216"/>
    <n v="2019208"/>
    <s v="Rolling"/>
    <s v="IN302679-38296183"/>
    <s v="NSE"/>
    <n v="12.91"/>
    <n v="1.1399999999999999"/>
    <n v="0"/>
    <n v="30.67"/>
    <n v="44.716099999999997"/>
  </r>
  <r>
    <d v="2019-11-06T00:00:00"/>
    <x v="6"/>
    <x v="1"/>
    <n v="2417"/>
    <n v="24.85"/>
    <n v="60062.45"/>
    <s v="20191106N300037507"/>
    <n v="2019208"/>
    <s v="Rolling"/>
    <s v="IN302679-38296183"/>
    <s v="NSE"/>
    <n v="14.57"/>
    <n v="1.32"/>
    <n v="0"/>
    <n v="35.67"/>
    <n v="51.561500000000002"/>
  </r>
  <r>
    <d v="2019-11-06T00:00:00"/>
    <x v="6"/>
    <x v="1"/>
    <n v="5509"/>
    <n v="24.74"/>
    <n v="136318.85"/>
    <s v="20191106N300037673"/>
    <n v="2019208"/>
    <s v="Rolling"/>
    <s v="IN302679-38296183"/>
    <s v="NSE"/>
    <n v="34.299999999999997"/>
    <n v="3"/>
    <n v="0"/>
    <n v="80.95"/>
    <n v="118.2491"/>
  </r>
  <r>
    <d v="2019-11-05T00:00:00"/>
    <x v="6"/>
    <x v="0"/>
    <n v="5000"/>
    <n v="25.25"/>
    <n v="126250"/>
    <s v="20191105N300016768"/>
    <n v="2019207"/>
    <s v="Rolling"/>
    <s v="IN302679-38296183"/>
    <s v="NSE"/>
    <n v="0"/>
    <n v="2.78"/>
    <n v="84"/>
    <n v="74.989999999999995"/>
    <n v="161.76750000000001"/>
  </r>
  <r>
    <d v="2019-11-05T00:00:00"/>
    <x v="9"/>
    <x v="1"/>
    <n v="2500"/>
    <n v="314"/>
    <n v="785000"/>
    <s v="20191105N300018009"/>
    <n v="2019207"/>
    <s v="Rolling"/>
    <s v="IN302679-38296183"/>
    <s v="NSE"/>
    <n v="198.52"/>
    <n v="17.27"/>
    <n v="0"/>
    <n v="466.26"/>
    <n v="682.05"/>
  </r>
  <r>
    <d v="2019-11-05T00:00:00"/>
    <x v="9"/>
    <x v="0"/>
    <n v="1412"/>
    <n v="317.93"/>
    <n v="448920.4"/>
    <s v="20191105N300019845"/>
    <n v="2019207"/>
    <s v="Rolling"/>
    <s v="IN302679-38296183"/>
    <s v="NSE"/>
    <n v="0"/>
    <n v="9.8800000000000008"/>
    <n v="0"/>
    <n v="266.64"/>
    <n v="276.51639999999998"/>
  </r>
  <r>
    <d v="2019-11-05T00:00:00"/>
    <x v="9"/>
    <x v="1"/>
    <n v="1500"/>
    <n v="321"/>
    <n v="481500"/>
    <s v="20191105N300020055"/>
    <n v="2019207"/>
    <s v="Rolling"/>
    <s v="IN302679-38296183"/>
    <s v="NSE"/>
    <n v="119.31"/>
    <n v="10.59"/>
    <n v="0"/>
    <n v="285.99"/>
    <n v="415.89299999999997"/>
  </r>
  <r>
    <d v="2019-11-05T00:00:00"/>
    <x v="9"/>
    <x v="0"/>
    <n v="2588"/>
    <n v="319"/>
    <n v="825572"/>
    <s v="20191105N300033850"/>
    <n v="2019207"/>
    <s v="Rolling"/>
    <s v="IN302679-38296183"/>
    <s v="NSE"/>
    <n v="0"/>
    <n v="18.16"/>
    <n v="0"/>
    <n v="490.36"/>
    <n v="508.52260000000001"/>
  </r>
  <r>
    <d v="2019-11-05T00:00:00"/>
    <x v="6"/>
    <x v="1"/>
    <n v="5000"/>
    <n v="24.62"/>
    <n v="123116.2"/>
    <s v="20191105N300037962"/>
    <n v="2019207"/>
    <s v="Rolling"/>
    <s v="IN302679-38296183"/>
    <s v="NSE"/>
    <n v="31.17"/>
    <n v="2.71"/>
    <n v="0"/>
    <n v="73.09"/>
    <n v="106.968"/>
  </r>
  <r>
    <d v="2019-11-04T00:00:00"/>
    <x v="9"/>
    <x v="0"/>
    <n v="1000"/>
    <n v="316.3"/>
    <n v="316300"/>
    <s v="20191104N300021866"/>
    <n v="2019206"/>
    <s v="Rolling"/>
    <s v="IN302679-38296183"/>
    <s v="NSE"/>
    <n v="0"/>
    <n v="6.96"/>
    <n v="113.4"/>
    <n v="187.88"/>
    <n v="308.23840000000001"/>
  </r>
  <r>
    <d v="2019-11-04T00:00:00"/>
    <x v="9"/>
    <x v="1"/>
    <n v="1000"/>
    <n v="313"/>
    <n v="313000"/>
    <s v="20191104N300022782"/>
    <n v="2019206"/>
    <s v="Rolling"/>
    <s v="IN302679-38296183"/>
    <s v="NSE"/>
    <n v="78.739999999999995"/>
    <n v="6.89"/>
    <n v="0"/>
    <n v="185.91"/>
    <n v="271.536"/>
  </r>
  <r>
    <d v="2019-11-04T00:00:00"/>
    <x v="9"/>
    <x v="1"/>
    <n v="2500"/>
    <n v="313.26"/>
    <n v="783153"/>
    <s v="20191104N300032592"/>
    <n v="2019206"/>
    <s v="Rolling"/>
    <s v="IN302679-38296183"/>
    <s v="NSE"/>
    <n v="196.35"/>
    <n v="17.23"/>
    <n v="0"/>
    <n v="465.16"/>
    <n v="678.73950000000002"/>
  </r>
  <r>
    <d v="2019-11-04T00:00:00"/>
    <x v="9"/>
    <x v="0"/>
    <n v="5000"/>
    <n v="314"/>
    <n v="1570000"/>
    <s v="20191104N300034126"/>
    <n v="2019206"/>
    <s v="Rolling"/>
    <s v="IN302679-38296183"/>
    <s v="NSE"/>
    <n v="0"/>
    <n v="34.54"/>
    <n v="0"/>
    <n v="932.52"/>
    <n v="967.06"/>
  </r>
  <r>
    <d v="2019-11-04T00:00:00"/>
    <x v="9"/>
    <x v="1"/>
    <n v="2500"/>
    <n v="315"/>
    <n v="787500"/>
    <s v="20191104N300037369"/>
    <n v="2019206"/>
    <s v="Rolling"/>
    <s v="IN302679-38296183"/>
    <s v="NSE"/>
    <n v="196.35"/>
    <n v="17.329999999999998"/>
    <n v="0"/>
    <n v="467.74"/>
    <n v="681.41499999999996"/>
  </r>
  <r>
    <d v="2019-11-04T00:00:00"/>
    <x v="21"/>
    <x v="0"/>
    <n v="5"/>
    <n v="710.55"/>
    <n v="3552.75"/>
    <s v="20191104N300040597"/>
    <n v="2019206"/>
    <s v="Rolling"/>
    <s v="IN302679-38296183"/>
    <s v="NSE"/>
    <n v="3.55"/>
    <n v="0.08"/>
    <n v="0"/>
    <n v="41.31"/>
    <n v="44.938200000000002"/>
  </r>
  <r>
    <d v="2019-11-01T00:00:00"/>
    <x v="9"/>
    <x v="1"/>
    <n v="500"/>
    <n v="313.5"/>
    <n v="156750"/>
    <s v="20191101N300024383"/>
    <n v="2019205"/>
    <s v="Rolling"/>
    <s v="IN302679-38296183"/>
    <s v="NSE"/>
    <n v="38.78"/>
    <n v="3.45"/>
    <n v="0"/>
    <n v="93.1"/>
    <n v="135.32859999999999"/>
  </r>
  <r>
    <d v="2019-11-01T00:00:00"/>
    <x v="9"/>
    <x v="0"/>
    <n v="1000"/>
    <n v="313.98"/>
    <n v="313983.59999999998"/>
    <s v="20191101N300031474"/>
    <n v="2019205"/>
    <s v="Rolling"/>
    <s v="IN302679-38296183"/>
    <s v="NSE"/>
    <n v="0"/>
    <n v="6.91"/>
    <n v="18.899999999999999"/>
    <n v="186.49"/>
    <n v="212.29769999999999"/>
  </r>
  <r>
    <d v="2019-11-01T00:00:00"/>
    <x v="9"/>
    <x v="1"/>
    <n v="500"/>
    <n v="313.5"/>
    <n v="156750"/>
    <s v="20191101N300037182"/>
    <n v="2019205"/>
    <s v="Rolling"/>
    <s v="IN302679-38296183"/>
    <s v="NSE"/>
    <n v="39.22"/>
    <n v="3.45"/>
    <n v="0"/>
    <n v="93.1"/>
    <n v="135.76859999999999"/>
  </r>
  <r>
    <d v="2019-10-31T00:00:00"/>
    <x v="22"/>
    <x v="0"/>
    <n v="5000"/>
    <n v="22"/>
    <n v="110000"/>
    <s v="20191031N300016270"/>
    <n v="2019204"/>
    <s v="Rolling"/>
    <s v="IN302679-38296183"/>
    <s v="NSE"/>
    <n v="0"/>
    <n v="2.42"/>
    <n v="16.2"/>
    <n v="65.33"/>
    <n v="83.95"/>
  </r>
  <r>
    <d v="2019-10-31T00:00:00"/>
    <x v="22"/>
    <x v="1"/>
    <n v="5000"/>
    <n v="23.61"/>
    <n v="118072.75"/>
    <s v="20191031N300016742"/>
    <n v="2019204"/>
    <s v="Rolling"/>
    <s v="IN302679-38296183"/>
    <s v="NSE"/>
    <n v="28.51"/>
    <n v="2.6"/>
    <n v="0"/>
    <n v="70.14"/>
    <n v="101.2475"/>
  </r>
  <r>
    <d v="2019-10-31T00:00:00"/>
    <x v="4"/>
    <x v="0"/>
    <n v="25"/>
    <n v="56.5"/>
    <n v="1412.5"/>
    <s v="20191031N300021015"/>
    <n v="2019204"/>
    <s v="Rolling"/>
    <s v="IN302679-38296183"/>
    <s v="NSE"/>
    <n v="1.41"/>
    <n v="0.03"/>
    <n v="0"/>
    <n v="41.31"/>
    <n v="42.751100000000001"/>
  </r>
  <r>
    <d v="2019-10-31T00:00:00"/>
    <x v="9"/>
    <x v="1"/>
    <n v="500"/>
    <n v="302"/>
    <n v="151000"/>
    <s v="20191031N300029752"/>
    <n v="2019204"/>
    <s v="Rolling"/>
    <s v="IN302679-38296183"/>
    <s v="NSE"/>
    <n v="38.08"/>
    <n v="3.32"/>
    <n v="0"/>
    <n v="89.68"/>
    <n v="131.08199999999999"/>
  </r>
  <r>
    <d v="2019-10-31T00:00:00"/>
    <x v="9"/>
    <x v="0"/>
    <n v="500"/>
    <n v="304.88"/>
    <n v="152440.20000000001"/>
    <s v="20191031N300030035"/>
    <n v="2019204"/>
    <s v="Rolling"/>
    <s v="IN302679-38296183"/>
    <s v="NSE"/>
    <n v="0"/>
    <n v="3.35"/>
    <n v="0"/>
    <n v="90.54"/>
    <n v="93.893600000000006"/>
  </r>
  <r>
    <d v="2019-10-30T00:00:00"/>
    <x v="9"/>
    <x v="1"/>
    <n v="100"/>
    <n v="283"/>
    <n v="28300"/>
    <s v="20191030N300015625"/>
    <n v="2019203"/>
    <s v="Rolling"/>
    <s v="IN302679-38296183"/>
    <s v="NSE"/>
    <n v="7.21"/>
    <n v="0.62"/>
    <n v="0"/>
    <n v="29.61"/>
    <n v="37.442599999999999"/>
  </r>
  <r>
    <d v="2019-10-30T00:00:00"/>
    <x v="23"/>
    <x v="1"/>
    <n v="50"/>
    <n v="895"/>
    <n v="44750"/>
    <s v="20191030N300015961"/>
    <n v="2019203"/>
    <s v="Rolling"/>
    <s v="IN302679-38296183"/>
    <s v="NSE"/>
    <n v="11.7"/>
    <n v="0.98"/>
    <n v="14.1"/>
    <n v="29.68"/>
    <n v="56.464599999999997"/>
  </r>
  <r>
    <d v="2019-10-30T00:00:00"/>
    <x v="23"/>
    <x v="1"/>
    <n v="50"/>
    <n v="915"/>
    <n v="45750"/>
    <s v="20191030N300018866"/>
    <n v="2019203"/>
    <s v="Rolling"/>
    <s v="IN302679-38296183"/>
    <s v="NSE"/>
    <n v="11.25"/>
    <n v="1.01"/>
    <n v="0"/>
    <n v="29.68"/>
    <n v="41.936599999999999"/>
  </r>
  <r>
    <d v="2019-10-30T00:00:00"/>
    <x v="9"/>
    <x v="1"/>
    <n v="100"/>
    <n v="285"/>
    <n v="28500"/>
    <s v="20191030N300021459"/>
    <n v="2019203"/>
    <s v="Rolling"/>
    <s v="IN302679-38296183"/>
    <s v="NSE"/>
    <n v="7.21"/>
    <n v="0.63"/>
    <n v="0"/>
    <n v="29.61"/>
    <n v="37.447000000000003"/>
  </r>
  <r>
    <d v="2019-10-30T00:00:00"/>
    <x v="23"/>
    <x v="0"/>
    <n v="100"/>
    <n v="895"/>
    <n v="89500"/>
    <s v="20191030N300026814"/>
    <n v="2019203"/>
    <s v="Rolling"/>
    <s v="IN302679-38296183"/>
    <s v="NSE"/>
    <n v="0"/>
    <n v="1.97"/>
    <n v="0"/>
    <n v="53.16"/>
    <n v="55.128999999999998"/>
  </r>
  <r>
    <d v="2019-10-30T00:00:00"/>
    <x v="9"/>
    <x v="1"/>
    <n v="100"/>
    <n v="288"/>
    <n v="28800"/>
    <s v="20191030N300027389"/>
    <n v="2019203"/>
    <s v="Rolling"/>
    <s v="IN302679-38296183"/>
    <s v="NSE"/>
    <n v="7.21"/>
    <n v="0.63"/>
    <n v="0"/>
    <n v="29.61"/>
    <n v="37.453600000000002"/>
  </r>
  <r>
    <d v="2019-10-30T00:00:00"/>
    <x v="9"/>
    <x v="1"/>
    <n v="200"/>
    <n v="288.5"/>
    <n v="57700"/>
    <s v="20191030N300028766"/>
    <n v="2019203"/>
    <s v="Rolling"/>
    <s v="IN302679-38296183"/>
    <s v="NSE"/>
    <n v="14.42"/>
    <n v="1.27"/>
    <n v="0"/>
    <n v="34.28"/>
    <n v="49.9694"/>
  </r>
  <r>
    <d v="2019-10-30T00:00:00"/>
    <x v="9"/>
    <x v="0"/>
    <n v="500"/>
    <n v="290.2"/>
    <n v="145100"/>
    <s v="20191030N300036305"/>
    <n v="2019203"/>
    <s v="Rolling"/>
    <s v="IN302679-38296183"/>
    <s v="NSE"/>
    <n v="0"/>
    <n v="3.19"/>
    <n v="0"/>
    <n v="86.18"/>
    <n v="89.372200000000007"/>
  </r>
  <r>
    <d v="2019-10-29T00:00:00"/>
    <x v="5"/>
    <x v="0"/>
    <n v="250"/>
    <n v="242"/>
    <n v="60500"/>
    <s v="20191029N200001022"/>
    <n v="2019202"/>
    <s v="Rolling"/>
    <s v="IN302679-38296183"/>
    <s v="NSE"/>
    <n v="0"/>
    <n v="1.33"/>
    <n v="0"/>
    <n v="35.93"/>
    <n v="37.261000000000003"/>
  </r>
  <r>
    <d v="2019-10-29T00:00:00"/>
    <x v="5"/>
    <x v="1"/>
    <n v="250"/>
    <n v="246"/>
    <n v="61500"/>
    <s v="20191029N300015618"/>
    <n v="2019202"/>
    <s v="Rolling"/>
    <s v="IN302679-38296183"/>
    <s v="NSE"/>
    <n v="15"/>
    <n v="1.35"/>
    <n v="3.9"/>
    <n v="36.53"/>
    <n v="56.783000000000001"/>
  </r>
  <r>
    <d v="2019-10-27T00:00:00"/>
    <x v="15"/>
    <x v="0"/>
    <n v="2500"/>
    <n v="81.400000000000006"/>
    <n v="203500"/>
    <s v="20191027N200001822"/>
    <n v="2019201"/>
    <s v="Rolling"/>
    <s v="IN302679-38296183"/>
    <s v="NSE"/>
    <n v="0"/>
    <n v="4.4800000000000004"/>
    <n v="17.100000000000001"/>
    <n v="120.87"/>
    <n v="142.447"/>
  </r>
  <r>
    <d v="2019-10-27T00:00:00"/>
    <x v="15"/>
    <x v="0"/>
    <n v="1000"/>
    <n v="81"/>
    <n v="81000"/>
    <s v="20191027N300017714"/>
    <n v="2019201"/>
    <s v="Rolling"/>
    <s v="IN302679-38296183"/>
    <s v="NSE"/>
    <n v="0"/>
    <n v="1.78"/>
    <n v="0"/>
    <n v="48.11"/>
    <n v="49.892000000000003"/>
  </r>
  <r>
    <d v="2019-10-27T00:00:00"/>
    <x v="15"/>
    <x v="1"/>
    <n v="3500"/>
    <n v="80.849999999999994"/>
    <n v="282975"/>
    <s v="20191027N300024840"/>
    <n v="2019201"/>
    <s v="Rolling"/>
    <s v="IN302679-38296183"/>
    <s v="NSE"/>
    <n v="70.930000000000007"/>
    <n v="6.23"/>
    <n v="0"/>
    <n v="168.08"/>
    <n v="245.23560000000001"/>
  </r>
  <r>
    <d v="2019-10-27T00:00:00"/>
    <x v="5"/>
    <x v="0"/>
    <n v="5"/>
    <n v="242.5"/>
    <n v="1212.5"/>
    <s v="20191027N300025429"/>
    <n v="2019201"/>
    <s v="Rolling"/>
    <s v="IN302679-38296183"/>
    <s v="NSE"/>
    <n v="1.07"/>
    <n v="0.03"/>
    <n v="0"/>
    <n v="35.770000000000003"/>
    <n v="36.866700000000002"/>
  </r>
  <r>
    <d v="2019-10-25T00:00:00"/>
    <x v="24"/>
    <x v="0"/>
    <n v="500"/>
    <n v="141.5"/>
    <n v="70750"/>
    <s v="20191025N300014415"/>
    <n v="2019200"/>
    <s v="Rolling"/>
    <s v="IN302679-38296183"/>
    <s v="NSE"/>
    <n v="0"/>
    <n v="1.56"/>
    <n v="0"/>
    <n v="42.02"/>
    <n v="43.576599999999999"/>
  </r>
  <r>
    <d v="2019-10-25T00:00:00"/>
    <x v="24"/>
    <x v="1"/>
    <n v="500"/>
    <n v="144"/>
    <n v="72000"/>
    <s v="20191025N300017203"/>
    <n v="2019200"/>
    <s v="Rolling"/>
    <s v="IN302679-38296183"/>
    <s v="NSE"/>
    <n v="17.84"/>
    <n v="1.58"/>
    <n v="0"/>
    <n v="42.77"/>
    <n v="62.194000000000003"/>
  </r>
  <r>
    <d v="2019-10-25T00:00:00"/>
    <x v="9"/>
    <x v="1"/>
    <n v="100"/>
    <n v="271"/>
    <n v="27100"/>
    <s v="20191025N300020943"/>
    <n v="2019200"/>
    <s v="Rolling"/>
    <s v="IN302679-38296183"/>
    <s v="NSE"/>
    <n v="6.65"/>
    <n v="0.6"/>
    <n v="0"/>
    <n v="29.61"/>
    <n v="36.856200000000001"/>
  </r>
  <r>
    <d v="2019-10-25T00:00:00"/>
    <x v="25"/>
    <x v="0"/>
    <n v="25"/>
    <n v="1471.34"/>
    <n v="36783.449999999997"/>
    <s v="20191025N300026309"/>
    <n v="2019200"/>
    <s v="Rolling"/>
    <s v="IN302679-38296183"/>
    <s v="NSE"/>
    <n v="0"/>
    <n v="0.81"/>
    <n v="15"/>
    <n v="29.66"/>
    <n v="45.469299999999997"/>
  </r>
  <r>
    <d v="2019-10-25T00:00:00"/>
    <x v="25"/>
    <x v="1"/>
    <n v="25"/>
    <n v="1552.8"/>
    <n v="38820"/>
    <s v="20191025N300029839"/>
    <n v="2019200"/>
    <s v="Rolling"/>
    <s v="IN302679-38296183"/>
    <s v="NSE"/>
    <n v="9.4499999999999993"/>
    <n v="0.85"/>
    <n v="0"/>
    <n v="29.65"/>
    <n v="39.954000000000001"/>
  </r>
  <r>
    <d v="2019-10-25T00:00:00"/>
    <x v="9"/>
    <x v="1"/>
    <n v="150"/>
    <n v="278"/>
    <n v="41700"/>
    <s v="20191025N300029882"/>
    <n v="2019200"/>
    <s v="Rolling"/>
    <s v="IN302679-38296183"/>
    <s v="NSE"/>
    <n v="10.52"/>
    <n v="0.92"/>
    <n v="0"/>
    <n v="29.66"/>
    <n v="41.0976"/>
  </r>
  <r>
    <d v="2019-10-25T00:00:00"/>
    <x v="9"/>
    <x v="1"/>
    <n v="250"/>
    <n v="284"/>
    <n v="71000"/>
    <s v="20191025N300030640"/>
    <n v="2019200"/>
    <s v="Rolling"/>
    <s v="IN302679-38296183"/>
    <s v="NSE"/>
    <n v="17.53"/>
    <n v="1.56"/>
    <n v="0"/>
    <n v="42.17"/>
    <n v="61.262"/>
  </r>
  <r>
    <d v="2019-10-25T00:00:00"/>
    <x v="9"/>
    <x v="0"/>
    <n v="500"/>
    <n v="281.5"/>
    <n v="140750"/>
    <s v="20191025N300033793"/>
    <n v="2019200"/>
    <s v="Rolling"/>
    <s v="IN302679-38296183"/>
    <s v="NSE"/>
    <n v="0"/>
    <n v="3.1"/>
    <n v="0"/>
    <n v="83.6"/>
    <n v="86.696399999999997"/>
  </r>
  <r>
    <d v="2019-10-24T00:00:00"/>
    <x v="21"/>
    <x v="0"/>
    <n v="5"/>
    <n v="640"/>
    <n v="3200"/>
    <s v="20191024N300015998"/>
    <n v="2019199"/>
    <s v="Rolling"/>
    <s v="IN302679-38296183"/>
    <s v="NSE"/>
    <n v="3.2"/>
    <n v="7.0000000000000007E-2"/>
    <n v="0"/>
    <n v="41.31"/>
    <n v="44.580399999999997"/>
  </r>
  <r>
    <d v="2019-10-24T00:00:00"/>
    <x v="5"/>
    <x v="0"/>
    <n v="250"/>
    <n v="246"/>
    <n v="61500"/>
    <s v="20191024N300017350"/>
    <n v="2019199"/>
    <s v="Rolling"/>
    <s v="IN302679-38296183"/>
    <s v="NSE"/>
    <n v="0"/>
    <n v="1.35"/>
    <n v="0"/>
    <n v="36.53"/>
    <n v="37.883000000000003"/>
  </r>
  <r>
    <d v="2019-10-24T00:00:00"/>
    <x v="5"/>
    <x v="0"/>
    <n v="250"/>
    <n v="243"/>
    <n v="60750"/>
    <s v="20191024N300020970"/>
    <n v="2019199"/>
    <s v="Rolling"/>
    <s v="IN302679-38296183"/>
    <s v="NSE"/>
    <n v="0"/>
    <n v="1.34"/>
    <n v="0"/>
    <n v="36.08"/>
    <n v="37.416600000000003"/>
  </r>
  <r>
    <d v="2019-10-24T00:00:00"/>
    <x v="26"/>
    <x v="0"/>
    <n v="100"/>
    <n v="469"/>
    <n v="46900"/>
    <s v="20191024N300023533"/>
    <n v="2019199"/>
    <s v="Rolling"/>
    <s v="IN302679-38296183"/>
    <s v="NSE"/>
    <n v="0"/>
    <n v="1.03"/>
    <n v="0"/>
    <n v="29.69"/>
    <n v="30.721800000000002"/>
  </r>
  <r>
    <d v="2019-10-24T00:00:00"/>
    <x v="26"/>
    <x v="1"/>
    <n v="100"/>
    <n v="472"/>
    <n v="47200"/>
    <s v="20191024N300023547"/>
    <n v="2019199"/>
    <s v="Rolling"/>
    <s v="IN302679-38296183"/>
    <s v="NSE"/>
    <n v="11.43"/>
    <n v="1.04"/>
    <n v="19.2"/>
    <n v="29.69"/>
    <n v="61.358400000000003"/>
  </r>
  <r>
    <d v="2019-10-24T00:00:00"/>
    <x v="5"/>
    <x v="1"/>
    <n v="500"/>
    <n v="246.88"/>
    <n v="123441.4"/>
    <s v="20191024N300028919"/>
    <n v="2019199"/>
    <s v="Rolling"/>
    <s v="IN302679-38296183"/>
    <s v="NSE"/>
    <n v="30.71"/>
    <n v="2.72"/>
    <n v="0"/>
    <n v="73.319999999999993"/>
    <n v="106.74550000000001"/>
  </r>
  <r>
    <d v="2019-10-24T00:00:00"/>
    <x v="3"/>
    <x v="1"/>
    <n v="1000"/>
    <n v="147.03"/>
    <n v="147025"/>
    <s v="20191024N300029034"/>
    <n v="2019199"/>
    <s v="Rolling"/>
    <s v="IN302679-38296183"/>
    <s v="NSE"/>
    <n v="36.659999999999997"/>
    <n v="3.23"/>
    <n v="0"/>
    <n v="87.33"/>
    <n v="127.2244"/>
  </r>
  <r>
    <d v="2019-10-24T00:00:00"/>
    <x v="3"/>
    <x v="0"/>
    <n v="1000"/>
    <n v="146.25"/>
    <n v="146250"/>
    <s v="20191024N300029048"/>
    <n v="2019199"/>
    <s v="Rolling"/>
    <s v="IN302679-38296183"/>
    <s v="NSE"/>
    <n v="0"/>
    <n v="3.22"/>
    <n v="0"/>
    <n v="86.86"/>
    <n v="90.077500000000001"/>
  </r>
  <r>
    <d v="2019-10-23T00:00:00"/>
    <x v="6"/>
    <x v="0"/>
    <n v="50"/>
    <n v="23.5"/>
    <n v="1175"/>
    <s v="20191023N900012978"/>
    <n v="2019198"/>
    <s v="Rolling"/>
    <s v="IN302679-38296183"/>
    <s v="NSE"/>
    <n v="1"/>
    <n v="0.03"/>
    <n v="0.3"/>
    <n v="34.67"/>
    <n v="35.995899999999999"/>
  </r>
  <r>
    <d v="2019-10-22T00:00:00"/>
    <x v="14"/>
    <x v="0"/>
    <n v="100"/>
    <n v="290"/>
    <n v="29000"/>
    <s v="20191022N300021951"/>
    <n v="2019197"/>
    <s v="Rolling"/>
    <s v="IN302679-38296183"/>
    <s v="NSE"/>
    <n v="0"/>
    <n v="0.64"/>
    <n v="0"/>
    <n v="29.61"/>
    <n v="30.248000000000001"/>
  </r>
  <r>
    <d v="2019-10-22T00:00:00"/>
    <x v="14"/>
    <x v="1"/>
    <n v="100"/>
    <n v="286.3"/>
    <n v="28629.8"/>
    <s v="20191022N300044155"/>
    <n v="2019197"/>
    <s v="Rolling"/>
    <s v="IN302679-38296183"/>
    <s v="NSE"/>
    <n v="7"/>
    <n v="0.63"/>
    <n v="1.8"/>
    <n v="29.61"/>
    <n v="39.0398"/>
  </r>
  <r>
    <d v="2019-10-18T00:00:00"/>
    <x v="27"/>
    <x v="1"/>
    <n v="50"/>
    <n v="346.25"/>
    <n v="17312.5"/>
    <s v="20191018N300014569"/>
    <n v="2019196"/>
    <s v="Rolling"/>
    <s v="IN302679-38296183"/>
    <s v="NSE"/>
    <n v="4.43"/>
    <n v="0.38"/>
    <n v="12.6"/>
    <n v="29.56"/>
    <n v="46.970999999999997"/>
  </r>
  <r>
    <d v="2019-10-18T00:00:00"/>
    <x v="23"/>
    <x v="1"/>
    <n v="50"/>
    <n v="730"/>
    <n v="36500"/>
    <s v="20191018N300015437"/>
    <n v="2019196"/>
    <s v="Rolling"/>
    <s v="IN302679-38296183"/>
    <s v="NSE"/>
    <n v="9.51"/>
    <n v="0.8"/>
    <n v="0"/>
    <n v="29.64"/>
    <n v="39.953000000000003"/>
  </r>
  <r>
    <d v="2019-10-18T00:00:00"/>
    <x v="23"/>
    <x v="0"/>
    <n v="50"/>
    <n v="725"/>
    <n v="36250"/>
    <s v="20191018N300017205"/>
    <n v="2019196"/>
    <s v="Rolling"/>
    <s v="IN302679-38296183"/>
    <s v="NSE"/>
    <n v="0"/>
    <n v="0.8"/>
    <n v="0"/>
    <n v="29.64"/>
    <n v="30.4376"/>
  </r>
  <r>
    <d v="2019-10-18T00:00:00"/>
    <x v="23"/>
    <x v="1"/>
    <n v="100"/>
    <n v="742"/>
    <n v="74200"/>
    <s v="20191018N300018038"/>
    <n v="2019196"/>
    <s v="Rolling"/>
    <s v="IN302679-38296183"/>
    <s v="NSE"/>
    <n v="19.03"/>
    <n v="1.63"/>
    <n v="0"/>
    <n v="44.07"/>
    <n v="64.732399999999998"/>
  </r>
  <r>
    <d v="2019-10-18T00:00:00"/>
    <x v="23"/>
    <x v="1"/>
    <n v="50"/>
    <n v="772.85"/>
    <n v="38642.5"/>
    <s v="20191018N300022106"/>
    <n v="2019196"/>
    <s v="Rolling"/>
    <s v="IN302679-38296183"/>
    <s v="NSE"/>
    <n v="9.51"/>
    <n v="0.85"/>
    <n v="0"/>
    <n v="29.65"/>
    <n v="40.010100000000001"/>
  </r>
  <r>
    <d v="2019-10-18T00:00:00"/>
    <x v="23"/>
    <x v="1"/>
    <n v="50"/>
    <n v="779.1"/>
    <n v="38955"/>
    <s v="20191018N300022968"/>
    <n v="2019196"/>
    <s v="Rolling"/>
    <s v="IN302679-38296183"/>
    <s v="NSE"/>
    <n v="9.51"/>
    <n v="0.86"/>
    <n v="0"/>
    <n v="29.65"/>
    <n v="40.017099999999999"/>
  </r>
  <r>
    <d v="2019-10-18T00:00:00"/>
    <x v="27"/>
    <x v="0"/>
    <n v="50"/>
    <n v="338.88"/>
    <n v="16943.849999999999"/>
    <s v="20191018N300027207"/>
    <n v="2019196"/>
    <s v="Rolling"/>
    <s v="IN302679-38296183"/>
    <s v="NSE"/>
    <n v="0"/>
    <n v="0.37"/>
    <n v="0"/>
    <n v="29.57"/>
    <n v="29.942900000000002"/>
  </r>
  <r>
    <d v="2019-10-18T00:00:00"/>
    <x v="23"/>
    <x v="0"/>
    <n v="200"/>
    <n v="779.9"/>
    <n v="155980"/>
    <s v="20191018N300036164"/>
    <n v="2019196"/>
    <s v="Rolling"/>
    <s v="IN302679-38296183"/>
    <s v="NSE"/>
    <n v="0"/>
    <n v="3.43"/>
    <n v="0"/>
    <n v="92.65"/>
    <n v="96.081599999999995"/>
  </r>
  <r>
    <d v="2019-10-17T00:00:00"/>
    <x v="27"/>
    <x v="1"/>
    <n v="100"/>
    <n v="324"/>
    <n v="32400"/>
    <s v="20191017N300013802"/>
    <n v="2019195"/>
    <s v="Rolling"/>
    <s v="IN302679-38296183"/>
    <s v="NSE"/>
    <n v="7.68"/>
    <n v="0.71"/>
    <n v="0"/>
    <n v="29.63"/>
    <n v="38.022799999999997"/>
  </r>
  <r>
    <d v="2019-10-17T00:00:00"/>
    <x v="27"/>
    <x v="1"/>
    <n v="102"/>
    <n v="326"/>
    <n v="33252"/>
    <s v="20191017N300014094"/>
    <n v="2019195"/>
    <s v="Rolling"/>
    <s v="IN302679-38296183"/>
    <s v="NSE"/>
    <n v="7.88"/>
    <n v="0.73"/>
    <n v="9.6"/>
    <n v="29.63"/>
    <n v="47.8414"/>
  </r>
  <r>
    <d v="2019-10-17T00:00:00"/>
    <x v="15"/>
    <x v="1"/>
    <n v="250"/>
    <n v="83.55"/>
    <n v="20887.5"/>
    <s v="20191017N300024092"/>
    <n v="2019195"/>
    <s v="Rolling"/>
    <s v="IN302679-38296183"/>
    <s v="NSE"/>
    <n v="5.24"/>
    <n v="0.46"/>
    <n v="0"/>
    <n v="29.58"/>
    <n v="35.279499999999999"/>
  </r>
  <r>
    <d v="2019-10-17T00:00:00"/>
    <x v="15"/>
    <x v="0"/>
    <n v="250"/>
    <n v="84.2"/>
    <n v="21050"/>
    <s v="20191017N300024169"/>
    <n v="2019195"/>
    <s v="Rolling"/>
    <s v="IN302679-38296183"/>
    <s v="NSE"/>
    <n v="0"/>
    <n v="0.46"/>
    <n v="0"/>
    <n v="29.58"/>
    <n v="30.043199999999999"/>
  </r>
  <r>
    <d v="2019-10-17T00:00:00"/>
    <x v="27"/>
    <x v="0"/>
    <n v="202"/>
    <n v="301"/>
    <n v="60802"/>
    <s v="20191017N300028308"/>
    <n v="2019195"/>
    <s v="Rolling"/>
    <s v="IN302679-38296183"/>
    <s v="NSE"/>
    <n v="0"/>
    <n v="1.34"/>
    <n v="0"/>
    <n v="36.11"/>
    <n v="37.447600000000001"/>
  </r>
  <r>
    <d v="2019-10-17T00:00:00"/>
    <x v="27"/>
    <x v="0"/>
    <n v="250"/>
    <n v="298.99"/>
    <n v="74746.45"/>
    <s v="20191017N300029747"/>
    <n v="2019195"/>
    <s v="Rolling"/>
    <s v="IN302679-38296183"/>
    <s v="NSE"/>
    <n v="0"/>
    <n v="1.64"/>
    <n v="0"/>
    <n v="44.39"/>
    <n v="46.034399999999998"/>
  </r>
  <r>
    <d v="2019-10-17T00:00:00"/>
    <x v="27"/>
    <x v="1"/>
    <n v="250"/>
    <n v="306"/>
    <n v="76500"/>
    <s v="20191017N300029800"/>
    <n v="2019195"/>
    <s v="Rolling"/>
    <s v="IN302679-38296183"/>
    <s v="NSE"/>
    <n v="19.2"/>
    <n v="1.68"/>
    <n v="0"/>
    <n v="45.44"/>
    <n v="66.322999999999993"/>
  </r>
  <r>
    <d v="2019-10-16T00:00:00"/>
    <x v="23"/>
    <x v="1"/>
    <n v="100"/>
    <n v="710"/>
    <n v="71000"/>
    <s v="20191016N300014164"/>
    <n v="2019194"/>
    <s v="Rolling"/>
    <s v="IN302679-38296183"/>
    <s v="NSE"/>
    <n v="17.75"/>
    <n v="1.56"/>
    <n v="6.9"/>
    <n v="42.17"/>
    <n v="68.382199999999997"/>
  </r>
  <r>
    <d v="2019-10-16T00:00:00"/>
    <x v="23"/>
    <x v="0"/>
    <n v="100"/>
    <n v="704"/>
    <n v="70400"/>
    <s v="20191016N300024561"/>
    <n v="2019194"/>
    <s v="Rolling"/>
    <s v="IN302679-38296183"/>
    <s v="NSE"/>
    <n v="0"/>
    <n v="1.55"/>
    <n v="0"/>
    <n v="41.81"/>
    <n v="43.358800000000002"/>
  </r>
  <r>
    <d v="2019-10-16T00:00:00"/>
    <x v="15"/>
    <x v="1"/>
    <n v="500"/>
    <n v="81.5"/>
    <n v="40750"/>
    <s v="20191016N300027358"/>
    <n v="2019194"/>
    <s v="Rolling"/>
    <s v="IN302679-38296183"/>
    <s v="NSE"/>
    <n v="10.25"/>
    <n v="0.9"/>
    <n v="0"/>
    <n v="29.66"/>
    <n v="40.806600000000003"/>
  </r>
  <r>
    <d v="2019-10-16T00:00:00"/>
    <x v="15"/>
    <x v="0"/>
    <n v="500"/>
    <n v="82.5"/>
    <n v="41250"/>
    <s v="20191016N300029824"/>
    <n v="2019194"/>
    <s v="Rolling"/>
    <s v="IN302679-38296183"/>
    <s v="NSE"/>
    <n v="0"/>
    <n v="0.91"/>
    <n v="0"/>
    <n v="29.66"/>
    <n v="30.567599999999999"/>
  </r>
  <r>
    <d v="2019-10-15T00:00:00"/>
    <x v="27"/>
    <x v="1"/>
    <n v="250"/>
    <n v="320.01"/>
    <n v="80002.100000000006"/>
    <s v="20191015N300015638"/>
    <n v="2019193"/>
    <s v="Rolling"/>
    <s v="IN302679-38296183"/>
    <s v="NSE"/>
    <n v="20"/>
    <n v="1.76"/>
    <n v="4.8"/>
    <n v="47.51"/>
    <n v="74.070099999999996"/>
  </r>
  <r>
    <d v="2019-10-15T00:00:00"/>
    <x v="27"/>
    <x v="0"/>
    <n v="250"/>
    <n v="319.26"/>
    <n v="79814.5"/>
    <s v="20191015N300026973"/>
    <n v="2019193"/>
    <s v="Rolling"/>
    <s v="IN302679-38296183"/>
    <s v="NSE"/>
    <n v="0"/>
    <n v="1.76"/>
    <n v="0"/>
    <n v="47.4"/>
    <n v="49.155900000000003"/>
  </r>
  <r>
    <d v="2019-10-14T00:00:00"/>
    <x v="28"/>
    <x v="1"/>
    <n v="250"/>
    <n v="430"/>
    <n v="107500"/>
    <s v="20191014N300014614"/>
    <n v="2019192"/>
    <s v="Rolling"/>
    <s v="IN302679-38296183"/>
    <s v="NSE"/>
    <n v="27.13"/>
    <n v="2.37"/>
    <n v="12.9"/>
    <n v="63.85"/>
    <n v="106.245"/>
  </r>
  <r>
    <d v="2019-10-14T00:00:00"/>
    <x v="28"/>
    <x v="0"/>
    <n v="500"/>
    <n v="429.5"/>
    <n v="214750"/>
    <s v="20191014N300015178"/>
    <n v="2019192"/>
    <s v="Rolling"/>
    <s v="IN302679-38296183"/>
    <s v="NSE"/>
    <n v="0"/>
    <n v="4.72"/>
    <n v="0"/>
    <n v="127.55"/>
    <n v="132.27459999999999"/>
  </r>
  <r>
    <d v="2019-10-14T00:00:00"/>
    <x v="28"/>
    <x v="1"/>
    <n v="250"/>
    <n v="431"/>
    <n v="107750"/>
    <s v="20191014N300020158"/>
    <n v="2019192"/>
    <s v="Rolling"/>
    <s v="IN302679-38296183"/>
    <s v="NSE"/>
    <n v="26.88"/>
    <n v="2.37"/>
    <n v="0"/>
    <n v="64"/>
    <n v="93.250600000000006"/>
  </r>
  <r>
    <d v="2019-10-11T00:00:00"/>
    <x v="7"/>
    <x v="0"/>
    <n v="250"/>
    <n v="185"/>
    <n v="46250"/>
    <s v="20191011N300014856"/>
    <n v="2019191"/>
    <s v="Rolling"/>
    <s v="IN302679-38296183"/>
    <s v="NSE"/>
    <n v="0"/>
    <n v="1.02"/>
    <n v="0"/>
    <n v="29.68"/>
    <n v="30.697600000000001"/>
  </r>
  <r>
    <d v="2019-10-11T00:00:00"/>
    <x v="9"/>
    <x v="1"/>
    <n v="261"/>
    <n v="258.8"/>
    <n v="67546.8"/>
    <s v="20191011N300016875"/>
    <n v="2019191"/>
    <s v="Rolling"/>
    <s v="IN302679-38296183"/>
    <s v="NSE"/>
    <n v="16.809999999999999"/>
    <n v="1.49"/>
    <n v="0"/>
    <n v="40.119999999999997"/>
    <n v="58.415999999999997"/>
  </r>
  <r>
    <d v="2019-10-11T00:00:00"/>
    <x v="9"/>
    <x v="0"/>
    <n v="261"/>
    <n v="256.5"/>
    <n v="66946.5"/>
    <s v="20191011N300016948"/>
    <n v="2019191"/>
    <s v="Rolling"/>
    <s v="IN302679-38296183"/>
    <s v="NSE"/>
    <n v="0"/>
    <n v="1.47"/>
    <n v="0"/>
    <n v="39.76"/>
    <n v="41.232799999999997"/>
  </r>
  <r>
    <d v="2019-10-11T00:00:00"/>
    <x v="7"/>
    <x v="1"/>
    <n v="250"/>
    <n v="205"/>
    <n v="51250"/>
    <s v="20191011N300028361"/>
    <n v="2019191"/>
    <s v="Rolling"/>
    <s v="IN302679-38296183"/>
    <s v="NSE"/>
    <n v="11.96"/>
    <n v="1.1299999999999999"/>
    <n v="7.2"/>
    <n v="30.44"/>
    <n v="50.727600000000002"/>
  </r>
  <r>
    <d v="2019-10-11T00:00:00"/>
    <x v="2"/>
    <x v="0"/>
    <n v="250"/>
    <n v="24.9"/>
    <n v="6225"/>
    <s v="20191011N900013891"/>
    <n v="2019191"/>
    <s v="Rolling"/>
    <s v="IN302679-38296183"/>
    <s v="NSE"/>
    <n v="6.23"/>
    <n v="0.14000000000000001"/>
    <n v="0"/>
    <n v="41.32"/>
    <n v="47.686900000000001"/>
  </r>
  <r>
    <d v="2019-10-10T00:00:00"/>
    <x v="7"/>
    <x v="1"/>
    <n v="250"/>
    <n v="240"/>
    <n v="60000"/>
    <s v="20191010N200000849"/>
    <n v="2019190"/>
    <s v="Rolling"/>
    <s v="IN302679-38296183"/>
    <s v="NSE"/>
    <n v="12.97"/>
    <n v="1.32"/>
    <n v="19.8"/>
    <n v="35.64"/>
    <n v="69.73"/>
  </r>
  <r>
    <d v="2019-10-10T00:00:00"/>
    <x v="1"/>
    <x v="1"/>
    <n v="100"/>
    <n v="247"/>
    <n v="24700"/>
    <s v="20191010N300013763"/>
    <n v="2019190"/>
    <s v="Rolling"/>
    <s v="IN302679-38296183"/>
    <s v="NSE"/>
    <n v="6.14"/>
    <n v="0.54"/>
    <n v="0"/>
    <n v="29.6"/>
    <n v="36.2834"/>
  </r>
  <r>
    <d v="2019-10-10T00:00:00"/>
    <x v="7"/>
    <x v="0"/>
    <n v="250"/>
    <n v="212.47"/>
    <n v="53116.95"/>
    <s v="20191010N300016520"/>
    <n v="2019190"/>
    <s v="Rolling"/>
    <s v="IN302679-38296183"/>
    <s v="NSE"/>
    <n v="0"/>
    <n v="1.17"/>
    <n v="0"/>
    <n v="31.54"/>
    <n v="32.7087"/>
  </r>
  <r>
    <d v="2019-10-10T00:00:00"/>
    <x v="1"/>
    <x v="0"/>
    <n v="500"/>
    <n v="245.3"/>
    <n v="122650"/>
    <s v="20191010N300017812"/>
    <n v="2019190"/>
    <s v="Rolling"/>
    <s v="IN302679-38296183"/>
    <s v="NSE"/>
    <n v="0"/>
    <n v="2.7"/>
    <n v="0"/>
    <n v="87.88"/>
    <n v="90.578299999999999"/>
  </r>
  <r>
    <d v="2019-10-10T00:00:00"/>
    <x v="1"/>
    <x v="1"/>
    <n v="400"/>
    <n v="245.2"/>
    <n v="98080"/>
    <s v="20191010N300017897"/>
    <n v="2019190"/>
    <s v="Rolling"/>
    <s v="IN302679-38296183"/>
    <s v="NSE"/>
    <n v="24.54"/>
    <n v="2.16"/>
    <n v="0"/>
    <n v="58.26"/>
    <n v="84.957800000000006"/>
  </r>
  <r>
    <d v="2019-10-10T00:00:00"/>
    <x v="7"/>
    <x v="0"/>
    <n v="500"/>
    <n v="201.38"/>
    <n v="100691.95"/>
    <s v="20191010N300021912"/>
    <n v="2019190"/>
    <s v="Rolling"/>
    <s v="IN302679-38296183"/>
    <s v="NSE"/>
    <n v="0"/>
    <n v="2.2200000000000002"/>
    <n v="0"/>
    <n v="59.8"/>
    <n v="62.015300000000003"/>
  </r>
  <r>
    <d v="2019-10-10T00:00:00"/>
    <x v="7"/>
    <x v="0"/>
    <n v="250"/>
    <n v="195"/>
    <n v="48750"/>
    <s v="20191010N300022202"/>
    <n v="2019190"/>
    <s v="Rolling"/>
    <s v="IN302679-38296183"/>
    <s v="NSE"/>
    <n v="0"/>
    <n v="1.07"/>
    <n v="0"/>
    <n v="29.69"/>
    <n v="30.762599999999999"/>
  </r>
  <r>
    <d v="2019-10-10T00:00:00"/>
    <x v="7"/>
    <x v="1"/>
    <n v="366"/>
    <n v="193.13"/>
    <n v="70685.850000000006"/>
    <s v="20191010N300025561"/>
    <n v="2019190"/>
    <s v="Rolling"/>
    <s v="IN302679-38296183"/>
    <s v="NSE"/>
    <n v="18.72"/>
    <n v="1.56"/>
    <n v="0"/>
    <n v="41.99"/>
    <n v="62.265099999999997"/>
  </r>
  <r>
    <d v="2019-10-10T00:00:00"/>
    <x v="7"/>
    <x v="1"/>
    <n v="384"/>
    <n v="197.5"/>
    <n v="75840"/>
    <s v="20191010N300028251"/>
    <n v="2019190"/>
    <s v="Rolling"/>
    <s v="IN302679-38296183"/>
    <s v="NSE"/>
    <n v="19.64"/>
    <n v="1.67"/>
    <n v="0"/>
    <n v="45.05"/>
    <n v="66.358400000000003"/>
  </r>
  <r>
    <d v="2019-10-09T00:00:00"/>
    <x v="9"/>
    <x v="0"/>
    <n v="1000"/>
    <n v="249.69"/>
    <n v="249686.15"/>
    <s v="20191009N200000658"/>
    <n v="2019189"/>
    <s v="Rolling"/>
    <s v="IN302679-38296183"/>
    <s v="NSE"/>
    <n v="0"/>
    <n v="5.49"/>
    <n v="0"/>
    <n v="148.30000000000001"/>
    <n v="153.79300000000001"/>
  </r>
  <r>
    <d v="2019-10-09T00:00:00"/>
    <x v="9"/>
    <x v="0"/>
    <n v="500"/>
    <n v="246.2"/>
    <n v="123100"/>
    <s v="20191009N200024437"/>
    <n v="2019189"/>
    <s v="Rolling"/>
    <s v="IN302679-38296183"/>
    <s v="NSE"/>
    <n v="0"/>
    <n v="2.71"/>
    <n v="0"/>
    <n v="73.12"/>
    <n v="75.828199999999995"/>
  </r>
  <r>
    <d v="2019-10-09T00:00:00"/>
    <x v="9"/>
    <x v="1"/>
    <n v="1500"/>
    <n v="251"/>
    <n v="376500"/>
    <s v="20191009N200044713"/>
    <n v="2019189"/>
    <s v="Rolling"/>
    <s v="IN302679-38296183"/>
    <s v="NSE"/>
    <n v="93.66"/>
    <n v="8.2799999999999994"/>
    <n v="0"/>
    <n v="223.63"/>
    <n v="325.57299999999998"/>
  </r>
  <r>
    <d v="2019-10-09T00:00:00"/>
    <x v="11"/>
    <x v="0"/>
    <n v="500"/>
    <n v="212.45"/>
    <n v="106225"/>
    <s v="20191009N300015929"/>
    <n v="2019189"/>
    <s v="Rolling"/>
    <s v="IN302679-38296183"/>
    <s v="NSE"/>
    <n v="0"/>
    <n v="2.34"/>
    <n v="0"/>
    <n v="63.09"/>
    <n v="65.426900000000003"/>
  </r>
  <r>
    <d v="2019-10-09T00:00:00"/>
    <x v="11"/>
    <x v="1"/>
    <n v="500"/>
    <n v="213.5"/>
    <n v="106750"/>
    <s v="20191009N300016169"/>
    <n v="2019189"/>
    <s v="Rolling"/>
    <s v="IN302679-38296183"/>
    <s v="NSE"/>
    <n v="26.62"/>
    <n v="2.35"/>
    <n v="0"/>
    <n v="63.4"/>
    <n v="92.368600000000001"/>
  </r>
  <r>
    <d v="2019-10-09T00:00:00"/>
    <x v="2"/>
    <x v="0"/>
    <n v="100"/>
    <n v="26"/>
    <n v="2600"/>
    <s v="20191009N300018321"/>
    <n v="2019189"/>
    <s v="Rolling"/>
    <s v="IN302679-38296183"/>
    <s v="NSE"/>
    <n v="2.72"/>
    <n v="0.06"/>
    <n v="29.1"/>
    <n v="41.31"/>
    <n v="73.187200000000004"/>
  </r>
  <r>
    <d v="2019-10-07T00:00:00"/>
    <x v="9"/>
    <x v="0"/>
    <n v="500"/>
    <n v="250.55"/>
    <n v="125275"/>
    <s v="20191007N200000870"/>
    <n v="2019188"/>
    <s v="Rolling"/>
    <s v="IN302679-38296183"/>
    <s v="NSE"/>
    <n v="0"/>
    <n v="2.76"/>
    <n v="0"/>
    <n v="74.41"/>
    <n v="77.1661"/>
  </r>
  <r>
    <d v="2019-10-07T00:00:00"/>
    <x v="9"/>
    <x v="0"/>
    <n v="500"/>
    <n v="248"/>
    <n v="124000"/>
    <s v="20191007N300013363"/>
    <n v="2019188"/>
    <s v="Rolling"/>
    <s v="IN302679-38296183"/>
    <s v="NSE"/>
    <n v="0"/>
    <n v="2.73"/>
    <n v="15.3"/>
    <n v="73.650000000000006"/>
    <n v="91.677999999999997"/>
  </r>
  <r>
    <d v="2019-10-07T00:00:00"/>
    <x v="9"/>
    <x v="1"/>
    <n v="1000"/>
    <n v="250"/>
    <n v="250000"/>
    <s v="20191007N300022862"/>
    <n v="2019188"/>
    <s v="Rolling"/>
    <s v="IN302679-38296183"/>
    <s v="NSE"/>
    <n v="62.6"/>
    <n v="5.5"/>
    <n v="0"/>
    <n v="148.5"/>
    <n v="216.60059999999999"/>
  </r>
  <r>
    <d v="2019-10-07T00:00:00"/>
    <x v="2"/>
    <x v="0"/>
    <n v="50"/>
    <n v="28"/>
    <n v="1400"/>
    <s v="20191007N300023742"/>
    <n v="2019188"/>
    <s v="Rolling"/>
    <s v="IN302679-38296183"/>
    <s v="NSE"/>
    <n v="1.4"/>
    <n v="0.03"/>
    <n v="0"/>
    <n v="41.31"/>
    <n v="42.7408"/>
  </r>
  <r>
    <d v="2019-10-04T00:00:00"/>
    <x v="9"/>
    <x v="1"/>
    <n v="1000"/>
    <n v="259.10000000000002"/>
    <n v="259100"/>
    <s v="20191004N300020431"/>
    <n v="2019187"/>
    <s v="Rolling"/>
    <s v="IN302679-38296183"/>
    <s v="NSE"/>
    <n v="64"/>
    <n v="5.7"/>
    <n v="15.6"/>
    <n v="153.88999999999999"/>
    <n v="239.1902"/>
  </r>
  <r>
    <d v="2019-10-04T00:00:00"/>
    <x v="9"/>
    <x v="0"/>
    <n v="1000"/>
    <n v="252"/>
    <n v="252000"/>
    <s v="20191004N300022482"/>
    <n v="2019187"/>
    <s v="Rolling"/>
    <s v="IN302679-38296183"/>
    <s v="NSE"/>
    <n v="0"/>
    <n v="5.54"/>
    <n v="0"/>
    <n v="149.69"/>
    <n v="155.23400000000001"/>
  </r>
  <r>
    <d v="2019-10-03T00:00:00"/>
    <x v="9"/>
    <x v="0"/>
    <n v="500"/>
    <n v="257"/>
    <n v="128500"/>
    <s v="20191003N300015484"/>
    <n v="2019186"/>
    <s v="Rolling"/>
    <s v="IN302679-38296183"/>
    <s v="NSE"/>
    <n v="0"/>
    <n v="2.83"/>
    <n v="0"/>
    <n v="76.319999999999993"/>
    <n v="79.147000000000006"/>
  </r>
  <r>
    <d v="2019-10-03T00:00:00"/>
    <x v="9"/>
    <x v="1"/>
    <n v="500"/>
    <n v="259.5"/>
    <n v="129750"/>
    <s v="20191003N300016016"/>
    <n v="2019186"/>
    <s v="Rolling"/>
    <s v="IN302679-38296183"/>
    <s v="NSE"/>
    <n v="31.94"/>
    <n v="2.85"/>
    <n v="0"/>
    <n v="77.069999999999993"/>
    <n v="111.86450000000001"/>
  </r>
  <r>
    <d v="2019-10-03T00:00:00"/>
    <x v="9"/>
    <x v="0"/>
    <n v="500"/>
    <n v="257"/>
    <n v="128500"/>
    <s v="20191003N300025326"/>
    <n v="2019186"/>
    <s v="Rolling"/>
    <s v="IN302679-38296183"/>
    <s v="NSE"/>
    <n v="0"/>
    <n v="2.83"/>
    <n v="0"/>
    <n v="76.319999999999993"/>
    <n v="79.147000000000006"/>
  </r>
  <r>
    <d v="2019-10-03T00:00:00"/>
    <x v="9"/>
    <x v="0"/>
    <n v="500"/>
    <n v="252"/>
    <n v="126000"/>
    <s v="20191003N300029151"/>
    <n v="2019186"/>
    <s v="Rolling"/>
    <s v="IN302679-38296183"/>
    <s v="NSE"/>
    <n v="0"/>
    <n v="2.77"/>
    <n v="23.1"/>
    <n v="74.84"/>
    <n v="100.712"/>
  </r>
  <r>
    <d v="2019-10-03T00:00:00"/>
    <x v="9"/>
    <x v="1"/>
    <n v="1000"/>
    <n v="253.7"/>
    <n v="253700"/>
    <s v="20191003N300032421"/>
    <n v="2019186"/>
    <s v="Rolling"/>
    <s v="IN302679-38296183"/>
    <s v="NSE"/>
    <n v="64.06"/>
    <n v="5.58"/>
    <n v="0"/>
    <n v="150.69"/>
    <n v="220.3314"/>
  </r>
  <r>
    <d v="2019-10-01T00:00:00"/>
    <x v="29"/>
    <x v="1"/>
    <n v="500"/>
    <n v="56.15"/>
    <n v="28075"/>
    <s v="20191001N200001120"/>
    <n v="2019185"/>
    <s v="Rolling"/>
    <s v="IN302679-38296183"/>
    <s v="NSE"/>
    <n v="7.43"/>
    <n v="0.62"/>
    <n v="2.1"/>
    <n v="29.62"/>
    <n v="39.767699999999998"/>
  </r>
  <r>
    <d v="2019-10-01T00:00:00"/>
    <x v="29"/>
    <x v="0"/>
    <n v="500"/>
    <n v="54.8"/>
    <n v="27400"/>
    <s v="20191001N300017052"/>
    <n v="2019185"/>
    <s v="Rolling"/>
    <s v="IN302679-38296183"/>
    <s v="NSE"/>
    <n v="0"/>
    <n v="0.6"/>
    <n v="0"/>
    <n v="29.61"/>
    <n v="30.212800000000001"/>
  </r>
  <r>
    <d v="2019-10-01T00:00:00"/>
    <x v="2"/>
    <x v="0"/>
    <n v="50"/>
    <n v="30"/>
    <n v="1500"/>
    <s v="20191001N300026194"/>
    <n v="2019185"/>
    <s v="Rolling"/>
    <s v="IN302679-38296183"/>
    <s v="NSE"/>
    <n v="1.5"/>
    <n v="0.03"/>
    <n v="0"/>
    <n v="41.31"/>
    <n v="42.843000000000004"/>
  </r>
  <r>
    <d v="2019-10-01T00:00:00"/>
    <x v="4"/>
    <x v="0"/>
    <n v="100"/>
    <n v="31"/>
    <n v="3100"/>
    <s v="20191001N300034857"/>
    <n v="2019185"/>
    <s v="Rolling"/>
    <s v="IN302679-38296183"/>
    <s v="NSE"/>
    <n v="3.26"/>
    <n v="7.0000000000000007E-2"/>
    <n v="0"/>
    <n v="41.31"/>
    <n v="44.638199999999998"/>
  </r>
  <r>
    <d v="2019-10-01T00:00:00"/>
    <x v="4"/>
    <x v="0"/>
    <n v="25"/>
    <n v="39"/>
    <n v="975"/>
    <s v="20191001N900000314"/>
    <n v="2019185"/>
    <s v="Rolling"/>
    <s v="IN302679-38296183"/>
    <s v="NSE"/>
    <n v="0.82"/>
    <n v="0.02"/>
    <n v="0"/>
    <n v="28.77"/>
    <n v="29.611499999999999"/>
  </r>
  <r>
    <d v="2019-09-30T00:00:00"/>
    <x v="4"/>
    <x v="0"/>
    <n v="30"/>
    <n v="44.5"/>
    <n v="1335"/>
    <s v="20190930N300014794"/>
    <n v="2019184"/>
    <s v="Rolling"/>
    <s v="IN302679-38296183"/>
    <s v="NSE"/>
    <n v="1"/>
    <n v="0.03"/>
    <n v="0.3"/>
    <n v="39.39"/>
    <n v="40.719299999999997"/>
  </r>
  <r>
    <d v="2019-09-27T00:00:00"/>
    <x v="4"/>
    <x v="0"/>
    <n v="10"/>
    <n v="49"/>
    <n v="490"/>
    <s v="20190927N300026861"/>
    <n v="2019183"/>
    <s v="Rolling"/>
    <s v="IN302679-38296183"/>
    <s v="NSE"/>
    <n v="0"/>
    <n v="0.01"/>
    <n v="0.3"/>
    <n v="14.46"/>
    <n v="14.770799999999999"/>
  </r>
  <r>
    <d v="2019-09-25T00:00:00"/>
    <x v="5"/>
    <x v="0"/>
    <n v="10"/>
    <n v="218"/>
    <n v="2180"/>
    <s v="20190925N300016620"/>
    <n v="2019181"/>
    <s v="Rolling"/>
    <s v="IN302679-38296183"/>
    <s v="NSE"/>
    <n v="2"/>
    <n v="0.05"/>
    <n v="0.3"/>
    <n v="41.31"/>
    <n v="43.658000000000001"/>
  </r>
  <r>
    <d v="2019-09-24T00:00:00"/>
    <x v="1"/>
    <x v="1"/>
    <n v="100"/>
    <n v="276.26"/>
    <n v="27625.9"/>
    <s v="20190924N300014185"/>
    <n v="2019180"/>
    <s v="Rolling"/>
    <s v="IN302679-38296183"/>
    <s v="NSE"/>
    <n v="7"/>
    <n v="0.61"/>
    <n v="1.8"/>
    <n v="29.62"/>
    <n v="39.027799999999999"/>
  </r>
  <r>
    <d v="2019-09-24T00:00:00"/>
    <x v="1"/>
    <x v="0"/>
    <n v="100"/>
    <n v="274"/>
    <n v="27400"/>
    <s v="20190924N300014840"/>
    <n v="2019180"/>
    <s v="Rolling"/>
    <s v="IN302679-38296183"/>
    <s v="NSE"/>
    <n v="0"/>
    <n v="0.6"/>
    <n v="0"/>
    <n v="29.61"/>
    <n v="30.212800000000001"/>
  </r>
  <r>
    <d v="2019-09-24T00:00:00"/>
    <x v="2"/>
    <x v="0"/>
    <n v="100"/>
    <n v="30"/>
    <n v="3000"/>
    <s v="20190924N300019867"/>
    <n v="2019180"/>
    <s v="Rolling"/>
    <s v="IN302679-38296183"/>
    <s v="NSE"/>
    <n v="3"/>
    <n v="7.0000000000000007E-2"/>
    <n v="0"/>
    <n v="41.31"/>
    <n v="44.375999999999998"/>
  </r>
  <r>
    <d v="2019-09-19T00:00:00"/>
    <x v="4"/>
    <x v="0"/>
    <n v="10"/>
    <n v="54"/>
    <n v="540"/>
    <s v="20190919N300025632"/>
    <n v="2019177"/>
    <s v="Rolling"/>
    <s v="IN302679-38296183"/>
    <s v="NSE"/>
    <n v="1"/>
    <n v="0.01"/>
    <n v="0.3"/>
    <n v="15.93"/>
    <n v="17.241800000000001"/>
  </r>
  <r>
    <d v="2019-09-03T00:00:00"/>
    <x v="29"/>
    <x v="0"/>
    <n v="1000"/>
    <n v="55"/>
    <n v="55000"/>
    <s v="20190903N300016177"/>
    <n v="2019166"/>
    <s v="Rolling"/>
    <s v="IN302679-38296183"/>
    <s v="NSE"/>
    <n v="0"/>
    <n v="1.21"/>
    <n v="0"/>
    <n v="32.67"/>
    <n v="33.880000000000003"/>
  </r>
  <r>
    <d v="2019-09-03T00:00:00"/>
    <x v="29"/>
    <x v="1"/>
    <n v="1000"/>
    <n v="55.1"/>
    <n v="55100"/>
    <s v="20190903N300022857"/>
    <n v="2019166"/>
    <s v="Rolling"/>
    <s v="IN302679-38296183"/>
    <s v="NSE"/>
    <n v="13.3"/>
    <n v="1.21"/>
    <n v="0"/>
    <n v="32.729999999999997"/>
    <n v="47.242199999999997"/>
  </r>
  <r>
    <d v="2019-09-03T00:00:00"/>
    <x v="29"/>
    <x v="0"/>
    <n v="1000"/>
    <n v="55"/>
    <n v="55000"/>
    <s v="20190903N300027630"/>
    <n v="2019166"/>
    <s v="Rolling"/>
    <s v="IN302679-38296183"/>
    <s v="NSE"/>
    <n v="0"/>
    <n v="1.21"/>
    <n v="6.6"/>
    <n v="32.659999999999997"/>
    <n v="40.47"/>
  </r>
  <r>
    <d v="2019-09-03T00:00:00"/>
    <x v="29"/>
    <x v="1"/>
    <n v="1000"/>
    <n v="54.1"/>
    <n v="54100"/>
    <s v="20190903N300030008"/>
    <n v="2019166"/>
    <s v="Rolling"/>
    <s v="IN302679-38296183"/>
    <s v="NSE"/>
    <n v="13.7"/>
    <n v="1.19"/>
    <n v="0"/>
    <n v="32.130000000000003"/>
    <n v="47.020200000000003"/>
  </r>
  <r>
    <d v="2019-08-30T00:00:00"/>
    <x v="4"/>
    <x v="0"/>
    <n v="1000"/>
    <n v="57.7"/>
    <n v="57700"/>
    <s v="20190830N300020078"/>
    <n v="2019165"/>
    <s v="Rolling"/>
    <s v="IN302679-38296183"/>
    <s v="NSE"/>
    <n v="0"/>
    <n v="1.27"/>
    <n v="3.6"/>
    <n v="34.270000000000003"/>
    <n v="39.139400000000002"/>
  </r>
  <r>
    <d v="2019-08-30T00:00:00"/>
    <x v="4"/>
    <x v="1"/>
    <n v="1000"/>
    <n v="58"/>
    <n v="58000"/>
    <s v="20190830N300020088"/>
    <n v="2019165"/>
    <s v="Rolling"/>
    <s v="IN302679-38296183"/>
    <s v="NSE"/>
    <n v="14"/>
    <n v="1.28"/>
    <n v="0"/>
    <n v="34.450000000000003"/>
    <n v="49.725999999999999"/>
  </r>
  <r>
    <d v="2019-08-27T00:00:00"/>
    <x v="29"/>
    <x v="1"/>
    <n v="5000"/>
    <n v="55.6"/>
    <n v="278000"/>
    <s v="20190827N300012584"/>
    <n v="2019162"/>
    <s v="Rolling"/>
    <s v="IN302679-38296183"/>
    <s v="NSE"/>
    <n v="72.010000000000005"/>
    <n v="6.12"/>
    <n v="0"/>
    <n v="165.12"/>
    <n v="243.24600000000001"/>
  </r>
  <r>
    <d v="2019-08-27T00:00:00"/>
    <x v="29"/>
    <x v="0"/>
    <n v="2621"/>
    <n v="57.4"/>
    <n v="150445.4"/>
    <s v="20190827N300013979"/>
    <n v="2019162"/>
    <s v="Rolling"/>
    <s v="IN302679-38296183"/>
    <s v="NSE"/>
    <n v="0"/>
    <n v="3.31"/>
    <n v="34.799999999999997"/>
    <n v="89.33"/>
    <n v="127.44"/>
  </r>
  <r>
    <d v="2019-08-27T00:00:00"/>
    <x v="29"/>
    <x v="0"/>
    <n v="2379"/>
    <n v="57.45"/>
    <n v="136673.54999999999"/>
    <s v="20190827N300013995"/>
    <n v="2019162"/>
    <s v="Rolling"/>
    <s v="IN302679-38296183"/>
    <s v="NSE"/>
    <n v="0"/>
    <n v="3.01"/>
    <n v="0"/>
    <n v="81.180000000000007"/>
    <n v="84.186800000000005"/>
  </r>
  <r>
    <d v="2019-08-27T00:00:00"/>
    <x v="29"/>
    <x v="1"/>
    <n v="5000"/>
    <n v="58.4"/>
    <n v="292000"/>
    <s v="20190827N300015670"/>
    <n v="2019162"/>
    <s v="Rolling"/>
    <s v="IN302679-38296183"/>
    <s v="NSE"/>
    <n v="71.989999999999995"/>
    <n v="6.42"/>
    <n v="0"/>
    <n v="173.43"/>
    <n v="251.84399999999999"/>
  </r>
  <r>
    <d v="2019-08-27T00:00:00"/>
    <x v="29"/>
    <x v="0"/>
    <n v="5000"/>
    <n v="59"/>
    <n v="295000"/>
    <s v="20190827N300019131"/>
    <n v="2019162"/>
    <s v="Rolling"/>
    <s v="IN302679-38296183"/>
    <s v="NSE"/>
    <n v="0"/>
    <n v="6.49"/>
    <n v="0"/>
    <n v="175.22"/>
    <n v="181.71"/>
  </r>
  <r>
    <d v="2019-08-26T00:00:00"/>
    <x v="30"/>
    <x v="1"/>
    <n v="1000"/>
    <n v="60.25"/>
    <n v="60250"/>
    <s v="20190826N300012437"/>
    <n v="2019161"/>
    <s v="Rolling"/>
    <s v="IN302679-38296183"/>
    <s v="NSE"/>
    <n v="15.2"/>
    <n v="1.33"/>
    <n v="0"/>
    <n v="35.78"/>
    <n v="52.305500000000002"/>
  </r>
  <r>
    <d v="2019-08-26T00:00:00"/>
    <x v="30"/>
    <x v="1"/>
    <n v="680"/>
    <n v="61"/>
    <n v="41480"/>
    <s v="20190826N300014121"/>
    <n v="2019161"/>
    <s v="Rolling"/>
    <s v="IN302679-38296183"/>
    <s v="NSE"/>
    <n v="10.33"/>
    <n v="0.91"/>
    <n v="0"/>
    <n v="29.66"/>
    <n v="40.9026"/>
  </r>
  <r>
    <d v="2019-08-26T00:00:00"/>
    <x v="29"/>
    <x v="1"/>
    <n v="2500"/>
    <n v="54.5"/>
    <n v="136250"/>
    <s v="20190826N300014838"/>
    <n v="2019161"/>
    <s v="Rolling"/>
    <s v="IN302679-38296183"/>
    <s v="NSE"/>
    <n v="34.340000000000003"/>
    <n v="3"/>
    <n v="0"/>
    <n v="80.930000000000007"/>
    <n v="118.26730000000001"/>
  </r>
  <r>
    <d v="2019-08-26T00:00:00"/>
    <x v="29"/>
    <x v="0"/>
    <n v="2500"/>
    <n v="53.7"/>
    <n v="134250"/>
    <s v="20190826N300016221"/>
    <n v="2019161"/>
    <s v="Rolling"/>
    <s v="IN302679-38296183"/>
    <s v="NSE"/>
    <n v="0"/>
    <n v="2.95"/>
    <n v="46.2"/>
    <n v="79.73"/>
    <n v="128.8836"/>
  </r>
  <r>
    <d v="2019-08-26T00:00:00"/>
    <x v="30"/>
    <x v="0"/>
    <n v="1680"/>
    <n v="60.7"/>
    <n v="101976"/>
    <s v="20190826N300016596"/>
    <n v="2019161"/>
    <s v="Rolling"/>
    <s v="IN302679-38296183"/>
    <s v="NSE"/>
    <n v="0"/>
    <n v="2.2400000000000002"/>
    <n v="0"/>
    <n v="60.57"/>
    <n v="62.813400000000001"/>
  </r>
  <r>
    <d v="2019-08-26T00:00:00"/>
    <x v="30"/>
    <x v="0"/>
    <n v="2500"/>
    <n v="60.6"/>
    <n v="151500"/>
    <s v="20190826N300018204"/>
    <n v="2019161"/>
    <s v="Rolling"/>
    <s v="IN302679-38296183"/>
    <s v="NSE"/>
    <n v="0"/>
    <n v="3.33"/>
    <n v="0"/>
    <n v="89.99"/>
    <n v="93.322999999999993"/>
  </r>
  <r>
    <d v="2019-08-26T00:00:00"/>
    <x v="30"/>
    <x v="0"/>
    <n v="1000"/>
    <n v="60.1"/>
    <n v="60100"/>
    <s v="20190826N300019643"/>
    <n v="2019161"/>
    <s v="Rolling"/>
    <s v="IN302679-38296183"/>
    <s v="NSE"/>
    <n v="0"/>
    <n v="1.32"/>
    <n v="0"/>
    <n v="35.700000000000003"/>
    <n v="37.022199999999998"/>
  </r>
  <r>
    <d v="2019-08-26T00:00:00"/>
    <x v="30"/>
    <x v="1"/>
    <n v="3500"/>
    <n v="61.25"/>
    <n v="214375"/>
    <s v="20190826N300021702"/>
    <n v="2019161"/>
    <s v="Rolling"/>
    <s v="IN302679-38296183"/>
    <s v="NSE"/>
    <n v="52.83"/>
    <n v="4.72"/>
    <n v="0"/>
    <n v="127.33"/>
    <n v="184.87629999999999"/>
  </r>
  <r>
    <d v="2019-08-26T00:00:00"/>
    <x v="29"/>
    <x v="1"/>
    <n v="1000"/>
    <n v="53.5"/>
    <n v="53500"/>
    <s v="20190826N300022347"/>
    <n v="2019161"/>
    <s v="Rolling"/>
    <s v="IN302679-38296183"/>
    <s v="NSE"/>
    <n v="13.74"/>
    <n v="1.18"/>
    <n v="0"/>
    <n v="31.78"/>
    <n v="46.697000000000003"/>
  </r>
  <r>
    <d v="2019-08-26T00:00:00"/>
    <x v="29"/>
    <x v="1"/>
    <n v="1000"/>
    <n v="54.5"/>
    <n v="54500"/>
    <s v="20190826N300024607"/>
    <n v="2019161"/>
    <s v="Rolling"/>
    <s v="IN302679-38296183"/>
    <s v="NSE"/>
    <n v="13.74"/>
    <n v="1.2"/>
    <n v="0"/>
    <n v="32.369999999999997"/>
    <n v="47.308999999999997"/>
  </r>
  <r>
    <d v="2019-08-26T00:00:00"/>
    <x v="31"/>
    <x v="0"/>
    <n v="200"/>
    <n v="193.5"/>
    <n v="38700"/>
    <s v="20190826N300025205"/>
    <n v="2019161"/>
    <s v="Rolling"/>
    <s v="IN302679-38296183"/>
    <s v="NSE"/>
    <n v="0"/>
    <n v="0.85"/>
    <n v="0"/>
    <n v="29.65"/>
    <n v="30.5014"/>
  </r>
  <r>
    <d v="2019-08-26T00:00:00"/>
    <x v="29"/>
    <x v="1"/>
    <n v="1000"/>
    <n v="55"/>
    <n v="55000"/>
    <s v="20190826N300025227"/>
    <n v="2019161"/>
    <s v="Rolling"/>
    <s v="IN302679-38296183"/>
    <s v="NSE"/>
    <n v="13.74"/>
    <n v="1.21"/>
    <n v="0"/>
    <n v="32.67"/>
    <n v="47.62"/>
  </r>
  <r>
    <d v="2019-08-26T00:00:00"/>
    <x v="29"/>
    <x v="1"/>
    <n v="1000"/>
    <n v="55.5"/>
    <n v="55500"/>
    <s v="20190826N300025426"/>
    <n v="2019161"/>
    <s v="Rolling"/>
    <s v="IN302679-38296183"/>
    <s v="NSE"/>
    <n v="13.74"/>
    <n v="1.22"/>
    <n v="0"/>
    <n v="32.96"/>
    <n v="47.920999999999999"/>
  </r>
  <r>
    <d v="2019-08-26T00:00:00"/>
    <x v="29"/>
    <x v="1"/>
    <n v="1000"/>
    <n v="55.7"/>
    <n v="55700"/>
    <s v="20190826N300026527"/>
    <n v="2019161"/>
    <s v="Rolling"/>
    <s v="IN302679-38296183"/>
    <s v="NSE"/>
    <n v="13.74"/>
    <n v="1.23"/>
    <n v="0"/>
    <n v="33.08"/>
    <n v="48.045400000000001"/>
  </r>
  <r>
    <d v="2019-08-26T00:00:00"/>
    <x v="29"/>
    <x v="0"/>
    <n v="5000"/>
    <n v="55.9"/>
    <n v="279500"/>
    <s v="20190826N300028383"/>
    <n v="2019161"/>
    <s v="Rolling"/>
    <s v="IN302679-38296183"/>
    <s v="NSE"/>
    <n v="0"/>
    <n v="6.15"/>
    <n v="0"/>
    <n v="166.01"/>
    <n v="172.15899999999999"/>
  </r>
  <r>
    <d v="2019-08-26T00:00:00"/>
    <x v="31"/>
    <x v="1"/>
    <n v="200"/>
    <n v="191.14"/>
    <n v="38228.6"/>
    <s v="20190826N300029047"/>
    <n v="2019161"/>
    <s v="Rolling"/>
    <s v="IN302679-38296183"/>
    <s v="NSE"/>
    <n v="9.6199999999999992"/>
    <n v="0.84"/>
    <n v="0"/>
    <n v="29.65"/>
    <n v="40.110999999999997"/>
  </r>
  <r>
    <d v="2019-08-23T00:00:00"/>
    <x v="30"/>
    <x v="0"/>
    <n v="5000"/>
    <n v="59.1"/>
    <n v="295500"/>
    <s v="20190823N300013818"/>
    <n v="2019160"/>
    <s v="Rolling"/>
    <s v="IN302679-38296183"/>
    <s v="NSE"/>
    <n v="0"/>
    <n v="6.5"/>
    <n v="0"/>
    <n v="175.51"/>
    <n v="182.011"/>
  </r>
  <r>
    <d v="2019-08-23T00:00:00"/>
    <x v="29"/>
    <x v="1"/>
    <n v="1000"/>
    <n v="52.6"/>
    <n v="52600"/>
    <s v="20190823N300020173"/>
    <n v="2019160"/>
    <s v="Rolling"/>
    <s v="IN302679-38296183"/>
    <s v="NSE"/>
    <n v="13.87"/>
    <n v="1.1599999999999999"/>
    <n v="0"/>
    <n v="31.24"/>
    <n v="46.267200000000003"/>
  </r>
  <r>
    <d v="2019-08-23T00:00:00"/>
    <x v="29"/>
    <x v="0"/>
    <n v="522"/>
    <n v="54.25"/>
    <n v="28318.5"/>
    <s v="20190823N300020753"/>
    <n v="2019160"/>
    <s v="Rolling"/>
    <s v="IN302679-38296183"/>
    <s v="NSE"/>
    <n v="0"/>
    <n v="0.62"/>
    <n v="21"/>
    <n v="29.61"/>
    <n v="51.232999999999997"/>
  </r>
  <r>
    <d v="2019-08-23T00:00:00"/>
    <x v="29"/>
    <x v="0"/>
    <n v="478"/>
    <n v="54.45"/>
    <n v="26027.1"/>
    <s v="20190823N300020785"/>
    <n v="2019160"/>
    <s v="Rolling"/>
    <s v="IN302679-38296183"/>
    <s v="NSE"/>
    <n v="0"/>
    <n v="0.56999999999999995"/>
    <n v="0"/>
    <n v="29.6"/>
    <n v="30.172599999999999"/>
  </r>
  <r>
    <d v="2019-08-23T00:00:00"/>
    <x v="30"/>
    <x v="1"/>
    <n v="1029"/>
    <n v="59.7"/>
    <n v="61431.3"/>
    <s v="20190823N300020792"/>
    <n v="2019160"/>
    <s v="Rolling"/>
    <s v="IN302679-38296183"/>
    <s v="NSE"/>
    <n v="15.26"/>
    <n v="1.35"/>
    <n v="0"/>
    <n v="36.49"/>
    <n v="53.101599999999998"/>
  </r>
  <r>
    <d v="2019-08-23T00:00:00"/>
    <x v="30"/>
    <x v="1"/>
    <n v="3971"/>
    <n v="59.45"/>
    <n v="236075.95"/>
    <s v="20190823N300026644"/>
    <n v="2019160"/>
    <s v="Rolling"/>
    <s v="IN302679-38296183"/>
    <s v="NSE"/>
    <n v="58.87"/>
    <n v="5.19"/>
    <n v="0"/>
    <n v="140.22"/>
    <n v="204.28360000000001"/>
  </r>
  <r>
    <d v="2019-08-22T00:00:00"/>
    <x v="32"/>
    <x v="1"/>
    <n v="1250"/>
    <n v="184.5"/>
    <n v="230625"/>
    <s v="20190822N300014433"/>
    <n v="2019159"/>
    <s v="Rolling"/>
    <s v="IN302902-46841937"/>
    <s v="NSE"/>
    <n v="231"/>
    <n v="5.07"/>
    <n v="7.2"/>
    <n v="1497.67"/>
    <n v="1740.9437"/>
  </r>
  <r>
    <d v="2019-08-21T00:00:00"/>
    <x v="30"/>
    <x v="0"/>
    <n v="5000"/>
    <n v="61.35"/>
    <n v="306750"/>
    <s v="20190821N200000851"/>
    <n v="2019158"/>
    <s v="Rolling"/>
    <s v="IN302679-38296183"/>
    <s v="NSE"/>
    <n v="0"/>
    <n v="6.75"/>
    <n v="0"/>
    <n v="182.2"/>
    <n v="188.9486"/>
  </r>
  <r>
    <d v="2019-08-21T00:00:00"/>
    <x v="30"/>
    <x v="1"/>
    <n v="5000"/>
    <n v="62"/>
    <n v="310000"/>
    <s v="20190821N200000990"/>
    <n v="2019158"/>
    <s v="Rolling"/>
    <s v="IN302679-38296183"/>
    <s v="NSE"/>
    <n v="77.09"/>
    <n v="6.82"/>
    <n v="0"/>
    <n v="184.16"/>
    <n v="268.07040000000001"/>
  </r>
  <r>
    <d v="2019-08-21T00:00:00"/>
    <x v="32"/>
    <x v="0"/>
    <n v="500"/>
    <n v="192.4"/>
    <n v="96200"/>
    <s v="20190821N300012928"/>
    <n v="2019158"/>
    <s v="Rolling"/>
    <s v="IN302902-46841937"/>
    <s v="NSE"/>
    <n v="0"/>
    <n v="2.12"/>
    <n v="0"/>
    <n v="57.14"/>
    <n v="59.256399999999999"/>
  </r>
  <r>
    <d v="2019-08-21T00:00:00"/>
    <x v="32"/>
    <x v="1"/>
    <n v="500"/>
    <n v="195"/>
    <n v="97500"/>
    <s v="20190821N300013424"/>
    <n v="2019158"/>
    <s v="Rolling"/>
    <s v="IN302902-46841937"/>
    <s v="NSE"/>
    <n v="23.93"/>
    <n v="2.15"/>
    <n v="0"/>
    <n v="57.91"/>
    <n v="83.984999999999999"/>
  </r>
  <r>
    <d v="2019-08-21T00:00:00"/>
    <x v="24"/>
    <x v="0"/>
    <n v="10"/>
    <n v="122.5"/>
    <n v="1225"/>
    <s v="20190821N300014259"/>
    <n v="2019158"/>
    <s v="Rolling"/>
    <s v="IN302679-38296183"/>
    <s v="NSE"/>
    <n v="1.23"/>
    <n v="0.03"/>
    <n v="0"/>
    <n v="36.14"/>
    <n v="37.396999999999998"/>
  </r>
  <r>
    <d v="2019-08-21T00:00:00"/>
    <x v="2"/>
    <x v="0"/>
    <n v="25"/>
    <n v="32"/>
    <n v="800"/>
    <s v="20190821N300014626"/>
    <n v="2019158"/>
    <s v="Rolling"/>
    <s v="IN302679-38296183"/>
    <s v="NSE"/>
    <n v="0.41"/>
    <n v="0.02"/>
    <n v="35.1"/>
    <n v="23.6"/>
    <n v="59.127600000000001"/>
  </r>
  <r>
    <d v="2019-08-21T00:00:00"/>
    <x v="31"/>
    <x v="1"/>
    <n v="100"/>
    <n v="180"/>
    <n v="18000"/>
    <s v="20190821N300015899"/>
    <n v="2019158"/>
    <s v="Rolling"/>
    <s v="IN302679-38296183"/>
    <s v="NSE"/>
    <n v="4.6500000000000004"/>
    <n v="0.4"/>
    <n v="0"/>
    <n v="29.57"/>
    <n v="34.616"/>
  </r>
  <r>
    <d v="2019-08-21T00:00:00"/>
    <x v="32"/>
    <x v="0"/>
    <n v="250"/>
    <n v="192"/>
    <n v="48000"/>
    <s v="20190821N300018873"/>
    <n v="2019158"/>
    <s v="Rolling"/>
    <s v="IN302902-46841937"/>
    <s v="NSE"/>
    <n v="47.86"/>
    <n v="1.06"/>
    <n v="0"/>
    <n v="311.70999999999998"/>
    <n v="360.62599999999998"/>
  </r>
  <r>
    <d v="2019-08-21T00:00:00"/>
    <x v="31"/>
    <x v="0"/>
    <n v="300"/>
    <n v="187"/>
    <n v="56100"/>
    <s v="20190821N300019065"/>
    <n v="2019158"/>
    <s v="Rolling"/>
    <s v="IN302679-38296183"/>
    <s v="NSE"/>
    <n v="0"/>
    <n v="1.23"/>
    <n v="0"/>
    <n v="33.32"/>
    <n v="34.554200000000002"/>
  </r>
  <r>
    <d v="2019-08-21T00:00:00"/>
    <x v="32"/>
    <x v="0"/>
    <n v="1000"/>
    <n v="189"/>
    <n v="189000"/>
    <s v="20190821N300021975"/>
    <n v="2019158"/>
    <s v="Rolling"/>
    <s v="IN302902-46841937"/>
    <s v="NSE"/>
    <n v="191.42"/>
    <n v="4.16"/>
    <n v="0"/>
    <n v="1227.3599999999999"/>
    <n v="1422.9380000000001"/>
  </r>
  <r>
    <d v="2019-08-21T00:00:00"/>
    <x v="31"/>
    <x v="1"/>
    <n v="200"/>
    <n v="188"/>
    <n v="37600"/>
    <s v="20190821N300022014"/>
    <n v="2019158"/>
    <s v="Rolling"/>
    <s v="IN302679-38296183"/>
    <s v="NSE"/>
    <n v="9.31"/>
    <n v="0.83"/>
    <n v="0"/>
    <n v="29.65"/>
    <n v="39.787199999999999"/>
  </r>
  <r>
    <d v="2019-08-21T00:00:00"/>
    <x v="6"/>
    <x v="0"/>
    <n v="100"/>
    <n v="21"/>
    <n v="2100"/>
    <s v="20190821N900009641"/>
    <n v="2019158"/>
    <s v="Rolling"/>
    <s v="IN302679-38296183"/>
    <s v="NSE"/>
    <n v="2.1"/>
    <n v="0.05"/>
    <n v="0"/>
    <n v="41.31"/>
    <n v="43.456200000000003"/>
  </r>
  <r>
    <d v="2019-08-20T00:00:00"/>
    <x v="30"/>
    <x v="0"/>
    <n v="1000"/>
    <n v="62.25"/>
    <n v="62250"/>
    <s v="20190820N300014903"/>
    <n v="2019157"/>
    <s v="Rolling"/>
    <s v="IN302679-38296183"/>
    <s v="NSE"/>
    <n v="0"/>
    <n v="1.37"/>
    <n v="0"/>
    <n v="36.97"/>
    <n v="38.339599999999997"/>
  </r>
  <r>
    <d v="2019-08-20T00:00:00"/>
    <x v="30"/>
    <x v="0"/>
    <n v="1500"/>
    <n v="61.9"/>
    <n v="92850"/>
    <s v="20190820N300022115"/>
    <n v="2019157"/>
    <s v="Rolling"/>
    <s v="IN302679-38296183"/>
    <s v="NSE"/>
    <n v="0"/>
    <n v="2.04"/>
    <n v="9.6"/>
    <n v="55.15"/>
    <n v="66.7928"/>
  </r>
  <r>
    <d v="2019-08-20T00:00:00"/>
    <x v="30"/>
    <x v="1"/>
    <n v="2500"/>
    <n v="61.6"/>
    <n v="154000"/>
    <s v="20190820N300025318"/>
    <n v="2019157"/>
    <s v="Rolling"/>
    <s v="IN302679-38296183"/>
    <s v="NSE"/>
    <n v="39.04"/>
    <n v="3.39"/>
    <n v="0"/>
    <n v="91.47"/>
    <n v="133.898"/>
  </r>
  <r>
    <d v="2019-08-20T00:00:00"/>
    <x v="2"/>
    <x v="0"/>
    <n v="25"/>
    <n v="34.5"/>
    <n v="862.5"/>
    <s v="20190820N900000231"/>
    <n v="2019157"/>
    <s v="Rolling"/>
    <s v="IN302679-38296183"/>
    <s v="NSE"/>
    <n v="0.86"/>
    <n v="0.02"/>
    <n v="0"/>
    <n v="25.45"/>
    <n v="26.329000000000001"/>
  </r>
  <r>
    <d v="2019-08-20T00:00:00"/>
    <x v="2"/>
    <x v="0"/>
    <n v="25"/>
    <n v="34"/>
    <n v="850"/>
    <s v="20190820N900000232"/>
    <n v="2019157"/>
    <s v="Rolling"/>
    <s v="IN302679-38296183"/>
    <s v="NSE"/>
    <n v="0.86"/>
    <n v="0.02"/>
    <n v="0"/>
    <n v="25.08"/>
    <n v="25.9588"/>
  </r>
  <r>
    <d v="2019-08-20T00:00:00"/>
    <x v="33"/>
    <x v="0"/>
    <n v="50"/>
    <n v="25"/>
    <n v="1250"/>
    <s v="20190820N900012166"/>
    <n v="2019157"/>
    <s v="Rolling"/>
    <s v="IN302679-38296183"/>
    <s v="NSE"/>
    <n v="1.25"/>
    <n v="0.03"/>
    <n v="0"/>
    <n v="36.880000000000003"/>
    <n v="38.157600000000002"/>
  </r>
  <r>
    <d v="2019-08-19T00:00:00"/>
    <x v="34"/>
    <x v="0"/>
    <n v="25"/>
    <n v="1610.5"/>
    <n v="40262.5"/>
    <s v="20190819N300013410"/>
    <n v="2019156"/>
    <s v="Rolling"/>
    <s v="IN302679-38296183"/>
    <s v="NSE"/>
    <n v="0"/>
    <n v="0.89"/>
    <n v="0"/>
    <n v="29.66"/>
    <n v="30.5458"/>
  </r>
  <r>
    <d v="2019-08-19T00:00:00"/>
    <x v="34"/>
    <x v="1"/>
    <n v="25"/>
    <n v="1603.36"/>
    <n v="40084"/>
    <s v="20190819N300013446"/>
    <n v="2019156"/>
    <s v="Rolling"/>
    <s v="IN302679-38296183"/>
    <s v="NSE"/>
    <n v="9.65"/>
    <n v="0.88"/>
    <n v="10.199999999999999"/>
    <n v="29.66"/>
    <n v="50.391800000000003"/>
  </r>
  <r>
    <d v="2019-08-19T00:00:00"/>
    <x v="30"/>
    <x v="1"/>
    <n v="1000"/>
    <n v="64.599999999999994"/>
    <n v="64600"/>
    <s v="20190819N300016803"/>
    <n v="2019156"/>
    <s v="Rolling"/>
    <s v="IN302679-38296183"/>
    <s v="NSE"/>
    <n v="16.079999999999998"/>
    <n v="1.42"/>
    <n v="0"/>
    <n v="38.369999999999997"/>
    <n v="55.871200000000002"/>
  </r>
  <r>
    <d v="2019-08-19T00:00:00"/>
    <x v="30"/>
    <x v="0"/>
    <n v="1000"/>
    <n v="64.45"/>
    <n v="64450"/>
    <s v="20190819N300021743"/>
    <n v="2019156"/>
    <s v="Rolling"/>
    <s v="IN302679-38296183"/>
    <s v="NSE"/>
    <n v="0"/>
    <n v="1.42"/>
    <n v="0"/>
    <n v="38.29"/>
    <n v="39.707799999999999"/>
  </r>
  <r>
    <d v="2019-08-19T00:00:00"/>
    <x v="30"/>
    <x v="0"/>
    <n v="1000"/>
    <n v="64.099999999999994"/>
    <n v="64100"/>
    <s v="20190819N300022752"/>
    <n v="2019156"/>
    <s v="Rolling"/>
    <s v="IN302679-38296183"/>
    <s v="NSE"/>
    <n v="0"/>
    <n v="1.41"/>
    <n v="0"/>
    <n v="38.07"/>
    <n v="39.480200000000004"/>
  </r>
  <r>
    <d v="2019-08-19T00:00:00"/>
    <x v="30"/>
    <x v="1"/>
    <n v="1000"/>
    <n v="64.150000000000006"/>
    <n v="64150"/>
    <s v="20190819N300025651"/>
    <n v="2019156"/>
    <s v="Rolling"/>
    <s v="IN302679-38296183"/>
    <s v="NSE"/>
    <n v="16.079999999999998"/>
    <n v="1.41"/>
    <n v="0"/>
    <n v="38.11"/>
    <n v="55.601300000000002"/>
  </r>
  <r>
    <d v="2019-08-19T00:00:00"/>
    <x v="5"/>
    <x v="0"/>
    <n v="10"/>
    <n v="219"/>
    <n v="2190"/>
    <s v="20190819N900008475"/>
    <n v="2019156"/>
    <s v="Rolling"/>
    <s v="IN302679-38296183"/>
    <s v="NSE"/>
    <n v="2.19"/>
    <n v="0.05"/>
    <n v="0"/>
    <n v="41.31"/>
    <n v="43.548200000000001"/>
  </r>
  <r>
    <d v="2019-08-16T00:00:00"/>
    <x v="30"/>
    <x v="1"/>
    <n v="1000"/>
    <n v="62.5"/>
    <n v="62500"/>
    <s v="20190816N300015170"/>
    <n v="2019155"/>
    <s v="Rolling"/>
    <s v="IN302679-38296183"/>
    <s v="NSE"/>
    <n v="16.079999999999998"/>
    <n v="1.38"/>
    <n v="0"/>
    <n v="37.119999999999997"/>
    <n v="54.575000000000003"/>
  </r>
  <r>
    <d v="2019-08-16T00:00:00"/>
    <x v="30"/>
    <x v="1"/>
    <n v="1000"/>
    <n v="63.5"/>
    <n v="63500"/>
    <s v="20190816N300016588"/>
    <n v="2019155"/>
    <s v="Rolling"/>
    <s v="IN302679-38296183"/>
    <s v="NSE"/>
    <n v="16.53"/>
    <n v="1.4"/>
    <n v="0"/>
    <n v="37.72"/>
    <n v="55.646999999999998"/>
  </r>
  <r>
    <d v="2019-08-16T00:00:00"/>
    <x v="30"/>
    <x v="1"/>
    <n v="1000"/>
    <n v="64.2"/>
    <n v="64200"/>
    <s v="20190816N300023159"/>
    <n v="2019155"/>
    <s v="Rolling"/>
    <s v="IN302679-38296183"/>
    <s v="NSE"/>
    <n v="16.079999999999998"/>
    <n v="1.41"/>
    <n v="0"/>
    <n v="38.130000000000003"/>
    <n v="55.622399999999999"/>
  </r>
  <r>
    <d v="2019-08-16T00:00:00"/>
    <x v="30"/>
    <x v="1"/>
    <n v="1000"/>
    <n v="64.5"/>
    <n v="64500"/>
    <s v="20190816N300024990"/>
    <n v="2019155"/>
    <s v="Rolling"/>
    <s v="IN302679-38296183"/>
    <s v="NSE"/>
    <n v="16.079999999999998"/>
    <n v="1.42"/>
    <n v="0"/>
    <n v="38.31"/>
    <n v="55.808999999999997"/>
  </r>
  <r>
    <d v="2019-08-16T00:00:00"/>
    <x v="30"/>
    <x v="1"/>
    <n v="3000"/>
    <n v="65"/>
    <n v="195000"/>
    <s v="20190816N300025445"/>
    <n v="2019155"/>
    <s v="Rolling"/>
    <s v="IN302679-38296183"/>
    <s v="NSE"/>
    <n v="48.23"/>
    <n v="4.29"/>
    <n v="0"/>
    <n v="115.82"/>
    <n v="168.34"/>
  </r>
  <r>
    <d v="2019-08-16T00:00:00"/>
    <x v="30"/>
    <x v="0"/>
    <n v="7000"/>
    <n v="64.38"/>
    <n v="450680.25"/>
    <s v="20190816N300026722"/>
    <n v="2019155"/>
    <s v="Rolling"/>
    <s v="IN302679-38296183"/>
    <s v="NSE"/>
    <n v="0"/>
    <n v="9.92"/>
    <n v="27.3"/>
    <n v="267.7"/>
    <n v="304.91520000000003"/>
  </r>
  <r>
    <d v="2019-08-14T00:00:00"/>
    <x v="35"/>
    <x v="1"/>
    <n v="500"/>
    <n v="94.5"/>
    <n v="47250"/>
    <s v="20190814N300013827"/>
    <n v="2019154"/>
    <s v="Rolling"/>
    <s v="IN302679-38296183"/>
    <s v="NSE"/>
    <n v="11.79"/>
    <n v="1.04"/>
    <n v="20.399999999999999"/>
    <n v="29.69"/>
    <n v="62.919600000000003"/>
  </r>
  <r>
    <d v="2019-08-14T00:00:00"/>
    <x v="35"/>
    <x v="0"/>
    <n v="500"/>
    <n v="94.15"/>
    <n v="47075"/>
    <s v="20190814N300014943"/>
    <n v="2019154"/>
    <s v="Rolling"/>
    <s v="IN302679-38296183"/>
    <s v="NSE"/>
    <n v="0"/>
    <n v="1.04"/>
    <n v="0"/>
    <n v="29.69"/>
    <n v="30.7256"/>
  </r>
  <r>
    <d v="2019-08-14T00:00:00"/>
    <x v="30"/>
    <x v="0"/>
    <n v="2095"/>
    <n v="63.45"/>
    <n v="132927.75"/>
    <s v="20190814N300016653"/>
    <n v="2019154"/>
    <s v="Rolling"/>
    <s v="IN302679-38296183"/>
    <s v="NSE"/>
    <n v="0"/>
    <n v="2.92"/>
    <n v="0"/>
    <n v="78.959999999999994"/>
    <n v="81.884299999999996"/>
  </r>
  <r>
    <d v="2019-08-14T00:00:00"/>
    <x v="30"/>
    <x v="1"/>
    <n v="2095"/>
    <n v="63.7"/>
    <n v="133451.5"/>
    <s v="20190814N300017179"/>
    <n v="2019154"/>
    <s v="Rolling"/>
    <s v="IN302679-38296183"/>
    <s v="NSE"/>
    <n v="33.29"/>
    <n v="2.94"/>
    <n v="0"/>
    <n v="79.27"/>
    <n v="115.496"/>
  </r>
  <r>
    <d v="2019-08-14T00:00:00"/>
    <x v="30"/>
    <x v="1"/>
    <n v="1000"/>
    <n v="63.5"/>
    <n v="63500"/>
    <s v="20190814N300017760"/>
    <n v="2019154"/>
    <s v="Rolling"/>
    <s v="IN302679-38296183"/>
    <s v="NSE"/>
    <n v="15.89"/>
    <n v="1.4"/>
    <n v="0"/>
    <n v="37.72"/>
    <n v="55.006999999999998"/>
  </r>
  <r>
    <d v="2019-08-14T00:00:00"/>
    <x v="36"/>
    <x v="1"/>
    <n v="2000"/>
    <n v="47"/>
    <n v="94000"/>
    <s v="20190814N300018856"/>
    <n v="2019154"/>
    <s v="Rolling"/>
    <s v="IN302679-38296183"/>
    <s v="NSE"/>
    <n v="23.02"/>
    <n v="2.0699999999999998"/>
    <n v="0"/>
    <n v="55.84"/>
    <n v="80.928700000000006"/>
  </r>
  <r>
    <d v="2019-08-14T00:00:00"/>
    <x v="36"/>
    <x v="0"/>
    <n v="2000"/>
    <n v="46.25"/>
    <n v="92500"/>
    <s v="20190814N300021102"/>
    <n v="2019154"/>
    <s v="Rolling"/>
    <s v="IN302679-38296183"/>
    <s v="NSE"/>
    <n v="0"/>
    <n v="2.04"/>
    <n v="0"/>
    <n v="54.94"/>
    <n v="56.975000000000001"/>
  </r>
  <r>
    <d v="2019-08-14T00:00:00"/>
    <x v="30"/>
    <x v="0"/>
    <n v="1000"/>
    <n v="63.6"/>
    <n v="63600"/>
    <s v="20190814N300024477"/>
    <n v="2019154"/>
    <s v="Rolling"/>
    <s v="IN302679-38296183"/>
    <s v="NSE"/>
    <n v="0"/>
    <n v="1.4"/>
    <n v="0"/>
    <n v="37.78"/>
    <n v="39.179200000000002"/>
  </r>
  <r>
    <d v="2019-08-13T00:00:00"/>
    <x v="30"/>
    <x v="1"/>
    <n v="250"/>
    <n v="64.55"/>
    <n v="16137.5"/>
    <s v="20190813N300028752"/>
    <n v="2019153"/>
    <s v="Rolling"/>
    <s v="IN302679-38296183"/>
    <s v="NSE"/>
    <n v="3.98"/>
    <n v="0.36"/>
    <n v="2.1"/>
    <n v="29.56"/>
    <n v="35.994999999999997"/>
  </r>
  <r>
    <d v="2019-08-13T00:00:00"/>
    <x v="30"/>
    <x v="1"/>
    <n v="250"/>
    <n v="65.05"/>
    <n v="16262.5"/>
    <s v="20190813N300029028"/>
    <n v="2019153"/>
    <s v="Rolling"/>
    <s v="IN302679-38296183"/>
    <s v="NSE"/>
    <n v="4.03"/>
    <n v="0.36"/>
    <n v="0"/>
    <n v="29.56"/>
    <n v="33.947800000000001"/>
  </r>
  <r>
    <d v="2019-08-13T00:00:00"/>
    <x v="30"/>
    <x v="0"/>
    <n v="500"/>
    <n v="64"/>
    <n v="32000"/>
    <s v="20190813N300037288"/>
    <n v="2019153"/>
    <s v="Rolling"/>
    <s v="IN302679-38296183"/>
    <s v="NSE"/>
    <n v="0"/>
    <n v="0.7"/>
    <n v="0"/>
    <n v="29.63"/>
    <n v="30.334"/>
  </r>
  <r>
    <d v="2019-08-09T00:00:00"/>
    <x v="37"/>
    <x v="0"/>
    <n v="25"/>
    <n v="778.8"/>
    <n v="19470"/>
    <s v="20190809N300019451"/>
    <n v="2019152"/>
    <s v="Rolling"/>
    <s v="IN302679-38296183"/>
    <s v="NSE"/>
    <n v="0"/>
    <n v="0.7"/>
    <n v="0"/>
    <n v="29.63"/>
    <n v="30.331"/>
  </r>
  <r>
    <d v="2019-08-09T00:00:00"/>
    <x v="38"/>
    <x v="1"/>
    <n v="1000"/>
    <n v="111.95"/>
    <n v="111950"/>
    <s v="20190809N300019547"/>
    <n v="2019152"/>
    <s v="Rolling"/>
    <s v="IN302679-38296183"/>
    <s v="NSE"/>
    <n v="27.73"/>
    <n v="4.03"/>
    <n v="0"/>
    <n v="66.77"/>
    <n v="98.530199999999994"/>
  </r>
  <r>
    <d v="2019-08-09T00:00:00"/>
    <x v="38"/>
    <x v="0"/>
    <n v="1000"/>
    <n v="111.15"/>
    <n v="111150"/>
    <s v="20190809N300019557"/>
    <n v="2019152"/>
    <s v="Rolling"/>
    <s v="IN302679-38296183"/>
    <s v="NSE"/>
    <n v="0"/>
    <n v="4"/>
    <n v="0"/>
    <n v="66.290000000000006"/>
    <n v="70.291399999999996"/>
  </r>
  <r>
    <d v="2019-08-09T00:00:00"/>
    <x v="37"/>
    <x v="1"/>
    <n v="100"/>
    <n v="772"/>
    <n v="77200"/>
    <s v="20190809N300019865"/>
    <n v="2019152"/>
    <s v="Rolling"/>
    <s v="IN302679-38296183"/>
    <s v="NSE"/>
    <n v="19.27"/>
    <n v="2.78"/>
    <n v="0"/>
    <n v="46.05"/>
    <n v="68.099199999999996"/>
  </r>
  <r>
    <d v="2019-08-09T00:00:00"/>
    <x v="37"/>
    <x v="0"/>
    <n v="25"/>
    <n v="777"/>
    <n v="19425"/>
    <s v="20190809N300020332"/>
    <n v="2019152"/>
    <s v="Rolling"/>
    <s v="IN302679-38296183"/>
    <s v="NSE"/>
    <n v="0"/>
    <n v="0.7"/>
    <n v="11.4"/>
    <n v="29.63"/>
    <n v="41.729300000000002"/>
  </r>
  <r>
    <d v="2019-08-09T00:00:00"/>
    <x v="37"/>
    <x v="0"/>
    <n v="50"/>
    <n v="762"/>
    <n v="38100"/>
    <s v="20190809N300023545"/>
    <n v="2019152"/>
    <s v="Rolling"/>
    <s v="IN302679-38296183"/>
    <s v="NSE"/>
    <n v="0"/>
    <n v="1.37"/>
    <n v="0"/>
    <n v="29.75"/>
    <n v="31.121600000000001"/>
  </r>
  <r>
    <d v="2019-08-08T00:00:00"/>
    <x v="30"/>
    <x v="1"/>
    <n v="2500"/>
    <n v="62"/>
    <n v="155000"/>
    <s v="20190808N300011898"/>
    <n v="2019151"/>
    <s v="Rolling"/>
    <s v="IN302679-38296183"/>
    <s v="NSE"/>
    <n v="39.64"/>
    <n v="5.58"/>
    <n v="0"/>
    <n v="92.45"/>
    <n v="137.66999999999999"/>
  </r>
  <r>
    <d v="2019-08-08T00:00:00"/>
    <x v="30"/>
    <x v="0"/>
    <n v="10000"/>
    <n v="63.5"/>
    <n v="635000"/>
    <s v="20190808N300012004"/>
    <n v="2019151"/>
    <s v="Rolling"/>
    <s v="IN302679-38296183"/>
    <s v="NSE"/>
    <n v="0"/>
    <n v="22.86"/>
    <n v="0"/>
    <n v="378.76"/>
    <n v="401.62"/>
  </r>
  <r>
    <d v="2019-08-08T00:00:00"/>
    <x v="30"/>
    <x v="1"/>
    <n v="2500"/>
    <n v="63"/>
    <n v="157500"/>
    <s v="20190808N300012151"/>
    <n v="2019151"/>
    <s v="Rolling"/>
    <s v="IN302679-38296183"/>
    <s v="NSE"/>
    <n v="39.64"/>
    <n v="5.67"/>
    <n v="0"/>
    <n v="93.95"/>
    <n v="139.26"/>
  </r>
  <r>
    <d v="2019-08-08T00:00:00"/>
    <x v="30"/>
    <x v="1"/>
    <n v="5000"/>
    <n v="64.2"/>
    <n v="321000"/>
    <s v="20190808N300026554"/>
    <n v="2019151"/>
    <s v="Rolling"/>
    <s v="IN302679-38296183"/>
    <s v="NSE"/>
    <n v="78.89"/>
    <n v="11.56"/>
    <n v="38.4"/>
    <n v="191.48"/>
    <n v="320.32600000000002"/>
  </r>
  <r>
    <d v="2019-08-08T00:00:00"/>
    <x v="6"/>
    <x v="0"/>
    <n v="100"/>
    <n v="18.25"/>
    <n v="1825"/>
    <s v="20190808N900000157"/>
    <n v="2019151"/>
    <s v="Rolling"/>
    <s v="IN302679-38296183"/>
    <s v="NSE"/>
    <n v="1.83"/>
    <n v="7.0000000000000007E-2"/>
    <n v="0"/>
    <n v="41.31"/>
    <n v="43.2057"/>
  </r>
  <r>
    <d v="2019-08-07T00:00:00"/>
    <x v="16"/>
    <x v="0"/>
    <n v="100"/>
    <n v="427.25"/>
    <n v="42725"/>
    <s v="20190807N300015255"/>
    <n v="2019150"/>
    <s v="Rolling"/>
    <s v="IN302679-38296183"/>
    <s v="NSE"/>
    <n v="0"/>
    <n v="1.54"/>
    <n v="7.8"/>
    <n v="29.78"/>
    <n v="39.118099999999998"/>
  </r>
  <r>
    <d v="2019-08-07T00:00:00"/>
    <x v="16"/>
    <x v="1"/>
    <n v="300"/>
    <n v="424.5"/>
    <n v="127350"/>
    <s v="20190807N300016052"/>
    <n v="2019150"/>
    <s v="Rolling"/>
    <s v="IN302679-38296183"/>
    <s v="NSE"/>
    <n v="31.42"/>
    <n v="4.58"/>
    <n v="0"/>
    <n v="75.959999999999994"/>
    <n v="111.96469999999999"/>
  </r>
  <r>
    <d v="2019-08-07T00:00:00"/>
    <x v="16"/>
    <x v="0"/>
    <n v="200"/>
    <n v="420.25"/>
    <n v="84050"/>
    <s v="20190807N300023223"/>
    <n v="2019150"/>
    <s v="Rolling"/>
    <s v="IN302679-38296183"/>
    <s v="NSE"/>
    <n v="0"/>
    <n v="3.03"/>
    <n v="0"/>
    <n v="50.13"/>
    <n v="53.155900000000003"/>
  </r>
  <r>
    <d v="2019-08-07T00:00:00"/>
    <x v="24"/>
    <x v="0"/>
    <n v="20"/>
    <n v="129"/>
    <n v="2580"/>
    <s v="20190807N300026757"/>
    <n v="2019150"/>
    <s v="Rolling"/>
    <s v="IN302679-38296183"/>
    <s v="NSE"/>
    <n v="2.58"/>
    <n v="0.09"/>
    <n v="0"/>
    <n v="41.32"/>
    <n v="43.992899999999999"/>
  </r>
  <r>
    <d v="2019-08-05T00:00:00"/>
    <x v="39"/>
    <x v="1"/>
    <n v="100"/>
    <n v="224"/>
    <n v="22400"/>
    <s v="20190805N300017122"/>
    <n v="2019148"/>
    <s v="Rolling"/>
    <s v="IN302679-38296183"/>
    <s v="NSE"/>
    <n v="5.59"/>
    <n v="0.81"/>
    <n v="0"/>
    <n v="29.65"/>
    <n v="36.046399999999998"/>
  </r>
  <r>
    <d v="2019-08-05T00:00:00"/>
    <x v="40"/>
    <x v="1"/>
    <n v="100"/>
    <n v="782.26"/>
    <n v="78226.05"/>
    <s v="20190805N300017228"/>
    <n v="2019148"/>
    <s v="Rolling"/>
    <s v="IN302679-38296183"/>
    <s v="NSE"/>
    <n v="19.41"/>
    <n v="2.82"/>
    <n v="0"/>
    <n v="46.65"/>
    <n v="68.876199999999997"/>
  </r>
  <r>
    <d v="2019-08-05T00:00:00"/>
    <x v="39"/>
    <x v="0"/>
    <n v="100"/>
    <n v="223"/>
    <n v="22300"/>
    <s v="20190805N300017270"/>
    <n v="2019148"/>
    <s v="Rolling"/>
    <s v="IN302679-38296183"/>
    <s v="NSE"/>
    <n v="0"/>
    <n v="0.8"/>
    <n v="0"/>
    <n v="29.64"/>
    <n v="30.442799999999998"/>
  </r>
  <r>
    <d v="2019-08-05T00:00:00"/>
    <x v="40"/>
    <x v="0"/>
    <n v="100"/>
    <n v="778"/>
    <n v="77800"/>
    <s v="20190805N300017330"/>
    <n v="2019148"/>
    <s v="Rolling"/>
    <s v="IN302679-38296183"/>
    <s v="NSE"/>
    <n v="0"/>
    <n v="2.8"/>
    <n v="6.3"/>
    <n v="46.4"/>
    <n v="55.500799999999998"/>
  </r>
  <r>
    <d v="2019-08-02T00:00:00"/>
    <x v="33"/>
    <x v="0"/>
    <n v="100"/>
    <n v="25"/>
    <n v="2500"/>
    <s v="20190802N900008622"/>
    <n v="2019147"/>
    <s v="Rolling"/>
    <s v="IN302679-38296183"/>
    <s v="NSE"/>
    <n v="3"/>
    <n v="0.09"/>
    <n v="0.3"/>
    <n v="41.32"/>
    <n v="44.71"/>
  </r>
  <r>
    <d v="2019-07-30T00:00:00"/>
    <x v="4"/>
    <x v="1"/>
    <n v="100"/>
    <n v="93.75"/>
    <n v="9375"/>
    <s v="20190730N300015544"/>
    <n v="2019144"/>
    <s v="Rolling"/>
    <s v="IN302679-38296183"/>
    <s v="NSE"/>
    <n v="2"/>
    <n v="0.34"/>
    <n v="0.6"/>
    <n v="29.56"/>
    <n v="32.497500000000002"/>
  </r>
  <r>
    <d v="2019-07-30T00:00:00"/>
    <x v="4"/>
    <x v="0"/>
    <n v="100"/>
    <n v="92.1"/>
    <n v="9210"/>
    <s v="20190730N300020939"/>
    <n v="2019144"/>
    <s v="Rolling"/>
    <s v="IN302679-38296183"/>
    <s v="NSE"/>
    <n v="0"/>
    <n v="0.33"/>
    <n v="0"/>
    <n v="29.56"/>
    <n v="29.8916"/>
  </r>
  <r>
    <d v="2019-07-29T00:00:00"/>
    <x v="24"/>
    <x v="0"/>
    <n v="20"/>
    <n v="140"/>
    <n v="2800"/>
    <s v="20190729N300017927"/>
    <n v="2019143"/>
    <s v="Rolling"/>
    <s v="IN302679-38296183"/>
    <s v="NSE"/>
    <n v="3"/>
    <n v="0.1"/>
    <n v="0.3"/>
    <n v="41.32"/>
    <n v="44.720799999999997"/>
  </r>
  <r>
    <d v="2019-07-26T00:00:00"/>
    <x v="41"/>
    <x v="0"/>
    <n v="100"/>
    <n v="275.95"/>
    <n v="27595"/>
    <s v="20190726N300021848"/>
    <n v="2019142"/>
    <s v="Rolling"/>
    <s v="IN302679-38296183"/>
    <s v="NSE"/>
    <n v="0"/>
    <n v="0.99"/>
    <n v="0"/>
    <n v="29.68"/>
    <n v="30.673400000000001"/>
  </r>
  <r>
    <d v="2019-07-26T00:00:00"/>
    <x v="41"/>
    <x v="1"/>
    <n v="100"/>
    <n v="275.39999999999998"/>
    <n v="27540"/>
    <s v="20190726N300025595"/>
    <n v="2019142"/>
    <s v="Rolling"/>
    <s v="IN302679-38296183"/>
    <s v="NSE"/>
    <n v="7"/>
    <n v="0.99"/>
    <n v="1.8"/>
    <n v="29.68"/>
    <n v="39.471400000000003"/>
  </r>
  <r>
    <d v="2019-07-25T00:00:00"/>
    <x v="4"/>
    <x v="1"/>
    <n v="250"/>
    <n v="89.15"/>
    <n v="22287.5"/>
    <s v="20190725N300011235"/>
    <n v="2019141"/>
    <s v="Rolling"/>
    <s v="IN302679-38296183"/>
    <s v="NSE"/>
    <n v="5"/>
    <n v="0.8"/>
    <n v="0"/>
    <n v="29.64"/>
    <n v="35.442399999999999"/>
  </r>
  <r>
    <d v="2019-07-25T00:00:00"/>
    <x v="4"/>
    <x v="0"/>
    <n v="250"/>
    <n v="86.25"/>
    <n v="21562.5"/>
    <s v="20190725N300020698"/>
    <n v="2019141"/>
    <s v="Rolling"/>
    <s v="IN302679-38296183"/>
    <s v="NSE"/>
    <n v="0"/>
    <n v="0.78"/>
    <n v="1.5"/>
    <n v="29.64"/>
    <n v="31.9163"/>
  </r>
  <r>
    <d v="2019-07-24T00:00:00"/>
    <x v="42"/>
    <x v="0"/>
    <n v="250"/>
    <n v="125.5"/>
    <n v="31375"/>
    <s v="20190724N300014806"/>
    <n v="2019140"/>
    <s v="Rolling"/>
    <s v="IN302679-38296183"/>
    <s v="NSE"/>
    <n v="0"/>
    <n v="1.1299999999999999"/>
    <n v="0"/>
    <n v="29.7"/>
    <n v="30.829499999999999"/>
  </r>
  <r>
    <d v="2019-07-24T00:00:00"/>
    <x v="42"/>
    <x v="1"/>
    <n v="250"/>
    <n v="124"/>
    <n v="31000"/>
    <s v="20190724N300020664"/>
    <n v="2019140"/>
    <s v="Rolling"/>
    <s v="IN302679-38296183"/>
    <s v="NSE"/>
    <n v="8"/>
    <n v="1.1200000000000001"/>
    <n v="2.1"/>
    <n v="29.7"/>
    <n v="40.915999999999997"/>
  </r>
  <r>
    <d v="2019-07-23T00:00:00"/>
    <x v="33"/>
    <x v="0"/>
    <n v="100"/>
    <n v="30"/>
    <n v="3000"/>
    <s v="20190723N300022836"/>
    <n v="2019139"/>
    <s v="Rolling"/>
    <s v="IN302679-38296183"/>
    <s v="NSE"/>
    <n v="3"/>
    <n v="0.11"/>
    <n v="0.3"/>
    <n v="41.32"/>
    <n v="44.728000000000002"/>
  </r>
  <r>
    <d v="2019-07-22T00:00:00"/>
    <x v="43"/>
    <x v="1"/>
    <n v="550"/>
    <n v="5.9"/>
    <n v="3245"/>
    <s v="20190722N900013125"/>
    <n v="2019138"/>
    <s v="Rolling"/>
    <s v="IN302679-38296183"/>
    <s v="NSE"/>
    <n v="3"/>
    <n v="0.12"/>
    <n v="0.3"/>
    <n v="41.3"/>
    <n v="44.716799999999999"/>
  </r>
  <r>
    <d v="2019-07-17T00:00:00"/>
    <x v="44"/>
    <x v="1"/>
    <n v="100"/>
    <n v="379"/>
    <n v="37900"/>
    <s v="20190717N300014208"/>
    <n v="2019135"/>
    <s v="Rolling"/>
    <s v="IN302679-38296183"/>
    <s v="NSE"/>
    <n v="9.57"/>
    <n v="1.36"/>
    <n v="0"/>
    <n v="29.75"/>
    <n v="40.684399999999997"/>
  </r>
  <r>
    <d v="2019-07-17T00:00:00"/>
    <x v="44"/>
    <x v="0"/>
    <n v="100"/>
    <n v="384"/>
    <n v="38400"/>
    <s v="20190717N300021267"/>
    <n v="2019135"/>
    <s v="Rolling"/>
    <s v="IN302679-38296183"/>
    <s v="NSE"/>
    <n v="0"/>
    <n v="1.38"/>
    <n v="0"/>
    <n v="29.75"/>
    <n v="31.132400000000001"/>
  </r>
  <r>
    <d v="2019-07-17T00:00:00"/>
    <x v="44"/>
    <x v="0"/>
    <n v="200"/>
    <n v="385"/>
    <n v="77000"/>
    <s v="20190717N300021419"/>
    <n v="2019135"/>
    <s v="Rolling"/>
    <s v="IN302679-38296183"/>
    <s v="NSE"/>
    <n v="0"/>
    <n v="2.77"/>
    <n v="6.9"/>
    <n v="59.5"/>
    <n v="69.172200000000004"/>
  </r>
  <r>
    <d v="2019-07-17T00:00:00"/>
    <x v="44"/>
    <x v="1"/>
    <n v="200"/>
    <n v="382.36"/>
    <n v="76472"/>
    <s v="20190717N300026001"/>
    <n v="2019135"/>
    <s v="Rolling"/>
    <s v="IN302679-38296183"/>
    <s v="NSE"/>
    <n v="19.43"/>
    <n v="2.75"/>
    <n v="0"/>
    <n v="45.61"/>
    <n v="67.793099999999995"/>
  </r>
  <r>
    <d v="2019-07-16T00:00:00"/>
    <x v="21"/>
    <x v="1"/>
    <n v="100"/>
    <n v="782"/>
    <n v="78200"/>
    <s v="20190716N300015251"/>
    <n v="2019134"/>
    <s v="Rolling"/>
    <s v="IN302679-38296183"/>
    <s v="NSE"/>
    <n v="20"/>
    <n v="2.82"/>
    <n v="0"/>
    <n v="46.64"/>
    <n v="69.455200000000005"/>
  </r>
  <r>
    <d v="2019-07-16T00:00:00"/>
    <x v="21"/>
    <x v="0"/>
    <n v="100"/>
    <n v="780.7"/>
    <n v="78070"/>
    <s v="20190716N300019968"/>
    <n v="2019134"/>
    <s v="Rolling"/>
    <s v="IN302679-38296183"/>
    <s v="NSE"/>
    <n v="0"/>
    <n v="2.81"/>
    <n v="4.8"/>
    <n v="46.57"/>
    <n v="54.180599999999998"/>
  </r>
  <r>
    <d v="2019-07-15T00:00:00"/>
    <x v="21"/>
    <x v="1"/>
    <n v="100"/>
    <n v="760"/>
    <n v="76000"/>
    <s v="20190715N300015769"/>
    <n v="2019133"/>
    <s v="Rolling"/>
    <s v="IN302679-38296183"/>
    <s v="NSE"/>
    <n v="19"/>
    <n v="2.74"/>
    <n v="4.8"/>
    <n v="45.33"/>
    <n v="71.866"/>
  </r>
  <r>
    <d v="2019-07-15T00:00:00"/>
    <x v="21"/>
    <x v="0"/>
    <n v="100"/>
    <n v="775"/>
    <n v="77500"/>
    <s v="20190715N300024304"/>
    <n v="2019133"/>
    <s v="Rolling"/>
    <s v="IN302679-38296183"/>
    <s v="NSE"/>
    <n v="0"/>
    <n v="2.79"/>
    <n v="0"/>
    <n v="46.23"/>
    <n v="49.02"/>
  </r>
  <r>
    <d v="2019-07-09T00:00:00"/>
    <x v="14"/>
    <x v="0"/>
    <n v="100"/>
    <n v="628"/>
    <n v="62800"/>
    <s v="20190709N300023239"/>
    <n v="2019129"/>
    <s v="Rolling"/>
    <s v="IN302679-38296183"/>
    <s v="NSE"/>
    <n v="0"/>
    <n v="2.2599999999999998"/>
    <n v="0"/>
    <n v="37.46"/>
    <n v="39.720799999999997"/>
  </r>
  <r>
    <d v="2019-07-09T00:00:00"/>
    <x v="14"/>
    <x v="1"/>
    <n v="100"/>
    <n v="627.35"/>
    <n v="62735"/>
    <s v="20190709N300029278"/>
    <n v="2019129"/>
    <s v="Rolling"/>
    <s v="IN302679-38296183"/>
    <s v="NSE"/>
    <n v="16"/>
    <n v="2.2599999999999998"/>
    <n v="3.9"/>
    <n v="37.450000000000003"/>
    <n v="59.6081"/>
  </r>
  <r>
    <d v="2019-07-08T00:00:00"/>
    <x v="5"/>
    <x v="0"/>
    <n v="30"/>
    <n v="230"/>
    <n v="6900"/>
    <s v="20190708N900000477"/>
    <n v="2019128"/>
    <s v="Rolling"/>
    <s v="IN302679-38296183"/>
    <s v="NSE"/>
    <n v="7"/>
    <n v="0.25"/>
    <n v="0.3"/>
    <n v="44.83"/>
    <n v="52.378399999999999"/>
  </r>
  <r>
    <d v="2019-07-04T00:00:00"/>
    <x v="45"/>
    <x v="1"/>
    <n v="250"/>
    <n v="147.15"/>
    <n v="36787.5"/>
    <s v="20190704N300019714"/>
    <n v="2019126"/>
    <s v="Rolling"/>
    <s v="IN302679-38296183"/>
    <s v="NSE"/>
    <n v="9.17"/>
    <n v="1.32"/>
    <n v="0"/>
    <n v="29.74"/>
    <n v="40.234400000000001"/>
  </r>
  <r>
    <d v="2019-07-04T00:00:00"/>
    <x v="45"/>
    <x v="0"/>
    <n v="250"/>
    <n v="146.15"/>
    <n v="36537.5"/>
    <s v="20190704N300020047"/>
    <n v="2019126"/>
    <s v="Rolling"/>
    <s v="IN302679-38296183"/>
    <s v="NSE"/>
    <n v="0"/>
    <n v="1.32"/>
    <n v="0"/>
    <n v="29.74"/>
    <n v="31.055399999999999"/>
  </r>
  <r>
    <d v="2019-07-04T00:00:00"/>
    <x v="19"/>
    <x v="1"/>
    <n v="500"/>
    <n v="129"/>
    <n v="64500"/>
    <s v="20190704N300021344"/>
    <n v="2019126"/>
    <s v="Rolling"/>
    <s v="IN302679-38296183"/>
    <s v="NSE"/>
    <n v="16.190000000000001"/>
    <n v="2.3199999999999998"/>
    <n v="0"/>
    <n v="38.47"/>
    <n v="56.981999999999999"/>
  </r>
  <r>
    <d v="2019-07-04T00:00:00"/>
    <x v="19"/>
    <x v="0"/>
    <n v="500"/>
    <n v="130"/>
    <n v="65000"/>
    <s v="20190704N300021701"/>
    <n v="2019126"/>
    <s v="Rolling"/>
    <s v="IN302679-38296183"/>
    <s v="NSE"/>
    <n v="0"/>
    <n v="2.34"/>
    <n v="0"/>
    <n v="38.770000000000003"/>
    <n v="41.11"/>
  </r>
  <r>
    <d v="2019-07-04T00:00:00"/>
    <x v="46"/>
    <x v="1"/>
    <n v="1000"/>
    <n v="65.5"/>
    <n v="65500"/>
    <s v="20190704N300023069"/>
    <n v="2019126"/>
    <s v="Rolling"/>
    <s v="IN302679-38296183"/>
    <s v="NSE"/>
    <n v="16.309999999999999"/>
    <n v="2.36"/>
    <n v="0"/>
    <n v="39.07"/>
    <n v="57.738"/>
  </r>
  <r>
    <d v="2019-07-04T00:00:00"/>
    <x v="46"/>
    <x v="0"/>
    <n v="1000"/>
    <n v="65"/>
    <n v="65000"/>
    <s v="20190704N300023240"/>
    <n v="2019126"/>
    <s v="Rolling"/>
    <s v="IN302679-38296183"/>
    <s v="NSE"/>
    <n v="0"/>
    <n v="2.34"/>
    <n v="0"/>
    <n v="38.770000000000003"/>
    <n v="41.11"/>
  </r>
  <r>
    <d v="2019-07-04T00:00:00"/>
    <x v="6"/>
    <x v="0"/>
    <n v="2500"/>
    <n v="24.15"/>
    <n v="60375"/>
    <s v="20190704N300024440"/>
    <n v="2019126"/>
    <s v="Rolling"/>
    <s v="IN302679-38296183"/>
    <s v="NSE"/>
    <n v="0"/>
    <n v="2.17"/>
    <n v="13.8"/>
    <n v="36.01"/>
    <n v="51.983499999999999"/>
  </r>
  <r>
    <d v="2019-07-04T00:00:00"/>
    <x v="6"/>
    <x v="1"/>
    <n v="2500"/>
    <n v="24.2"/>
    <n v="60500"/>
    <s v="20190704N300025840"/>
    <n v="2019126"/>
    <s v="Rolling"/>
    <s v="IN302679-38296183"/>
    <s v="NSE"/>
    <n v="15.33"/>
    <n v="2.1800000000000002"/>
    <n v="0"/>
    <n v="36.090000000000003"/>
    <n v="53.597999999999999"/>
  </r>
  <r>
    <d v="2019-07-03T00:00:00"/>
    <x v="40"/>
    <x v="1"/>
    <n v="50"/>
    <n v="930"/>
    <n v="46500"/>
    <s v="20190703N300015040"/>
    <n v="2019125"/>
    <s v="Rolling"/>
    <s v="IN302679-38296183"/>
    <s v="NSE"/>
    <n v="11.68"/>
    <n v="1.67"/>
    <n v="0"/>
    <n v="29.81"/>
    <n v="43.164099999999998"/>
  </r>
  <r>
    <d v="2019-07-03T00:00:00"/>
    <x v="40"/>
    <x v="0"/>
    <n v="50"/>
    <n v="927.3"/>
    <n v="46365"/>
    <s v="20190703N300015066"/>
    <n v="2019125"/>
    <s v="Rolling"/>
    <s v="IN302679-38296183"/>
    <s v="NSE"/>
    <n v="0"/>
    <n v="1.67"/>
    <n v="0"/>
    <n v="29.8"/>
    <n v="31.469200000000001"/>
  </r>
  <r>
    <d v="2019-07-03T00:00:00"/>
    <x v="46"/>
    <x v="1"/>
    <n v="500"/>
    <n v="66.25"/>
    <n v="33125"/>
    <s v="20190703N300017452"/>
    <n v="2019125"/>
    <s v="Rolling"/>
    <s v="IN302679-38296183"/>
    <s v="NSE"/>
    <n v="8.2200000000000006"/>
    <n v="1.19"/>
    <n v="0"/>
    <n v="29.71"/>
    <n v="39.122500000000002"/>
  </r>
  <r>
    <d v="2019-07-03T00:00:00"/>
    <x v="46"/>
    <x v="0"/>
    <n v="500"/>
    <n v="65.25"/>
    <n v="32625"/>
    <s v="20190703N300018966"/>
    <n v="2019125"/>
    <s v="Rolling"/>
    <s v="IN302679-38296183"/>
    <s v="NSE"/>
    <n v="0"/>
    <n v="1.17"/>
    <n v="0"/>
    <n v="29.71"/>
    <n v="30.884499999999999"/>
  </r>
  <r>
    <d v="2019-07-03T00:00:00"/>
    <x v="6"/>
    <x v="0"/>
    <n v="1000"/>
    <n v="24.2"/>
    <n v="24200"/>
    <s v="20190703N300024969"/>
    <n v="2019125"/>
    <s v="Rolling"/>
    <s v="IN302679-38296183"/>
    <s v="NSE"/>
    <n v="0"/>
    <n v="0.87"/>
    <n v="0"/>
    <n v="29.66"/>
    <n v="30.531199999999998"/>
  </r>
  <r>
    <d v="2019-07-03T00:00:00"/>
    <x v="6"/>
    <x v="0"/>
    <n v="1500"/>
    <n v="24.15"/>
    <n v="36225"/>
    <s v="20190703N300025508"/>
    <n v="2019125"/>
    <s v="Rolling"/>
    <s v="IN302679-38296183"/>
    <s v="NSE"/>
    <n v="0"/>
    <n v="1.3"/>
    <n v="8.4"/>
    <n v="29.74"/>
    <n v="39.444099999999999"/>
  </r>
  <r>
    <d v="2019-07-03T00:00:00"/>
    <x v="6"/>
    <x v="1"/>
    <n v="183"/>
    <n v="24.25"/>
    <n v="4437.75"/>
    <s v="20190703N300026100"/>
    <n v="2019125"/>
    <s v="Rolling"/>
    <s v="IN302679-38296183"/>
    <s v="NSE"/>
    <n v="1.1100000000000001"/>
    <n v="0.16"/>
    <n v="0"/>
    <n v="29.53"/>
    <n v="30.799700000000001"/>
  </r>
  <r>
    <d v="2019-07-03T00:00:00"/>
    <x v="6"/>
    <x v="1"/>
    <n v="2317"/>
    <n v="24.15"/>
    <n v="55955.55"/>
    <s v="20190703N300026410"/>
    <n v="2019125"/>
    <s v="Rolling"/>
    <s v="IN302679-38296183"/>
    <s v="NSE"/>
    <n v="14"/>
    <n v="2.0099999999999998"/>
    <n v="0"/>
    <n v="33.380000000000003"/>
    <n v="49.394399999999997"/>
  </r>
  <r>
    <d v="2019-07-02T00:00:00"/>
    <x v="40"/>
    <x v="1"/>
    <n v="100"/>
    <n v="916"/>
    <n v="91600"/>
    <s v="20190702N300023230"/>
    <n v="2019124"/>
    <s v="Rolling"/>
    <s v="IN302679-38296183"/>
    <s v="NSE"/>
    <n v="23"/>
    <n v="3.3"/>
    <n v="5.7"/>
    <n v="54.64"/>
    <n v="86.637600000000006"/>
  </r>
  <r>
    <d v="2019-07-02T00:00:00"/>
    <x v="40"/>
    <x v="0"/>
    <n v="100"/>
    <n v="916.1"/>
    <n v="91610"/>
    <s v="20190702N300023301"/>
    <n v="2019124"/>
    <s v="Rolling"/>
    <s v="IN302679-38296183"/>
    <s v="NSE"/>
    <n v="0"/>
    <n v="3.3"/>
    <n v="0"/>
    <n v="54.65"/>
    <n v="57.947899999999997"/>
  </r>
  <r>
    <d v="2019-06-28T00:00:00"/>
    <x v="26"/>
    <x v="0"/>
    <n v="100"/>
    <n v="622"/>
    <n v="62200"/>
    <s v="20190628N300015756"/>
    <n v="2019122"/>
    <s v="Rolling"/>
    <s v="IN302679-38296183"/>
    <s v="NSE"/>
    <n v="0"/>
    <n v="2.2400000000000002"/>
    <n v="0"/>
    <n v="37.1"/>
    <n v="39.339199999999998"/>
  </r>
  <r>
    <d v="2019-06-28T00:00:00"/>
    <x v="19"/>
    <x v="0"/>
    <n v="1000"/>
    <n v="123"/>
    <n v="123000"/>
    <s v="20190628N300016721"/>
    <n v="2019122"/>
    <s v="Rolling"/>
    <s v="IN302679-38296183"/>
    <s v="NSE"/>
    <n v="0"/>
    <n v="4.43"/>
    <n v="42.9"/>
    <n v="73.37"/>
    <n v="120.69799999999999"/>
  </r>
  <r>
    <d v="2019-06-28T00:00:00"/>
    <x v="26"/>
    <x v="0"/>
    <n v="100"/>
    <n v="616.5"/>
    <n v="61650"/>
    <s v="20190628N300017310"/>
    <n v="2019122"/>
    <s v="Rolling"/>
    <s v="IN302679-38296183"/>
    <s v="NSE"/>
    <n v="0"/>
    <n v="2.2200000000000002"/>
    <n v="0"/>
    <n v="36.770000000000003"/>
    <n v="38.9895"/>
  </r>
  <r>
    <d v="2019-06-28T00:00:00"/>
    <x v="19"/>
    <x v="1"/>
    <n v="1000"/>
    <n v="123.25"/>
    <n v="123250"/>
    <s v="20190628N300018795"/>
    <n v="2019122"/>
    <s v="Rolling"/>
    <s v="IN302679-38296183"/>
    <s v="NSE"/>
    <n v="30.82"/>
    <n v="4.4400000000000004"/>
    <n v="0"/>
    <n v="73.52"/>
    <n v="108.7771"/>
  </r>
  <r>
    <d v="2019-06-28T00:00:00"/>
    <x v="19"/>
    <x v="0"/>
    <n v="500"/>
    <n v="123.4"/>
    <n v="61700"/>
    <s v="20190628N300019530"/>
    <n v="2019122"/>
    <s v="Rolling"/>
    <s v="IN302679-38296183"/>
    <s v="NSE"/>
    <n v="0"/>
    <n v="2.2200000000000002"/>
    <n v="0"/>
    <n v="36.79"/>
    <n v="39.011299999999999"/>
  </r>
  <r>
    <d v="2019-06-28T00:00:00"/>
    <x v="19"/>
    <x v="1"/>
    <n v="500"/>
    <n v="123.7"/>
    <n v="61850"/>
    <s v="20190628N300019559"/>
    <n v="2019122"/>
    <s v="Rolling"/>
    <s v="IN302679-38296183"/>
    <s v="NSE"/>
    <n v="15.41"/>
    <n v="2.23"/>
    <n v="0"/>
    <n v="36.89"/>
    <n v="54.526699999999998"/>
  </r>
  <r>
    <d v="2019-06-28T00:00:00"/>
    <x v="26"/>
    <x v="0"/>
    <n v="100"/>
    <n v="613"/>
    <n v="61300"/>
    <s v="20190628N300020136"/>
    <n v="2019122"/>
    <s v="Rolling"/>
    <s v="IN302679-38296183"/>
    <s v="NSE"/>
    <n v="0"/>
    <n v="2.21"/>
    <n v="0"/>
    <n v="36.56"/>
    <n v="38.766800000000003"/>
  </r>
  <r>
    <d v="2019-06-28T00:00:00"/>
    <x v="26"/>
    <x v="1"/>
    <n v="300"/>
    <n v="611"/>
    <n v="183300"/>
    <s v="20190628N300022858"/>
    <n v="2019122"/>
    <s v="Rolling"/>
    <s v="IN302679-38296183"/>
    <s v="NSE"/>
    <n v="45.72"/>
    <n v="6.6"/>
    <n v="0"/>
    <n v="109.34"/>
    <n v="161.65899999999999"/>
  </r>
  <r>
    <d v="2019-06-28T00:00:00"/>
    <x v="47"/>
    <x v="0"/>
    <n v="1000"/>
    <n v="81.25"/>
    <n v="81250"/>
    <s v="20190628N300022952"/>
    <n v="2019122"/>
    <s v="Rolling"/>
    <s v="IN302679-38296183"/>
    <s v="NSE"/>
    <n v="0"/>
    <n v="2.93"/>
    <n v="0"/>
    <n v="48.46"/>
    <n v="51.385100000000001"/>
  </r>
  <r>
    <d v="2019-06-28T00:00:00"/>
    <x v="26"/>
    <x v="0"/>
    <n v="300"/>
    <n v="613"/>
    <n v="183900"/>
    <s v="20190628N300023022"/>
    <n v="2019122"/>
    <s v="Rolling"/>
    <s v="IN302679-38296183"/>
    <s v="NSE"/>
    <n v="0"/>
    <n v="6.62"/>
    <n v="0"/>
    <n v="109.69"/>
    <n v="116.3104"/>
  </r>
  <r>
    <d v="2019-06-28T00:00:00"/>
    <x v="26"/>
    <x v="1"/>
    <n v="300"/>
    <n v="607.49"/>
    <n v="182247.65"/>
    <s v="20190628N300023139"/>
    <n v="2019122"/>
    <s v="Rolling"/>
    <s v="IN302679-38296183"/>
    <s v="NSE"/>
    <n v="45.91"/>
    <n v="6.56"/>
    <n v="0"/>
    <n v="108.71"/>
    <n v="161.18100000000001"/>
  </r>
  <r>
    <d v="2019-06-28T00:00:00"/>
    <x v="47"/>
    <x v="1"/>
    <n v="2000"/>
    <n v="80.099999999999994"/>
    <n v="160200"/>
    <s v="20190628N300025805"/>
    <n v="2019122"/>
    <s v="Rolling"/>
    <s v="IN302679-38296183"/>
    <s v="NSE"/>
    <n v="40.14"/>
    <n v="5.77"/>
    <n v="0"/>
    <n v="95.56"/>
    <n v="141.46719999999999"/>
  </r>
  <r>
    <d v="2019-06-28T00:00:00"/>
    <x v="47"/>
    <x v="0"/>
    <n v="1000"/>
    <n v="79.7"/>
    <n v="79700"/>
    <s v="20190628N300026412"/>
    <n v="2019122"/>
    <s v="Rolling"/>
    <s v="IN302679-38296183"/>
    <s v="NSE"/>
    <n v="0"/>
    <n v="2.87"/>
    <n v="0"/>
    <n v="47.54"/>
    <n v="50.409199999999998"/>
  </r>
  <r>
    <d v="2019-06-27T00:00:00"/>
    <x v="19"/>
    <x v="0"/>
    <n v="1000"/>
    <n v="121.65"/>
    <n v="121650"/>
    <s v="20190627N300018517"/>
    <n v="2019121"/>
    <s v="Rolling"/>
    <s v="IN302679-38296183"/>
    <s v="NSE"/>
    <n v="0"/>
    <n v="4.38"/>
    <n v="0"/>
    <n v="72.56"/>
    <n v="76.939400000000006"/>
  </r>
  <r>
    <d v="2019-06-27T00:00:00"/>
    <x v="19"/>
    <x v="0"/>
    <n v="1000"/>
    <n v="121.25"/>
    <n v="121250"/>
    <s v="20190627N300025877"/>
    <n v="2019121"/>
    <s v="Rolling"/>
    <s v="IN302679-38296183"/>
    <s v="NSE"/>
    <n v="0"/>
    <n v="4.37"/>
    <n v="0"/>
    <n v="72.319999999999993"/>
    <n v="76.685100000000006"/>
  </r>
  <r>
    <d v="2019-06-27T00:00:00"/>
    <x v="19"/>
    <x v="1"/>
    <n v="2000"/>
    <n v="122.05"/>
    <n v="244100"/>
    <s v="20190627N300027192"/>
    <n v="2019121"/>
    <s v="Rolling"/>
    <s v="IN302679-38296183"/>
    <s v="NSE"/>
    <n v="61"/>
    <n v="8.7899999999999991"/>
    <n v="14.7"/>
    <n v="145.56"/>
    <n v="230.04769999999999"/>
  </r>
  <r>
    <d v="2019-06-26T00:00:00"/>
    <x v="48"/>
    <x v="1"/>
    <n v="2500"/>
    <n v="28.25"/>
    <n v="70625"/>
    <s v="20190626N200000855"/>
    <n v="2019120"/>
    <s v="Rolling"/>
    <s v="IN302679-38296183"/>
    <s v="NSE"/>
    <n v="18.11"/>
    <n v="2.54"/>
    <n v="0"/>
    <n v="42.13"/>
    <n v="62.782499999999999"/>
  </r>
  <r>
    <d v="2019-06-26T00:00:00"/>
    <x v="48"/>
    <x v="1"/>
    <n v="5000"/>
    <n v="28.5"/>
    <n v="142500"/>
    <s v="20190626N300014393"/>
    <n v="2019120"/>
    <s v="Rolling"/>
    <s v="IN302679-38296183"/>
    <s v="NSE"/>
    <n v="35.89"/>
    <n v="5.13"/>
    <n v="0"/>
    <n v="85"/>
    <n v="126.02"/>
  </r>
  <r>
    <d v="2019-06-26T00:00:00"/>
    <x v="48"/>
    <x v="0"/>
    <n v="7500"/>
    <n v="29"/>
    <n v="217500"/>
    <s v="20190626N300014550"/>
    <n v="2019120"/>
    <s v="Rolling"/>
    <s v="IN302679-38296183"/>
    <s v="NSE"/>
    <n v="0"/>
    <n v="7.83"/>
    <n v="13.2"/>
    <n v="129.77000000000001"/>
    <n v="150.80019999999999"/>
  </r>
  <r>
    <d v="2019-06-25T00:00:00"/>
    <x v="48"/>
    <x v="1"/>
    <n v="1000"/>
    <n v="28.5"/>
    <n v="28500"/>
    <s v="20190625N300014510"/>
    <n v="2019119"/>
    <s v="Rolling"/>
    <s v="IN302679-38296183"/>
    <s v="NSE"/>
    <n v="7.02"/>
    <n v="1.03"/>
    <n v="0"/>
    <n v="29.69"/>
    <n v="37.735999999999997"/>
  </r>
  <r>
    <d v="2019-06-25T00:00:00"/>
    <x v="48"/>
    <x v="0"/>
    <n v="1000"/>
    <n v="28.25"/>
    <n v="28250"/>
    <s v="20190625N300015565"/>
    <n v="2019119"/>
    <s v="Rolling"/>
    <s v="IN302679-38296183"/>
    <s v="NSE"/>
    <n v="0"/>
    <n v="1.02"/>
    <n v="0"/>
    <n v="29.68"/>
    <n v="30.697099999999999"/>
  </r>
  <r>
    <d v="2019-06-25T00:00:00"/>
    <x v="48"/>
    <x v="1"/>
    <n v="1500"/>
    <n v="28.3"/>
    <n v="42450"/>
    <s v="20190625N300015620"/>
    <n v="2019119"/>
    <s v="Rolling"/>
    <s v="IN302679-38296183"/>
    <s v="NSE"/>
    <n v="10.53"/>
    <n v="1.53"/>
    <n v="0"/>
    <n v="29.78"/>
    <n v="41.838299999999997"/>
  </r>
  <r>
    <d v="2019-06-25T00:00:00"/>
    <x v="48"/>
    <x v="1"/>
    <n v="5000"/>
    <n v="28.5"/>
    <n v="142500"/>
    <s v="20190625N300017047"/>
    <n v="2019119"/>
    <s v="Rolling"/>
    <s v="IN302679-38296183"/>
    <s v="NSE"/>
    <n v="35.1"/>
    <n v="5.13"/>
    <n v="0"/>
    <n v="84.99"/>
    <n v="125.22"/>
  </r>
  <r>
    <d v="2019-06-25T00:00:00"/>
    <x v="48"/>
    <x v="0"/>
    <n v="6500"/>
    <n v="28.2"/>
    <n v="183300"/>
    <s v="20190625N300021453"/>
    <n v="2019119"/>
    <s v="Rolling"/>
    <s v="IN302679-38296183"/>
    <s v="NSE"/>
    <n v="0"/>
    <n v="6.6"/>
    <n v="0"/>
    <n v="109.33"/>
    <n v="115.9289"/>
  </r>
  <r>
    <d v="2019-06-25T00:00:00"/>
    <x v="48"/>
    <x v="0"/>
    <n v="5000"/>
    <n v="28.25"/>
    <n v="141250"/>
    <s v="20190625N300021547"/>
    <n v="2019119"/>
    <s v="Rolling"/>
    <s v="IN302679-38296183"/>
    <s v="NSE"/>
    <n v="0"/>
    <n v="5.09"/>
    <n v="0"/>
    <n v="84.27"/>
    <n v="89.355199999999996"/>
  </r>
  <r>
    <d v="2019-06-25T00:00:00"/>
    <x v="48"/>
    <x v="1"/>
    <n v="10000"/>
    <n v="27.8"/>
    <n v="278000"/>
    <s v="20190625N300021978"/>
    <n v="2019119"/>
    <s v="Rolling"/>
    <s v="IN302679-38296183"/>
    <s v="NSE"/>
    <n v="70.2"/>
    <n v="10.01"/>
    <n v="0"/>
    <n v="165.83"/>
    <n v="246.03800000000001"/>
  </r>
  <r>
    <d v="2019-06-25T00:00:00"/>
    <x v="48"/>
    <x v="0"/>
    <n v="5000"/>
    <n v="27.7"/>
    <n v="138500"/>
    <s v="20190625N300022062"/>
    <n v="2019119"/>
    <s v="Rolling"/>
    <s v="IN302679-38296183"/>
    <s v="NSE"/>
    <n v="0"/>
    <n v="4.99"/>
    <n v="0"/>
    <n v="82.61"/>
    <n v="87.596199999999996"/>
  </r>
  <r>
    <d v="2019-06-25T00:00:00"/>
    <x v="39"/>
    <x v="0"/>
    <n v="2000"/>
    <n v="276"/>
    <n v="552000"/>
    <s v="20190625N300023487"/>
    <n v="2019119"/>
    <s v="Rolling"/>
    <s v="IN302679-38296183"/>
    <s v="NSE"/>
    <n v="0"/>
    <n v="19.87"/>
    <n v="0"/>
    <n v="329.25"/>
    <n v="349.12200000000001"/>
  </r>
  <r>
    <d v="2019-06-25T00:00:00"/>
    <x v="39"/>
    <x v="0"/>
    <n v="2000"/>
    <n v="275.8"/>
    <n v="551600"/>
    <s v="20190625N300023538"/>
    <n v="2019119"/>
    <s v="Rolling"/>
    <s v="IN302679-38296183"/>
    <s v="NSE"/>
    <n v="0"/>
    <n v="19.86"/>
    <n v="0"/>
    <n v="329.02"/>
    <n v="348.8777"/>
  </r>
  <r>
    <d v="2019-06-25T00:00:00"/>
    <x v="39"/>
    <x v="1"/>
    <n v="4000"/>
    <n v="274.5"/>
    <n v="1098015.7"/>
    <s v="20190625N300026110"/>
    <n v="2019119"/>
    <s v="Rolling"/>
    <s v="IN302679-38296183"/>
    <s v="NSE"/>
    <n v="275.16000000000003"/>
    <n v="39.53"/>
    <n v="95.7"/>
    <n v="654.91999999999996"/>
    <n v="1065.3088"/>
  </r>
  <r>
    <d v="2019-06-24T00:00:00"/>
    <x v="4"/>
    <x v="1"/>
    <n v="500"/>
    <n v="109.65"/>
    <n v="54825"/>
    <s v="20190624N300017179"/>
    <n v="2019118"/>
    <s v="Rolling"/>
    <s v="IN302679-38296183"/>
    <s v="NSE"/>
    <n v="14.02"/>
    <n v="1.97"/>
    <n v="0"/>
    <n v="32.700000000000003"/>
    <n v="48.693800000000003"/>
  </r>
  <r>
    <d v="2019-06-24T00:00:00"/>
    <x v="4"/>
    <x v="0"/>
    <n v="500"/>
    <n v="112"/>
    <n v="56000"/>
    <s v="20190624N300017198"/>
    <n v="2019118"/>
    <s v="Rolling"/>
    <s v="IN302679-38296183"/>
    <s v="NSE"/>
    <n v="0"/>
    <n v="2.02"/>
    <n v="0"/>
    <n v="33.4"/>
    <n v="35.415999999999997"/>
  </r>
  <r>
    <d v="2019-06-24T00:00:00"/>
    <x v="48"/>
    <x v="1"/>
    <n v="1500"/>
    <n v="26.25"/>
    <n v="39375"/>
    <s v="20190624N300018614"/>
    <n v="2019118"/>
    <s v="Rolling"/>
    <s v="IN302679-38296183"/>
    <s v="NSE"/>
    <n v="10.35"/>
    <n v="1.42"/>
    <n v="0"/>
    <n v="29.76"/>
    <n v="41.527500000000003"/>
  </r>
  <r>
    <d v="2019-06-24T00:00:00"/>
    <x v="4"/>
    <x v="0"/>
    <n v="2000"/>
    <n v="112.25"/>
    <n v="224500"/>
    <s v="20190624N300018800"/>
    <n v="2019118"/>
    <s v="Rolling"/>
    <s v="IN302679-38296183"/>
    <s v="NSE"/>
    <n v="0"/>
    <n v="8.08"/>
    <n v="0"/>
    <n v="133.91"/>
    <n v="141.99199999999999"/>
  </r>
  <r>
    <d v="2019-06-24T00:00:00"/>
    <x v="48"/>
    <x v="1"/>
    <n v="1000"/>
    <n v="27.1"/>
    <n v="27100"/>
    <s v="20190624N300019752"/>
    <n v="2019118"/>
    <s v="Rolling"/>
    <s v="IN302679-38296183"/>
    <s v="NSE"/>
    <n v="6.9"/>
    <n v="0.98"/>
    <n v="0"/>
    <n v="29.68"/>
    <n v="37.555599999999998"/>
  </r>
  <r>
    <d v="2019-06-24T00:00:00"/>
    <x v="48"/>
    <x v="1"/>
    <n v="2000"/>
    <n v="28.5"/>
    <n v="57000"/>
    <s v="20190624N300024853"/>
    <n v="2019118"/>
    <s v="Rolling"/>
    <s v="IN302679-38296183"/>
    <s v="NSE"/>
    <n v="13.8"/>
    <n v="2.0499999999999998"/>
    <n v="0"/>
    <n v="34"/>
    <n v="49.852200000000003"/>
  </r>
  <r>
    <d v="2019-06-24T00:00:00"/>
    <x v="4"/>
    <x v="1"/>
    <n v="2000"/>
    <n v="112.7"/>
    <n v="225400"/>
    <s v="20190624N300025566"/>
    <n v="2019118"/>
    <s v="Rolling"/>
    <s v="IN302679-38296183"/>
    <s v="NSE"/>
    <n v="56.07"/>
    <n v="8.11"/>
    <n v="0"/>
    <n v="134.44999999999999"/>
    <n v="198.6343"/>
  </r>
  <r>
    <d v="2019-06-24T00:00:00"/>
    <x v="48"/>
    <x v="0"/>
    <n v="5500"/>
    <n v="28.3"/>
    <n v="155650"/>
    <s v="20190624N300026743"/>
    <n v="2019118"/>
    <s v="Rolling"/>
    <s v="IN302679-38296183"/>
    <s v="NSE"/>
    <n v="0"/>
    <n v="5.6"/>
    <n v="0"/>
    <n v="92.84"/>
    <n v="98.4435"/>
  </r>
  <r>
    <d v="2019-06-24T00:00:00"/>
    <x v="48"/>
    <x v="1"/>
    <n v="1000"/>
    <n v="24.5"/>
    <n v="24500"/>
    <s v="20190624N900016027"/>
    <n v="2019118"/>
    <s v="Rolling"/>
    <s v="IN302679-38296183"/>
    <s v="NSE"/>
    <n v="6.86"/>
    <n v="0.88"/>
    <n v="26.1"/>
    <n v="29.66"/>
    <n v="63.502000000000002"/>
  </r>
  <r>
    <d v="2019-06-21T00:00:00"/>
    <x v="49"/>
    <x v="1"/>
    <n v="50"/>
    <n v="388"/>
    <n v="19400"/>
    <s v="20190621N300016333"/>
    <n v="2019117"/>
    <s v="Rolling"/>
    <s v="IN302679-38296183"/>
    <s v="NSE"/>
    <n v="4.83"/>
    <n v="0.7"/>
    <n v="0"/>
    <n v="29.63"/>
    <n v="35.1584"/>
  </r>
  <r>
    <d v="2019-06-21T00:00:00"/>
    <x v="49"/>
    <x v="0"/>
    <n v="50"/>
    <n v="384"/>
    <n v="19200"/>
    <s v="20190621N300016493"/>
    <n v="2019117"/>
    <s v="Rolling"/>
    <s v="IN302679-38296183"/>
    <s v="NSE"/>
    <n v="0"/>
    <n v="0.69"/>
    <n v="0"/>
    <n v="29.62"/>
    <n v="30.311199999999999"/>
  </r>
  <r>
    <d v="2019-06-21T00:00:00"/>
    <x v="50"/>
    <x v="0"/>
    <n v="100"/>
    <n v="56.6"/>
    <n v="5660"/>
    <s v="20190621N300017059"/>
    <n v="2019117"/>
    <s v="Rolling"/>
    <s v="IN302679-38296183"/>
    <s v="NSE"/>
    <n v="0"/>
    <n v="0.2"/>
    <n v="0"/>
    <n v="29.54"/>
    <n v="29.7438"/>
  </r>
  <r>
    <d v="2019-06-21T00:00:00"/>
    <x v="39"/>
    <x v="0"/>
    <n v="1000"/>
    <n v="267.25"/>
    <n v="267250"/>
    <s v="20190621N300017374"/>
    <n v="2019117"/>
    <s v="Rolling"/>
    <s v="IN302679-38296183"/>
    <s v="NSE"/>
    <n v="0"/>
    <n v="9.6199999999999992"/>
    <n v="0"/>
    <n v="159.41"/>
    <n v="169.0309"/>
  </r>
  <r>
    <d v="2019-06-21T00:00:00"/>
    <x v="39"/>
    <x v="1"/>
    <n v="1000"/>
    <n v="267.89999999999998"/>
    <n v="267900"/>
    <s v="20190621N300017656"/>
    <n v="2019117"/>
    <s v="Rolling"/>
    <s v="IN302679-38296183"/>
    <s v="NSE"/>
    <n v="66.89"/>
    <n v="9.64"/>
    <n v="0"/>
    <n v="159.80000000000001"/>
    <n v="236.33439999999999"/>
  </r>
  <r>
    <d v="2019-06-21T00:00:00"/>
    <x v="26"/>
    <x v="0"/>
    <n v="100"/>
    <n v="593.70000000000005"/>
    <n v="59370"/>
    <s v="20190621N300018609"/>
    <n v="2019117"/>
    <s v="Rolling"/>
    <s v="IN302679-38296183"/>
    <s v="NSE"/>
    <n v="0"/>
    <n v="2.14"/>
    <n v="0"/>
    <n v="35.409999999999997"/>
    <n v="37.547400000000003"/>
  </r>
  <r>
    <d v="2019-06-21T00:00:00"/>
    <x v="26"/>
    <x v="1"/>
    <n v="100"/>
    <n v="597"/>
    <n v="59700"/>
    <s v="20190621N300018626"/>
    <n v="2019117"/>
    <s v="Rolling"/>
    <s v="IN302679-38296183"/>
    <s v="NSE"/>
    <n v="14.89"/>
    <n v="2.15"/>
    <n v="0"/>
    <n v="35.61"/>
    <n v="52.6492"/>
  </r>
  <r>
    <d v="2019-06-21T00:00:00"/>
    <x v="50"/>
    <x v="1"/>
    <n v="100"/>
    <n v="75"/>
    <n v="7500"/>
    <s v="20190621N300021339"/>
    <n v="2019117"/>
    <s v="Rolling"/>
    <s v="IN302679-38296183"/>
    <s v="NSE"/>
    <n v="1.65"/>
    <n v="0.27"/>
    <n v="0"/>
    <n v="29.55"/>
    <n v="31.47"/>
  </r>
  <r>
    <d v="2019-06-21T00:00:00"/>
    <x v="6"/>
    <x v="0"/>
    <n v="2500"/>
    <n v="22.05"/>
    <n v="55125"/>
    <s v="20190621N300022576"/>
    <n v="2019117"/>
    <s v="Rolling"/>
    <s v="IN302679-38296183"/>
    <s v="NSE"/>
    <n v="0"/>
    <n v="1.98"/>
    <n v="24.6"/>
    <n v="32.880000000000003"/>
    <n v="59.464500000000001"/>
  </r>
  <r>
    <d v="2019-06-21T00:00:00"/>
    <x v="6"/>
    <x v="1"/>
    <n v="2500"/>
    <n v="21.95"/>
    <n v="54878.55"/>
    <s v="20190621N300027904"/>
    <n v="2019117"/>
    <s v="Rolling"/>
    <s v="IN302679-38296183"/>
    <s v="NSE"/>
    <n v="13.75"/>
    <n v="1.98"/>
    <n v="0"/>
    <n v="32.72"/>
    <n v="48.445599999999999"/>
  </r>
  <r>
    <d v="2019-06-20T00:00:00"/>
    <x v="4"/>
    <x v="0"/>
    <n v="1000"/>
    <n v="104.5"/>
    <n v="104500"/>
    <s v="20190620N300017915"/>
    <n v="2019116"/>
    <s v="Rolling"/>
    <s v="IN302679-38296183"/>
    <s v="NSE"/>
    <n v="0"/>
    <n v="3.76"/>
    <n v="0"/>
    <n v="62.33"/>
    <n v="66.091999999999999"/>
  </r>
  <r>
    <d v="2019-06-20T00:00:00"/>
    <x v="4"/>
    <x v="1"/>
    <n v="1000"/>
    <n v="107.5"/>
    <n v="107500"/>
    <s v="20190620N300018203"/>
    <n v="2019116"/>
    <s v="Rolling"/>
    <s v="IN302679-38296183"/>
    <s v="NSE"/>
    <n v="26.5"/>
    <n v="3.87"/>
    <n v="0"/>
    <n v="64.12"/>
    <n v="94.49"/>
  </r>
  <r>
    <d v="2019-06-20T00:00:00"/>
    <x v="6"/>
    <x v="0"/>
    <n v="150"/>
    <n v="22"/>
    <n v="3300"/>
    <s v="20190620N300019908"/>
    <n v="2019116"/>
    <s v="Rolling"/>
    <s v="IN302679-38296183"/>
    <s v="NSE"/>
    <n v="3.03"/>
    <n v="0.12"/>
    <n v="0"/>
    <n v="41.32"/>
    <n v="44.468800000000002"/>
  </r>
  <r>
    <d v="2019-06-20T00:00:00"/>
    <x v="11"/>
    <x v="0"/>
    <n v="500"/>
    <n v="267"/>
    <n v="133500"/>
    <s v="20190620N300024800"/>
    <n v="2019116"/>
    <s v="Rolling"/>
    <s v="IN302679-38296183"/>
    <s v="NSE"/>
    <n v="0"/>
    <n v="4.8099999999999996"/>
    <n v="14.7"/>
    <n v="79.63"/>
    <n v="99.135999999999996"/>
  </r>
  <r>
    <d v="2019-06-20T00:00:00"/>
    <x v="11"/>
    <x v="1"/>
    <n v="500"/>
    <n v="268.5"/>
    <n v="134250"/>
    <s v="20190620N300024852"/>
    <n v="2019116"/>
    <s v="Rolling"/>
    <s v="IN302679-38296183"/>
    <s v="NSE"/>
    <n v="33.47"/>
    <n v="4.83"/>
    <n v="0"/>
    <n v="80.08"/>
    <n v="118.3831"/>
  </r>
  <r>
    <d v="2019-06-19T00:00:00"/>
    <x v="4"/>
    <x v="1"/>
    <n v="500"/>
    <n v="105.8"/>
    <n v="52900"/>
    <s v="20190619N300019889"/>
    <n v="2019115"/>
    <s v="Rolling"/>
    <s v="IN302679-38296183"/>
    <s v="NSE"/>
    <n v="13"/>
    <n v="1.9"/>
    <n v="3.3"/>
    <n v="31.55"/>
    <n v="49.754399999999997"/>
  </r>
  <r>
    <d v="2019-06-19T00:00:00"/>
    <x v="4"/>
    <x v="0"/>
    <n v="500"/>
    <n v="103.25"/>
    <n v="51625"/>
    <s v="20190619N300020092"/>
    <n v="2019115"/>
    <s v="Rolling"/>
    <s v="IN302679-38296183"/>
    <s v="NSE"/>
    <n v="0"/>
    <n v="1.86"/>
    <n v="0"/>
    <n v="30.79"/>
    <n v="32.648499999999999"/>
  </r>
  <r>
    <d v="2019-06-18T00:00:00"/>
    <x v="51"/>
    <x v="1"/>
    <n v="100"/>
    <n v="178"/>
    <n v="17800"/>
    <s v="20190618N300018964"/>
    <n v="2019114"/>
    <s v="Rolling"/>
    <s v="IN302679-38296183"/>
    <s v="NSE"/>
    <n v="4.45"/>
    <n v="0.64"/>
    <n v="0"/>
    <n v="29.62"/>
    <n v="34.710799999999999"/>
  </r>
  <r>
    <d v="2019-06-18T00:00:00"/>
    <x v="51"/>
    <x v="1"/>
    <n v="200"/>
    <n v="179"/>
    <n v="35800"/>
    <s v="20190618N300020133"/>
    <n v="2019114"/>
    <s v="Rolling"/>
    <s v="IN302679-38296183"/>
    <s v="NSE"/>
    <n v="8.91"/>
    <n v="1.29"/>
    <n v="0"/>
    <n v="29.73"/>
    <n v="39.928800000000003"/>
  </r>
  <r>
    <d v="2019-06-18T00:00:00"/>
    <x v="51"/>
    <x v="0"/>
    <n v="300"/>
    <n v="177.65"/>
    <n v="53295"/>
    <s v="20190618N300020966"/>
    <n v="2019114"/>
    <s v="Rolling"/>
    <s v="IN302679-38296183"/>
    <s v="NSE"/>
    <n v="0"/>
    <n v="1.92"/>
    <n v="31.5"/>
    <n v="31.79"/>
    <n v="65.208600000000004"/>
  </r>
  <r>
    <d v="2019-06-18T00:00:00"/>
    <x v="52"/>
    <x v="0"/>
    <n v="500"/>
    <n v="471.5"/>
    <n v="235750"/>
    <s v="20190618N300021548"/>
    <n v="2019114"/>
    <s v="Rolling"/>
    <s v="IN302679-38296183"/>
    <s v="NSE"/>
    <n v="0"/>
    <n v="8.49"/>
    <n v="0"/>
    <n v="140.62"/>
    <n v="149.107"/>
  </r>
  <r>
    <d v="2019-06-18T00:00:00"/>
    <x v="52"/>
    <x v="1"/>
    <n v="1000"/>
    <n v="471.5"/>
    <n v="471500"/>
    <s v="20190618N300021798"/>
    <n v="2019114"/>
    <s v="Rolling"/>
    <s v="IN302679-38296183"/>
    <s v="NSE"/>
    <n v="117.64"/>
    <n v="16.97"/>
    <n v="0"/>
    <n v="281.23"/>
    <n v="415.84429999999998"/>
  </r>
  <r>
    <d v="2019-06-18T00:00:00"/>
    <x v="52"/>
    <x v="0"/>
    <n v="500"/>
    <n v="468"/>
    <n v="234000"/>
    <s v="20190618N300024492"/>
    <n v="2019114"/>
    <s v="Rolling"/>
    <s v="IN302679-38296183"/>
    <s v="NSE"/>
    <n v="0"/>
    <n v="8.42"/>
    <n v="0"/>
    <n v="139.58000000000001"/>
    <n v="148.00399999999999"/>
  </r>
  <r>
    <d v="2019-06-17T00:00:00"/>
    <x v="6"/>
    <x v="0"/>
    <n v="100"/>
    <n v="24.25"/>
    <n v="2425"/>
    <s v="20190617N300016803"/>
    <n v="2019113"/>
    <s v="Rolling"/>
    <s v="IN302679-38296183"/>
    <s v="NSE"/>
    <n v="2.4300000000000002"/>
    <n v="0.09"/>
    <n v="0"/>
    <n v="41.32"/>
    <n v="43.837299999999999"/>
  </r>
  <r>
    <d v="2019-06-17T00:00:00"/>
    <x v="52"/>
    <x v="0"/>
    <n v="100"/>
    <n v="493.15"/>
    <n v="49315"/>
    <s v="20190617N300016946"/>
    <n v="2019113"/>
    <s v="Rolling"/>
    <s v="IN302679-38296183"/>
    <s v="NSE"/>
    <n v="0"/>
    <n v="1.78"/>
    <n v="0"/>
    <n v="29.82"/>
    <n v="31.595300000000002"/>
  </r>
  <r>
    <d v="2019-06-17T00:00:00"/>
    <x v="52"/>
    <x v="0"/>
    <n v="100"/>
    <n v="490.85"/>
    <n v="49084.95"/>
    <s v="20190617N300018427"/>
    <n v="2019113"/>
    <s v="Rolling"/>
    <s v="IN302679-38296183"/>
    <s v="NSE"/>
    <n v="0"/>
    <n v="1.77"/>
    <n v="0"/>
    <n v="29.82"/>
    <n v="31.5871"/>
  </r>
  <r>
    <d v="2019-06-17T00:00:00"/>
    <x v="52"/>
    <x v="0"/>
    <n v="100"/>
    <n v="486"/>
    <n v="48600"/>
    <s v="20190617N300020202"/>
    <n v="2019113"/>
    <s v="Rolling"/>
    <s v="IN302679-38296183"/>
    <s v="NSE"/>
    <n v="0"/>
    <n v="1.75"/>
    <n v="0"/>
    <n v="29.82"/>
    <n v="31.569600000000001"/>
  </r>
  <r>
    <d v="2019-06-17T00:00:00"/>
    <x v="52"/>
    <x v="1"/>
    <n v="2000"/>
    <n v="484.25"/>
    <n v="968500"/>
    <s v="20190617N300021376"/>
    <n v="2019113"/>
    <s v="Rolling"/>
    <s v="IN302679-38296183"/>
    <s v="NSE"/>
    <n v="241.58"/>
    <n v="34.869999999999997"/>
    <n v="58.2"/>
    <n v="577.69000000000005"/>
    <n v="912.33609999999999"/>
  </r>
  <r>
    <d v="2019-06-17T00:00:00"/>
    <x v="52"/>
    <x v="0"/>
    <n v="1700"/>
    <n v="482.25"/>
    <n v="819825"/>
    <s v="20190617N300021509"/>
    <n v="2019113"/>
    <s v="Rolling"/>
    <s v="IN302679-38296183"/>
    <s v="NSE"/>
    <n v="0"/>
    <n v="29.51"/>
    <n v="0"/>
    <n v="489.01"/>
    <n v="518.52369999999996"/>
  </r>
  <r>
    <d v="2019-06-14T00:00:00"/>
    <x v="4"/>
    <x v="1"/>
    <n v="1000"/>
    <n v="115"/>
    <n v="115000"/>
    <s v="20190614N300017279"/>
    <n v="2019112"/>
    <s v="Rolling"/>
    <s v="IN302679-38296183"/>
    <s v="NSE"/>
    <n v="29.01"/>
    <n v="4.1399999999999997"/>
    <n v="0"/>
    <n v="68.599999999999994"/>
    <n v="101.75"/>
  </r>
  <r>
    <d v="2019-06-14T00:00:00"/>
    <x v="4"/>
    <x v="0"/>
    <n v="1000"/>
    <n v="113"/>
    <n v="113000"/>
    <s v="20190614N300017360"/>
    <n v="2019112"/>
    <s v="Rolling"/>
    <s v="IN302679-38296183"/>
    <s v="NSE"/>
    <n v="0"/>
    <n v="4.07"/>
    <n v="0"/>
    <n v="67.400000000000006"/>
    <n v="71.468000000000004"/>
  </r>
  <r>
    <d v="2019-06-14T00:00:00"/>
    <x v="53"/>
    <x v="0"/>
    <n v="500"/>
    <n v="58.4"/>
    <n v="29200"/>
    <s v="20190614N300020334"/>
    <n v="2019112"/>
    <s v="Rolling"/>
    <s v="IN302679-38296183"/>
    <s v="NSE"/>
    <n v="0"/>
    <n v="1.05"/>
    <n v="0"/>
    <n v="29.69"/>
    <n v="30.741199999999999"/>
  </r>
  <r>
    <d v="2019-06-14T00:00:00"/>
    <x v="53"/>
    <x v="1"/>
    <n v="500"/>
    <n v="59.1"/>
    <n v="29550"/>
    <s v="20190614N300020396"/>
    <n v="2019112"/>
    <s v="Rolling"/>
    <s v="IN302679-38296183"/>
    <s v="NSE"/>
    <n v="7.34"/>
    <n v="1.06"/>
    <n v="0"/>
    <n v="29.69"/>
    <n v="38.093899999999998"/>
  </r>
  <r>
    <d v="2019-06-14T00:00:00"/>
    <x v="4"/>
    <x v="0"/>
    <n v="2000"/>
    <n v="118"/>
    <n v="236000"/>
    <s v="20190614N300024400"/>
    <n v="2019112"/>
    <s v="Rolling"/>
    <s v="IN302679-38296183"/>
    <s v="NSE"/>
    <n v="0"/>
    <n v="8.5"/>
    <n v="23.1"/>
    <n v="140.77000000000001"/>
    <n v="172.36590000000001"/>
  </r>
  <r>
    <d v="2019-06-14T00:00:00"/>
    <x v="4"/>
    <x v="1"/>
    <n v="2000"/>
    <n v="119.9"/>
    <n v="239800"/>
    <s v="20190614N300024416"/>
    <n v="2019112"/>
    <s v="Rolling"/>
    <s v="IN302679-38296183"/>
    <s v="NSE"/>
    <n v="58.65"/>
    <n v="8.6300000000000008"/>
    <n v="0"/>
    <n v="143.04"/>
    <n v="210.3228"/>
  </r>
  <r>
    <d v="2019-06-13T00:00:00"/>
    <x v="5"/>
    <x v="1"/>
    <n v="2000"/>
    <n v="253.5"/>
    <n v="507000"/>
    <s v="20190613N300016875"/>
    <n v="2019111"/>
    <s v="Rolling"/>
    <s v="IN302679-38296183"/>
    <s v="NSE"/>
    <n v="126.49"/>
    <n v="18.25"/>
    <n v="49.5"/>
    <n v="302.39999999999998"/>
    <n v="496.64229999999998"/>
  </r>
  <r>
    <d v="2019-06-13T00:00:00"/>
    <x v="5"/>
    <x v="0"/>
    <n v="2000"/>
    <n v="252.5"/>
    <n v="505000"/>
    <s v="20190613N300017249"/>
    <n v="2019111"/>
    <s v="Rolling"/>
    <s v="IN302679-38296183"/>
    <s v="NSE"/>
    <n v="0"/>
    <n v="18.18"/>
    <n v="0"/>
    <n v="301.23"/>
    <n v="319.41000000000003"/>
  </r>
  <r>
    <d v="2019-06-13T00:00:00"/>
    <x v="54"/>
    <x v="1"/>
    <n v="10"/>
    <n v="1323"/>
    <n v="13230"/>
    <s v="20190613N300020046"/>
    <n v="2019111"/>
    <s v="Rolling"/>
    <s v="IN302679-38296183"/>
    <s v="NSE"/>
    <n v="3.3"/>
    <n v="0.48"/>
    <n v="0"/>
    <n v="29.59"/>
    <n v="33.366300000000003"/>
  </r>
  <r>
    <d v="2019-06-13T00:00:00"/>
    <x v="5"/>
    <x v="1"/>
    <n v="1000"/>
    <n v="252"/>
    <n v="252000"/>
    <s v="20190613N300020100"/>
    <n v="2019111"/>
    <s v="Rolling"/>
    <s v="IN302679-38296183"/>
    <s v="NSE"/>
    <n v="63.14"/>
    <n v="9.07"/>
    <n v="0"/>
    <n v="150.31"/>
    <n v="222.52199999999999"/>
  </r>
  <r>
    <d v="2019-06-13T00:00:00"/>
    <x v="5"/>
    <x v="0"/>
    <n v="1000"/>
    <n v="251.25"/>
    <n v="251250"/>
    <s v="20190613N300020300"/>
    <n v="2019111"/>
    <s v="Rolling"/>
    <s v="IN302679-38296183"/>
    <s v="NSE"/>
    <n v="0"/>
    <n v="9.0500000000000007"/>
    <n v="0"/>
    <n v="149.87"/>
    <n v="158.9151"/>
  </r>
  <r>
    <d v="2019-06-13T00:00:00"/>
    <x v="54"/>
    <x v="0"/>
    <n v="10"/>
    <n v="1317"/>
    <n v="13170"/>
    <s v="20190613N300020333"/>
    <n v="2019111"/>
    <s v="Rolling"/>
    <s v="IN302679-38296183"/>
    <s v="NSE"/>
    <n v="0"/>
    <n v="0.47"/>
    <n v="0"/>
    <n v="29.59"/>
    <n v="30.0642"/>
  </r>
  <r>
    <d v="2019-06-13T00:00:00"/>
    <x v="55"/>
    <x v="1"/>
    <n v="500"/>
    <n v="104.5"/>
    <n v="52250"/>
    <s v="20190613N300025384"/>
    <n v="2019111"/>
    <s v="Rolling"/>
    <s v="IN302679-38296183"/>
    <s v="NSE"/>
    <n v="13.11"/>
    <n v="1.88"/>
    <n v="0"/>
    <n v="31.17"/>
    <n v="46.161099999999998"/>
  </r>
  <r>
    <d v="2019-06-13T00:00:00"/>
    <x v="55"/>
    <x v="0"/>
    <n v="500"/>
    <n v="105.3"/>
    <n v="52650"/>
    <s v="20190613N300025535"/>
    <n v="2019111"/>
    <s v="Rolling"/>
    <s v="IN302679-38296183"/>
    <s v="NSE"/>
    <n v="0"/>
    <n v="1.9"/>
    <n v="0"/>
    <n v="31.4"/>
    <n v="33.295499999999997"/>
  </r>
  <r>
    <d v="2019-06-13T00:00:00"/>
    <x v="50"/>
    <x v="1"/>
    <n v="20"/>
    <n v="98"/>
    <n v="1960"/>
    <s v="20190613N900015727"/>
    <n v="2019111"/>
    <s v="Rolling"/>
    <s v="IN302679-38296183"/>
    <s v="NSE"/>
    <n v="1.96"/>
    <n v="7.0000000000000007E-2"/>
    <n v="0"/>
    <n v="41.31"/>
    <n v="43.340600000000002"/>
  </r>
  <r>
    <d v="2019-06-12T00:00:00"/>
    <x v="56"/>
    <x v="0"/>
    <n v="1000"/>
    <n v="89.2"/>
    <n v="89200"/>
    <s v="20190612N300018244"/>
    <n v="2019110"/>
    <s v="Rolling"/>
    <s v="IN302679-38296183"/>
    <s v="NSE"/>
    <n v="0"/>
    <n v="3.21"/>
    <n v="0"/>
    <n v="53.21"/>
    <n v="56.421199999999999"/>
  </r>
  <r>
    <d v="2019-06-12T00:00:00"/>
    <x v="56"/>
    <x v="1"/>
    <n v="1000"/>
    <n v="88"/>
    <n v="88000"/>
    <s v="20190612N300018385"/>
    <n v="2019110"/>
    <s v="Rolling"/>
    <s v="IN302679-38296183"/>
    <s v="NSE"/>
    <n v="22.14"/>
    <n v="3.17"/>
    <n v="31.8"/>
    <n v="52.48"/>
    <n v="109.58799999999999"/>
  </r>
  <r>
    <d v="2019-06-12T00:00:00"/>
    <x v="56"/>
    <x v="1"/>
    <n v="5000"/>
    <n v="88"/>
    <n v="440000"/>
    <s v="20190612N300022702"/>
    <n v="2019110"/>
    <s v="Rolling"/>
    <s v="IN302679-38296183"/>
    <s v="NSE"/>
    <n v="109.86"/>
    <n v="15.84"/>
    <n v="0"/>
    <n v="262.45"/>
    <n v="388.15"/>
  </r>
  <r>
    <d v="2019-06-12T00:00:00"/>
    <x v="56"/>
    <x v="0"/>
    <n v="5000"/>
    <n v="87.5"/>
    <n v="437500"/>
    <s v="20190612N300022940"/>
    <n v="2019110"/>
    <s v="Rolling"/>
    <s v="IN302679-38296183"/>
    <s v="NSE"/>
    <n v="0"/>
    <n v="15.75"/>
    <n v="0"/>
    <n v="260.95999999999998"/>
    <n v="276.70999999999998"/>
  </r>
  <r>
    <d v="2019-06-11T00:00:00"/>
    <x v="29"/>
    <x v="1"/>
    <n v="1000"/>
    <n v="94.5"/>
    <n v="94500"/>
    <s v="20190611N300016914"/>
    <n v="2019109"/>
    <s v="Rolling"/>
    <s v="IN302679-38296183"/>
    <s v="NSE"/>
    <n v="23.63"/>
    <n v="3.4"/>
    <n v="0"/>
    <n v="56.36"/>
    <n v="83.391999999999996"/>
  </r>
  <r>
    <d v="2019-06-11T00:00:00"/>
    <x v="29"/>
    <x v="0"/>
    <n v="1000"/>
    <n v="94.5"/>
    <n v="94500"/>
    <s v="20190611N300016966"/>
    <n v="2019109"/>
    <s v="Rolling"/>
    <s v="IN302679-38296183"/>
    <s v="NSE"/>
    <n v="0"/>
    <n v="3.4"/>
    <n v="0"/>
    <n v="56.37"/>
    <n v="59.771999999999998"/>
  </r>
  <r>
    <d v="2019-06-11T00:00:00"/>
    <x v="35"/>
    <x v="0"/>
    <n v="2000"/>
    <n v="109.25"/>
    <n v="218500"/>
    <s v="20190611N300017954"/>
    <n v="2019109"/>
    <s v="Rolling"/>
    <s v="IN302679-38296183"/>
    <s v="NSE"/>
    <n v="0"/>
    <n v="7.87"/>
    <n v="0"/>
    <n v="130.33000000000001"/>
    <n v="138.19589999999999"/>
  </r>
  <r>
    <d v="2019-06-11T00:00:00"/>
    <x v="35"/>
    <x v="1"/>
    <n v="2000"/>
    <n v="110"/>
    <n v="220000"/>
    <s v="20190611N300018171"/>
    <n v="2019109"/>
    <s v="Rolling"/>
    <s v="IN302679-38296183"/>
    <s v="NSE"/>
    <n v="54.81"/>
    <n v="7.92"/>
    <n v="0"/>
    <n v="131.22"/>
    <n v="193.95"/>
  </r>
  <r>
    <d v="2019-06-11T00:00:00"/>
    <x v="57"/>
    <x v="0"/>
    <n v="100"/>
    <n v="329"/>
    <n v="32900"/>
    <s v="20190611N300025629"/>
    <n v="2019109"/>
    <s v="Rolling"/>
    <s v="IN302679-38296183"/>
    <s v="NSE"/>
    <n v="0"/>
    <n v="1.18"/>
    <n v="0"/>
    <n v="29.71"/>
    <n v="30.894400000000001"/>
  </r>
  <r>
    <d v="2019-06-11T00:00:00"/>
    <x v="56"/>
    <x v="0"/>
    <n v="2000"/>
    <n v="88.5"/>
    <n v="177000"/>
    <s v="20190611N300026275"/>
    <n v="2019109"/>
    <s v="Rolling"/>
    <s v="IN302679-38296183"/>
    <s v="NSE"/>
    <n v="0"/>
    <n v="6.37"/>
    <n v="31.5"/>
    <n v="105.59"/>
    <n v="143.4623"/>
  </r>
  <r>
    <d v="2019-06-11T00:00:00"/>
    <x v="56"/>
    <x v="1"/>
    <n v="2000"/>
    <n v="89.1"/>
    <n v="178200"/>
    <s v="20190611N300026297"/>
    <n v="2019109"/>
    <s v="Rolling"/>
    <s v="IN302679-38296183"/>
    <s v="NSE"/>
    <n v="44.4"/>
    <n v="6.42"/>
    <n v="0"/>
    <n v="106.29"/>
    <n v="157.1052"/>
  </r>
  <r>
    <d v="2019-06-11T00:00:00"/>
    <x v="57"/>
    <x v="1"/>
    <n v="100"/>
    <n v="327.23"/>
    <n v="32723.25"/>
    <s v="20190611N300028669"/>
    <n v="2019109"/>
    <s v="Rolling"/>
    <s v="IN302679-38296183"/>
    <s v="NSE"/>
    <n v="8.16"/>
    <n v="1.18"/>
    <n v="0"/>
    <n v="29.71"/>
    <n v="39.048000000000002"/>
  </r>
  <r>
    <d v="2019-06-10T00:00:00"/>
    <x v="58"/>
    <x v="0"/>
    <n v="10"/>
    <n v="3536"/>
    <n v="35360"/>
    <s v="20190610N300017123"/>
    <n v="2019108"/>
    <s v="Rolling"/>
    <s v="IN302679-38296183"/>
    <s v="NSE"/>
    <n v="0"/>
    <n v="1.27"/>
    <n v="0"/>
    <n v="29.73"/>
    <n v="31.003"/>
  </r>
  <r>
    <d v="2019-06-10T00:00:00"/>
    <x v="59"/>
    <x v="1"/>
    <n v="50"/>
    <n v="1346"/>
    <n v="67300"/>
    <s v="20190610N300017707"/>
    <n v="2019108"/>
    <s v="Rolling"/>
    <s v="IN302679-38296183"/>
    <s v="NSE"/>
    <n v="16.77"/>
    <n v="2.42"/>
    <n v="0"/>
    <n v="40.14"/>
    <n v="59.332799999999999"/>
  </r>
  <r>
    <d v="2019-06-10T00:00:00"/>
    <x v="59"/>
    <x v="1"/>
    <n v="50"/>
    <n v="1341"/>
    <n v="67050"/>
    <s v="20190610N300017842"/>
    <n v="2019108"/>
    <s v="Rolling"/>
    <s v="IN302679-38296183"/>
    <s v="NSE"/>
    <n v="16.77"/>
    <n v="2.41"/>
    <n v="0"/>
    <n v="39.99"/>
    <n v="59.173900000000003"/>
  </r>
  <r>
    <d v="2019-06-10T00:00:00"/>
    <x v="60"/>
    <x v="1"/>
    <n v="100"/>
    <n v="412"/>
    <n v="41200"/>
    <s v="20190610N300019997"/>
    <n v="2019108"/>
    <s v="Rolling"/>
    <s v="IN302679-38296183"/>
    <s v="NSE"/>
    <n v="10.28"/>
    <n v="1.48"/>
    <n v="0"/>
    <n v="29.77"/>
    <n v="41.533200000000001"/>
  </r>
  <r>
    <d v="2019-06-10T00:00:00"/>
    <x v="60"/>
    <x v="0"/>
    <n v="100"/>
    <n v="410"/>
    <n v="41000"/>
    <s v="20190610N300020070"/>
    <n v="2019108"/>
    <s v="Rolling"/>
    <s v="IN302679-38296183"/>
    <s v="NSE"/>
    <n v="0"/>
    <n v="1.48"/>
    <n v="0"/>
    <n v="29.77"/>
    <n v="31.245999999999999"/>
  </r>
  <r>
    <d v="2019-06-10T00:00:00"/>
    <x v="59"/>
    <x v="0"/>
    <n v="100"/>
    <n v="1340"/>
    <n v="134000"/>
    <s v="20190610N300022202"/>
    <n v="2019108"/>
    <s v="Rolling"/>
    <s v="IN302679-38296183"/>
    <s v="NSE"/>
    <n v="0"/>
    <n v="4.82"/>
    <n v="0"/>
    <n v="79.930000000000007"/>
    <n v="84.754000000000005"/>
  </r>
  <r>
    <d v="2019-06-10T00:00:00"/>
    <x v="40"/>
    <x v="1"/>
    <n v="100"/>
    <n v="961"/>
    <n v="96100"/>
    <s v="20190610N300027273"/>
    <n v="2019108"/>
    <s v="Rolling"/>
    <s v="IN302679-38296183"/>
    <s v="NSE"/>
    <n v="24.05"/>
    <n v="3.46"/>
    <n v="0"/>
    <n v="57.33"/>
    <n v="84.839600000000004"/>
  </r>
  <r>
    <d v="2019-06-10T00:00:00"/>
    <x v="61"/>
    <x v="1"/>
    <n v="590"/>
    <n v="186.5"/>
    <n v="110035"/>
    <s v="20190610N300027292"/>
    <n v="2019108"/>
    <s v="Rolling"/>
    <s v="IN302679-38296183"/>
    <s v="NSE"/>
    <n v="27.54"/>
    <n v="3.96"/>
    <n v="0"/>
    <n v="65.63"/>
    <n v="97.131299999999996"/>
  </r>
  <r>
    <d v="2019-06-10T00:00:00"/>
    <x v="62"/>
    <x v="1"/>
    <n v="200"/>
    <n v="155"/>
    <n v="31000"/>
    <s v="20190610N300027330"/>
    <n v="2019108"/>
    <s v="Rolling"/>
    <s v="IN302679-38296183"/>
    <s v="NSE"/>
    <n v="7.79"/>
    <n v="1.1200000000000001"/>
    <n v="0"/>
    <n v="29.7"/>
    <n v="38.606000000000002"/>
  </r>
  <r>
    <d v="2019-06-10T00:00:00"/>
    <x v="61"/>
    <x v="0"/>
    <n v="590"/>
    <n v="189"/>
    <n v="111510"/>
    <s v="20190610N300030051"/>
    <n v="2019108"/>
    <s v="Rolling"/>
    <s v="IN302679-38296183"/>
    <s v="NSE"/>
    <n v="0"/>
    <n v="4.01"/>
    <n v="27"/>
    <n v="66.510000000000005"/>
    <n v="97.5244"/>
  </r>
  <r>
    <d v="2019-06-10T00:00:00"/>
    <x v="40"/>
    <x v="0"/>
    <n v="100"/>
    <n v="962.6"/>
    <n v="96260"/>
    <s v="20190610N300030570"/>
    <n v="2019108"/>
    <s v="Rolling"/>
    <s v="IN302679-38296183"/>
    <s v="NSE"/>
    <n v="0"/>
    <n v="3.47"/>
    <n v="0"/>
    <n v="57.42"/>
    <n v="60.885399999999997"/>
  </r>
  <r>
    <d v="2019-06-10T00:00:00"/>
    <x v="58"/>
    <x v="1"/>
    <n v="10"/>
    <n v="3511"/>
    <n v="35110"/>
    <s v="20190610N300030617"/>
    <n v="2019108"/>
    <s v="Rolling"/>
    <s v="IN302679-38296183"/>
    <s v="NSE"/>
    <n v="8.81"/>
    <n v="1.26"/>
    <n v="0"/>
    <n v="29.73"/>
    <n v="39.804000000000002"/>
  </r>
  <r>
    <d v="2019-06-10T00:00:00"/>
    <x v="62"/>
    <x v="0"/>
    <n v="200"/>
    <n v="156.68"/>
    <n v="31335.599999999999"/>
    <s v="20190610N300030621"/>
    <n v="2019108"/>
    <s v="Rolling"/>
    <s v="IN302679-38296183"/>
    <s v="NSE"/>
    <n v="0"/>
    <n v="1.1299999999999999"/>
    <n v="0"/>
    <n v="29.71"/>
    <n v="30.838200000000001"/>
  </r>
  <r>
    <d v="2019-06-07T00:00:00"/>
    <x v="63"/>
    <x v="0"/>
    <n v="74"/>
    <n v="150.25"/>
    <n v="11118.5"/>
    <s v="20190607N300017963"/>
    <n v="2019107"/>
    <s v="Rolling"/>
    <s v="IN302679-38296183"/>
    <s v="NSE"/>
    <n v="0"/>
    <n v="0.4"/>
    <n v="0"/>
    <n v="29.57"/>
    <n v="29.970199999999998"/>
  </r>
  <r>
    <d v="2019-06-07T00:00:00"/>
    <x v="63"/>
    <x v="1"/>
    <n v="74"/>
    <n v="151.05000000000001"/>
    <n v="11177.7"/>
    <s v="20190607N300018441"/>
    <n v="2019107"/>
    <s v="Rolling"/>
    <s v="IN302679-38296183"/>
    <s v="NSE"/>
    <n v="2.79"/>
    <n v="0.4"/>
    <n v="0"/>
    <n v="29.57"/>
    <n v="32.7624"/>
  </r>
  <r>
    <d v="2019-06-07T00:00:00"/>
    <x v="52"/>
    <x v="1"/>
    <n v="100"/>
    <n v="485.5"/>
    <n v="48550"/>
    <s v="20190607N300018526"/>
    <n v="2019107"/>
    <s v="Rolling"/>
    <s v="IN302679-38296183"/>
    <s v="NSE"/>
    <n v="12.1"/>
    <n v="1.75"/>
    <n v="6.6"/>
    <n v="29.82"/>
    <n v="50.267800000000001"/>
  </r>
  <r>
    <d v="2019-06-07T00:00:00"/>
    <x v="52"/>
    <x v="0"/>
    <n v="200"/>
    <n v="483"/>
    <n v="96600"/>
    <s v="20190607N300018819"/>
    <n v="2019107"/>
    <s v="Rolling"/>
    <s v="IN302679-38296183"/>
    <s v="NSE"/>
    <n v="0"/>
    <n v="3.48"/>
    <n v="0"/>
    <n v="57.62"/>
    <n v="61.0976"/>
  </r>
  <r>
    <d v="2019-06-07T00:00:00"/>
    <x v="52"/>
    <x v="1"/>
    <n v="100"/>
    <n v="487"/>
    <n v="48700"/>
    <s v="20190607N300020514"/>
    <n v="2019107"/>
    <s v="Rolling"/>
    <s v="IN302679-38296183"/>
    <s v="NSE"/>
    <n v="12.12"/>
    <n v="1.75"/>
    <n v="0"/>
    <n v="29.81"/>
    <n v="43.683300000000003"/>
  </r>
  <r>
    <d v="2019-06-06T00:00:00"/>
    <x v="34"/>
    <x v="1"/>
    <n v="100"/>
    <n v="1635.07"/>
    <n v="163507.4"/>
    <s v="20190606N300019967"/>
    <n v="2019106"/>
    <s v="Rolling"/>
    <s v="IN302679-38296183"/>
    <s v="NSE"/>
    <n v="40.69"/>
    <n v="5.89"/>
    <n v="0"/>
    <n v="97.55"/>
    <n v="144.126"/>
  </r>
  <r>
    <d v="2019-06-06T00:00:00"/>
    <x v="34"/>
    <x v="0"/>
    <n v="100"/>
    <n v="1639"/>
    <n v="163900"/>
    <s v="20190606N300020083"/>
    <n v="2019106"/>
    <s v="Rolling"/>
    <s v="IN302679-38296183"/>
    <s v="NSE"/>
    <n v="0"/>
    <n v="5.9"/>
    <n v="0"/>
    <n v="97.77"/>
    <n v="103.6704"/>
  </r>
  <r>
    <d v="2019-06-06T00:00:00"/>
    <x v="34"/>
    <x v="1"/>
    <n v="200"/>
    <n v="1635.78"/>
    <n v="327156.40000000002"/>
    <s v="20190606N300020306"/>
    <n v="2019106"/>
    <s v="Rolling"/>
    <s v="IN302679-38296183"/>
    <s v="NSE"/>
    <n v="81.73"/>
    <n v="11.78"/>
    <n v="0"/>
    <n v="195.14"/>
    <n v="288.64749999999998"/>
  </r>
  <r>
    <d v="2019-06-06T00:00:00"/>
    <x v="34"/>
    <x v="0"/>
    <n v="200"/>
    <n v="1631"/>
    <n v="326200"/>
    <s v="20190606N300020335"/>
    <n v="2019106"/>
    <s v="Rolling"/>
    <s v="IN302679-38296183"/>
    <s v="NSE"/>
    <n v="0"/>
    <n v="11.74"/>
    <n v="0"/>
    <n v="194.57"/>
    <n v="206.31309999999999"/>
  </r>
  <r>
    <d v="2019-06-06T00:00:00"/>
    <x v="26"/>
    <x v="1"/>
    <n v="100"/>
    <n v="638"/>
    <n v="63800"/>
    <s v="20190606N300021306"/>
    <n v="2019106"/>
    <s v="Rolling"/>
    <s v="IN302679-38296183"/>
    <s v="NSE"/>
    <n v="15.93"/>
    <n v="2.2999999999999998"/>
    <n v="0"/>
    <n v="38.06"/>
    <n v="56.286799999999999"/>
  </r>
  <r>
    <d v="2019-06-06T00:00:00"/>
    <x v="26"/>
    <x v="0"/>
    <n v="100"/>
    <n v="636.5"/>
    <n v="63650"/>
    <s v="20190606N300021394"/>
    <n v="2019106"/>
    <s v="Rolling"/>
    <s v="IN302679-38296183"/>
    <s v="NSE"/>
    <n v="0"/>
    <n v="2.29"/>
    <n v="0"/>
    <n v="37.96"/>
    <n v="40.251300000000001"/>
  </r>
  <r>
    <d v="2019-06-06T00:00:00"/>
    <x v="38"/>
    <x v="1"/>
    <n v="500"/>
    <n v="136"/>
    <n v="68000"/>
    <s v="20190606N300021559"/>
    <n v="2019106"/>
    <s v="Rolling"/>
    <s v="IN302679-38296183"/>
    <s v="NSE"/>
    <n v="16.84"/>
    <n v="2.4500000000000002"/>
    <n v="0"/>
    <n v="40.56"/>
    <n v="59.847900000000003"/>
  </r>
  <r>
    <d v="2019-06-06T00:00:00"/>
    <x v="38"/>
    <x v="0"/>
    <n v="500"/>
    <n v="133.5"/>
    <n v="66750"/>
    <s v="20190606N300021572"/>
    <n v="2019106"/>
    <s v="Rolling"/>
    <s v="IN302679-38296183"/>
    <s v="NSE"/>
    <n v="0"/>
    <n v="2.4"/>
    <n v="0"/>
    <n v="39.81"/>
    <n v="42.213099999999997"/>
  </r>
  <r>
    <d v="2019-06-06T00:00:00"/>
    <x v="64"/>
    <x v="0"/>
    <n v="100"/>
    <n v="379.8"/>
    <n v="37980"/>
    <s v="20190606N300022299"/>
    <n v="2019106"/>
    <s v="Rolling"/>
    <s v="IN302679-38296183"/>
    <s v="NSE"/>
    <n v="0"/>
    <n v="1.37"/>
    <n v="0"/>
    <n v="29.75"/>
    <n v="31.1173"/>
  </r>
  <r>
    <d v="2019-06-06T00:00:00"/>
    <x v="63"/>
    <x v="1"/>
    <n v="500"/>
    <n v="152.25"/>
    <n v="76125"/>
    <s v="20190606N300022593"/>
    <n v="2019106"/>
    <s v="Rolling"/>
    <s v="IN302679-38296183"/>
    <s v="NSE"/>
    <n v="18.95"/>
    <n v="2.74"/>
    <n v="0"/>
    <n v="45.41"/>
    <n v="67.1006"/>
  </r>
  <r>
    <d v="2019-06-06T00:00:00"/>
    <x v="63"/>
    <x v="0"/>
    <n v="500"/>
    <n v="151"/>
    <n v="75500"/>
    <s v="20190606N300022691"/>
    <n v="2019106"/>
    <s v="Rolling"/>
    <s v="IN302679-38296183"/>
    <s v="NSE"/>
    <n v="0"/>
    <n v="2.72"/>
    <n v="0"/>
    <n v="45.03"/>
    <n v="47.747999999999998"/>
  </r>
  <r>
    <d v="2019-06-06T00:00:00"/>
    <x v="64"/>
    <x v="0"/>
    <n v="100"/>
    <n v="378.72"/>
    <n v="37871.599999999999"/>
    <s v="20190606N300022788"/>
    <n v="2019106"/>
    <s v="Rolling"/>
    <s v="IN302679-38296183"/>
    <s v="NSE"/>
    <n v="0"/>
    <n v="1.36"/>
    <n v="0"/>
    <n v="29.75"/>
    <n v="31.113399999999999"/>
  </r>
  <r>
    <d v="2019-06-06T00:00:00"/>
    <x v="65"/>
    <x v="1"/>
    <n v="200"/>
    <n v="238.8"/>
    <n v="47760"/>
    <s v="20190606N300023864"/>
    <n v="2019106"/>
    <s v="Rolling"/>
    <s v="IN302679-38296183"/>
    <s v="NSE"/>
    <n v="11.94"/>
    <n v="1.72"/>
    <n v="0"/>
    <n v="29.81"/>
    <n v="43.4694"/>
  </r>
  <r>
    <d v="2019-06-06T00:00:00"/>
    <x v="65"/>
    <x v="0"/>
    <n v="300"/>
    <n v="238.6"/>
    <n v="71580"/>
    <s v="20190606N300023907"/>
    <n v="2019106"/>
    <s v="Rolling"/>
    <s v="IN302679-38296183"/>
    <s v="NSE"/>
    <n v="0"/>
    <n v="2.58"/>
    <n v="81.900000000000006"/>
    <n v="42.69"/>
    <n v="127.167"/>
  </r>
  <r>
    <d v="2019-06-06T00:00:00"/>
    <x v="65"/>
    <x v="1"/>
    <n v="100"/>
    <n v="239.5"/>
    <n v="23950"/>
    <s v="20190606N300025186"/>
    <n v="2019106"/>
    <s v="Rolling"/>
    <s v="IN302679-38296183"/>
    <s v="NSE"/>
    <n v="5.97"/>
    <n v="0.86"/>
    <n v="0"/>
    <n v="29.66"/>
    <n v="36.4923"/>
  </r>
  <r>
    <d v="2019-06-06T00:00:00"/>
    <x v="62"/>
    <x v="1"/>
    <n v="200"/>
    <n v="159.5"/>
    <n v="31900"/>
    <s v="20190606N300026668"/>
    <n v="2019106"/>
    <s v="Rolling"/>
    <s v="IN302679-38296183"/>
    <s v="NSE"/>
    <n v="7.95"/>
    <n v="1.1499999999999999"/>
    <n v="0"/>
    <n v="29.71"/>
    <n v="38.808399999999999"/>
  </r>
  <r>
    <d v="2019-06-06T00:00:00"/>
    <x v="62"/>
    <x v="0"/>
    <n v="200"/>
    <n v="158.6"/>
    <n v="31720"/>
    <s v="20190606N300027144"/>
    <n v="2019106"/>
    <s v="Rolling"/>
    <s v="IN302679-38296183"/>
    <s v="NSE"/>
    <n v="0"/>
    <n v="1.1399999999999999"/>
    <n v="0"/>
    <n v="29.71"/>
    <n v="30.852"/>
  </r>
  <r>
    <d v="2019-06-06T00:00:00"/>
    <x v="64"/>
    <x v="0"/>
    <n v="150"/>
    <n v="376.5"/>
    <n v="56475"/>
    <s v="20190606N300029697"/>
    <n v="2019106"/>
    <s v="Rolling"/>
    <s v="IN302679-38296183"/>
    <s v="NSE"/>
    <n v="0"/>
    <n v="2.0299999999999998"/>
    <n v="0"/>
    <n v="33.69"/>
    <n v="35.723100000000002"/>
  </r>
  <r>
    <d v="2019-06-06T00:00:00"/>
    <x v="64"/>
    <x v="0"/>
    <n v="150"/>
    <n v="375.25"/>
    <n v="56287.5"/>
    <s v="20190606N300030749"/>
    <n v="2019106"/>
    <s v="Rolling"/>
    <s v="IN302679-38296183"/>
    <s v="NSE"/>
    <n v="0"/>
    <n v="2.0299999999999998"/>
    <n v="0"/>
    <n v="33.57"/>
    <n v="35.596400000000003"/>
  </r>
  <r>
    <d v="2019-06-06T00:00:00"/>
    <x v="64"/>
    <x v="0"/>
    <n v="1000"/>
    <n v="373"/>
    <n v="373000"/>
    <s v="20190606N300031309"/>
    <n v="2019106"/>
    <s v="Rolling"/>
    <s v="IN302679-38296183"/>
    <s v="NSE"/>
    <n v="0"/>
    <n v="13.43"/>
    <n v="0"/>
    <n v="222.49"/>
    <n v="235.91800000000001"/>
  </r>
  <r>
    <d v="2019-06-06T00:00:00"/>
    <x v="64"/>
    <x v="1"/>
    <n v="1500"/>
    <n v="375.75"/>
    <n v="563625"/>
    <s v="20190606N300032039"/>
    <n v="2019106"/>
    <s v="Rolling"/>
    <s v="IN302679-38296183"/>
    <s v="NSE"/>
    <n v="140.65"/>
    <n v="20.29"/>
    <n v="0"/>
    <n v="336.18"/>
    <n v="497.12079999999997"/>
  </r>
  <r>
    <d v="2019-06-06T00:00:00"/>
    <x v="50"/>
    <x v="0"/>
    <n v="10"/>
    <n v="133.44999999999999"/>
    <n v="1334.5"/>
    <s v="20190606N300033850"/>
    <n v="2019106"/>
    <s v="Rolling"/>
    <s v="IN302679-38296183"/>
    <s v="NSE"/>
    <n v="1.33"/>
    <n v="0.05"/>
    <n v="0"/>
    <n v="39.380000000000003"/>
    <n v="40.758000000000003"/>
  </r>
  <r>
    <d v="2019-05-31T00:00:00"/>
    <x v="32"/>
    <x v="1"/>
    <n v="100"/>
    <n v="259"/>
    <n v="25900"/>
    <s v="20190531N300016249"/>
    <n v="2019103"/>
    <s v="Rolling"/>
    <s v="IN302679-38296183"/>
    <s v="NSE"/>
    <n v="6.26"/>
    <n v="0.93"/>
    <n v="0"/>
    <n v="29.67"/>
    <n v="36.862400000000001"/>
  </r>
  <r>
    <d v="2019-05-31T00:00:00"/>
    <x v="32"/>
    <x v="0"/>
    <n v="100"/>
    <n v="257.5"/>
    <n v="25750"/>
    <s v="20190531N300016782"/>
    <n v="2019103"/>
    <s v="Rolling"/>
    <s v="IN302679-38296183"/>
    <s v="NSE"/>
    <n v="0"/>
    <n v="0.93"/>
    <n v="0"/>
    <n v="29.67"/>
    <n v="30.597100000000001"/>
  </r>
  <r>
    <d v="2019-05-31T00:00:00"/>
    <x v="29"/>
    <x v="0"/>
    <n v="1000"/>
    <n v="104"/>
    <n v="104000"/>
    <s v="20190531N300018321"/>
    <n v="2019103"/>
    <s v="Rolling"/>
    <s v="IN302679-38296183"/>
    <s v="NSE"/>
    <n v="0"/>
    <n v="3.74"/>
    <n v="0"/>
    <n v="62.03"/>
    <n v="65.774000000000001"/>
  </r>
  <r>
    <d v="2019-05-31T00:00:00"/>
    <x v="29"/>
    <x v="0"/>
    <n v="1500"/>
    <n v="96.95"/>
    <n v="145425"/>
    <s v="20190531N300028416"/>
    <n v="2019103"/>
    <s v="Rolling"/>
    <s v="IN302679-38296183"/>
    <s v="NSE"/>
    <n v="0"/>
    <n v="5.24"/>
    <n v="16.5"/>
    <n v="86.74"/>
    <n v="108.4753"/>
  </r>
  <r>
    <d v="2019-05-31T00:00:00"/>
    <x v="29"/>
    <x v="1"/>
    <n v="2500"/>
    <n v="97.8"/>
    <n v="244505.4"/>
    <s v="20190531N300030785"/>
    <n v="2019103"/>
    <s v="Rolling"/>
    <s v="IN302679-38296183"/>
    <s v="NSE"/>
    <n v="61.74"/>
    <n v="8.8000000000000007"/>
    <n v="0"/>
    <n v="145.84"/>
    <n v="216.38220000000001"/>
  </r>
  <r>
    <d v="2019-05-30T00:00:00"/>
    <x v="66"/>
    <x v="0"/>
    <n v="100"/>
    <n v="1095.9000000000001"/>
    <n v="109590.35"/>
    <s v="20190530N300017237"/>
    <n v="2019102"/>
    <s v="Rolling"/>
    <s v="IN302679-38296183"/>
    <s v="NSE"/>
    <n v="0"/>
    <n v="3.95"/>
    <n v="0"/>
    <n v="65.349999999999994"/>
    <n v="69.295299999999997"/>
  </r>
  <r>
    <d v="2019-05-30T00:00:00"/>
    <x v="66"/>
    <x v="1"/>
    <n v="100"/>
    <n v="1090.02"/>
    <n v="109002.2"/>
    <s v="20190530N300017472"/>
    <n v="2019102"/>
    <s v="Rolling"/>
    <s v="IN302679-38296183"/>
    <s v="NSE"/>
    <n v="27.81"/>
    <n v="3.92"/>
    <n v="30.3"/>
    <n v="65.02"/>
    <n v="127.0545"/>
  </r>
  <r>
    <d v="2019-05-30T00:00:00"/>
    <x v="30"/>
    <x v="0"/>
    <n v="1000"/>
    <n v="79.75"/>
    <n v="79750"/>
    <s v="20190530N300018790"/>
    <n v="2019102"/>
    <s v="Rolling"/>
    <s v="IN302679-38296183"/>
    <s v="NSE"/>
    <n v="0"/>
    <n v="2.87"/>
    <n v="0"/>
    <n v="47.56"/>
    <n v="50.431100000000001"/>
  </r>
  <r>
    <d v="2019-05-30T00:00:00"/>
    <x v="30"/>
    <x v="1"/>
    <n v="1000"/>
    <n v="79.05"/>
    <n v="79050"/>
    <s v="20190530N300022041"/>
    <n v="2019102"/>
    <s v="Rolling"/>
    <s v="IN302679-38296183"/>
    <s v="NSE"/>
    <n v="19.77"/>
    <n v="2.85"/>
    <n v="0"/>
    <n v="47.15"/>
    <n v="69.765900000000002"/>
  </r>
  <r>
    <d v="2019-05-30T00:00:00"/>
    <x v="30"/>
    <x v="1"/>
    <n v="2500"/>
    <n v="79"/>
    <n v="197500"/>
    <s v="20190530N300022142"/>
    <n v="2019102"/>
    <s v="Rolling"/>
    <s v="IN302679-38296183"/>
    <s v="NSE"/>
    <n v="49.42"/>
    <n v="7.11"/>
    <n v="0"/>
    <n v="117.8"/>
    <n v="174.33"/>
  </r>
  <r>
    <d v="2019-05-30T00:00:00"/>
    <x v="30"/>
    <x v="0"/>
    <n v="2500"/>
    <n v="78.900000000000006"/>
    <n v="197250"/>
    <s v="20190530N300022158"/>
    <n v="2019102"/>
    <s v="Rolling"/>
    <s v="IN302679-38296183"/>
    <s v="NSE"/>
    <n v="0"/>
    <n v="7.1"/>
    <n v="0"/>
    <n v="117.66"/>
    <n v="124.761"/>
  </r>
  <r>
    <d v="2019-05-30T00:00:00"/>
    <x v="29"/>
    <x v="0"/>
    <n v="1000"/>
    <n v="115"/>
    <n v="115000"/>
    <s v="20190530N300023575"/>
    <n v="2019102"/>
    <s v="Rolling"/>
    <s v="IN302679-38296183"/>
    <s v="NSE"/>
    <n v="0"/>
    <n v="4.1399999999999997"/>
    <n v="0"/>
    <n v="68.599999999999994"/>
    <n v="72.739999999999995"/>
  </r>
  <r>
    <d v="2019-05-30T00:00:00"/>
    <x v="29"/>
    <x v="1"/>
    <n v="1000"/>
    <n v="117"/>
    <n v="117000"/>
    <s v="20190530N300024380"/>
    <n v="2019102"/>
    <s v="Rolling"/>
    <s v="IN302679-38296183"/>
    <s v="NSE"/>
    <n v="29"/>
    <n v="4.21"/>
    <n v="0"/>
    <n v="69.790000000000006"/>
    <n v="103.002"/>
  </r>
  <r>
    <d v="2019-05-29T00:00:00"/>
    <x v="16"/>
    <x v="1"/>
    <n v="500"/>
    <n v="410.15"/>
    <n v="205075"/>
    <s v="20190529N300017549"/>
    <n v="2019101"/>
    <s v="Rolling"/>
    <s v="IN302679-38296183"/>
    <s v="NSE"/>
    <n v="50.57"/>
    <n v="7.38"/>
    <n v="22.2"/>
    <n v="122.32"/>
    <n v="202.4726"/>
  </r>
  <r>
    <d v="2019-05-29T00:00:00"/>
    <x v="16"/>
    <x v="0"/>
    <n v="500"/>
    <n v="405"/>
    <n v="202500"/>
    <s v="20190529N300017583"/>
    <n v="2019101"/>
    <s v="Rolling"/>
    <s v="IN302679-38296183"/>
    <s v="NSE"/>
    <n v="0"/>
    <n v="7.29"/>
    <n v="0"/>
    <n v="120.79"/>
    <n v="128.08000000000001"/>
  </r>
  <r>
    <d v="2019-05-29T00:00:00"/>
    <x v="67"/>
    <x v="1"/>
    <n v="100"/>
    <n v="532"/>
    <n v="53200"/>
    <s v="20190529N300026791"/>
    <n v="2019101"/>
    <s v="Rolling"/>
    <s v="IN302679-38296183"/>
    <s v="NSE"/>
    <n v="13.48"/>
    <n v="1.92"/>
    <n v="0"/>
    <n v="31.73"/>
    <n v="47.1252"/>
  </r>
  <r>
    <d v="2019-05-29T00:00:00"/>
    <x v="67"/>
    <x v="1"/>
    <n v="200"/>
    <n v="539.5"/>
    <n v="107900"/>
    <s v="20190529N300027705"/>
    <n v="2019101"/>
    <s v="Rolling"/>
    <s v="IN302679-38296183"/>
    <s v="NSE"/>
    <n v="26.96"/>
    <n v="3.88"/>
    <n v="0"/>
    <n v="64.36"/>
    <n v="95.204400000000007"/>
  </r>
  <r>
    <d v="2019-05-29T00:00:00"/>
    <x v="67"/>
    <x v="0"/>
    <n v="300"/>
    <n v="541.20000000000005"/>
    <n v="162360"/>
    <s v="20190529N300029059"/>
    <n v="2019101"/>
    <s v="Rolling"/>
    <s v="IN302679-38296183"/>
    <s v="NSE"/>
    <n v="0"/>
    <n v="5.85"/>
    <n v="0"/>
    <n v="96.84"/>
    <n v="102.685"/>
  </r>
  <r>
    <d v="2019-05-28T00:00:00"/>
    <x v="24"/>
    <x v="1"/>
    <n v="250"/>
    <n v="160.5"/>
    <n v="40125"/>
    <s v="20190528N200001522"/>
    <n v="2019100"/>
    <s v="Rolling"/>
    <s v="IN302679-38296183"/>
    <s v="NSE"/>
    <n v="10.119999999999999"/>
    <n v="1.44"/>
    <n v="0"/>
    <n v="29.76"/>
    <n v="41.3245"/>
  </r>
  <r>
    <d v="2019-05-28T00:00:00"/>
    <x v="24"/>
    <x v="1"/>
    <n v="250"/>
    <n v="162.5"/>
    <n v="40625"/>
    <s v="20190528N300016429"/>
    <n v="2019100"/>
    <s v="Rolling"/>
    <s v="IN302679-38296183"/>
    <s v="NSE"/>
    <n v="10.119999999999999"/>
    <n v="1.46"/>
    <n v="0"/>
    <n v="29.76"/>
    <n v="41.342700000000001"/>
  </r>
  <r>
    <d v="2019-05-28T00:00:00"/>
    <x v="24"/>
    <x v="0"/>
    <n v="500"/>
    <n v="161.75"/>
    <n v="80875"/>
    <s v="20190528N300019229"/>
    <n v="2019100"/>
    <s v="Rolling"/>
    <s v="IN302679-38296183"/>
    <s v="NSE"/>
    <n v="0"/>
    <n v="2.91"/>
    <n v="0"/>
    <n v="48.24"/>
    <n v="51.151499999999999"/>
  </r>
  <r>
    <d v="2019-05-28T00:00:00"/>
    <x v="24"/>
    <x v="0"/>
    <n v="1500"/>
    <n v="162"/>
    <n v="243000"/>
    <s v="20190528N300019402"/>
    <n v="2019100"/>
    <s v="Rolling"/>
    <s v="IN302679-38296183"/>
    <s v="NSE"/>
    <n v="0"/>
    <n v="8.75"/>
    <n v="0"/>
    <n v="144.94"/>
    <n v="153.68799999999999"/>
  </r>
  <r>
    <d v="2019-05-28T00:00:00"/>
    <x v="24"/>
    <x v="1"/>
    <n v="1500"/>
    <n v="162.19999999999999"/>
    <n v="243300"/>
    <s v="20190528N300019957"/>
    <n v="2019100"/>
    <s v="Rolling"/>
    <s v="IN302679-38296183"/>
    <s v="NSE"/>
    <n v="60.39"/>
    <n v="8.76"/>
    <n v="32.700000000000003"/>
    <n v="145.13"/>
    <n v="246.97890000000001"/>
  </r>
  <r>
    <d v="2019-05-28T00:00:00"/>
    <x v="46"/>
    <x v="0"/>
    <n v="500"/>
    <n v="141"/>
    <n v="70501.600000000006"/>
    <s v="20190528N300022653"/>
    <n v="2019100"/>
    <s v="Rolling"/>
    <s v="IN302679-38296183"/>
    <s v="NSE"/>
    <n v="0"/>
    <n v="2.54"/>
    <n v="0"/>
    <n v="42.05"/>
    <n v="44.588099999999997"/>
  </r>
  <r>
    <d v="2019-05-28T00:00:00"/>
    <x v="46"/>
    <x v="1"/>
    <n v="500"/>
    <n v="143"/>
    <n v="71500"/>
    <s v="20190528N300022681"/>
    <n v="2019100"/>
    <s v="Rolling"/>
    <s v="IN302679-38296183"/>
    <s v="NSE"/>
    <n v="17.75"/>
    <n v="2.57"/>
    <n v="0"/>
    <n v="42.65"/>
    <n v="62.973999999999997"/>
  </r>
  <r>
    <d v="2019-05-28T00:00:00"/>
    <x v="11"/>
    <x v="1"/>
    <n v="500"/>
    <n v="292.64999999999998"/>
    <n v="146325"/>
    <s v="20190528N300026972"/>
    <n v="2019100"/>
    <s v="Rolling"/>
    <s v="IN302679-38296183"/>
    <s v="NSE"/>
    <n v="36.619999999999997"/>
    <n v="5.27"/>
    <n v="0"/>
    <n v="87.28"/>
    <n v="129.1677"/>
  </r>
  <r>
    <d v="2019-05-28T00:00:00"/>
    <x v="11"/>
    <x v="0"/>
    <n v="500"/>
    <n v="293.2"/>
    <n v="146600"/>
    <s v="20190528N300027013"/>
    <n v="2019100"/>
    <s v="Rolling"/>
    <s v="IN302679-38296183"/>
    <s v="NSE"/>
    <n v="0"/>
    <n v="5.28"/>
    <n v="0"/>
    <n v="87.44"/>
    <n v="92.717600000000004"/>
  </r>
  <r>
    <d v="2019-05-27T00:00:00"/>
    <x v="24"/>
    <x v="0"/>
    <n v="500"/>
    <n v="156"/>
    <n v="78000"/>
    <s v="20190527N300016805"/>
    <n v="2019099"/>
    <s v="Rolling"/>
    <s v="IN302679-38296183"/>
    <s v="NSE"/>
    <n v="0"/>
    <n v="2.81"/>
    <n v="0"/>
    <n v="46.53"/>
    <n v="49.338000000000001"/>
  </r>
  <r>
    <d v="2019-05-27T00:00:00"/>
    <x v="24"/>
    <x v="1"/>
    <n v="700"/>
    <n v="158.9"/>
    <n v="111230"/>
    <s v="20190527N300017711"/>
    <n v="2019099"/>
    <s v="Rolling"/>
    <s v="IN302679-38296183"/>
    <s v="NSE"/>
    <n v="27.48"/>
    <n v="4"/>
    <n v="0"/>
    <n v="66.349999999999994"/>
    <n v="97.834299999999999"/>
  </r>
  <r>
    <d v="2019-05-27T00:00:00"/>
    <x v="11"/>
    <x v="0"/>
    <n v="500"/>
    <n v="281.60000000000002"/>
    <n v="140800"/>
    <s v="20190527N300020409"/>
    <n v="2019099"/>
    <s v="Rolling"/>
    <s v="IN302679-38296183"/>
    <s v="NSE"/>
    <n v="0"/>
    <n v="5.07"/>
    <n v="0"/>
    <n v="83.98"/>
    <n v="89.0488"/>
  </r>
  <r>
    <d v="2019-05-27T00:00:00"/>
    <x v="11"/>
    <x v="1"/>
    <n v="500"/>
    <n v="286"/>
    <n v="143000"/>
    <s v="20190527N300023015"/>
    <n v="2019099"/>
    <s v="Rolling"/>
    <s v="IN302679-38296183"/>
    <s v="NSE"/>
    <n v="35.479999999999997"/>
    <n v="5.15"/>
    <n v="0"/>
    <n v="85.3"/>
    <n v="125.928"/>
  </r>
  <r>
    <d v="2019-05-27T00:00:00"/>
    <x v="24"/>
    <x v="0"/>
    <n v="100"/>
    <n v="157.44999999999999"/>
    <n v="15745"/>
    <s v="20190527N300023729"/>
    <n v="2019099"/>
    <s v="Rolling"/>
    <s v="IN302679-38296183"/>
    <s v="NSE"/>
    <n v="0"/>
    <n v="0.56999999999999995"/>
    <n v="0"/>
    <n v="29.6"/>
    <n v="30.166799999999999"/>
  </r>
  <r>
    <d v="2019-05-27T00:00:00"/>
    <x v="24"/>
    <x v="0"/>
    <n v="100"/>
    <n v="157.25"/>
    <n v="15725"/>
    <s v="20190527N300023755"/>
    <n v="2019099"/>
    <s v="Rolling"/>
    <s v="IN302679-38296183"/>
    <s v="NSE"/>
    <n v="0"/>
    <n v="0.56999999999999995"/>
    <n v="25.5"/>
    <n v="29.6"/>
    <n v="55.6661"/>
  </r>
  <r>
    <d v="2019-05-27T00:00:00"/>
    <x v="50"/>
    <x v="0"/>
    <n v="1000"/>
    <n v="152"/>
    <n v="151997.5"/>
    <s v="20190527N300030998"/>
    <n v="2019099"/>
    <s v="Rolling"/>
    <s v="IN302679-38296183"/>
    <s v="NSE"/>
    <n v="0"/>
    <n v="5.47"/>
    <n v="0"/>
    <n v="90.66"/>
    <n v="96.131900000000002"/>
  </r>
  <r>
    <d v="2019-05-27T00:00:00"/>
    <x v="50"/>
    <x v="1"/>
    <n v="1000"/>
    <n v="152.5"/>
    <n v="152500"/>
    <s v="20190527N300031157"/>
    <n v="2019099"/>
    <s v="Rolling"/>
    <s v="IN302679-38296183"/>
    <s v="NSE"/>
    <n v="38.06"/>
    <n v="5.49"/>
    <n v="0"/>
    <n v="90.96"/>
    <n v="134.51"/>
  </r>
  <r>
    <d v="2019-05-27T00:00:00"/>
    <x v="6"/>
    <x v="0"/>
    <n v="500"/>
    <n v="30.5"/>
    <n v="15250"/>
    <s v="20190527N300032098"/>
    <n v="2019099"/>
    <s v="Rolling"/>
    <s v="IN302679-38296183"/>
    <s v="NSE"/>
    <n v="0"/>
    <n v="0.55000000000000004"/>
    <n v="0"/>
    <n v="70.900000000000006"/>
    <n v="71.449100000000001"/>
  </r>
  <r>
    <d v="2019-05-27T00:00:00"/>
    <x v="6"/>
    <x v="1"/>
    <n v="500"/>
    <n v="31.5"/>
    <n v="15750"/>
    <s v="20190527N300033302"/>
    <n v="2019099"/>
    <s v="Rolling"/>
    <s v="IN302679-38296183"/>
    <s v="NSE"/>
    <n v="3.88"/>
    <n v="0.56999999999999995"/>
    <n v="0"/>
    <n v="29.6"/>
    <n v="34.046999999999997"/>
  </r>
  <r>
    <d v="2019-05-27T00:00:00"/>
    <x v="6"/>
    <x v="0"/>
    <n v="100"/>
    <n v="31.5"/>
    <n v="3150"/>
    <s v="20190527N300033724"/>
    <n v="2019099"/>
    <s v="Rolling"/>
    <s v="IN302679-38296183"/>
    <s v="NSE"/>
    <n v="3.1"/>
    <n v="0.11"/>
    <n v="0"/>
    <n v="29.52"/>
    <n v="32.733400000000003"/>
  </r>
  <r>
    <d v="2019-05-24T00:00:00"/>
    <x v="18"/>
    <x v="1"/>
    <n v="250"/>
    <n v="90"/>
    <n v="22500"/>
    <s v="20190524N300014803"/>
    <n v="2019098"/>
    <s v="Rolling"/>
    <s v="IN302679-38296183"/>
    <s v="NSE"/>
    <n v="5.84"/>
    <n v="0.81"/>
    <n v="0"/>
    <n v="29.65"/>
    <n v="36.299999999999997"/>
  </r>
  <r>
    <d v="2019-05-24T00:00:00"/>
    <x v="18"/>
    <x v="1"/>
    <n v="100"/>
    <n v="91"/>
    <n v="9100"/>
    <s v="20190524N300021660"/>
    <n v="2019098"/>
    <s v="Rolling"/>
    <s v="IN302679-38296183"/>
    <s v="NSE"/>
    <n v="2.34"/>
    <n v="0.33"/>
    <n v="0"/>
    <n v="29.56"/>
    <n v="32.227600000000002"/>
  </r>
  <r>
    <d v="2019-05-24T00:00:00"/>
    <x v="18"/>
    <x v="1"/>
    <n v="100"/>
    <n v="92"/>
    <n v="9200"/>
    <s v="20190524N300023046"/>
    <n v="2019098"/>
    <s v="Rolling"/>
    <s v="IN302679-38296183"/>
    <s v="NSE"/>
    <n v="2.34"/>
    <n v="0.33"/>
    <n v="0"/>
    <n v="29.56"/>
    <n v="32.231200000000001"/>
  </r>
  <r>
    <d v="2019-05-24T00:00:00"/>
    <x v="18"/>
    <x v="1"/>
    <n v="100"/>
    <n v="93"/>
    <n v="9300"/>
    <s v="20190524N300024355"/>
    <n v="2019098"/>
    <s v="Rolling"/>
    <s v="IN302679-38296183"/>
    <s v="NSE"/>
    <n v="2.34"/>
    <n v="0.33"/>
    <n v="0"/>
    <n v="29.56"/>
    <n v="32.2348"/>
  </r>
  <r>
    <d v="2019-05-24T00:00:00"/>
    <x v="18"/>
    <x v="1"/>
    <n v="200"/>
    <n v="94.5"/>
    <n v="18900"/>
    <s v="20190524N300027271"/>
    <n v="2019098"/>
    <s v="Rolling"/>
    <s v="IN302679-38296183"/>
    <s v="NSE"/>
    <n v="4.78"/>
    <n v="0.68"/>
    <n v="18.3"/>
    <n v="29.62"/>
    <n v="53.380400000000002"/>
  </r>
  <r>
    <d v="2019-05-24T00:00:00"/>
    <x v="18"/>
    <x v="0"/>
    <n v="750"/>
    <n v="93.75"/>
    <n v="70312.5"/>
    <s v="20190524N300028386"/>
    <n v="2019098"/>
    <s v="Rolling"/>
    <s v="IN302679-38296183"/>
    <s v="NSE"/>
    <n v="0"/>
    <n v="2.5299999999999998"/>
    <n v="0"/>
    <n v="41.94"/>
    <n v="44.471200000000003"/>
  </r>
  <r>
    <d v="2019-05-24T00:00:00"/>
    <x v="18"/>
    <x v="1"/>
    <n v="2500"/>
    <n v="93.54"/>
    <n v="233839.8"/>
    <s v="20190524N300030252"/>
    <n v="2019098"/>
    <s v="Rolling"/>
    <s v="IN302679-38296183"/>
    <s v="NSE"/>
    <n v="58.38"/>
    <n v="8.42"/>
    <n v="0"/>
    <n v="139.47"/>
    <n v="206.26830000000001"/>
  </r>
  <r>
    <d v="2019-05-24T00:00:00"/>
    <x v="18"/>
    <x v="0"/>
    <n v="2500"/>
    <n v="93.6"/>
    <n v="234000"/>
    <s v="20190524N300030953"/>
    <n v="2019098"/>
    <s v="Rolling"/>
    <s v="IN302679-38296183"/>
    <s v="NSE"/>
    <n v="0"/>
    <n v="8.42"/>
    <n v="0"/>
    <n v="139.58000000000001"/>
    <n v="148.00399999999999"/>
  </r>
  <r>
    <d v="2019-05-23T00:00:00"/>
    <x v="15"/>
    <x v="1"/>
    <n v="500"/>
    <n v="103.5"/>
    <n v="51750"/>
    <s v="20190523N200001395"/>
    <n v="2019097"/>
    <s v="Rolling"/>
    <s v="IN302679-38296183"/>
    <s v="NSE"/>
    <n v="13.04"/>
    <n v="1.86"/>
    <n v="0"/>
    <n v="30.87"/>
    <n v="45.773000000000003"/>
  </r>
  <r>
    <d v="2019-05-23T00:00:00"/>
    <x v="15"/>
    <x v="1"/>
    <n v="250"/>
    <n v="104"/>
    <n v="26000"/>
    <s v="20190523N300016893"/>
    <n v="2019097"/>
    <s v="Rolling"/>
    <s v="IN302679-38296183"/>
    <s v="NSE"/>
    <n v="6.52"/>
    <n v="0.94"/>
    <n v="0"/>
    <n v="29.66"/>
    <n v="37.116"/>
  </r>
  <r>
    <d v="2019-05-23T00:00:00"/>
    <x v="19"/>
    <x v="1"/>
    <n v="100"/>
    <n v="134"/>
    <n v="13400"/>
    <s v="20190523N300017880"/>
    <n v="2019097"/>
    <s v="Rolling"/>
    <s v="IN302679-38296183"/>
    <s v="NSE"/>
    <n v="3.45"/>
    <n v="0.48"/>
    <n v="0"/>
    <n v="29.59"/>
    <n v="33.522399999999998"/>
  </r>
  <r>
    <d v="2019-05-23T00:00:00"/>
    <x v="19"/>
    <x v="1"/>
    <n v="200"/>
    <n v="136.5"/>
    <n v="27300"/>
    <s v="20190523N300019123"/>
    <n v="2019097"/>
    <s v="Rolling"/>
    <s v="IN302679-38296183"/>
    <s v="NSE"/>
    <n v="6.91"/>
    <n v="0.98"/>
    <n v="0"/>
    <n v="29.67"/>
    <n v="37.562800000000003"/>
  </r>
  <r>
    <d v="2019-05-23T00:00:00"/>
    <x v="19"/>
    <x v="1"/>
    <n v="200"/>
    <n v="138.5"/>
    <n v="27700"/>
    <s v="20190523N300019713"/>
    <n v="2019097"/>
    <s v="Rolling"/>
    <s v="IN302679-38296183"/>
    <s v="NSE"/>
    <n v="6.91"/>
    <n v="1"/>
    <n v="0"/>
    <n v="29.68"/>
    <n v="37.587200000000003"/>
  </r>
  <r>
    <d v="2019-05-23T00:00:00"/>
    <x v="15"/>
    <x v="1"/>
    <n v="250"/>
    <n v="106"/>
    <n v="26500"/>
    <s v="20190523N300021326"/>
    <n v="2019097"/>
    <s v="Rolling"/>
    <s v="IN302679-38296183"/>
    <s v="NSE"/>
    <n v="6.5"/>
    <n v="0.95"/>
    <n v="15.9"/>
    <n v="29.67"/>
    <n v="53.024000000000001"/>
  </r>
  <r>
    <d v="2019-05-23T00:00:00"/>
    <x v="19"/>
    <x v="1"/>
    <n v="250"/>
    <n v="143"/>
    <n v="35750"/>
    <s v="20190523N300021854"/>
    <n v="2019097"/>
    <s v="Rolling"/>
    <s v="IN302679-38296183"/>
    <s v="NSE"/>
    <n v="8.64"/>
    <n v="1.29"/>
    <n v="0"/>
    <n v="29.72"/>
    <n v="39.646999999999998"/>
  </r>
  <r>
    <d v="2019-05-23T00:00:00"/>
    <x v="19"/>
    <x v="0"/>
    <n v="750"/>
    <n v="137.5"/>
    <n v="103125"/>
    <s v="20190523N300024161"/>
    <n v="2019097"/>
    <s v="Rolling"/>
    <s v="IN302679-38296183"/>
    <s v="NSE"/>
    <n v="0"/>
    <n v="3.71"/>
    <n v="0"/>
    <n v="61.51"/>
    <n v="65.222499999999997"/>
  </r>
  <r>
    <d v="2019-05-23T00:00:00"/>
    <x v="15"/>
    <x v="0"/>
    <n v="1500"/>
    <n v="103.5"/>
    <n v="155250"/>
    <s v="20190523N300024564"/>
    <n v="2019097"/>
    <s v="Rolling"/>
    <s v="IN302679-38296183"/>
    <s v="NSE"/>
    <n v="0"/>
    <n v="5.59"/>
    <n v="0"/>
    <n v="92.6"/>
    <n v="98.189099999999996"/>
  </r>
  <r>
    <d v="2019-05-23T00:00:00"/>
    <x v="15"/>
    <x v="1"/>
    <n v="500"/>
    <n v="106.7"/>
    <n v="53350"/>
    <s v="20190523N300024728"/>
    <n v="2019097"/>
    <s v="Rolling"/>
    <s v="IN302679-38296183"/>
    <s v="NSE"/>
    <n v="13.04"/>
    <n v="1.92"/>
    <n v="0"/>
    <n v="31.82"/>
    <n v="46.780700000000003"/>
  </r>
  <r>
    <d v="2019-05-22T00:00:00"/>
    <x v="6"/>
    <x v="0"/>
    <n v="1000"/>
    <n v="28.5"/>
    <n v="28500"/>
    <s v="20190522N300014936"/>
    <n v="2019096"/>
    <s v="Rolling"/>
    <s v="IN302679-38296183"/>
    <s v="NSE"/>
    <n v="0"/>
    <n v="1.03"/>
    <n v="0"/>
    <n v="29.68"/>
    <n v="30.706"/>
  </r>
  <r>
    <d v="2019-05-22T00:00:00"/>
    <x v="24"/>
    <x v="0"/>
    <n v="500"/>
    <n v="154"/>
    <n v="77000"/>
    <s v="20190522N300015123"/>
    <n v="2019096"/>
    <s v="Rolling"/>
    <s v="IN302679-38296183"/>
    <s v="NSE"/>
    <n v="0"/>
    <n v="2.77"/>
    <n v="0"/>
    <n v="45.93"/>
    <n v="48.701999999999998"/>
  </r>
  <r>
    <d v="2019-05-22T00:00:00"/>
    <x v="50"/>
    <x v="1"/>
    <n v="250"/>
    <n v="147"/>
    <n v="36750"/>
    <s v="20190522N300015416"/>
    <n v="2019096"/>
    <s v="Rolling"/>
    <s v="IN302679-38296183"/>
    <s v="NSE"/>
    <n v="9.75"/>
    <n v="1.32"/>
    <n v="0"/>
    <n v="29.74"/>
    <n v="40.813099999999999"/>
  </r>
  <r>
    <d v="2019-05-22T00:00:00"/>
    <x v="50"/>
    <x v="1"/>
    <n v="500"/>
    <n v="162"/>
    <n v="81000"/>
    <s v="20190522N300017431"/>
    <n v="2019096"/>
    <s v="Rolling"/>
    <s v="IN302679-38296183"/>
    <s v="NSE"/>
    <n v="19.5"/>
    <n v="2.92"/>
    <n v="0"/>
    <n v="48.31"/>
    <n v="70.726200000000006"/>
  </r>
  <r>
    <d v="2019-05-22T00:00:00"/>
    <x v="24"/>
    <x v="1"/>
    <n v="500"/>
    <n v="155"/>
    <n v="77500"/>
    <s v="20190522N300020216"/>
    <n v="2019096"/>
    <s v="Rolling"/>
    <s v="IN302679-38296183"/>
    <s v="NSE"/>
    <n v="19.010000000000002"/>
    <n v="2.79"/>
    <n v="13.5"/>
    <n v="46.21"/>
    <n v="81.510800000000003"/>
  </r>
  <r>
    <d v="2019-05-22T00:00:00"/>
    <x v="6"/>
    <x v="1"/>
    <n v="1000"/>
    <n v="29"/>
    <n v="29000"/>
    <s v="20190522N300021346"/>
    <n v="2019096"/>
    <s v="Rolling"/>
    <s v="IN302679-38296183"/>
    <s v="NSE"/>
    <n v="7.19"/>
    <n v="1.04"/>
    <n v="0"/>
    <n v="29.69"/>
    <n v="37.923999999999999"/>
  </r>
  <r>
    <d v="2019-05-22T00:00:00"/>
    <x v="50"/>
    <x v="0"/>
    <n v="10"/>
    <n v="154"/>
    <n v="1540"/>
    <s v="20190522N300022680"/>
    <n v="2019096"/>
    <s v="Rolling"/>
    <s v="IN302679-38296183"/>
    <s v="NSE"/>
    <n v="1.56"/>
    <n v="0.06"/>
    <n v="0"/>
    <n v="41.32"/>
    <n v="42.935600000000001"/>
  </r>
  <r>
    <d v="2019-05-22T00:00:00"/>
    <x v="50"/>
    <x v="0"/>
    <n v="750"/>
    <n v="155"/>
    <n v="116250"/>
    <s v="20190522N300023305"/>
    <n v="2019096"/>
    <s v="Rolling"/>
    <s v="IN302679-38296183"/>
    <s v="NSE"/>
    <n v="0"/>
    <n v="4.1900000000000004"/>
    <n v="0"/>
    <n v="69.34"/>
    <n v="73.525099999999995"/>
  </r>
  <r>
    <d v="2019-05-21T00:00:00"/>
    <x v="24"/>
    <x v="1"/>
    <n v="250"/>
    <n v="155.25"/>
    <n v="38812.5"/>
    <s v="20190521N300018706"/>
    <n v="2019095"/>
    <s v="Rolling"/>
    <s v="IN302679-38296183"/>
    <s v="NSE"/>
    <n v="9.6300000000000008"/>
    <n v="1.4"/>
    <n v="0"/>
    <n v="29.75"/>
    <n v="40.777200000000001"/>
  </r>
  <r>
    <d v="2019-05-21T00:00:00"/>
    <x v="24"/>
    <x v="1"/>
    <n v="1064"/>
    <n v="155"/>
    <n v="164920"/>
    <s v="20190521N300019142"/>
    <n v="2019095"/>
    <s v="Rolling"/>
    <s v="IN302679-38296183"/>
    <s v="NSE"/>
    <n v="41.37"/>
    <n v="5.94"/>
    <n v="12.3"/>
    <n v="98.33"/>
    <n v="157.93780000000001"/>
  </r>
  <r>
    <d v="2019-05-21T00:00:00"/>
    <x v="24"/>
    <x v="0"/>
    <n v="1314"/>
    <n v="153.25"/>
    <n v="201370.5"/>
    <s v="20190521N300019908"/>
    <n v="2019095"/>
    <s v="Rolling"/>
    <s v="IN302679-38296183"/>
    <s v="NSE"/>
    <n v="0"/>
    <n v="7.25"/>
    <n v="0"/>
    <n v="120.11"/>
    <n v="127.35939999999999"/>
  </r>
  <r>
    <d v="2019-05-20T00:00:00"/>
    <x v="24"/>
    <x v="1"/>
    <n v="100"/>
    <n v="155.5"/>
    <n v="15550"/>
    <s v="20190520N300016087"/>
    <n v="2019094"/>
    <s v="Rolling"/>
    <s v="IN302679-38296183"/>
    <s v="NSE"/>
    <n v="3.95"/>
    <n v="0.56000000000000005"/>
    <n v="0"/>
    <n v="29.6"/>
    <n v="34.109900000000003"/>
  </r>
  <r>
    <d v="2019-05-20T00:00:00"/>
    <x v="6"/>
    <x v="0"/>
    <n v="1000"/>
    <n v="28.5"/>
    <n v="28500"/>
    <s v="20190520N300016307"/>
    <n v="2019094"/>
    <s v="Rolling"/>
    <s v="IN302679-38296183"/>
    <s v="NSE"/>
    <n v="0"/>
    <n v="1.03"/>
    <n v="0"/>
    <n v="29.69"/>
    <n v="30.716200000000001"/>
  </r>
  <r>
    <d v="2019-05-20T00:00:00"/>
    <x v="24"/>
    <x v="1"/>
    <n v="100"/>
    <n v="155"/>
    <n v="15500"/>
    <s v="20190520N300017946"/>
    <n v="2019094"/>
    <s v="Rolling"/>
    <s v="IN302679-38296183"/>
    <s v="NSE"/>
    <n v="3.95"/>
    <n v="0.56000000000000005"/>
    <n v="0"/>
    <n v="29.6"/>
    <n v="34.107999999999997"/>
  </r>
  <r>
    <d v="2019-05-20T00:00:00"/>
    <x v="6"/>
    <x v="1"/>
    <n v="1000"/>
    <n v="28.65"/>
    <n v="28650"/>
    <s v="20190520N300026092"/>
    <n v="2019094"/>
    <s v="Rolling"/>
    <s v="IN302679-38296183"/>
    <s v="NSE"/>
    <n v="7.43"/>
    <n v="1.03"/>
    <n v="0"/>
    <n v="29.69"/>
    <n v="38.151400000000002"/>
  </r>
  <r>
    <d v="2019-05-20T00:00:00"/>
    <x v="24"/>
    <x v="0"/>
    <n v="200"/>
    <n v="158.5"/>
    <n v="31700"/>
    <s v="20190520N300033208"/>
    <n v="2019094"/>
    <s v="Rolling"/>
    <s v="IN302679-38296183"/>
    <s v="NSE"/>
    <n v="0"/>
    <n v="1.1399999999999999"/>
    <n v="0"/>
    <n v="29.71"/>
    <n v="30.851199999999999"/>
  </r>
  <r>
    <d v="2019-05-20T00:00:00"/>
    <x v="24"/>
    <x v="0"/>
    <n v="1000"/>
    <n v="158.5"/>
    <n v="158500"/>
    <s v="20190520N300034029"/>
    <n v="2019094"/>
    <s v="Rolling"/>
    <s v="IN302679-38296183"/>
    <s v="NSE"/>
    <n v="0"/>
    <n v="5.71"/>
    <n v="27.3"/>
    <n v="94.54"/>
    <n v="127.5459"/>
  </r>
  <r>
    <d v="2019-05-20T00:00:00"/>
    <x v="24"/>
    <x v="0"/>
    <n v="1000"/>
    <n v="157.94999999999999"/>
    <n v="157950"/>
    <s v="20190520N300034216"/>
    <n v="2019094"/>
    <s v="Rolling"/>
    <s v="IN302679-38296183"/>
    <s v="NSE"/>
    <n v="0"/>
    <n v="5.69"/>
    <n v="0"/>
    <n v="94.21"/>
    <n v="99.896199999999993"/>
  </r>
  <r>
    <d v="2019-05-20T00:00:00"/>
    <x v="24"/>
    <x v="0"/>
    <n v="500"/>
    <n v="157.4"/>
    <n v="78700"/>
    <s v="20190520N300034740"/>
    <n v="2019094"/>
    <s v="Rolling"/>
    <s v="IN302679-38296183"/>
    <s v="NSE"/>
    <n v="0"/>
    <n v="2.83"/>
    <n v="0"/>
    <n v="46.94"/>
    <n v="49.773200000000003"/>
  </r>
  <r>
    <d v="2019-05-20T00:00:00"/>
    <x v="24"/>
    <x v="1"/>
    <n v="2500"/>
    <n v="157.87"/>
    <n v="394681.85"/>
    <s v="20190520N300036842"/>
    <n v="2019094"/>
    <s v="Rolling"/>
    <s v="IN302679-38296183"/>
    <s v="NSE"/>
    <n v="98.68"/>
    <n v="14.21"/>
    <n v="0"/>
    <n v="235.41"/>
    <n v="348.29840000000002"/>
  </r>
  <r>
    <d v="2019-05-17T00:00:00"/>
    <x v="24"/>
    <x v="1"/>
    <n v="500"/>
    <n v="150"/>
    <n v="75000"/>
    <s v="20190517N200000829"/>
    <n v="2019093"/>
    <s v="Rolling"/>
    <s v="IN302679-38296183"/>
    <s v="NSE"/>
    <n v="18.34"/>
    <n v="2.7"/>
    <n v="0"/>
    <n v="44.74"/>
    <n v="65.78"/>
  </r>
  <r>
    <d v="2019-05-17T00:00:00"/>
    <x v="24"/>
    <x v="1"/>
    <n v="250"/>
    <n v="149.44999999999999"/>
    <n v="37362.5"/>
    <s v="20190517N200001087"/>
    <n v="2019093"/>
    <s v="Rolling"/>
    <s v="IN302679-38296183"/>
    <s v="NSE"/>
    <n v="9.3000000000000007"/>
    <n v="1.35"/>
    <n v="0"/>
    <n v="29.74"/>
    <n v="40.384999999999998"/>
  </r>
  <r>
    <d v="2019-05-17T00:00:00"/>
    <x v="24"/>
    <x v="0"/>
    <n v="750"/>
    <n v="148.9"/>
    <n v="111675"/>
    <s v="20190517N300013097"/>
    <n v="2019093"/>
    <s v="Rolling"/>
    <s v="IN302679-38296183"/>
    <s v="NSE"/>
    <n v="0"/>
    <n v="4.0199999999999996"/>
    <n v="11.4"/>
    <n v="66.61"/>
    <n v="82.030299999999997"/>
  </r>
  <r>
    <d v="2019-05-17T00:00:00"/>
    <x v="6"/>
    <x v="0"/>
    <n v="50"/>
    <n v="28"/>
    <n v="1400"/>
    <s v="20190517N300014893"/>
    <n v="2019093"/>
    <s v="Rolling"/>
    <s v="IN302902-46841937"/>
    <s v="NSE"/>
    <n v="1.38"/>
    <n v="0.05"/>
    <n v="0"/>
    <n v="41.31"/>
    <n v="42.740400000000001"/>
  </r>
  <r>
    <d v="2019-05-17T00:00:00"/>
    <x v="6"/>
    <x v="0"/>
    <n v="50"/>
    <n v="27"/>
    <n v="1350"/>
    <s v="20190517N300019808"/>
    <n v="2019093"/>
    <s v="Rolling"/>
    <s v="IN302902-46841937"/>
    <s v="NSE"/>
    <n v="1.38"/>
    <n v="0.05"/>
    <n v="0"/>
    <n v="39.83"/>
    <n v="41.258699999999997"/>
  </r>
  <r>
    <d v="2019-05-17T00:00:00"/>
    <x v="24"/>
    <x v="0"/>
    <n v="500"/>
    <n v="147.5"/>
    <n v="73750"/>
    <s v="20190517N300021113"/>
    <n v="2019093"/>
    <s v="Rolling"/>
    <s v="IN302679-38296183"/>
    <s v="NSE"/>
    <n v="0"/>
    <n v="2.66"/>
    <n v="0"/>
    <n v="43.99"/>
    <n v="46.645099999999999"/>
  </r>
  <r>
    <d v="2019-05-17T00:00:00"/>
    <x v="24"/>
    <x v="1"/>
    <n v="500"/>
    <n v="148.75"/>
    <n v="74375"/>
    <s v="20190517N300021320"/>
    <n v="2019093"/>
    <s v="Rolling"/>
    <s v="IN302679-38296183"/>
    <s v="NSE"/>
    <n v="18.61"/>
    <n v="2.68"/>
    <n v="0"/>
    <n v="44.36"/>
    <n v="65.647400000000005"/>
  </r>
  <r>
    <d v="2019-05-16T00:00:00"/>
    <x v="41"/>
    <x v="1"/>
    <n v="100"/>
    <n v="266.5"/>
    <n v="26650"/>
    <s v="20190516N300015304"/>
    <n v="2019092"/>
    <s v="Rolling"/>
    <s v="IN302679-38296183"/>
    <s v="NSE"/>
    <n v="7.17"/>
    <n v="0.96"/>
    <n v="0"/>
    <n v="29.67"/>
    <n v="37.799300000000002"/>
  </r>
  <r>
    <d v="2019-05-16T00:00:00"/>
    <x v="41"/>
    <x v="1"/>
    <n v="100"/>
    <n v="268"/>
    <n v="26800"/>
    <s v="20190516N300016025"/>
    <n v="2019092"/>
    <s v="Rolling"/>
    <s v="IN302679-38296183"/>
    <s v="NSE"/>
    <n v="6.81"/>
    <n v="0.96"/>
    <n v="0"/>
    <n v="29.67"/>
    <n v="37.444800000000001"/>
  </r>
  <r>
    <d v="2019-05-16T00:00:00"/>
    <x v="41"/>
    <x v="1"/>
    <n v="100"/>
    <n v="271"/>
    <n v="27100"/>
    <s v="20190516N300019934"/>
    <n v="2019092"/>
    <s v="Rolling"/>
    <s v="IN302679-38296183"/>
    <s v="NSE"/>
    <n v="6.81"/>
    <n v="0.98"/>
    <n v="0"/>
    <n v="29.68"/>
    <n v="37.465600000000002"/>
  </r>
  <r>
    <d v="2019-05-16T00:00:00"/>
    <x v="41"/>
    <x v="1"/>
    <n v="150"/>
    <n v="270"/>
    <n v="40500"/>
    <s v="20190516N300020859"/>
    <n v="2019092"/>
    <s v="Rolling"/>
    <s v="IN302679-38296183"/>
    <s v="NSE"/>
    <n v="10.220000000000001"/>
    <n v="1.46"/>
    <n v="0"/>
    <n v="29.76"/>
    <n v="41.438000000000002"/>
  </r>
  <r>
    <d v="2019-05-16T00:00:00"/>
    <x v="41"/>
    <x v="0"/>
    <n v="650"/>
    <n v="274.5"/>
    <n v="178425"/>
    <s v="20190516N300022312"/>
    <n v="2019092"/>
    <s v="Rolling"/>
    <s v="IN302679-38296183"/>
    <s v="NSE"/>
    <n v="0"/>
    <n v="6.42"/>
    <n v="19.8"/>
    <n v="106.43"/>
    <n v="132.6533"/>
  </r>
  <r>
    <d v="2019-05-16T00:00:00"/>
    <x v="41"/>
    <x v="1"/>
    <n v="200"/>
    <n v="274"/>
    <n v="54800"/>
    <s v="20190516N300024246"/>
    <n v="2019092"/>
    <s v="Rolling"/>
    <s v="IN302679-38296183"/>
    <s v="NSE"/>
    <n v="13.63"/>
    <n v="1.97"/>
    <n v="0"/>
    <n v="32.69"/>
    <n v="48.2928"/>
  </r>
  <r>
    <d v="2019-05-16T00:00:00"/>
    <x v="24"/>
    <x v="0"/>
    <n v="1000"/>
    <n v="148.9"/>
    <n v="148900"/>
    <s v="20190516N300025296"/>
    <n v="2019092"/>
    <s v="Rolling"/>
    <s v="IN302679-38296183"/>
    <s v="NSE"/>
    <n v="0"/>
    <n v="5.36"/>
    <n v="0"/>
    <n v="88.82"/>
    <n v="94.180400000000006"/>
  </r>
  <r>
    <d v="2019-05-16T00:00:00"/>
    <x v="24"/>
    <x v="1"/>
    <n v="1000"/>
    <n v="150"/>
    <n v="150000"/>
    <s v="20190516N300025344"/>
    <n v="2019092"/>
    <s v="Rolling"/>
    <s v="IN302679-38296183"/>
    <s v="NSE"/>
    <n v="37.36"/>
    <n v="5.4"/>
    <n v="0"/>
    <n v="89.48"/>
    <n v="132.24019999999999"/>
  </r>
  <r>
    <d v="2019-05-15T00:00:00"/>
    <x v="2"/>
    <x v="0"/>
    <n v="50"/>
    <n v="50"/>
    <n v="2500"/>
    <s v="20190515N300018409"/>
    <n v="2019091"/>
    <s v="Rolling"/>
    <s v="IN302679-38296183"/>
    <s v="NSE"/>
    <n v="2.5"/>
    <n v="0.09"/>
    <n v="0"/>
    <n v="41.32"/>
    <n v="43.91"/>
  </r>
  <r>
    <d v="2019-05-15T00:00:00"/>
    <x v="24"/>
    <x v="1"/>
    <n v="500"/>
    <n v="144.80000000000001"/>
    <n v="72400"/>
    <s v="20190515N300019807"/>
    <n v="2019091"/>
    <s v="Rolling"/>
    <s v="IN302679-38296183"/>
    <s v="NSE"/>
    <n v="18.5"/>
    <n v="2.61"/>
    <n v="0"/>
    <n v="43.19"/>
    <n v="64.296400000000006"/>
  </r>
  <r>
    <d v="2019-05-15T00:00:00"/>
    <x v="24"/>
    <x v="0"/>
    <n v="500"/>
    <n v="144.44999999999999"/>
    <n v="72225"/>
    <s v="20190515N300019848"/>
    <n v="2019091"/>
    <s v="Rolling"/>
    <s v="IN302679-38296183"/>
    <s v="NSE"/>
    <n v="0"/>
    <n v="2.6"/>
    <n v="4.5"/>
    <n v="43.08"/>
    <n v="50.18"/>
  </r>
  <r>
    <d v="2019-05-14T00:00:00"/>
    <x v="41"/>
    <x v="1"/>
    <n v="250"/>
    <n v="262.25"/>
    <n v="65562.5"/>
    <s v="20190514N300016846"/>
    <n v="2019090"/>
    <s v="Rolling"/>
    <s v="IN302679-38296183"/>
    <s v="NSE"/>
    <n v="16.420000000000002"/>
    <n v="2.36"/>
    <n v="0"/>
    <n v="39.1"/>
    <n v="57.880200000000002"/>
  </r>
  <r>
    <d v="2019-05-14T00:00:00"/>
    <x v="41"/>
    <x v="0"/>
    <n v="350"/>
    <n v="262.25"/>
    <n v="91787.5"/>
    <s v="20190514N300017169"/>
    <n v="2019090"/>
    <s v="Rolling"/>
    <s v="IN302679-38296183"/>
    <s v="NSE"/>
    <n v="0"/>
    <n v="3.3"/>
    <n v="0"/>
    <n v="54.74"/>
    <n v="58.044400000000003"/>
  </r>
  <r>
    <d v="2019-05-14T00:00:00"/>
    <x v="41"/>
    <x v="1"/>
    <n v="100"/>
    <n v="265"/>
    <n v="26500"/>
    <s v="20190514N300018221"/>
    <n v="2019090"/>
    <s v="Rolling"/>
    <s v="IN302679-38296183"/>
    <s v="NSE"/>
    <n v="6.58"/>
    <n v="0.95"/>
    <n v="5.7"/>
    <n v="29.67"/>
    <n v="42.904000000000003"/>
  </r>
  <r>
    <d v="2019-05-13T00:00:00"/>
    <x v="41"/>
    <x v="1"/>
    <n v="1000"/>
    <n v="274"/>
    <n v="274000"/>
    <s v="20190513N300016677"/>
    <n v="2019089"/>
    <s v="Rolling"/>
    <s v="IN302679-38296183"/>
    <s v="NSE"/>
    <n v="68.55"/>
    <n v="9.86"/>
    <n v="16.5"/>
    <n v="163.43"/>
    <n v="258.34410000000003"/>
  </r>
  <r>
    <d v="2019-05-13T00:00:00"/>
    <x v="41"/>
    <x v="0"/>
    <n v="1000"/>
    <n v="273"/>
    <n v="273000"/>
    <s v="20190513N300017886"/>
    <n v="2019089"/>
    <s v="Rolling"/>
    <s v="IN302679-38296183"/>
    <s v="NSE"/>
    <n v="0"/>
    <n v="9.83"/>
    <n v="0"/>
    <n v="162.84"/>
    <n v="172.66800000000001"/>
  </r>
  <r>
    <d v="2019-05-13T00:00:00"/>
    <x v="24"/>
    <x v="0"/>
    <n v="10"/>
    <n v="145"/>
    <n v="1450"/>
    <s v="20190513N300021889"/>
    <n v="2019089"/>
    <s v="Rolling"/>
    <s v="IN302902-46841937"/>
    <s v="NSE"/>
    <n v="1.45"/>
    <n v="0.05"/>
    <n v="0"/>
    <n v="41.31"/>
    <n v="42.8123"/>
  </r>
  <r>
    <d v="2019-05-10T00:00:00"/>
    <x v="24"/>
    <x v="0"/>
    <n v="250"/>
    <n v="149"/>
    <n v="37250"/>
    <s v="20190510N300014131"/>
    <n v="2019088"/>
    <s v="Rolling"/>
    <s v="IN302679-38296183"/>
    <s v="NSE"/>
    <n v="0"/>
    <n v="1.34"/>
    <n v="0"/>
    <n v="29.74"/>
    <n v="31.081099999999999"/>
  </r>
  <r>
    <d v="2019-05-10T00:00:00"/>
    <x v="24"/>
    <x v="0"/>
    <n v="50"/>
    <n v="148.5"/>
    <n v="7425"/>
    <s v="20190510N300016656"/>
    <n v="2019088"/>
    <s v="Rolling"/>
    <s v="IN302679-38296183"/>
    <s v="NSE"/>
    <n v="0"/>
    <n v="0.27"/>
    <n v="0"/>
    <n v="29.55"/>
    <n v="29.817299999999999"/>
  </r>
  <r>
    <d v="2019-05-10T00:00:00"/>
    <x v="24"/>
    <x v="0"/>
    <n v="50"/>
    <n v="148"/>
    <n v="7400"/>
    <s v="20190510N300016988"/>
    <n v="2019088"/>
    <s v="Rolling"/>
    <s v="IN302679-38296183"/>
    <s v="NSE"/>
    <n v="0"/>
    <n v="0.27"/>
    <n v="0"/>
    <n v="29.55"/>
    <n v="29.816400000000002"/>
  </r>
  <r>
    <d v="2019-05-10T00:00:00"/>
    <x v="24"/>
    <x v="1"/>
    <n v="350"/>
    <n v="149"/>
    <n v="52150"/>
    <s v="20190510N300018415"/>
    <n v="2019088"/>
    <s v="Rolling"/>
    <s v="IN302679-38296183"/>
    <s v="NSE"/>
    <n v="13.01"/>
    <n v="1.88"/>
    <n v="0"/>
    <n v="31.1"/>
    <n v="45.987499999999997"/>
  </r>
  <r>
    <d v="2019-05-10T00:00:00"/>
    <x v="24"/>
    <x v="1"/>
    <n v="250"/>
    <n v="149.05000000000001"/>
    <n v="37262.5"/>
    <s v="20190510N300020858"/>
    <n v="2019088"/>
    <s v="Rolling"/>
    <s v="IN302679-38296183"/>
    <s v="NSE"/>
    <n v="8.99"/>
    <n v="1.34"/>
    <n v="5.4"/>
    <n v="29.74"/>
    <n v="45.471499999999999"/>
  </r>
  <r>
    <d v="2019-05-10T00:00:00"/>
    <x v="24"/>
    <x v="0"/>
    <n v="250"/>
    <n v="147.9"/>
    <n v="36975"/>
    <s v="20190510N300021060"/>
    <n v="2019088"/>
    <s v="Rolling"/>
    <s v="IN302679-38296183"/>
    <s v="NSE"/>
    <n v="0"/>
    <n v="1.33"/>
    <n v="0"/>
    <n v="29.74"/>
    <n v="31.071100000000001"/>
  </r>
  <r>
    <d v="2019-05-06T00:00:00"/>
    <x v="24"/>
    <x v="0"/>
    <n v="1000"/>
    <n v="157.19999999999999"/>
    <n v="157204.45000000001"/>
    <s v="20190506N300017657"/>
    <n v="2019084"/>
    <s v="Rolling"/>
    <s v="IN302679-38296183"/>
    <s v="NSE"/>
    <n v="0"/>
    <n v="5.66"/>
    <n v="0"/>
    <n v="93.79"/>
    <n v="99.449200000000005"/>
  </r>
  <r>
    <d v="2019-05-06T00:00:00"/>
    <x v="24"/>
    <x v="1"/>
    <n v="1000"/>
    <n v="157.5"/>
    <n v="157500"/>
    <s v="20190506N300017727"/>
    <n v="2019084"/>
    <s v="Rolling"/>
    <s v="IN302679-38296183"/>
    <s v="NSE"/>
    <n v="39.340000000000003"/>
    <n v="5.67"/>
    <n v="0"/>
    <n v="93.95"/>
    <n v="138.96"/>
  </r>
  <r>
    <d v="2019-05-06T00:00:00"/>
    <x v="6"/>
    <x v="0"/>
    <n v="250"/>
    <n v="33.9"/>
    <n v="8475"/>
    <s v="20190506N300020477"/>
    <n v="2019084"/>
    <s v="Rolling"/>
    <s v="IN302679-38296183"/>
    <s v="NSE"/>
    <n v="0"/>
    <n v="0.31"/>
    <n v="0"/>
    <n v="29.56"/>
    <n v="29.865100000000002"/>
  </r>
  <r>
    <d v="2019-05-06T00:00:00"/>
    <x v="6"/>
    <x v="1"/>
    <n v="250"/>
    <n v="33.700000000000003"/>
    <n v="8425"/>
    <s v="20190506N300028809"/>
    <n v="2019084"/>
    <s v="Rolling"/>
    <s v="IN302679-38296183"/>
    <s v="NSE"/>
    <n v="1.87"/>
    <n v="0.3"/>
    <n v="10.199999999999999"/>
    <n v="29.55"/>
    <n v="41.923299999999998"/>
  </r>
  <r>
    <d v="2019-05-06T00:00:00"/>
    <x v="33"/>
    <x v="0"/>
    <n v="50"/>
    <n v="35.75"/>
    <n v="1787.5"/>
    <s v="20190506N300029063"/>
    <n v="2019084"/>
    <s v="Rolling"/>
    <s v="IN302679-38296183"/>
    <s v="NSE"/>
    <n v="1.79"/>
    <n v="0.06"/>
    <n v="0"/>
    <n v="41.31"/>
    <n v="43.164400000000001"/>
  </r>
  <r>
    <d v="2019-05-02T00:00:00"/>
    <x v="5"/>
    <x v="0"/>
    <n v="10"/>
    <n v="560"/>
    <n v="5600"/>
    <s v="20190502N300028221"/>
    <n v="2019082"/>
    <s v="Rolling"/>
    <s v="IN302679-38296183"/>
    <s v="NSE"/>
    <n v="6"/>
    <n v="0.2"/>
    <n v="0.3"/>
    <n v="41.34"/>
    <n v="47.8416"/>
  </r>
  <r>
    <d v="2019-04-25T00:00:00"/>
    <x v="43"/>
    <x v="0"/>
    <n v="100"/>
    <n v="18.25"/>
    <n v="1825"/>
    <s v="20190425N300024325"/>
    <n v="2019079"/>
    <s v="Rolling"/>
    <s v="IN302679-38296183"/>
    <s v="NSE"/>
    <n v="2"/>
    <n v="7.0000000000000007E-2"/>
    <n v="0.3"/>
    <n v="41.31"/>
    <n v="43.675699999999999"/>
  </r>
  <r>
    <d v="2019-04-24T00:00:00"/>
    <x v="2"/>
    <x v="0"/>
    <n v="25"/>
    <n v="60"/>
    <n v="1500"/>
    <s v="20190424N300020723"/>
    <n v="2019078"/>
    <s v="Rolling"/>
    <s v="IN302679-38296183"/>
    <s v="NSE"/>
    <n v="2"/>
    <n v="0.05"/>
    <n v="0.3"/>
    <n v="41.31"/>
    <n v="43.664000000000001"/>
  </r>
  <r>
    <d v="2019-04-23T00:00:00"/>
    <x v="68"/>
    <x v="1"/>
    <n v="100"/>
    <n v="287"/>
    <n v="28700"/>
    <s v="20190423N300015228"/>
    <n v="2019077"/>
    <s v="Rolling"/>
    <s v="IN302679-38296183"/>
    <s v="NSE"/>
    <n v="6.87"/>
    <n v="1.03"/>
    <n v="0"/>
    <n v="29.69"/>
    <n v="37.593200000000003"/>
  </r>
  <r>
    <d v="2019-04-23T00:00:00"/>
    <x v="68"/>
    <x v="1"/>
    <n v="100"/>
    <n v="289"/>
    <n v="28900"/>
    <s v="20190423N300015644"/>
    <n v="2019077"/>
    <s v="Rolling"/>
    <s v="IN302679-38296183"/>
    <s v="NSE"/>
    <n v="7.35"/>
    <n v="1.04"/>
    <n v="0"/>
    <n v="29.69"/>
    <n v="38.080399999999997"/>
  </r>
  <r>
    <d v="2019-04-23T00:00:00"/>
    <x v="68"/>
    <x v="0"/>
    <n v="100"/>
    <n v="284"/>
    <n v="28400"/>
    <s v="20190423N300016232"/>
    <n v="2019077"/>
    <s v="Rolling"/>
    <s v="IN302679-38296183"/>
    <s v="NSE"/>
    <n v="0"/>
    <n v="1.02"/>
    <n v="15"/>
    <n v="29.68"/>
    <n v="45.702399999999997"/>
  </r>
  <r>
    <d v="2019-04-23T00:00:00"/>
    <x v="68"/>
    <x v="1"/>
    <n v="100"/>
    <n v="290"/>
    <n v="29000"/>
    <s v="20190423N300019534"/>
    <n v="2019077"/>
    <s v="Rolling"/>
    <s v="IN302679-38296183"/>
    <s v="NSE"/>
    <n v="7.35"/>
    <n v="1.04"/>
    <n v="0"/>
    <n v="29.69"/>
    <n v="38.084000000000003"/>
  </r>
  <r>
    <d v="2019-04-23T00:00:00"/>
    <x v="24"/>
    <x v="0"/>
    <n v="100"/>
    <n v="148"/>
    <n v="14800"/>
    <s v="20190423N300021358"/>
    <n v="2019077"/>
    <s v="Rolling"/>
    <s v="IN302679-38296183"/>
    <s v="NSE"/>
    <n v="0"/>
    <n v="0.53"/>
    <n v="0"/>
    <n v="29.6"/>
    <n v="30.1328"/>
  </r>
  <r>
    <d v="2019-04-23T00:00:00"/>
    <x v="24"/>
    <x v="1"/>
    <n v="100"/>
    <n v="148.5"/>
    <n v="14850"/>
    <s v="20190423N300021456"/>
    <n v="2019077"/>
    <s v="Rolling"/>
    <s v="IN302679-38296183"/>
    <s v="NSE"/>
    <n v="3.71"/>
    <n v="0.53"/>
    <n v="0"/>
    <n v="29.6"/>
    <n v="33.844700000000003"/>
  </r>
  <r>
    <d v="2019-04-23T00:00:00"/>
    <x v="68"/>
    <x v="1"/>
    <n v="100"/>
    <n v="291"/>
    <n v="29100"/>
    <s v="20190423N300024966"/>
    <n v="2019077"/>
    <s v="Rolling"/>
    <s v="IN302679-38296183"/>
    <s v="NSE"/>
    <n v="7.35"/>
    <n v="1.05"/>
    <n v="0"/>
    <n v="29.69"/>
    <n v="38.087600000000002"/>
  </r>
  <r>
    <d v="2019-04-23T00:00:00"/>
    <x v="68"/>
    <x v="1"/>
    <n v="100"/>
    <n v="292.3"/>
    <n v="29230"/>
    <s v="20190423N300025002"/>
    <n v="2019077"/>
    <s v="Rolling"/>
    <s v="IN302679-38296183"/>
    <s v="NSE"/>
    <n v="7.35"/>
    <n v="1.05"/>
    <n v="0"/>
    <n v="29.69"/>
    <n v="38.092300000000002"/>
  </r>
  <r>
    <d v="2019-04-23T00:00:00"/>
    <x v="68"/>
    <x v="1"/>
    <n v="100"/>
    <n v="295"/>
    <n v="29500"/>
    <s v="20190423N300025288"/>
    <n v="2019077"/>
    <s v="Rolling"/>
    <s v="IN302679-38296183"/>
    <s v="NSE"/>
    <n v="7.35"/>
    <n v="1.06"/>
    <n v="0"/>
    <n v="29.69"/>
    <n v="38.101999999999997"/>
  </r>
  <r>
    <d v="2019-04-23T00:00:00"/>
    <x v="68"/>
    <x v="1"/>
    <n v="200"/>
    <n v="293.5"/>
    <n v="58700"/>
    <s v="20190423N300025860"/>
    <n v="2019077"/>
    <s v="Rolling"/>
    <s v="IN302679-38296183"/>
    <s v="NSE"/>
    <n v="14.69"/>
    <n v="2.11"/>
    <n v="0"/>
    <n v="35.01"/>
    <n v="51.813200000000002"/>
  </r>
  <r>
    <d v="2019-04-23T00:00:00"/>
    <x v="68"/>
    <x v="0"/>
    <n v="700"/>
    <n v="298"/>
    <n v="208600"/>
    <s v="20190423N300026894"/>
    <n v="2019077"/>
    <s v="Rolling"/>
    <s v="IN302679-38296183"/>
    <s v="NSE"/>
    <n v="0"/>
    <n v="7.51"/>
    <n v="0"/>
    <n v="124.43"/>
    <n v="131.93960000000001"/>
  </r>
  <r>
    <d v="2019-04-22T00:00:00"/>
    <x v="24"/>
    <x v="0"/>
    <n v="100"/>
    <n v="151"/>
    <n v="15100"/>
    <s v="20190422N200000814"/>
    <n v="2019076"/>
    <s v="Rolling"/>
    <s v="IN302679-38296183"/>
    <s v="NSE"/>
    <n v="0"/>
    <n v="0.54"/>
    <n v="0"/>
    <n v="29.6"/>
    <n v="30.143599999999999"/>
  </r>
  <r>
    <d v="2019-04-22T00:00:00"/>
    <x v="24"/>
    <x v="0"/>
    <n v="100"/>
    <n v="150"/>
    <n v="15000"/>
    <s v="20190422N300018060"/>
    <n v="2019076"/>
    <s v="Rolling"/>
    <s v="IN302679-38296183"/>
    <s v="NSE"/>
    <n v="0"/>
    <n v="0.54"/>
    <n v="0"/>
    <n v="29.6"/>
    <n v="30.14"/>
  </r>
  <r>
    <d v="2019-04-22T00:00:00"/>
    <x v="24"/>
    <x v="1"/>
    <n v="200"/>
    <n v="150"/>
    <n v="30000"/>
    <s v="20190422N300018614"/>
    <n v="2019076"/>
    <s v="Rolling"/>
    <s v="IN302679-38296183"/>
    <s v="NSE"/>
    <n v="7.51"/>
    <n v="1.08"/>
    <n v="0"/>
    <n v="29.7"/>
    <n v="38.290199999999999"/>
  </r>
  <r>
    <d v="2019-04-22T00:00:00"/>
    <x v="8"/>
    <x v="0"/>
    <n v="250"/>
    <n v="151"/>
    <n v="37750"/>
    <s v="20190422N300019165"/>
    <n v="2019076"/>
    <s v="Rolling"/>
    <s v="IN302679-38296183"/>
    <s v="NSE"/>
    <n v="0"/>
    <n v="1.36"/>
    <n v="0"/>
    <n v="29.74"/>
    <n v="31.0991"/>
  </r>
  <r>
    <d v="2019-04-22T00:00:00"/>
    <x v="8"/>
    <x v="1"/>
    <n v="1000"/>
    <n v="148.9"/>
    <n v="148900"/>
    <s v="20190422N300019807"/>
    <n v="2019076"/>
    <s v="Rolling"/>
    <s v="IN302679-38296183"/>
    <s v="NSE"/>
    <n v="37.29"/>
    <n v="5.36"/>
    <n v="0"/>
    <n v="88.81"/>
    <n v="131.46029999999999"/>
  </r>
  <r>
    <d v="2019-04-22T00:00:00"/>
    <x v="27"/>
    <x v="1"/>
    <n v="100"/>
    <n v="480"/>
    <n v="48000"/>
    <s v="20190422N300020313"/>
    <n v="2019076"/>
    <s v="Rolling"/>
    <s v="IN302679-38296183"/>
    <s v="NSE"/>
    <n v="12.2"/>
    <n v="1.73"/>
    <n v="13.8"/>
    <n v="29.81"/>
    <n v="57.537999999999997"/>
  </r>
  <r>
    <d v="2019-04-22T00:00:00"/>
    <x v="27"/>
    <x v="0"/>
    <n v="100"/>
    <n v="474"/>
    <n v="47400"/>
    <s v="20190422N300020965"/>
    <n v="2019076"/>
    <s v="Rolling"/>
    <s v="IN302679-38296183"/>
    <s v="NSE"/>
    <n v="0"/>
    <n v="1.71"/>
    <n v="0"/>
    <n v="29.81"/>
    <n v="31.516400000000001"/>
  </r>
  <r>
    <d v="2019-04-22T00:00:00"/>
    <x v="8"/>
    <x v="0"/>
    <n v="100"/>
    <n v="149"/>
    <n v="14900"/>
    <s v="20190422N300021699"/>
    <n v="2019076"/>
    <s v="Rolling"/>
    <s v="IN302679-38296183"/>
    <s v="NSE"/>
    <n v="0"/>
    <n v="0.54"/>
    <n v="0"/>
    <n v="29.6"/>
    <n v="30.136399999999998"/>
  </r>
  <r>
    <d v="2019-04-22T00:00:00"/>
    <x v="8"/>
    <x v="0"/>
    <n v="250"/>
    <n v="149"/>
    <n v="37250"/>
    <s v="20190422N300027255"/>
    <n v="2019076"/>
    <s v="Rolling"/>
    <s v="IN302679-38296183"/>
    <s v="NSE"/>
    <n v="0"/>
    <n v="1.34"/>
    <n v="0"/>
    <n v="29.74"/>
    <n v="31.081099999999999"/>
  </r>
  <r>
    <d v="2019-04-22T00:00:00"/>
    <x v="8"/>
    <x v="0"/>
    <n v="400"/>
    <n v="148.79"/>
    <n v="59516.85"/>
    <s v="20190422N300030880"/>
    <n v="2019076"/>
    <s v="Rolling"/>
    <s v="IN302679-38296183"/>
    <s v="NSE"/>
    <n v="0"/>
    <n v="2.14"/>
    <n v="0"/>
    <n v="35.5"/>
    <n v="37.642499999999998"/>
  </r>
  <r>
    <d v="2019-04-18T00:00:00"/>
    <x v="69"/>
    <x v="0"/>
    <n v="100"/>
    <n v="966.44"/>
    <n v="96644.3"/>
    <s v="20190418N300019464"/>
    <n v="2019075"/>
    <s v="Rolling"/>
    <s v="IN302679-38296183"/>
    <s v="NSE"/>
    <n v="0"/>
    <n v="3.48"/>
    <n v="0"/>
    <n v="57.65"/>
    <n v="61.129199999999997"/>
  </r>
  <r>
    <d v="2019-04-18T00:00:00"/>
    <x v="69"/>
    <x v="1"/>
    <n v="200"/>
    <n v="976"/>
    <n v="195200"/>
    <s v="20190418N300021284"/>
    <n v="2019075"/>
    <s v="Rolling"/>
    <s v="IN302679-38296183"/>
    <s v="NSE"/>
    <n v="48.47"/>
    <n v="7.03"/>
    <n v="0"/>
    <n v="116.43"/>
    <n v="171.9272"/>
  </r>
  <r>
    <d v="2019-04-18T00:00:00"/>
    <x v="69"/>
    <x v="0"/>
    <n v="50"/>
    <n v="981"/>
    <n v="49050"/>
    <s v="20190418N300027951"/>
    <n v="2019075"/>
    <s v="Rolling"/>
    <s v="IN302679-38296183"/>
    <s v="NSE"/>
    <n v="0"/>
    <n v="1.77"/>
    <n v="0"/>
    <n v="29.82"/>
    <n v="31.585899999999999"/>
  </r>
  <r>
    <d v="2019-04-18T00:00:00"/>
    <x v="69"/>
    <x v="0"/>
    <n v="50"/>
    <n v="978.5"/>
    <n v="48925"/>
    <s v="20190418N300028234"/>
    <n v="2019075"/>
    <s v="Rolling"/>
    <s v="IN302679-38296183"/>
    <s v="NSE"/>
    <n v="0"/>
    <n v="1.76"/>
    <n v="0"/>
    <n v="29.82"/>
    <n v="31.581299999999999"/>
  </r>
  <r>
    <d v="2019-04-18T00:00:00"/>
    <x v="69"/>
    <x v="0"/>
    <n v="50"/>
    <n v="976.4"/>
    <n v="48820"/>
    <s v="20190418N300029991"/>
    <n v="2019075"/>
    <s v="Rolling"/>
    <s v="IN302679-38296183"/>
    <s v="NSE"/>
    <n v="0"/>
    <n v="1.76"/>
    <n v="0"/>
    <n v="29.82"/>
    <n v="31.577500000000001"/>
  </r>
  <r>
    <d v="2019-04-18T00:00:00"/>
    <x v="69"/>
    <x v="0"/>
    <n v="200"/>
    <n v="979"/>
    <n v="195800"/>
    <s v="20190418N300032340"/>
    <n v="2019075"/>
    <s v="Rolling"/>
    <s v="IN302679-38296183"/>
    <s v="NSE"/>
    <n v="0"/>
    <n v="7.05"/>
    <n v="0"/>
    <n v="116.79"/>
    <n v="123.83880000000001"/>
  </r>
  <r>
    <d v="2019-04-18T00:00:00"/>
    <x v="69"/>
    <x v="0"/>
    <n v="1000"/>
    <n v="974"/>
    <n v="974000"/>
    <s v="20190418N300033221"/>
    <n v="2019075"/>
    <s v="Rolling"/>
    <s v="IN302679-38296183"/>
    <s v="NSE"/>
    <n v="0"/>
    <n v="35.06"/>
    <n v="0"/>
    <n v="580.97"/>
    <n v="616.03420000000006"/>
  </r>
  <r>
    <d v="2019-04-18T00:00:00"/>
    <x v="69"/>
    <x v="1"/>
    <n v="1250"/>
    <n v="962.11"/>
    <n v="1202633.6499999999"/>
    <s v="20190418N300033934"/>
    <n v="2019075"/>
    <s v="Rolling"/>
    <s v="IN302679-38296183"/>
    <s v="NSE"/>
    <n v="302.52999999999997"/>
    <n v="43.29"/>
    <n v="84.6"/>
    <n v="717.35"/>
    <n v="1147.7748999999999"/>
  </r>
  <r>
    <d v="2019-04-16T00:00:00"/>
    <x v="8"/>
    <x v="1"/>
    <n v="1872"/>
    <n v="158.75"/>
    <n v="297180"/>
    <s v="20190416B700004353"/>
    <n v="201920014"/>
    <s v="Rolling"/>
    <s v="IN302679-38296183"/>
    <s v="BSE"/>
    <n v="74"/>
    <n v="8.82"/>
    <n v="0"/>
    <n v="176.97"/>
    <n v="259.791"/>
  </r>
  <r>
    <d v="2019-04-16T00:00:00"/>
    <x v="8"/>
    <x v="0"/>
    <n v="1238"/>
    <n v="158.04"/>
    <n v="195651"/>
    <s v="20190416B700005435"/>
    <n v="201920014"/>
    <s v="Rolling"/>
    <s v="IN302679-38296183"/>
    <s v="BSE"/>
    <n v="0"/>
    <n v="5.56"/>
    <n v="18"/>
    <n v="116.44"/>
    <n v="139.9983"/>
  </r>
  <r>
    <d v="2019-04-16T00:00:00"/>
    <x v="8"/>
    <x v="0"/>
    <n v="634"/>
    <n v="158.80000000000001"/>
    <n v="100681.4"/>
    <s v="20190416B700006640"/>
    <n v="201920014"/>
    <s v="Rolling"/>
    <s v="IN302679-38296183"/>
    <s v="BSE"/>
    <n v="0"/>
    <n v="2.88"/>
    <n v="0"/>
    <n v="59.92"/>
    <n v="62.799100000000003"/>
  </r>
  <r>
    <d v="2019-04-16T00:00:00"/>
    <x v="8"/>
    <x v="0"/>
    <n v="100"/>
    <n v="162"/>
    <n v="16200"/>
    <s v="20190416N200001710"/>
    <n v="2019074"/>
    <s v="Rolling"/>
    <s v="IN302679-38296183"/>
    <s v="NSE"/>
    <n v="0"/>
    <n v="0.57999999999999996"/>
    <n v="3.9"/>
    <n v="29.61"/>
    <n v="34.093200000000003"/>
  </r>
  <r>
    <d v="2019-04-16T00:00:00"/>
    <x v="8"/>
    <x v="0"/>
    <n v="200"/>
    <n v="159"/>
    <n v="31800"/>
    <s v="20190416N300022233"/>
    <n v="2019074"/>
    <s v="Rolling"/>
    <s v="IN302679-38296183"/>
    <s v="NSE"/>
    <n v="0"/>
    <n v="1.1399999999999999"/>
    <n v="0"/>
    <n v="29.71"/>
    <n v="30.854800000000001"/>
  </r>
  <r>
    <d v="2019-04-16T00:00:00"/>
    <x v="8"/>
    <x v="0"/>
    <n v="100"/>
    <n v="158"/>
    <n v="15800"/>
    <s v="20190416N300023055"/>
    <n v="2019074"/>
    <s v="Rolling"/>
    <s v="IN302679-38296183"/>
    <s v="NSE"/>
    <n v="0"/>
    <n v="0.56999999999999995"/>
    <n v="0"/>
    <n v="29.6"/>
    <n v="30.168800000000001"/>
  </r>
  <r>
    <d v="2019-04-16T00:00:00"/>
    <x v="8"/>
    <x v="1"/>
    <n v="400"/>
    <n v="158.69999999999999"/>
    <n v="63480"/>
    <s v="20190416N300023221"/>
    <n v="2019074"/>
    <s v="Rolling"/>
    <s v="IN302679-38296183"/>
    <s v="NSE"/>
    <n v="16"/>
    <n v="2.29"/>
    <n v="0"/>
    <n v="37.86"/>
    <n v="56.145299999999999"/>
  </r>
  <r>
    <d v="2019-04-15T00:00:00"/>
    <x v="8"/>
    <x v="1"/>
    <n v="100"/>
    <n v="164.95"/>
    <n v="16495"/>
    <s v="20190415N200001585"/>
    <n v="2019073"/>
    <s v="Rolling"/>
    <s v="IN302679-38296183"/>
    <s v="NSE"/>
    <n v="4.13"/>
    <n v="0.59"/>
    <n v="0"/>
    <n v="29.61"/>
    <n v="34.333799999999997"/>
  </r>
  <r>
    <d v="2019-04-15T00:00:00"/>
    <x v="8"/>
    <x v="1"/>
    <n v="500"/>
    <n v="165.5"/>
    <n v="82750"/>
    <s v="20190415N300016984"/>
    <n v="2019073"/>
    <s v="Rolling"/>
    <s v="IN302679-38296183"/>
    <s v="NSE"/>
    <n v="20.63"/>
    <n v="2.98"/>
    <n v="0"/>
    <n v="49.36"/>
    <n v="72.969099999999997"/>
  </r>
  <r>
    <d v="2019-04-15T00:00:00"/>
    <x v="8"/>
    <x v="0"/>
    <n v="850"/>
    <n v="164.5"/>
    <n v="139825"/>
    <s v="20190415N300017998"/>
    <n v="2019073"/>
    <s v="Rolling"/>
    <s v="IN302679-38296183"/>
    <s v="NSE"/>
    <n v="0"/>
    <n v="5.03"/>
    <n v="8.6999999999999993"/>
    <n v="83.4"/>
    <n v="97.133799999999994"/>
  </r>
  <r>
    <d v="2019-04-15T00:00:00"/>
    <x v="8"/>
    <x v="1"/>
    <n v="250"/>
    <n v="166"/>
    <n v="41500"/>
    <s v="20190415N300021145"/>
    <n v="2019073"/>
    <s v="Rolling"/>
    <s v="IN302679-38296183"/>
    <s v="NSE"/>
    <n v="10.24"/>
    <n v="1.49"/>
    <n v="0"/>
    <n v="29.77"/>
    <n v="41.503999999999998"/>
  </r>
  <r>
    <d v="2019-04-12T00:00:00"/>
    <x v="8"/>
    <x v="1"/>
    <n v="1000"/>
    <n v="162"/>
    <n v="162000"/>
    <s v="20190412N300015686"/>
    <n v="2019072"/>
    <s v="Rolling"/>
    <s v="IN302679-38296183"/>
    <s v="NSE"/>
    <n v="40.68"/>
    <n v="5.83"/>
    <n v="0"/>
    <n v="96.63"/>
    <n v="143.142"/>
  </r>
  <r>
    <d v="2019-04-12T00:00:00"/>
    <x v="8"/>
    <x v="1"/>
    <n v="100"/>
    <n v="159.65"/>
    <n v="15964.75"/>
    <s v="20190412N300016815"/>
    <n v="2019072"/>
    <s v="Rolling"/>
    <s v="IN302679-38296183"/>
    <s v="NSE"/>
    <n v="4.07"/>
    <n v="0.56999999999999995"/>
    <n v="0"/>
    <n v="29.6"/>
    <n v="34.244700000000002"/>
  </r>
  <r>
    <d v="2019-04-12T00:00:00"/>
    <x v="8"/>
    <x v="0"/>
    <n v="3250"/>
    <n v="162.5"/>
    <n v="528125"/>
    <s v="20190412N300017342"/>
    <n v="2019072"/>
    <s v="Rolling"/>
    <s v="IN302679-38296183"/>
    <s v="NSE"/>
    <n v="0"/>
    <n v="19.010000000000002"/>
    <n v="0"/>
    <n v="315.02999999999997"/>
    <n v="334.04309999999998"/>
  </r>
  <r>
    <d v="2019-04-12T00:00:00"/>
    <x v="8"/>
    <x v="1"/>
    <n v="150"/>
    <n v="160.5"/>
    <n v="24075"/>
    <s v="20190412N300017458"/>
    <n v="2019072"/>
    <s v="Rolling"/>
    <s v="IN302679-38296183"/>
    <s v="NSE"/>
    <n v="6.1"/>
    <n v="0.87"/>
    <n v="0"/>
    <n v="29.66"/>
    <n v="36.6267"/>
  </r>
  <r>
    <d v="2019-04-12T00:00:00"/>
    <x v="8"/>
    <x v="1"/>
    <n v="2000"/>
    <n v="163.72999999999999"/>
    <n v="327465"/>
    <s v="20190412N300019242"/>
    <n v="2019072"/>
    <s v="Rolling"/>
    <s v="IN302679-38296183"/>
    <s v="NSE"/>
    <n v="81.36"/>
    <n v="11.79"/>
    <n v="0"/>
    <n v="195.32"/>
    <n v="288.46899999999999"/>
  </r>
  <r>
    <d v="2019-04-12T00:00:00"/>
    <x v="24"/>
    <x v="0"/>
    <n v="10"/>
    <n v="155.55000000000001"/>
    <n v="1555.5"/>
    <s v="20190412N300025958"/>
    <n v="2019072"/>
    <s v="Rolling"/>
    <s v="IN302902-46841937"/>
    <s v="NSE"/>
    <n v="1.8"/>
    <n v="0.06"/>
    <n v="31.8"/>
    <n v="41.31"/>
    <n v="74.965999999999994"/>
  </r>
  <r>
    <d v="2019-04-11T00:00:00"/>
    <x v="68"/>
    <x v="1"/>
    <n v="100"/>
    <n v="283"/>
    <n v="28300"/>
    <s v="20190411N300023528"/>
    <n v="2019071"/>
    <s v="Rolling"/>
    <s v="IN302679-38296183"/>
    <s v="NSE"/>
    <n v="6.98"/>
    <n v="1.02"/>
    <n v="0"/>
    <n v="29.69"/>
    <n v="37.688800000000001"/>
  </r>
  <r>
    <d v="2019-04-11T00:00:00"/>
    <x v="68"/>
    <x v="0"/>
    <n v="100"/>
    <n v="278.5"/>
    <n v="27850"/>
    <s v="20190411N300023857"/>
    <n v="2019071"/>
    <s v="Rolling"/>
    <s v="IN302679-38296183"/>
    <s v="NSE"/>
    <n v="0"/>
    <n v="1"/>
    <n v="11.1"/>
    <n v="29.68"/>
    <n v="41.782600000000002"/>
  </r>
  <r>
    <d v="2019-04-11T00:00:00"/>
    <x v="68"/>
    <x v="0"/>
    <n v="552"/>
    <n v="278"/>
    <n v="153454.75"/>
    <s v="20190411N300025716"/>
    <n v="2019071"/>
    <s v="Rolling"/>
    <s v="IN302679-38296183"/>
    <s v="NSE"/>
    <n v="0"/>
    <n v="5.52"/>
    <n v="0"/>
    <n v="91.53"/>
    <n v="97.054299999999998"/>
  </r>
  <r>
    <d v="2019-04-11T00:00:00"/>
    <x v="68"/>
    <x v="1"/>
    <n v="552"/>
    <n v="280"/>
    <n v="154560"/>
    <s v="20190411N300025774"/>
    <n v="2019071"/>
    <s v="Rolling"/>
    <s v="IN302679-38296183"/>
    <s v="NSE"/>
    <n v="39.020000000000003"/>
    <n v="5.56"/>
    <n v="0"/>
    <n v="92.19"/>
    <n v="136.77420000000001"/>
  </r>
  <r>
    <d v="2019-04-05T00:00:00"/>
    <x v="43"/>
    <x v="0"/>
    <n v="100"/>
    <n v="19"/>
    <n v="1900"/>
    <s v="20190405N300018923"/>
    <n v="2019067"/>
    <s v="Rolling"/>
    <s v="IN302679-38296183"/>
    <s v="NSE"/>
    <n v="2"/>
    <n v="7.0000000000000007E-2"/>
    <n v="0.3"/>
    <n v="41.31"/>
    <n v="43.678400000000003"/>
  </r>
  <r>
    <d v="2019-04-04T00:00:00"/>
    <x v="70"/>
    <x v="0"/>
    <n v="500"/>
    <n v="252.59"/>
    <n v="126296.65"/>
    <s v="20190404N200000724"/>
    <n v="2019066"/>
    <s v="Rolling"/>
    <s v="IN302679-38296183"/>
    <s v="NSE"/>
    <n v="0"/>
    <n v="4.55"/>
    <n v="27.9"/>
    <n v="75.34"/>
    <n v="107.78660000000001"/>
  </r>
  <r>
    <d v="2019-04-04T00:00:00"/>
    <x v="68"/>
    <x v="1"/>
    <n v="1000"/>
    <n v="286"/>
    <n v="286000"/>
    <s v="20190404N300015611"/>
    <n v="2019066"/>
    <s v="Rolling"/>
    <s v="IN302679-38296183"/>
    <s v="NSE"/>
    <n v="71.33"/>
    <n v="10.3"/>
    <n v="0"/>
    <n v="170.59"/>
    <n v="252.21600000000001"/>
  </r>
  <r>
    <d v="2019-04-04T00:00:00"/>
    <x v="68"/>
    <x v="0"/>
    <n v="1000"/>
    <n v="285"/>
    <n v="285000"/>
    <s v="20190404N300018070"/>
    <n v="2019066"/>
    <s v="Rolling"/>
    <s v="IN302679-38296183"/>
    <s v="NSE"/>
    <n v="0"/>
    <n v="10.26"/>
    <n v="0"/>
    <n v="170"/>
    <n v="180.26070000000001"/>
  </r>
  <r>
    <d v="2019-04-04T00:00:00"/>
    <x v="70"/>
    <x v="0"/>
    <n v="100"/>
    <n v="248.59"/>
    <n v="24858.85"/>
    <s v="20190404N300026413"/>
    <n v="2019066"/>
    <s v="Rolling"/>
    <s v="IN302679-38296183"/>
    <s v="NSE"/>
    <n v="0"/>
    <n v="0.9"/>
    <n v="0"/>
    <n v="29.67"/>
    <n v="30.565000000000001"/>
  </r>
  <r>
    <d v="2019-04-04T00:00:00"/>
    <x v="70"/>
    <x v="0"/>
    <n v="100"/>
    <n v="248.39"/>
    <n v="24839.05"/>
    <s v="20190404N300027617"/>
    <n v="2019066"/>
    <s v="Rolling"/>
    <s v="IN302679-38296183"/>
    <s v="NSE"/>
    <n v="0"/>
    <n v="0.89"/>
    <n v="0"/>
    <n v="29.67"/>
    <n v="30.5642"/>
  </r>
  <r>
    <d v="2019-04-04T00:00:00"/>
    <x v="70"/>
    <x v="1"/>
    <n v="700"/>
    <n v="247.65"/>
    <n v="173354.75"/>
    <s v="20190404N300028626"/>
    <n v="2019066"/>
    <s v="Rolling"/>
    <s v="IN302679-38296183"/>
    <s v="NSE"/>
    <n v="43.67"/>
    <n v="6.24"/>
    <n v="0"/>
    <n v="103.41"/>
    <n v="153.32079999999999"/>
  </r>
  <r>
    <d v="2019-04-03T00:00:00"/>
    <x v="50"/>
    <x v="0"/>
    <n v="100"/>
    <n v="256.5"/>
    <n v="25649.95"/>
    <s v="20190403N300016324"/>
    <n v="2019065"/>
    <s v="Rolling"/>
    <s v="IN302679-38296183"/>
    <s v="NSE"/>
    <n v="0"/>
    <n v="0.94"/>
    <n v="0"/>
    <n v="29.67"/>
    <n v="30.606300000000001"/>
  </r>
  <r>
    <d v="2019-04-03T00:00:00"/>
    <x v="50"/>
    <x v="1"/>
    <n v="100"/>
    <n v="261"/>
    <n v="26100"/>
    <s v="20190403N300016723"/>
    <n v="2019065"/>
    <s v="Rolling"/>
    <s v="IN302679-38296183"/>
    <s v="NSE"/>
    <n v="5.95"/>
    <n v="0.95"/>
    <n v="29.1"/>
    <n v="29.67"/>
    <n v="65.672700000000006"/>
  </r>
  <r>
    <d v="2019-04-03T00:00:00"/>
    <x v="28"/>
    <x v="0"/>
    <n v="500"/>
    <n v="397"/>
    <n v="198500"/>
    <s v="20190403N300027966"/>
    <n v="2019065"/>
    <s v="Rolling"/>
    <s v="IN302679-38296183"/>
    <s v="NSE"/>
    <n v="0"/>
    <n v="7.25"/>
    <n v="0"/>
    <n v="118.42"/>
    <n v="125.6652"/>
  </r>
  <r>
    <d v="2019-04-03T00:00:00"/>
    <x v="50"/>
    <x v="0"/>
    <n v="250"/>
    <n v="249"/>
    <n v="62250"/>
    <s v="20190403N300028271"/>
    <n v="2019065"/>
    <s v="Rolling"/>
    <s v="IN302679-38296183"/>
    <s v="NSE"/>
    <n v="0"/>
    <n v="2.27"/>
    <n v="0"/>
    <n v="37.14"/>
    <n v="39.412199999999999"/>
  </r>
  <r>
    <d v="2019-04-03T00:00:00"/>
    <x v="50"/>
    <x v="1"/>
    <n v="250"/>
    <n v="253"/>
    <n v="63250"/>
    <s v="20190403N300028283"/>
    <n v="2019065"/>
    <s v="Rolling"/>
    <s v="IN302679-38296183"/>
    <s v="NSE"/>
    <n v="15.83"/>
    <n v="2.31"/>
    <n v="0"/>
    <n v="37.729999999999997"/>
    <n v="55.868699999999997"/>
  </r>
  <r>
    <d v="2019-04-03T00:00:00"/>
    <x v="28"/>
    <x v="0"/>
    <n v="500"/>
    <n v="392"/>
    <n v="196000"/>
    <s v="20190403N300030548"/>
    <n v="2019065"/>
    <s v="Rolling"/>
    <s v="IN302679-38296183"/>
    <s v="NSE"/>
    <n v="0"/>
    <n v="7.15"/>
    <n v="0"/>
    <n v="116.93"/>
    <n v="124.084"/>
  </r>
  <r>
    <d v="2019-04-03T00:00:00"/>
    <x v="28"/>
    <x v="1"/>
    <n v="1000"/>
    <n v="391.3"/>
    <n v="391300"/>
    <s v="20190403N300031152"/>
    <n v="2019065"/>
    <s v="Rolling"/>
    <s v="IN302679-38296183"/>
    <s v="NSE"/>
    <n v="98.23"/>
    <n v="14.28"/>
    <n v="0"/>
    <n v="233.44"/>
    <n v="345.95249999999999"/>
  </r>
  <r>
    <d v="2019-04-02T00:00:00"/>
    <x v="50"/>
    <x v="1"/>
    <n v="50"/>
    <n v="268.3"/>
    <n v="13415"/>
    <s v="20190402N200000855"/>
    <n v="2019064"/>
    <s v="Rolling"/>
    <s v="IN302679-38296183"/>
    <s v="NSE"/>
    <n v="3.33"/>
    <n v="0.49"/>
    <n v="0"/>
    <n v="29.59"/>
    <n v="33.409599999999998"/>
  </r>
  <r>
    <d v="2019-04-02T00:00:00"/>
    <x v="50"/>
    <x v="0"/>
    <n v="50"/>
    <n v="264.5"/>
    <n v="13225"/>
    <s v="20190402N300015968"/>
    <n v="2019064"/>
    <s v="Rolling"/>
    <s v="IN302679-38296183"/>
    <s v="NSE"/>
    <n v="0"/>
    <n v="0.48"/>
    <n v="0"/>
    <n v="29.59"/>
    <n v="30.072700000000001"/>
  </r>
  <r>
    <d v="2019-04-02T00:00:00"/>
    <x v="28"/>
    <x v="0"/>
    <n v="100"/>
    <n v="394"/>
    <n v="39400"/>
    <s v="20190402N300018391"/>
    <n v="2019064"/>
    <s v="Rolling"/>
    <s v="IN302679-38296183"/>
    <s v="NSE"/>
    <n v="0"/>
    <n v="1.44"/>
    <n v="0"/>
    <n v="29.76"/>
    <n v="31.1981"/>
  </r>
  <r>
    <d v="2019-04-02T00:00:00"/>
    <x v="6"/>
    <x v="0"/>
    <n v="250"/>
    <n v="38"/>
    <n v="9500"/>
    <s v="20190402N300019520"/>
    <n v="2019064"/>
    <s v="Rolling"/>
    <s v="IN302902-46841937"/>
    <s v="NSE"/>
    <n v="9.5"/>
    <n v="0.35"/>
    <n v="0"/>
    <n v="61.72"/>
    <n v="71.566800000000001"/>
  </r>
  <r>
    <d v="2019-04-02T00:00:00"/>
    <x v="28"/>
    <x v="1"/>
    <n v="100"/>
    <n v="397"/>
    <n v="39700"/>
    <s v="20190402N300020241"/>
    <n v="2019064"/>
    <s v="Rolling"/>
    <s v="IN302679-38296183"/>
    <s v="NSE"/>
    <n v="10.17"/>
    <n v="1.45"/>
    <n v="3.6"/>
    <n v="29.76"/>
    <n v="44.979100000000003"/>
  </r>
  <r>
    <d v="2019-04-01T00:00:00"/>
    <x v="70"/>
    <x v="1"/>
    <n v="100"/>
    <n v="260"/>
    <n v="26000"/>
    <s v="20190401N300017587"/>
    <n v="2019063"/>
    <s v="Rolling"/>
    <s v="IN302679-38296183"/>
    <s v="NSE"/>
    <n v="26"/>
    <n v="0.95"/>
    <n v="0"/>
    <n v="168.91"/>
    <n v="195.85900000000001"/>
  </r>
  <r>
    <d v="2019-04-01T00:00:00"/>
    <x v="50"/>
    <x v="1"/>
    <n v="100"/>
    <n v="266.8"/>
    <n v="26680"/>
    <s v="20190401N300017968"/>
    <n v="2019063"/>
    <s v="Rolling"/>
    <s v="IN302679-38296183"/>
    <s v="NSE"/>
    <n v="6.65"/>
    <n v="0.97"/>
    <n v="0"/>
    <n v="29.68"/>
    <n v="37.303800000000003"/>
  </r>
  <r>
    <d v="2019-04-01T00:00:00"/>
    <x v="50"/>
    <x v="0"/>
    <n v="100"/>
    <n v="265.5"/>
    <n v="26550"/>
    <s v="20190401N300018740"/>
    <n v="2019063"/>
    <s v="Rolling"/>
    <s v="IN302679-38296183"/>
    <s v="NSE"/>
    <n v="0"/>
    <n v="0.97"/>
    <n v="0"/>
    <n v="29.67"/>
    <n v="30.639099999999999"/>
  </r>
  <r>
    <d v="2019-04-01T00:00:00"/>
    <x v="28"/>
    <x v="0"/>
    <n v="1000"/>
    <n v="405.5"/>
    <n v="405500"/>
    <s v="20190401N300023666"/>
    <n v="2019063"/>
    <s v="Rolling"/>
    <s v="IN302679-38296183"/>
    <s v="NSE"/>
    <n v="0"/>
    <n v="14.8"/>
    <n v="0"/>
    <n v="241.91"/>
    <n v="256.71080000000001"/>
  </r>
  <r>
    <d v="2019-04-01T00:00:00"/>
    <x v="28"/>
    <x v="1"/>
    <n v="1000"/>
    <n v="407"/>
    <n v="407000"/>
    <s v="20190401N300026015"/>
    <n v="2019063"/>
    <s v="Rolling"/>
    <s v="IN302679-38296183"/>
    <s v="NSE"/>
    <n v="101.35"/>
    <n v="14.86"/>
    <n v="27"/>
    <n v="242.8"/>
    <n v="386.00549999999998"/>
  </r>
  <r>
    <d v="2019-03-29T00:00:00"/>
    <x v="24"/>
    <x v="1"/>
    <n v="200"/>
    <n v="163.35"/>
    <n v="32670"/>
    <s v="20190329N200000934"/>
    <n v="2019062"/>
    <s v="Rolling"/>
    <s v="IN302679-38296183"/>
    <s v="NSE"/>
    <n v="8"/>
    <n v="1.19"/>
    <n v="2.1"/>
    <n v="29.71"/>
    <n v="41.002499999999998"/>
  </r>
  <r>
    <d v="2019-03-29T00:00:00"/>
    <x v="24"/>
    <x v="0"/>
    <n v="200"/>
    <n v="162.75"/>
    <n v="32550"/>
    <s v="20190329N300016335"/>
    <n v="2019062"/>
    <s v="Rolling"/>
    <s v="IN302679-38296183"/>
    <s v="NSE"/>
    <n v="0"/>
    <n v="1.19"/>
    <n v="0"/>
    <n v="29.71"/>
    <n v="30.898099999999999"/>
  </r>
  <r>
    <d v="2019-03-28T00:00:00"/>
    <x v="5"/>
    <x v="1"/>
    <n v="50"/>
    <n v="605"/>
    <n v="30250"/>
    <s v="20190328N200000770"/>
    <n v="2019061"/>
    <s v="Rolling"/>
    <s v="IN302679-38296183"/>
    <s v="NSE"/>
    <n v="7.53"/>
    <n v="1.1000000000000001"/>
    <n v="0"/>
    <n v="29.7"/>
    <n v="38.334200000000003"/>
  </r>
  <r>
    <d v="2019-03-28T00:00:00"/>
    <x v="24"/>
    <x v="1"/>
    <n v="200"/>
    <n v="162.25"/>
    <n v="32450"/>
    <s v="20190328N200001816"/>
    <n v="2019061"/>
    <s v="Rolling"/>
    <s v="IN302679-38296183"/>
    <s v="NSE"/>
    <n v="8.36"/>
    <n v="1.18"/>
    <n v="0"/>
    <n v="29.71"/>
    <n v="39.254399999999997"/>
  </r>
  <r>
    <d v="2019-03-28T00:00:00"/>
    <x v="24"/>
    <x v="0"/>
    <n v="400"/>
    <n v="162.75"/>
    <n v="65100"/>
    <s v="20190328N300015909"/>
    <n v="2019061"/>
    <s v="Rolling"/>
    <s v="IN302679-38296183"/>
    <s v="NSE"/>
    <n v="0"/>
    <n v="2.38"/>
    <n v="6"/>
    <n v="59.42"/>
    <n v="67.796199999999999"/>
  </r>
  <r>
    <d v="2019-03-28T00:00:00"/>
    <x v="24"/>
    <x v="1"/>
    <n v="200"/>
    <n v="161.25"/>
    <n v="32250"/>
    <s v="20190328N300029615"/>
    <n v="2019061"/>
    <s v="Rolling"/>
    <s v="IN302679-38296183"/>
    <s v="NSE"/>
    <n v="8.11"/>
    <n v="1.18"/>
    <n v="0"/>
    <n v="29.71"/>
    <n v="38.997199999999999"/>
  </r>
  <r>
    <d v="2019-03-28T00:00:00"/>
    <x v="5"/>
    <x v="0"/>
    <n v="50"/>
    <n v="600"/>
    <n v="30000"/>
    <s v="20190328N900016251"/>
    <n v="2019061"/>
    <s v="Rolling"/>
    <s v="IN302679-38296183"/>
    <s v="NSE"/>
    <n v="0"/>
    <n v="1.1000000000000001"/>
    <n v="0"/>
    <n v="29.7"/>
    <n v="30.795000000000002"/>
  </r>
  <r>
    <d v="2019-03-27T00:00:00"/>
    <x v="28"/>
    <x v="0"/>
    <n v="100"/>
    <n v="393"/>
    <n v="39300"/>
    <s v="20190327N300018668"/>
    <n v="2019060"/>
    <s v="Rolling"/>
    <s v="IN302679-38296183"/>
    <s v="NSE"/>
    <n v="0"/>
    <n v="1.43"/>
    <n v="0"/>
    <n v="29.76"/>
    <n v="31.194500000000001"/>
  </r>
  <r>
    <d v="2019-03-27T00:00:00"/>
    <x v="28"/>
    <x v="0"/>
    <n v="100"/>
    <n v="392"/>
    <n v="39200"/>
    <s v="20190327N300019539"/>
    <n v="2019060"/>
    <s v="Rolling"/>
    <s v="IN302679-38296183"/>
    <s v="NSE"/>
    <n v="0"/>
    <n v="1.43"/>
    <n v="0"/>
    <n v="29.76"/>
    <n v="31.190799999999999"/>
  </r>
  <r>
    <d v="2019-03-27T00:00:00"/>
    <x v="28"/>
    <x v="1"/>
    <n v="100"/>
    <n v="395"/>
    <n v="39500"/>
    <s v="20190327N300019798"/>
    <n v="2019060"/>
    <s v="Rolling"/>
    <s v="IN302679-38296183"/>
    <s v="NSE"/>
    <n v="9.84"/>
    <n v="1.44"/>
    <n v="0"/>
    <n v="29.76"/>
    <n v="41.041800000000002"/>
  </r>
  <r>
    <d v="2019-03-27T00:00:00"/>
    <x v="6"/>
    <x v="0"/>
    <n v="500"/>
    <n v="38.43"/>
    <n v="19215.45"/>
    <s v="20190327N300020670"/>
    <n v="2019060"/>
    <s v="Rolling"/>
    <s v="IN302679-38296183"/>
    <s v="NSE"/>
    <n v="0"/>
    <n v="0.7"/>
    <n v="0"/>
    <n v="29.63"/>
    <n v="30.331199999999999"/>
  </r>
  <r>
    <d v="2019-03-27T00:00:00"/>
    <x v="24"/>
    <x v="1"/>
    <n v="500"/>
    <n v="161.25"/>
    <n v="80625"/>
    <s v="20190327N300021875"/>
    <n v="2019060"/>
    <s v="Rolling"/>
    <s v="IN302679-38296183"/>
    <s v="NSE"/>
    <n v="20.170000000000002"/>
    <n v="2.94"/>
    <n v="0"/>
    <n v="48.09"/>
    <n v="71.2029"/>
  </r>
  <r>
    <d v="2019-03-27T00:00:00"/>
    <x v="28"/>
    <x v="1"/>
    <n v="100"/>
    <n v="395"/>
    <n v="39500"/>
    <s v="20190327N300023783"/>
    <n v="2019060"/>
    <s v="Rolling"/>
    <s v="IN302679-38296183"/>
    <s v="NSE"/>
    <n v="10.1"/>
    <n v="1.44"/>
    <n v="0"/>
    <n v="29.76"/>
    <n v="41.3018"/>
  </r>
  <r>
    <d v="2019-03-27T00:00:00"/>
    <x v="6"/>
    <x v="1"/>
    <n v="500"/>
    <n v="39.75"/>
    <n v="19875"/>
    <s v="20190327N300025540"/>
    <n v="2019060"/>
    <s v="Rolling"/>
    <s v="IN302679-38296183"/>
    <s v="NSE"/>
    <n v="4.8899999999999997"/>
    <n v="0.73"/>
    <n v="0"/>
    <n v="29.63"/>
    <n v="35.245399999999997"/>
  </r>
  <r>
    <d v="2019-03-27T00:00:00"/>
    <x v="24"/>
    <x v="0"/>
    <n v="500"/>
    <n v="161.5"/>
    <n v="80750"/>
    <s v="20190327N300030904"/>
    <n v="2019060"/>
    <s v="Rolling"/>
    <s v="IN302679-38296183"/>
    <s v="NSE"/>
    <n v="0"/>
    <n v="2.95"/>
    <n v="10.8"/>
    <n v="48.18"/>
    <n v="61.927300000000002"/>
  </r>
  <r>
    <d v="2019-03-22T00:00:00"/>
    <x v="50"/>
    <x v="1"/>
    <n v="50"/>
    <n v="222.5"/>
    <n v="11125"/>
    <s v="20190322N300016765"/>
    <n v="2019057"/>
    <s v="Rolling"/>
    <s v="IN302679-38296183"/>
    <s v="NSE"/>
    <n v="3.29"/>
    <n v="0.41"/>
    <n v="5.7"/>
    <n v="29.58"/>
    <n v="38.976100000000002"/>
  </r>
  <r>
    <d v="2019-03-22T00:00:00"/>
    <x v="50"/>
    <x v="1"/>
    <n v="50"/>
    <n v="224.5"/>
    <n v="11225"/>
    <s v="20190322N300018329"/>
    <n v="2019057"/>
    <s v="Rolling"/>
    <s v="IN302679-38296183"/>
    <s v="NSE"/>
    <n v="2.82"/>
    <n v="0.41"/>
    <n v="0"/>
    <n v="29.57"/>
    <n v="32.799700000000001"/>
  </r>
  <r>
    <d v="2019-03-22T00:00:00"/>
    <x v="50"/>
    <x v="1"/>
    <n v="200"/>
    <n v="223.5"/>
    <n v="44700"/>
    <s v="20190322N300019769"/>
    <n v="2019057"/>
    <s v="Rolling"/>
    <s v="IN302679-38296183"/>
    <s v="NSE"/>
    <n v="11.26"/>
    <n v="1.63"/>
    <n v="0"/>
    <n v="29.79"/>
    <n v="42.681600000000003"/>
  </r>
  <r>
    <d v="2019-03-22T00:00:00"/>
    <x v="50"/>
    <x v="1"/>
    <n v="50"/>
    <n v="226"/>
    <n v="11300"/>
    <s v="20190322N300026515"/>
    <n v="2019057"/>
    <s v="Rolling"/>
    <s v="IN302679-38296183"/>
    <s v="NSE"/>
    <n v="2.82"/>
    <n v="0.41"/>
    <n v="0"/>
    <n v="29.57"/>
    <n v="32.802500000000002"/>
  </r>
  <r>
    <d v="2019-03-22T00:00:00"/>
    <x v="50"/>
    <x v="1"/>
    <n v="50"/>
    <n v="228.3"/>
    <n v="11415"/>
    <s v="20190322N300026632"/>
    <n v="2019057"/>
    <s v="Rolling"/>
    <s v="IN302679-38296183"/>
    <s v="NSE"/>
    <n v="2.82"/>
    <n v="0.42"/>
    <n v="0"/>
    <n v="29.58"/>
    <n v="32.816600000000001"/>
  </r>
  <r>
    <d v="2019-03-22T00:00:00"/>
    <x v="50"/>
    <x v="0"/>
    <n v="400"/>
    <n v="226"/>
    <n v="90400"/>
    <s v="20190322N300030739"/>
    <n v="2019057"/>
    <s v="Rolling"/>
    <s v="IN302679-38296183"/>
    <s v="NSE"/>
    <n v="0"/>
    <n v="3.3"/>
    <n v="0"/>
    <n v="53.93"/>
    <n v="57.229599999999998"/>
  </r>
  <r>
    <d v="2019-03-18T00:00:00"/>
    <x v="33"/>
    <x v="0"/>
    <n v="100"/>
    <n v="40"/>
    <n v="4000"/>
    <s v="20190318N300027768"/>
    <n v="2019054"/>
    <s v="Rolling"/>
    <s v="IN302679-38296183"/>
    <s v="NSE"/>
    <n v="4"/>
    <n v="0.15"/>
    <n v="0.3"/>
    <n v="41.33"/>
    <n v="45.776000000000003"/>
  </r>
  <r>
    <d v="2019-03-14T00:00:00"/>
    <x v="3"/>
    <x v="1"/>
    <n v="500"/>
    <n v="172.5"/>
    <n v="86250"/>
    <s v="20190314N200000919"/>
    <n v="2019052"/>
    <s v="Rolling"/>
    <s v="IN302679-38296183"/>
    <s v="NSE"/>
    <n v="21.7"/>
    <n v="3.15"/>
    <n v="0"/>
    <n v="51.45"/>
    <n v="76.298199999999994"/>
  </r>
  <r>
    <d v="2019-03-14T00:00:00"/>
    <x v="3"/>
    <x v="0"/>
    <n v="2500"/>
    <n v="174"/>
    <n v="435000"/>
    <s v="20190314N200001371"/>
    <n v="2019052"/>
    <s v="Rolling"/>
    <s v="IN302679-38296183"/>
    <s v="NSE"/>
    <n v="0"/>
    <n v="15.88"/>
    <n v="0"/>
    <n v="259.49"/>
    <n v="275.36770000000001"/>
  </r>
  <r>
    <d v="2019-03-14T00:00:00"/>
    <x v="3"/>
    <x v="1"/>
    <n v="500"/>
    <n v="173.5"/>
    <n v="86750"/>
    <s v="20190314N300017388"/>
    <n v="2019052"/>
    <s v="Rolling"/>
    <s v="IN302679-38296183"/>
    <s v="NSE"/>
    <n v="21.7"/>
    <n v="3.17"/>
    <n v="0"/>
    <n v="51.75"/>
    <n v="76.616399999999999"/>
  </r>
  <r>
    <d v="2019-03-14T00:00:00"/>
    <x v="3"/>
    <x v="1"/>
    <n v="5000"/>
    <n v="173.33"/>
    <n v="866639.65"/>
    <s v="20190314N300027786"/>
    <n v="2019052"/>
    <s v="Rolling"/>
    <s v="IN302679-38296183"/>
    <s v="NSE"/>
    <n v="216.61"/>
    <n v="31.63"/>
    <n v="62.7"/>
    <n v="516.99"/>
    <n v="827.93259999999998"/>
  </r>
  <r>
    <d v="2019-03-14T00:00:00"/>
    <x v="3"/>
    <x v="0"/>
    <n v="3500"/>
    <n v="173.76"/>
    <n v="608158.55000000005"/>
    <s v="20190314N300029059"/>
    <n v="2019052"/>
    <s v="Rolling"/>
    <s v="IN302679-38296183"/>
    <s v="NSE"/>
    <n v="0"/>
    <n v="22.2"/>
    <n v="0"/>
    <n v="362.82"/>
    <n v="385.01769999999999"/>
  </r>
  <r>
    <d v="2019-03-13T00:00:00"/>
    <x v="70"/>
    <x v="0"/>
    <n v="100"/>
    <n v="250"/>
    <n v="25000"/>
    <s v="20190313B700002220"/>
    <n v="201819239"/>
    <s v="Rolling"/>
    <s v="IN302679-38296183"/>
    <s v="BSE"/>
    <n v="25"/>
    <n v="0.73"/>
    <n v="0.9"/>
    <n v="162.38"/>
    <n v="189.01249999999999"/>
  </r>
  <r>
    <d v="2019-03-13T00:00:00"/>
    <x v="3"/>
    <x v="1"/>
    <n v="100"/>
    <n v="175.1"/>
    <n v="17510"/>
    <s v="20190313N300015876"/>
    <n v="2019051"/>
    <s v="Rolling"/>
    <s v="IN302679-38296183"/>
    <s v="NSE"/>
    <n v="4.16"/>
    <n v="0.64"/>
    <n v="5.0999999999999996"/>
    <n v="29.61"/>
    <n v="39.509"/>
  </r>
  <r>
    <d v="2019-03-13T00:00:00"/>
    <x v="3"/>
    <x v="0"/>
    <n v="100"/>
    <n v="172.5"/>
    <n v="17250"/>
    <s v="20190313N300016930"/>
    <n v="2019051"/>
    <s v="Rolling"/>
    <s v="IN302679-38296183"/>
    <s v="NSE"/>
    <n v="0"/>
    <n v="0.63"/>
    <n v="0"/>
    <n v="29.61"/>
    <n v="30.239699999999999"/>
  </r>
  <r>
    <d v="2019-03-13T00:00:00"/>
    <x v="71"/>
    <x v="1"/>
    <n v="250"/>
    <n v="251.52"/>
    <n v="62879.75"/>
    <s v="20190313N300024234"/>
    <n v="2019051"/>
    <s v="Rolling"/>
    <s v="IN302679-38296183"/>
    <s v="NSE"/>
    <n v="15.84"/>
    <n v="2.2999999999999998"/>
    <n v="0"/>
    <n v="37.51"/>
    <n v="55.645099999999999"/>
  </r>
  <r>
    <d v="2019-03-13T00:00:00"/>
    <x v="71"/>
    <x v="0"/>
    <n v="250"/>
    <n v="255.25"/>
    <n v="63812.5"/>
    <s v="20190313N300024250"/>
    <n v="2019051"/>
    <s v="Rolling"/>
    <s v="IN302679-38296183"/>
    <s v="NSE"/>
    <n v="0"/>
    <n v="2.33"/>
    <n v="0"/>
    <n v="38.07"/>
    <n v="40.399099999999997"/>
  </r>
  <r>
    <d v="2019-03-12T00:00:00"/>
    <x v="70"/>
    <x v="0"/>
    <n v="500"/>
    <n v="259.76"/>
    <n v="129878.8"/>
    <s v="20190312N200001044"/>
    <n v="2019050"/>
    <s v="Rolling"/>
    <s v="IN302679-38296183"/>
    <s v="NSE"/>
    <n v="0"/>
    <n v="4.74"/>
    <n v="0"/>
    <n v="77.48"/>
    <n v="82.220600000000005"/>
  </r>
  <r>
    <d v="2019-03-12T00:00:00"/>
    <x v="72"/>
    <x v="1"/>
    <n v="1000"/>
    <n v="55.15"/>
    <n v="55150"/>
    <s v="20190312N300015298"/>
    <n v="2019050"/>
    <s v="Rolling"/>
    <s v="IN302679-38296183"/>
    <s v="NSE"/>
    <n v="13.64"/>
    <n v="2.0099999999999998"/>
    <n v="0"/>
    <n v="32.9"/>
    <n v="48.552999999999997"/>
  </r>
  <r>
    <d v="2019-03-12T00:00:00"/>
    <x v="72"/>
    <x v="0"/>
    <n v="1000"/>
    <n v="54"/>
    <n v="54000"/>
    <s v="20190312N300015359"/>
    <n v="2019050"/>
    <s v="Rolling"/>
    <s v="IN302679-38296183"/>
    <s v="NSE"/>
    <n v="0"/>
    <n v="1.97"/>
    <n v="0"/>
    <n v="32.21"/>
    <n v="34.180999999999997"/>
  </r>
  <r>
    <d v="2019-03-12T00:00:00"/>
    <x v="70"/>
    <x v="0"/>
    <n v="500"/>
    <n v="257.48"/>
    <n v="128742.05"/>
    <s v="20190312N300021906"/>
    <n v="2019050"/>
    <s v="Rolling"/>
    <s v="IN302679-38296183"/>
    <s v="NSE"/>
    <n v="0"/>
    <n v="4.7"/>
    <n v="40.200000000000003"/>
    <n v="76.8"/>
    <n v="121.69929999999999"/>
  </r>
  <r>
    <d v="2019-03-12T00:00:00"/>
    <x v="70"/>
    <x v="0"/>
    <n v="250"/>
    <n v="255.35"/>
    <n v="63837.5"/>
    <s v="20190312N300022103"/>
    <n v="2019050"/>
    <s v="Rolling"/>
    <s v="IN302679-38296183"/>
    <s v="NSE"/>
    <n v="0"/>
    <n v="2.33"/>
    <n v="0"/>
    <n v="38.08"/>
    <n v="40.4101"/>
  </r>
  <r>
    <d v="2019-03-12T00:00:00"/>
    <x v="11"/>
    <x v="1"/>
    <n v="500"/>
    <n v="292.5"/>
    <n v="146250"/>
    <s v="20190312N300024993"/>
    <n v="2019050"/>
    <s v="Rolling"/>
    <s v="IN302679-38296183"/>
    <s v="NSE"/>
    <n v="36.58"/>
    <n v="5.34"/>
    <n v="0"/>
    <n v="87.25"/>
    <n v="129.16820000000001"/>
  </r>
  <r>
    <d v="2019-03-12T00:00:00"/>
    <x v="11"/>
    <x v="0"/>
    <n v="500"/>
    <n v="291"/>
    <n v="145500"/>
    <s v="20190312N300025281"/>
    <n v="2019050"/>
    <s v="Rolling"/>
    <s v="IN302679-38296183"/>
    <s v="NSE"/>
    <n v="0"/>
    <n v="5.31"/>
    <n v="0"/>
    <n v="86.8"/>
    <n v="92.110799999999998"/>
  </r>
  <r>
    <d v="2019-03-12T00:00:00"/>
    <x v="11"/>
    <x v="0"/>
    <n v="500"/>
    <n v="296.64999999999998"/>
    <n v="148325"/>
    <s v="20190312N300030715"/>
    <n v="2019050"/>
    <s v="Rolling"/>
    <s v="IN302679-38296183"/>
    <s v="NSE"/>
    <n v="0"/>
    <n v="5.41"/>
    <n v="0"/>
    <n v="88.49"/>
    <n v="93.903899999999993"/>
  </r>
  <r>
    <d v="2019-03-12T00:00:00"/>
    <x v="70"/>
    <x v="1"/>
    <n v="1250"/>
    <n v="254.23"/>
    <n v="317781.5"/>
    <s v="20190312N300032904"/>
    <n v="2019050"/>
    <s v="Rolling"/>
    <s v="IN302679-38296183"/>
    <s v="NSE"/>
    <n v="80.03"/>
    <n v="11.6"/>
    <n v="0"/>
    <n v="189.58"/>
    <n v="281.20949999999999"/>
  </r>
  <r>
    <d v="2019-03-12T00:00:00"/>
    <x v="11"/>
    <x v="1"/>
    <n v="500"/>
    <n v="290.51"/>
    <n v="145255.04999999999"/>
    <s v="20190312N300033134"/>
    <n v="2019050"/>
    <s v="Rolling"/>
    <s v="IN302679-38296183"/>
    <s v="NSE"/>
    <n v="36.74"/>
    <n v="5.3"/>
    <n v="0"/>
    <n v="86.65"/>
    <n v="128.6919"/>
  </r>
  <r>
    <d v="2019-03-11T00:00:00"/>
    <x v="70"/>
    <x v="0"/>
    <n v="332"/>
    <n v="256.99"/>
    <n v="85321.1"/>
    <s v="20190311N300019566"/>
    <n v="2019049"/>
    <s v="Rolling"/>
    <s v="IN302679-38296183"/>
    <s v="NSE"/>
    <n v="0"/>
    <n v="3.11"/>
    <n v="24.3"/>
    <n v="50.9"/>
    <n v="78.314300000000003"/>
  </r>
  <r>
    <d v="2019-03-11T00:00:00"/>
    <x v="28"/>
    <x v="0"/>
    <n v="250"/>
    <n v="376"/>
    <n v="94000"/>
    <s v="20190311N300021991"/>
    <n v="2019049"/>
    <s v="Rolling"/>
    <s v="IN302679-38296183"/>
    <s v="NSE"/>
    <n v="0"/>
    <n v="3.43"/>
    <n v="0"/>
    <n v="56.08"/>
    <n v="59.511000000000003"/>
  </r>
  <r>
    <d v="2019-03-11T00:00:00"/>
    <x v="28"/>
    <x v="1"/>
    <n v="250"/>
    <n v="377"/>
    <n v="94250"/>
    <s v="20190311N300022128"/>
    <n v="2019049"/>
    <s v="Rolling"/>
    <s v="IN302679-38296183"/>
    <s v="NSE"/>
    <n v="23.73"/>
    <n v="3.44"/>
    <n v="0"/>
    <n v="56.22"/>
    <n v="83.390100000000004"/>
  </r>
  <r>
    <d v="2019-03-11T00:00:00"/>
    <x v="11"/>
    <x v="1"/>
    <n v="500"/>
    <n v="293"/>
    <n v="146500"/>
    <s v="20190311N300025957"/>
    <n v="2019049"/>
    <s v="Rolling"/>
    <s v="IN302679-38296183"/>
    <s v="NSE"/>
    <n v="36.56"/>
    <n v="5.35"/>
    <n v="0"/>
    <n v="87.4"/>
    <n v="129.3073"/>
  </r>
  <r>
    <d v="2019-03-11T00:00:00"/>
    <x v="11"/>
    <x v="0"/>
    <n v="500"/>
    <n v="292"/>
    <n v="146000"/>
    <s v="20190311N300029427"/>
    <n v="2019049"/>
    <s v="Rolling"/>
    <s v="IN302679-38296183"/>
    <s v="NSE"/>
    <n v="0"/>
    <n v="5.33"/>
    <n v="0"/>
    <n v="87.1"/>
    <n v="92.429000000000002"/>
  </r>
  <r>
    <d v="2019-03-11T00:00:00"/>
    <x v="70"/>
    <x v="0"/>
    <n v="300"/>
    <n v="258.05"/>
    <n v="77415.149999999994"/>
    <s v="20190311N300031638"/>
    <n v="2019049"/>
    <s v="Rolling"/>
    <s v="IN302679-38296183"/>
    <s v="NSE"/>
    <n v="0"/>
    <n v="2.83"/>
    <n v="0"/>
    <n v="46.18"/>
    <n v="49.005699999999997"/>
  </r>
  <r>
    <d v="2019-03-11T00:00:00"/>
    <x v="70"/>
    <x v="1"/>
    <n v="632"/>
    <n v="257.85000000000002"/>
    <n v="162961.20000000001"/>
    <s v="20190311N300033357"/>
    <n v="2019049"/>
    <s v="Rolling"/>
    <s v="IN302679-38296183"/>
    <s v="NSE"/>
    <n v="40.71"/>
    <n v="5.95"/>
    <n v="0"/>
    <n v="97.22"/>
    <n v="143.87799999999999"/>
  </r>
  <r>
    <d v="2019-03-08T00:00:00"/>
    <x v="71"/>
    <x v="1"/>
    <n v="1000"/>
    <n v="243.49"/>
    <n v="243485.9"/>
    <s v="20190308N300018395"/>
    <n v="2019048"/>
    <s v="Rolling"/>
    <s v="IN302679-38296183"/>
    <s v="NSE"/>
    <n v="60.75"/>
    <n v="8.89"/>
    <n v="0"/>
    <n v="145.28"/>
    <n v="214.91730000000001"/>
  </r>
  <r>
    <d v="2019-03-08T00:00:00"/>
    <x v="71"/>
    <x v="0"/>
    <n v="1000"/>
    <n v="242.5"/>
    <n v="242500"/>
    <s v="20190308N300018430"/>
    <n v="2019048"/>
    <s v="Rolling"/>
    <s v="IN302679-38296183"/>
    <s v="NSE"/>
    <n v="0"/>
    <n v="8.85"/>
    <n v="0"/>
    <n v="144.66999999999999"/>
    <n v="153.52119999999999"/>
  </r>
  <r>
    <d v="2019-03-08T00:00:00"/>
    <x v="6"/>
    <x v="1"/>
    <n v="1000"/>
    <n v="36.6"/>
    <n v="36595.25"/>
    <s v="20190308N900015068"/>
    <n v="2019048"/>
    <s v="Rolling"/>
    <s v="IN302902-46841937"/>
    <s v="NSE"/>
    <n v="36.25"/>
    <n v="1.34"/>
    <n v="15.9"/>
    <n v="237.74"/>
    <n v="291.22579999999999"/>
  </r>
  <r>
    <d v="2019-03-07T00:00:00"/>
    <x v="5"/>
    <x v="1"/>
    <n v="1000"/>
    <n v="613.5"/>
    <n v="613500"/>
    <s v="20190307B700003876"/>
    <n v="201819235"/>
    <s v="Rolling"/>
    <s v="IN302679-38296183"/>
    <s v="BSE"/>
    <n v="154"/>
    <n v="17.5"/>
    <n v="0"/>
    <n v="365.12"/>
    <n v="536.62480000000005"/>
  </r>
  <r>
    <d v="2019-03-07T00:00:00"/>
    <x v="5"/>
    <x v="0"/>
    <n v="1000"/>
    <n v="614.79999999999995"/>
    <n v="614800"/>
    <s v="20190307B700003886"/>
    <n v="201819235"/>
    <s v="Rolling"/>
    <s v="IN302679-38296183"/>
    <s v="BSE"/>
    <n v="0"/>
    <n v="17.62"/>
    <n v="36.9"/>
    <n v="365.89"/>
    <n v="420.4119"/>
  </r>
  <r>
    <d v="2019-03-07T00:00:00"/>
    <x v="5"/>
    <x v="1"/>
    <n v="100"/>
    <n v="613.35"/>
    <n v="61335"/>
    <s v="20190307N300015800"/>
    <n v="2019047"/>
    <s v="Rolling"/>
    <s v="IN302679-38296183"/>
    <s v="NSE"/>
    <n v="15.38"/>
    <n v="2.2400000000000002"/>
    <n v="0"/>
    <n v="36.590000000000003"/>
    <n v="54.2087"/>
  </r>
  <r>
    <d v="2019-03-07T00:00:00"/>
    <x v="28"/>
    <x v="0"/>
    <n v="100"/>
    <n v="369.1"/>
    <n v="36910"/>
    <s v="20190307N300016118"/>
    <n v="2019047"/>
    <s v="Rolling"/>
    <s v="IN302679-38296183"/>
    <s v="NSE"/>
    <n v="0"/>
    <n v="1.35"/>
    <n v="0"/>
    <n v="29.74"/>
    <n v="31.087299999999999"/>
  </r>
  <r>
    <d v="2019-03-07T00:00:00"/>
    <x v="28"/>
    <x v="1"/>
    <n v="100"/>
    <n v="372"/>
    <n v="37200"/>
    <s v="20190307N300017071"/>
    <n v="2019047"/>
    <s v="Rolling"/>
    <s v="IN302679-38296183"/>
    <s v="NSE"/>
    <n v="9.27"/>
    <n v="1.36"/>
    <n v="0"/>
    <n v="29.74"/>
    <n v="40.367800000000003"/>
  </r>
  <r>
    <d v="2019-03-07T00:00:00"/>
    <x v="5"/>
    <x v="1"/>
    <n v="200"/>
    <n v="619"/>
    <n v="123800"/>
    <s v="20190307N300017159"/>
    <n v="2019047"/>
    <s v="Rolling"/>
    <s v="IN302679-38296183"/>
    <s v="NSE"/>
    <n v="30.76"/>
    <n v="4.5199999999999996"/>
    <n v="0"/>
    <n v="73.86"/>
    <n v="109.1387"/>
  </r>
  <r>
    <d v="2019-03-07T00:00:00"/>
    <x v="5"/>
    <x v="0"/>
    <n v="300"/>
    <n v="613"/>
    <n v="183900"/>
    <s v="20190307N300017647"/>
    <n v="2019047"/>
    <s v="Rolling"/>
    <s v="IN302679-38296183"/>
    <s v="NSE"/>
    <n v="0"/>
    <n v="6.71"/>
    <n v="0"/>
    <n v="109.71"/>
    <n v="116.4224"/>
  </r>
  <r>
    <d v="2019-03-07T00:00:00"/>
    <x v="28"/>
    <x v="1"/>
    <n v="250"/>
    <n v="374"/>
    <n v="93500"/>
    <s v="20190307N300020020"/>
    <n v="2019047"/>
    <s v="Rolling"/>
    <s v="IN302679-38296183"/>
    <s v="NSE"/>
    <n v="23.18"/>
    <n v="3.41"/>
    <n v="0"/>
    <n v="55.78"/>
    <n v="82.372799999999998"/>
  </r>
  <r>
    <d v="2019-03-07T00:00:00"/>
    <x v="5"/>
    <x v="0"/>
    <n v="250"/>
    <n v="615"/>
    <n v="153750"/>
    <s v="20190307N300021763"/>
    <n v="2019047"/>
    <s v="Rolling"/>
    <s v="IN302679-38296183"/>
    <s v="NSE"/>
    <n v="0"/>
    <n v="5.61"/>
    <n v="0"/>
    <n v="91.72"/>
    <n v="97.331900000000005"/>
  </r>
  <r>
    <d v="2019-03-07T00:00:00"/>
    <x v="5"/>
    <x v="1"/>
    <n v="250"/>
    <n v="616"/>
    <n v="154000"/>
    <s v="20190307N300021787"/>
    <n v="2019047"/>
    <s v="Rolling"/>
    <s v="IN302679-38296183"/>
    <s v="NSE"/>
    <n v="38.450000000000003"/>
    <n v="5.62"/>
    <n v="0"/>
    <n v="91.87"/>
    <n v="135.941"/>
  </r>
  <r>
    <d v="2019-03-07T00:00:00"/>
    <x v="28"/>
    <x v="0"/>
    <n v="250"/>
    <n v="371.75"/>
    <n v="92937.5"/>
    <s v="20190307N300021812"/>
    <n v="2019047"/>
    <s v="Rolling"/>
    <s v="IN302679-38296183"/>
    <s v="NSE"/>
    <n v="0"/>
    <n v="3.39"/>
    <n v="0"/>
    <n v="55.44"/>
    <n v="58.8322"/>
  </r>
  <r>
    <d v="2019-03-07T00:00:00"/>
    <x v="28"/>
    <x v="0"/>
    <n v="5000"/>
    <n v="371"/>
    <n v="1855000"/>
    <s v="20190307N300028242"/>
    <n v="2019047"/>
    <s v="Rolling"/>
    <s v="IN302679-38296183"/>
    <s v="NSE"/>
    <n v="0"/>
    <n v="67.709999999999994"/>
    <n v="0"/>
    <n v="1106.6400000000001"/>
    <n v="1174.3475000000001"/>
  </r>
  <r>
    <d v="2019-03-07T00:00:00"/>
    <x v="28"/>
    <x v="1"/>
    <n v="5000"/>
    <n v="370.64"/>
    <n v="1853197.5"/>
    <s v="20190307N300030457"/>
    <n v="2019047"/>
    <s v="Rolling"/>
    <s v="IN302679-38296183"/>
    <s v="NSE"/>
    <n v="463.95"/>
    <n v="67.64"/>
    <n v="139.5"/>
    <n v="1105.57"/>
    <n v="1776.6614999999999"/>
  </r>
  <r>
    <d v="2019-03-06T00:00:00"/>
    <x v="28"/>
    <x v="1"/>
    <n v="2500"/>
    <n v="369.29"/>
    <n v="923233.65"/>
    <s v="20190306N300021900"/>
    <n v="2019046"/>
    <s v="Rolling"/>
    <s v="IN302679-38296183"/>
    <s v="NSE"/>
    <n v="230.65"/>
    <n v="33.700000000000003"/>
    <n v="77.7"/>
    <n v="550.75"/>
    <n v="892.79809999999998"/>
  </r>
  <r>
    <d v="2019-03-06T00:00:00"/>
    <x v="28"/>
    <x v="1"/>
    <n v="1000"/>
    <n v="371"/>
    <n v="371000"/>
    <s v="20190306N300025330"/>
    <n v="2019046"/>
    <s v="Rolling"/>
    <s v="IN302679-38296183"/>
    <s v="NSE"/>
    <n v="92.35"/>
    <n v="13.54"/>
    <n v="0"/>
    <n v="221.32"/>
    <n v="327.2115"/>
  </r>
  <r>
    <d v="2019-03-06T00:00:00"/>
    <x v="28"/>
    <x v="0"/>
    <n v="3500"/>
    <n v="369"/>
    <n v="1291500"/>
    <s v="20190306N300026006"/>
    <n v="2019046"/>
    <s v="Rolling"/>
    <s v="IN302679-38296183"/>
    <s v="NSE"/>
    <n v="0"/>
    <n v="47.14"/>
    <n v="0"/>
    <n v="770.47"/>
    <n v="817.60979999999995"/>
  </r>
  <r>
    <d v="2019-03-05T00:00:00"/>
    <x v="28"/>
    <x v="0"/>
    <n v="500"/>
    <n v="355.05"/>
    <n v="177525"/>
    <s v="20190305N300021599"/>
    <n v="2019045"/>
    <s v="Rolling"/>
    <s v="IN302679-38296183"/>
    <s v="NSE"/>
    <n v="0"/>
    <n v="6.48"/>
    <n v="0"/>
    <n v="105.91"/>
    <n v="112.3897"/>
  </r>
  <r>
    <d v="2019-03-05T00:00:00"/>
    <x v="28"/>
    <x v="1"/>
    <n v="500"/>
    <n v="357.25"/>
    <n v="178625"/>
    <s v="20190305N300021648"/>
    <n v="2019045"/>
    <s v="Rolling"/>
    <s v="IN302679-38296183"/>
    <s v="NSE"/>
    <n v="45.26"/>
    <n v="6.52"/>
    <n v="0"/>
    <n v="106.56"/>
    <n v="158.3398"/>
  </r>
  <r>
    <d v="2019-03-05T00:00:00"/>
    <x v="6"/>
    <x v="0"/>
    <n v="1000"/>
    <n v="34.6"/>
    <n v="34600"/>
    <s v="20190305N300031636"/>
    <n v="2019045"/>
    <s v="Rolling"/>
    <s v="IN302902-46841937"/>
    <s v="NSE"/>
    <n v="34.6"/>
    <n v="1.26"/>
    <n v="0"/>
    <n v="224.78"/>
    <n v="260.6429"/>
  </r>
  <r>
    <d v="2019-03-05T00:00:00"/>
    <x v="28"/>
    <x v="1"/>
    <n v="5000"/>
    <n v="359.76"/>
    <n v="1798806.4"/>
    <s v="20190305N300034375"/>
    <n v="2019045"/>
    <s v="Rolling"/>
    <s v="IN302679-38296183"/>
    <s v="NSE"/>
    <n v="452.59"/>
    <n v="65.66"/>
    <n v="0"/>
    <n v="1072.95"/>
    <n v="1591.1962000000001"/>
  </r>
  <r>
    <d v="2019-03-05T00:00:00"/>
    <x v="28"/>
    <x v="0"/>
    <n v="5000"/>
    <n v="362.47"/>
    <n v="1812335"/>
    <s v="20190305N300035042"/>
    <n v="2019045"/>
    <s v="Rolling"/>
    <s v="IN302679-38296183"/>
    <s v="NSE"/>
    <n v="0"/>
    <n v="66.150000000000006"/>
    <n v="0"/>
    <n v="1081.26"/>
    <n v="1147.4100000000001"/>
  </r>
  <r>
    <d v="2019-03-05T00:00:00"/>
    <x v="28"/>
    <x v="0"/>
    <n v="5000"/>
    <n v="362.52"/>
    <n v="1812597.9"/>
    <s v="20190305N300035094"/>
    <n v="2019045"/>
    <s v="Rolling"/>
    <s v="IN302679-38296183"/>
    <s v="NSE"/>
    <n v="0"/>
    <n v="66.16"/>
    <n v="0"/>
    <n v="1081.3399999999999"/>
    <n v="1147.5"/>
  </r>
  <r>
    <d v="2019-03-05T00:00:00"/>
    <x v="28"/>
    <x v="0"/>
    <n v="5000"/>
    <n v="362.42"/>
    <n v="1812080.55"/>
    <s v="20190305N300036216"/>
    <n v="2019045"/>
    <s v="Rolling"/>
    <s v="IN302679-38296183"/>
    <s v="NSE"/>
    <n v="0"/>
    <n v="66.14"/>
    <n v="0"/>
    <n v="1081.03"/>
    <n v="1147.1711"/>
  </r>
  <r>
    <d v="2019-03-05T00:00:00"/>
    <x v="28"/>
    <x v="1"/>
    <n v="10000"/>
    <n v="363.24"/>
    <n v="3632393.9"/>
    <s v="20190305N300037352"/>
    <n v="2019045"/>
    <s v="Rolling"/>
    <s v="IN302679-38296183"/>
    <s v="NSE"/>
    <n v="905.55"/>
    <n v="132.58000000000001"/>
    <n v="337.8"/>
    <n v="2166.94"/>
    <n v="3542.8717999999999"/>
  </r>
  <r>
    <d v="2019-03-01T00:00:00"/>
    <x v="15"/>
    <x v="1"/>
    <n v="1000"/>
    <n v="83.95"/>
    <n v="83950"/>
    <s v="20190301N300014094"/>
    <n v="2019044"/>
    <s v="Rolling"/>
    <s v="IN302679-38296183"/>
    <s v="NSE"/>
    <n v="21.32"/>
    <n v="3.06"/>
    <n v="0"/>
    <n v="50.08"/>
    <n v="74.464200000000005"/>
  </r>
  <r>
    <d v="2019-03-01T00:00:00"/>
    <x v="15"/>
    <x v="0"/>
    <n v="3500"/>
    <n v="85.8"/>
    <n v="300300"/>
    <s v="20190301N300014173"/>
    <n v="2019044"/>
    <s v="Rolling"/>
    <s v="IN302679-38296183"/>
    <s v="NSE"/>
    <n v="0"/>
    <n v="10.96"/>
    <n v="0"/>
    <n v="179.15"/>
    <n v="190.11109999999999"/>
  </r>
  <r>
    <d v="2019-03-01T00:00:00"/>
    <x v="15"/>
    <x v="1"/>
    <n v="500"/>
    <n v="84.76"/>
    <n v="42381.7"/>
    <s v="20190301N300022508"/>
    <n v="2019044"/>
    <s v="Rolling"/>
    <s v="IN302679-38296183"/>
    <s v="NSE"/>
    <n v="11.03"/>
    <n v="1.55"/>
    <n v="18"/>
    <n v="29.78"/>
    <n v="60.356999999999999"/>
  </r>
  <r>
    <d v="2019-03-01T00:00:00"/>
    <x v="15"/>
    <x v="1"/>
    <n v="2000"/>
    <n v="85.2"/>
    <n v="170400"/>
    <s v="20190301N300025283"/>
    <n v="2019044"/>
    <s v="Rolling"/>
    <s v="IN302679-38296183"/>
    <s v="NSE"/>
    <n v="42.65"/>
    <n v="6.22"/>
    <n v="0"/>
    <n v="101.66"/>
    <n v="150.52959999999999"/>
  </r>
  <r>
    <d v="2019-02-18T00:00:00"/>
    <x v="43"/>
    <x v="0"/>
    <n v="100"/>
    <n v="17.25"/>
    <n v="1725"/>
    <s v="20190218N300023019"/>
    <n v="2019035"/>
    <s v="Rolling"/>
    <s v="IN302679-38296183"/>
    <s v="NSE"/>
    <n v="2"/>
    <n v="0.06"/>
    <n v="0.3"/>
    <n v="41.31"/>
    <n v="43.673000000000002"/>
  </r>
  <r>
    <d v="2019-02-05T00:00:00"/>
    <x v="13"/>
    <x v="0"/>
    <n v="1000"/>
    <n v="7.4"/>
    <n v="7400"/>
    <s v="20190205N300012554"/>
    <n v="2019026"/>
    <s v="Rolling"/>
    <s v="IN302679-38296183"/>
    <s v="NSE"/>
    <n v="0"/>
    <n v="0.27"/>
    <n v="0"/>
    <n v="29.55"/>
    <n v="29.8201"/>
  </r>
  <r>
    <d v="2019-02-05T00:00:00"/>
    <x v="13"/>
    <x v="0"/>
    <n v="1000"/>
    <n v="6.75"/>
    <n v="6750"/>
    <s v="20190205N300013823"/>
    <n v="2019026"/>
    <s v="Rolling"/>
    <s v="IN302679-38296183"/>
    <s v="NSE"/>
    <n v="0"/>
    <n v="0.25"/>
    <n v="0.9"/>
    <n v="29.54"/>
    <n v="30.686399999999999"/>
  </r>
  <r>
    <d v="2019-02-05T00:00:00"/>
    <x v="13"/>
    <x v="1"/>
    <n v="179"/>
    <n v="6.3"/>
    <n v="1127.7"/>
    <s v="20190205N300014545"/>
    <n v="2019026"/>
    <s v="Rolling"/>
    <s v="IN302679-38296183"/>
    <s v="NSE"/>
    <n v="0.28000000000000003"/>
    <n v="0.04"/>
    <n v="0"/>
    <n v="29.51"/>
    <n v="29.831199999999999"/>
  </r>
  <r>
    <d v="2019-02-05T00:00:00"/>
    <x v="13"/>
    <x v="1"/>
    <n v="164"/>
    <n v="5.6"/>
    <n v="918.4"/>
    <s v="20190205N300014662"/>
    <n v="2019026"/>
    <s v="Rolling"/>
    <s v="IN302679-38296183"/>
    <s v="NSE"/>
    <n v="0.26"/>
    <n v="0.03"/>
    <n v="0"/>
    <n v="27.1"/>
    <n v="27.3935"/>
  </r>
  <r>
    <d v="2019-02-05T00:00:00"/>
    <x v="13"/>
    <x v="1"/>
    <n v="1657"/>
    <n v="5.5"/>
    <n v="9113.5"/>
    <s v="20190205N300027959"/>
    <n v="2019026"/>
    <s v="Rolling"/>
    <s v="IN302679-38296183"/>
    <s v="NSE"/>
    <n v="2.46"/>
    <n v="0.33"/>
    <n v="0"/>
    <n v="29.56"/>
    <n v="32.352699999999999"/>
  </r>
  <r>
    <d v="2019-02-04T00:00:00"/>
    <x v="36"/>
    <x v="1"/>
    <n v="100"/>
    <n v="102.05"/>
    <n v="10205"/>
    <s v="20190204N300014899"/>
    <n v="2019025"/>
    <s v="Rolling"/>
    <s v="IN302679-38296183"/>
    <s v="NSE"/>
    <n v="3.09"/>
    <n v="0.31"/>
    <n v="4.8"/>
    <n v="29.56"/>
    <n v="37.756100000000004"/>
  </r>
  <r>
    <d v="2019-02-04T00:00:00"/>
    <x v="36"/>
    <x v="1"/>
    <n v="250"/>
    <n v="105.85"/>
    <n v="26462.5"/>
    <s v="20190204N300016286"/>
    <n v="2019025"/>
    <s v="Rolling"/>
    <s v="IN302679-38296183"/>
    <s v="NSE"/>
    <n v="7.04"/>
    <n v="0.79"/>
    <n v="0"/>
    <n v="29.64"/>
    <n v="37.4739"/>
  </r>
  <r>
    <d v="2019-02-04T00:00:00"/>
    <x v="36"/>
    <x v="0"/>
    <n v="116"/>
    <n v="115.71"/>
    <n v="13422.5"/>
    <s v="20190204N300019856"/>
    <n v="2019025"/>
    <s v="Rolling"/>
    <s v="IN302679-38296183"/>
    <s v="NSE"/>
    <n v="0"/>
    <n v="0.4"/>
    <n v="0"/>
    <n v="29.57"/>
    <n v="29.972799999999999"/>
  </r>
  <r>
    <d v="2019-02-04T00:00:00"/>
    <x v="36"/>
    <x v="0"/>
    <n v="234"/>
    <n v="115.9"/>
    <n v="27121.7"/>
    <s v="20190204N300019896"/>
    <n v="2019025"/>
    <s v="Rolling"/>
    <s v="IN302679-38296183"/>
    <s v="NSE"/>
    <n v="0"/>
    <n v="0.81"/>
    <n v="0"/>
    <n v="29.65"/>
    <n v="30.4636"/>
  </r>
  <r>
    <d v="2019-02-04T00:00:00"/>
    <x v="36"/>
    <x v="1"/>
    <n v="350"/>
    <n v="114.61"/>
    <n v="40114.699999999997"/>
    <s v="20190204N300027592"/>
    <n v="2019025"/>
    <s v="Rolling"/>
    <s v="IN302679-38296183"/>
    <s v="NSE"/>
    <n v="9.86"/>
    <n v="1.2"/>
    <n v="0"/>
    <n v="29.72"/>
    <n v="40.783499999999997"/>
  </r>
  <r>
    <d v="2019-02-04T00:00:00"/>
    <x v="36"/>
    <x v="0"/>
    <n v="350"/>
    <n v="115.65"/>
    <n v="40477.5"/>
    <s v="20190204N300030662"/>
    <n v="2019025"/>
    <s v="Rolling"/>
    <s v="IN302679-38296183"/>
    <s v="NSE"/>
    <n v="0"/>
    <n v="1.21"/>
    <n v="0"/>
    <n v="29.72"/>
    <n v="30.9343"/>
  </r>
  <r>
    <d v="2019-02-01T00:00:00"/>
    <x v="3"/>
    <x v="0"/>
    <n v="100"/>
    <n v="163.5"/>
    <n v="16350"/>
    <s v="20190201N300013943"/>
    <n v="2019024"/>
    <s v="Rolling"/>
    <s v="IN302679-38296183"/>
    <s v="NSE"/>
    <n v="0"/>
    <n v="0.49"/>
    <n v="0"/>
    <n v="29.59"/>
    <n v="30.080500000000001"/>
  </r>
  <r>
    <d v="2019-02-01T00:00:00"/>
    <x v="3"/>
    <x v="0"/>
    <n v="150"/>
    <n v="160.5"/>
    <n v="24075"/>
    <s v="20190201N300014141"/>
    <n v="2019024"/>
    <s v="Rolling"/>
    <s v="IN302679-38296183"/>
    <s v="NSE"/>
    <n v="0"/>
    <n v="0.72"/>
    <n v="2.7"/>
    <n v="29.63"/>
    <n v="33.052199999999999"/>
  </r>
  <r>
    <d v="2019-02-01T00:00:00"/>
    <x v="3"/>
    <x v="1"/>
    <n v="250"/>
    <n v="165"/>
    <n v="41250"/>
    <s v="20190201N300014644"/>
    <n v="2019024"/>
    <s v="Rolling"/>
    <s v="IN302679-38296183"/>
    <s v="NSE"/>
    <n v="10"/>
    <n v="1.24"/>
    <n v="0"/>
    <n v="29.72"/>
    <n v="40.957500000000003"/>
  </r>
  <r>
    <d v="2019-01-23T00:00:00"/>
    <x v="16"/>
    <x v="1"/>
    <n v="50"/>
    <n v="417.85"/>
    <n v="20892.5"/>
    <s v="20190123N200000881"/>
    <n v="2019017"/>
    <s v="Rolling"/>
    <s v="IN302679-38296183"/>
    <s v="NSE"/>
    <n v="5.26"/>
    <n v="0.63"/>
    <n v="0"/>
    <n v="29.61"/>
    <n v="35.496699999999997"/>
  </r>
  <r>
    <d v="2019-01-23T00:00:00"/>
    <x v="16"/>
    <x v="1"/>
    <n v="50"/>
    <n v="416.05"/>
    <n v="20802.5"/>
    <s v="20190123N300013434"/>
    <n v="2019017"/>
    <s v="Rolling"/>
    <s v="IN302679-38296183"/>
    <s v="NSE"/>
    <n v="5.26"/>
    <n v="0.62"/>
    <n v="0"/>
    <n v="29.61"/>
    <n v="35.494100000000003"/>
  </r>
  <r>
    <d v="2019-01-23T00:00:00"/>
    <x v="16"/>
    <x v="0"/>
    <n v="700"/>
    <n v="425.5"/>
    <n v="297849"/>
    <s v="20190123N300014711"/>
    <n v="2019017"/>
    <s v="Rolling"/>
    <s v="IN302679-38296183"/>
    <s v="NSE"/>
    <n v="0"/>
    <n v="8.94"/>
    <n v="0"/>
    <n v="177.34"/>
    <n v="186.27549999999999"/>
  </r>
  <r>
    <d v="2019-01-23T00:00:00"/>
    <x v="16"/>
    <x v="1"/>
    <n v="400"/>
    <n v="413.3"/>
    <n v="165318.9"/>
    <s v="20190123N300015665"/>
    <n v="2019017"/>
    <s v="Rolling"/>
    <s v="IN302679-38296183"/>
    <s v="NSE"/>
    <n v="42.46"/>
    <n v="4.96"/>
    <n v="17.7"/>
    <n v="98.43"/>
    <n v="163.54949999999999"/>
  </r>
  <r>
    <d v="2019-01-23T00:00:00"/>
    <x v="16"/>
    <x v="1"/>
    <n v="200"/>
    <n v="419.6"/>
    <n v="83920.05"/>
    <s v="20190123N300017461"/>
    <n v="2019017"/>
    <s v="Rolling"/>
    <s v="IN302679-38296183"/>
    <s v="NSE"/>
    <n v="21.03"/>
    <n v="2.52"/>
    <n v="0"/>
    <n v="49.97"/>
    <n v="73.517700000000005"/>
  </r>
  <r>
    <d v="2019-01-22T00:00:00"/>
    <x v="73"/>
    <x v="1"/>
    <n v="100"/>
    <n v="181.75"/>
    <n v="18175"/>
    <s v="20190122N200000915"/>
    <n v="2019016"/>
    <s v="Rolling"/>
    <s v="IN302679-38296183"/>
    <s v="NSE"/>
    <n v="4.8600000000000003"/>
    <n v="0.55000000000000004"/>
    <n v="2.4"/>
    <n v="29.6"/>
    <n v="37.405299999999997"/>
  </r>
  <r>
    <d v="2019-01-22T00:00:00"/>
    <x v="73"/>
    <x v="0"/>
    <n v="200"/>
    <n v="181"/>
    <n v="36200"/>
    <s v="20190122N300013829"/>
    <n v="2019016"/>
    <s v="Rolling"/>
    <s v="IN302679-38296183"/>
    <s v="NSE"/>
    <n v="0"/>
    <n v="1.0900000000000001"/>
    <n v="0"/>
    <n v="29.7"/>
    <n v="30.786000000000001"/>
  </r>
  <r>
    <d v="2019-01-22T00:00:00"/>
    <x v="73"/>
    <x v="1"/>
    <n v="100"/>
    <n v="186"/>
    <n v="18600"/>
    <s v="20190122N300017649"/>
    <n v="2019016"/>
    <s v="Rolling"/>
    <s v="IN302679-38296183"/>
    <s v="NSE"/>
    <n v="4.5599999999999996"/>
    <n v="0.56000000000000005"/>
    <n v="0"/>
    <n v="29.6"/>
    <n v="34.718000000000004"/>
  </r>
  <r>
    <d v="2019-01-22T00:00:00"/>
    <x v="43"/>
    <x v="0"/>
    <n v="25"/>
    <n v="23.15"/>
    <n v="578.75"/>
    <s v="20190122N300024785"/>
    <n v="2019016"/>
    <s v="Rolling"/>
    <s v="IN302679-38296183"/>
    <s v="NSE"/>
    <n v="0.57999999999999996"/>
    <n v="0.02"/>
    <n v="0"/>
    <n v="17.079999999999998"/>
    <n v="17.677399999999999"/>
  </r>
  <r>
    <d v="2019-01-21T00:00:00"/>
    <x v="74"/>
    <x v="0"/>
    <n v="100"/>
    <n v="338.5"/>
    <n v="33850"/>
    <s v="20190121N200001851"/>
    <n v="2019015"/>
    <s v="Rolling"/>
    <s v="IN302679-38296183"/>
    <s v="NSE"/>
    <n v="0"/>
    <n v="1.02"/>
    <n v="0"/>
    <n v="29.68"/>
    <n v="30.695499999999999"/>
  </r>
  <r>
    <d v="2019-01-21T00:00:00"/>
    <x v="74"/>
    <x v="1"/>
    <n v="100"/>
    <n v="343"/>
    <n v="34300"/>
    <s v="20190121N300016689"/>
    <n v="2019015"/>
    <s v="Rolling"/>
    <s v="IN302679-38296183"/>
    <s v="NSE"/>
    <n v="8.99"/>
    <n v="1.03"/>
    <n v="4.5"/>
    <n v="29.69"/>
    <n v="44.209099999999999"/>
  </r>
  <r>
    <d v="2019-01-21T00:00:00"/>
    <x v="16"/>
    <x v="1"/>
    <n v="100"/>
    <n v="401"/>
    <n v="40100"/>
    <s v="20190121N300017785"/>
    <n v="2019015"/>
    <s v="Rolling"/>
    <s v="IN302679-38296183"/>
    <s v="NSE"/>
    <n v="10.02"/>
    <n v="1.2"/>
    <n v="0"/>
    <n v="29.72"/>
    <n v="40.943100000000001"/>
  </r>
  <r>
    <d v="2019-01-21T00:00:00"/>
    <x v="16"/>
    <x v="0"/>
    <n v="100"/>
    <n v="400.2"/>
    <n v="40020"/>
    <s v="20190121N300018697"/>
    <n v="2019015"/>
    <s v="Rolling"/>
    <s v="IN302679-38296183"/>
    <s v="NSE"/>
    <n v="0"/>
    <n v="1.2"/>
    <n v="0"/>
    <n v="29.72"/>
    <n v="30.9206"/>
  </r>
  <r>
    <d v="2019-01-18T00:00:00"/>
    <x v="15"/>
    <x v="1"/>
    <n v="1000"/>
    <n v="90.65"/>
    <n v="90650"/>
    <s v="20190118N300015524"/>
    <n v="2019014"/>
    <s v="Rolling"/>
    <s v="IN302679-38296183"/>
    <s v="NSE"/>
    <n v="22.71"/>
    <n v="2.72"/>
    <n v="7.2"/>
    <n v="53.98"/>
    <n v="86.609499999999997"/>
  </r>
  <r>
    <d v="2019-01-18T00:00:00"/>
    <x v="43"/>
    <x v="0"/>
    <n v="100"/>
    <n v="22.9"/>
    <n v="2290"/>
    <s v="20190118N300021170"/>
    <n v="2019014"/>
    <s v="Rolling"/>
    <s v="IN302679-38296183"/>
    <s v="NSE"/>
    <n v="2.29"/>
    <n v="7.0000000000000007E-2"/>
    <n v="0"/>
    <n v="41.31"/>
    <n v="43.668700000000001"/>
  </r>
  <r>
    <d v="2019-01-18T00:00:00"/>
    <x v="50"/>
    <x v="1"/>
    <n v="100"/>
    <n v="283.2"/>
    <n v="28320"/>
    <s v="20190118N300025219"/>
    <n v="2019014"/>
    <s v="Rolling"/>
    <s v="IN302679-38296183"/>
    <s v="NSE"/>
    <n v="7"/>
    <n v="0.85"/>
    <n v="0"/>
    <n v="29.65"/>
    <n v="37.499600000000001"/>
  </r>
  <r>
    <d v="2019-01-18T00:00:00"/>
    <x v="50"/>
    <x v="0"/>
    <n v="100"/>
    <n v="277"/>
    <n v="27700"/>
    <s v="20190118N300025371"/>
    <n v="2019014"/>
    <s v="Rolling"/>
    <s v="IN302679-38296183"/>
    <s v="NSE"/>
    <n v="0"/>
    <n v="0.83"/>
    <n v="0"/>
    <n v="29.65"/>
    <n v="30.481000000000002"/>
  </r>
  <r>
    <d v="2019-01-18T00:00:00"/>
    <x v="15"/>
    <x v="0"/>
    <n v="1000"/>
    <n v="89"/>
    <n v="89000"/>
    <s v="20190118N900015190"/>
    <n v="2019014"/>
    <s v="Rolling"/>
    <s v="IN302679-38296183"/>
    <s v="NSE"/>
    <n v="0"/>
    <n v="2.67"/>
    <n v="0"/>
    <n v="52.99"/>
    <n v="55.66"/>
  </r>
  <r>
    <d v="2019-01-17T00:00:00"/>
    <x v="69"/>
    <x v="1"/>
    <n v="100"/>
    <n v="859"/>
    <n v="85900"/>
    <s v="20190117B700001180"/>
    <n v="201819201"/>
    <s v="Rolling"/>
    <s v="IN302679-38296183"/>
    <s v="BSE"/>
    <n v="21.62"/>
    <n v="2.4700000000000002"/>
    <n v="0"/>
    <n v="51.13"/>
    <n v="75.218199999999996"/>
  </r>
  <r>
    <d v="2019-01-17T00:00:00"/>
    <x v="15"/>
    <x v="1"/>
    <n v="1000"/>
    <n v="92.3"/>
    <n v="92300"/>
    <s v="20190117B700001387"/>
    <n v="201819201"/>
    <s v="Rolling"/>
    <s v="IN302679-38296183"/>
    <s v="BSE"/>
    <n v="23.38"/>
    <n v="2.65"/>
    <n v="0"/>
    <n v="54.93"/>
    <n v="80.960599999999999"/>
  </r>
  <r>
    <d v="2019-01-17T00:00:00"/>
    <x v="15"/>
    <x v="0"/>
    <n v="1000"/>
    <n v="91.25"/>
    <n v="91250"/>
    <s v="20190117B700001409"/>
    <n v="201819201"/>
    <s v="Rolling"/>
    <s v="IN302679-38296183"/>
    <s v="BSE"/>
    <n v="0"/>
    <n v="2.64"/>
    <n v="10.8"/>
    <n v="54.32"/>
    <n v="67.7607"/>
  </r>
  <r>
    <d v="2019-01-17T00:00:00"/>
    <x v="69"/>
    <x v="0"/>
    <n v="100"/>
    <n v="870.26"/>
    <n v="87026"/>
    <s v="20190117B700004353"/>
    <n v="201819201"/>
    <s v="Rolling"/>
    <s v="IN302679-38296183"/>
    <s v="BSE"/>
    <n v="0"/>
    <n v="2.58"/>
    <n v="0"/>
    <n v="51.8"/>
    <n v="54.380299999999998"/>
  </r>
  <r>
    <d v="2019-01-17T00:00:00"/>
    <x v="69"/>
    <x v="1"/>
    <n v="50"/>
    <n v="843"/>
    <n v="42150"/>
    <s v="20190117N200000903"/>
    <n v="2019013"/>
    <s v="Rolling"/>
    <s v="IN302679-38296183"/>
    <s v="NSE"/>
    <n v="10.45"/>
    <n v="1.26"/>
    <n v="0"/>
    <n v="29.73"/>
    <n v="41.444499999999998"/>
  </r>
  <r>
    <d v="2019-01-17T00:00:00"/>
    <x v="69"/>
    <x v="0"/>
    <n v="50"/>
    <n v="829"/>
    <n v="41450"/>
    <s v="20190117N200001085"/>
    <n v="2019013"/>
    <s v="Rolling"/>
    <s v="IN302679-38296183"/>
    <s v="NSE"/>
    <n v="0"/>
    <n v="1.24"/>
    <n v="0"/>
    <n v="29.72"/>
    <n v="30.9635"/>
  </r>
  <r>
    <d v="2019-01-17T00:00:00"/>
    <x v="15"/>
    <x v="0"/>
    <n v="500"/>
    <n v="87"/>
    <n v="43500"/>
    <s v="20190117N300021990"/>
    <n v="2019013"/>
    <s v="Rolling"/>
    <s v="IN302679-38296183"/>
    <s v="NSE"/>
    <n v="0"/>
    <n v="1.3"/>
    <n v="0"/>
    <n v="29.74"/>
    <n v="31.044899999999998"/>
  </r>
  <r>
    <d v="2019-01-17T00:00:00"/>
    <x v="15"/>
    <x v="1"/>
    <n v="500"/>
    <n v="88.25"/>
    <n v="44125"/>
    <s v="20190117N300022748"/>
    <n v="2019013"/>
    <s v="Rolling"/>
    <s v="IN302679-38296183"/>
    <s v="NSE"/>
    <n v="10.95"/>
    <n v="1.32"/>
    <n v="0"/>
    <n v="29.74"/>
    <n v="42.013800000000003"/>
  </r>
  <r>
    <d v="2019-01-17T00:00:00"/>
    <x v="43"/>
    <x v="0"/>
    <n v="25"/>
    <n v="23.05"/>
    <n v="576.25"/>
    <s v="20190117N300025476"/>
    <n v="2019013"/>
    <s v="Rolling"/>
    <s v="IN302679-38296183"/>
    <s v="NSE"/>
    <n v="0.6"/>
    <n v="0.02"/>
    <n v="5.4"/>
    <n v="17"/>
    <n v="23.017299999999999"/>
  </r>
  <r>
    <d v="2019-01-09T00:00:00"/>
    <x v="68"/>
    <x v="1"/>
    <n v="200"/>
    <n v="233.35"/>
    <n v="46670"/>
    <s v="20190109B700003420"/>
    <n v="201819195"/>
    <s v="Rolling"/>
    <s v="IN302679-38296183"/>
    <s v="BSE"/>
    <n v="11.88"/>
    <n v="1.35"/>
    <n v="0"/>
    <n v="29.74"/>
    <n v="42.970100000000002"/>
  </r>
  <r>
    <d v="2019-01-09T00:00:00"/>
    <x v="68"/>
    <x v="1"/>
    <n v="100"/>
    <n v="234"/>
    <n v="23400"/>
    <s v="20190109B700003904"/>
    <n v="201819195"/>
    <s v="Rolling"/>
    <s v="IN302679-38296183"/>
    <s v="BSE"/>
    <n v="5.94"/>
    <n v="0.69"/>
    <n v="0"/>
    <n v="29.62"/>
    <n v="36.246899999999997"/>
  </r>
  <r>
    <d v="2019-01-09T00:00:00"/>
    <x v="68"/>
    <x v="1"/>
    <n v="100"/>
    <n v="237.51"/>
    <n v="23751.1"/>
    <s v="20190109B700004166"/>
    <n v="201819195"/>
    <s v="Rolling"/>
    <s v="IN302679-38296183"/>
    <s v="BSE"/>
    <n v="6.17"/>
    <n v="0.72"/>
    <n v="0"/>
    <n v="29.63"/>
    <n v="36.5169"/>
  </r>
  <r>
    <d v="2019-01-09T00:00:00"/>
    <x v="68"/>
    <x v="0"/>
    <n v="400"/>
    <n v="240.8"/>
    <n v="96320"/>
    <s v="20190109B700004178"/>
    <n v="201819195"/>
    <s v="Rolling"/>
    <s v="IN302679-38296183"/>
    <s v="BSE"/>
    <n v="0"/>
    <n v="2.79"/>
    <n v="6"/>
    <n v="57.34"/>
    <n v="66.125100000000003"/>
  </r>
  <r>
    <d v="2019-01-08T00:00:00"/>
    <x v="68"/>
    <x v="0"/>
    <n v="100"/>
    <n v="267.7"/>
    <n v="26770"/>
    <s v="20190108N300019340"/>
    <n v="2019006"/>
    <s v="Rolling"/>
    <s v="IN302679-38296183"/>
    <s v="NSE"/>
    <n v="0"/>
    <n v="0.8"/>
    <n v="0"/>
    <n v="29.64"/>
    <n v="30.443100000000001"/>
  </r>
  <r>
    <d v="2019-01-08T00:00:00"/>
    <x v="68"/>
    <x v="1"/>
    <n v="100"/>
    <n v="253.05"/>
    <n v="25305"/>
    <s v="20190108N300022303"/>
    <n v="2019006"/>
    <s v="Rolling"/>
    <s v="IN302679-38296183"/>
    <s v="NSE"/>
    <n v="7"/>
    <n v="0.76"/>
    <n v="1.8"/>
    <n v="29.64"/>
    <n v="39.199100000000001"/>
  </r>
  <r>
    <d v="2019-01-04T00:00:00"/>
    <x v="50"/>
    <x v="0"/>
    <n v="200"/>
    <n v="241.45"/>
    <n v="48290"/>
    <s v="20190104B100004663"/>
    <n v="201819192"/>
    <s v="Rolling"/>
    <s v="IN302679-38296183"/>
    <s v="BSE"/>
    <n v="0"/>
    <n v="1.4"/>
    <n v="0"/>
    <n v="29.75"/>
    <n v="31.1462"/>
  </r>
  <r>
    <d v="2019-01-04T00:00:00"/>
    <x v="50"/>
    <x v="1"/>
    <n v="200"/>
    <n v="238.5"/>
    <n v="47700"/>
    <s v="20190104B100004697"/>
    <n v="201819192"/>
    <s v="Rolling"/>
    <s v="IN302679-38296183"/>
    <s v="BSE"/>
    <n v="12.14"/>
    <n v="1.38"/>
    <n v="0"/>
    <n v="29.75"/>
    <n v="43.269500000000001"/>
  </r>
  <r>
    <d v="2019-01-04T00:00:00"/>
    <x v="3"/>
    <x v="1"/>
    <n v="100"/>
    <n v="187.86"/>
    <n v="18785.5"/>
    <s v="20190104B700000969"/>
    <n v="201819192"/>
    <s v="Rolling"/>
    <s v="IN302679-38296183"/>
    <s v="BSE"/>
    <n v="4.6100000000000003"/>
    <n v="0.6"/>
    <n v="0"/>
    <n v="29.6"/>
    <n v="34.805300000000003"/>
  </r>
  <r>
    <d v="2019-01-04T00:00:00"/>
    <x v="50"/>
    <x v="1"/>
    <n v="350"/>
    <n v="245"/>
    <n v="85750"/>
    <s v="20190104B700002894"/>
    <n v="201819192"/>
    <s v="Rolling"/>
    <s v="IN302679-38296183"/>
    <s v="BSE"/>
    <n v="21.25"/>
    <n v="2.5"/>
    <n v="0"/>
    <n v="51.05"/>
    <n v="74.803899999999999"/>
  </r>
  <r>
    <d v="2019-01-04T00:00:00"/>
    <x v="50"/>
    <x v="0"/>
    <n v="350"/>
    <n v="244"/>
    <n v="85400"/>
    <s v="20190104B700003913"/>
    <n v="201819192"/>
    <s v="Rolling"/>
    <s v="IN302679-38296183"/>
    <s v="BSE"/>
    <n v="0"/>
    <n v="2.4500000000000002"/>
    <n v="0"/>
    <n v="50.83"/>
    <n v="53.283900000000003"/>
  </r>
  <r>
    <d v="2019-01-04T00:00:00"/>
    <x v="3"/>
    <x v="0"/>
    <n v="100"/>
    <n v="193.4"/>
    <n v="19340"/>
    <s v="20190104B700004480"/>
    <n v="201819192"/>
    <s v="Rolling"/>
    <s v="IN302679-38296183"/>
    <s v="BSE"/>
    <n v="0"/>
    <n v="0.56999999999999995"/>
    <n v="9.3000000000000007"/>
    <n v="29.6"/>
    <n v="39.471200000000003"/>
  </r>
  <r>
    <d v="2019-01-03T00:00:00"/>
    <x v="50"/>
    <x v="1"/>
    <n v="500"/>
    <n v="247.01"/>
    <n v="123507.2"/>
    <s v="20190103B700003944"/>
    <n v="201819191"/>
    <s v="Rolling"/>
    <s v="IN302679-38296183"/>
    <s v="BSE"/>
    <n v="31"/>
    <n v="3.6"/>
    <n v="0"/>
    <n v="73.52"/>
    <n v="108.1198"/>
  </r>
  <r>
    <d v="2019-01-03T00:00:00"/>
    <x v="50"/>
    <x v="0"/>
    <n v="500"/>
    <n v="246.91"/>
    <n v="123453.45"/>
    <s v="20190103B700004120"/>
    <n v="201819191"/>
    <s v="Rolling"/>
    <s v="IN302679-38296183"/>
    <s v="BSE"/>
    <n v="0"/>
    <n v="3.58"/>
    <n v="7.5"/>
    <n v="73.48"/>
    <n v="84.558300000000003"/>
  </r>
  <r>
    <d v="2019-01-03T00:00:00"/>
    <x v="50"/>
    <x v="0"/>
    <n v="100"/>
    <n v="253"/>
    <n v="25300"/>
    <s v="20190103N300020366"/>
    <n v="2019003"/>
    <s v="Rolling"/>
    <s v="IN302679-38296183"/>
    <s v="NSE"/>
    <n v="0"/>
    <n v="0.76"/>
    <n v="0"/>
    <n v="29.64"/>
    <n v="30.399100000000001"/>
  </r>
  <r>
    <d v="2019-01-03T00:00:00"/>
    <x v="50"/>
    <x v="0"/>
    <n v="100"/>
    <n v="250.5"/>
    <n v="25050"/>
    <s v="20190103N300023499"/>
    <n v="2019003"/>
    <s v="Rolling"/>
    <s v="IN302679-38296183"/>
    <s v="NSE"/>
    <n v="0"/>
    <n v="0.75"/>
    <n v="4.5"/>
    <n v="29.64"/>
    <n v="34.891500000000001"/>
  </r>
  <r>
    <d v="2019-01-03T00:00:00"/>
    <x v="50"/>
    <x v="0"/>
    <n v="100"/>
    <n v="248.5"/>
    <n v="24850"/>
    <s v="20190103N300024217"/>
    <n v="2019003"/>
    <s v="Rolling"/>
    <s v="IN302679-38296183"/>
    <s v="NSE"/>
    <n v="0"/>
    <n v="0.75"/>
    <n v="0"/>
    <n v="29.64"/>
    <n v="30.3855"/>
  </r>
  <r>
    <d v="2019-01-03T00:00:00"/>
    <x v="50"/>
    <x v="1"/>
    <n v="300"/>
    <n v="246.65"/>
    <n v="73995"/>
    <s v="20190103N300026385"/>
    <n v="2019003"/>
    <s v="Rolling"/>
    <s v="IN302679-38296183"/>
    <s v="NSE"/>
    <n v="19"/>
    <n v="2.2200000000000002"/>
    <n v="0"/>
    <n v="44.06"/>
    <n v="65.279899999999998"/>
  </r>
  <r>
    <d v="2019-01-02T00:00:00"/>
    <x v="15"/>
    <x v="1"/>
    <n v="1000"/>
    <n v="95.25"/>
    <n v="95250"/>
    <s v="20190102N300014996"/>
    <n v="2019002"/>
    <s v="Rolling"/>
    <s v="IN302679-38296183"/>
    <s v="NSE"/>
    <n v="23.66"/>
    <n v="2.86"/>
    <n v="0"/>
    <n v="56.71"/>
    <n v="83.227500000000006"/>
  </r>
  <r>
    <d v="2019-01-02T00:00:00"/>
    <x v="15"/>
    <x v="0"/>
    <n v="5000"/>
    <n v="94.9"/>
    <n v="474500"/>
    <s v="20190102N300019214"/>
    <n v="2019002"/>
    <s v="Rolling"/>
    <s v="IN302679-38296183"/>
    <s v="NSE"/>
    <n v="0"/>
    <n v="14.24"/>
    <n v="0"/>
    <n v="282.52"/>
    <n v="296.755"/>
  </r>
  <r>
    <d v="2019-01-02T00:00:00"/>
    <x v="15"/>
    <x v="1"/>
    <n v="4000"/>
    <n v="95.05"/>
    <n v="380200"/>
    <s v="20190102N300019622"/>
    <n v="2019002"/>
    <s v="Rolling"/>
    <s v="IN302679-38296183"/>
    <s v="NSE"/>
    <n v="94.62"/>
    <n v="11.41"/>
    <n v="0"/>
    <n v="226.37"/>
    <n v="332.39600000000002"/>
  </r>
  <r>
    <d v="2019-01-02T00:00:00"/>
    <x v="15"/>
    <x v="1"/>
    <n v="5000"/>
    <n v="94.5"/>
    <n v="472500"/>
    <s v="20190102N300021840"/>
    <n v="2019002"/>
    <s v="Rolling"/>
    <s v="IN302679-38296183"/>
    <s v="NSE"/>
    <n v="118.44"/>
    <n v="14.17"/>
    <n v="57"/>
    <n v="281.33"/>
    <n v="470.94470000000001"/>
  </r>
  <r>
    <d v="2019-01-02T00:00:00"/>
    <x v="15"/>
    <x v="0"/>
    <n v="5000"/>
    <n v="94"/>
    <n v="470000"/>
    <s v="20190102N300021873"/>
    <n v="2019002"/>
    <s v="Rolling"/>
    <s v="IN302679-38296183"/>
    <s v="NSE"/>
    <n v="0"/>
    <n v="14.1"/>
    <n v="0"/>
    <n v="279.83999999999997"/>
    <n v="293.94"/>
  </r>
  <r>
    <d v="2019-01-02T00:00:00"/>
    <x v="43"/>
    <x v="0"/>
    <n v="50"/>
    <n v="25.65"/>
    <n v="1282.5"/>
    <s v="20190102N300024636"/>
    <n v="2019002"/>
    <s v="Rolling"/>
    <s v="IN302679-38296183"/>
    <s v="NSE"/>
    <n v="1.28"/>
    <n v="0.04"/>
    <n v="0"/>
    <n v="37.840000000000003"/>
    <n v="39.158499999999997"/>
  </r>
  <r>
    <d v="2018-12-18T00:00:00"/>
    <x v="75"/>
    <x v="1"/>
    <n v="50"/>
    <n v="1220.3"/>
    <n v="61015"/>
    <s v="20181218B100006107"/>
    <n v="201819180"/>
    <s v="Rolling"/>
    <s v="IN302679-38296183"/>
    <s v="BSE"/>
    <n v="15"/>
    <n v="1.76"/>
    <n v="0"/>
    <n v="36.32"/>
    <n v="53.078899999999997"/>
  </r>
  <r>
    <d v="2018-12-18T00:00:00"/>
    <x v="75"/>
    <x v="0"/>
    <n v="50"/>
    <n v="1238"/>
    <n v="61900"/>
    <s v="20181218B700004295"/>
    <n v="201819180"/>
    <s v="Rolling"/>
    <s v="IN302679-38296183"/>
    <s v="BSE"/>
    <n v="0"/>
    <n v="1.78"/>
    <n v="3.9"/>
    <n v="36.840000000000003"/>
    <n v="42.5242"/>
  </r>
  <r>
    <d v="2018-12-14T00:00:00"/>
    <x v="15"/>
    <x v="1"/>
    <n v="500"/>
    <n v="90.5"/>
    <n v="45250"/>
    <s v="20181214N300013799"/>
    <n v="2018236"/>
    <s v="Rolling"/>
    <s v="IN302679-38296183"/>
    <s v="NSE"/>
    <n v="11"/>
    <n v="1.36"/>
    <n v="0"/>
    <n v="29.74"/>
    <n v="42.097499999999997"/>
  </r>
  <r>
    <d v="2018-12-14T00:00:00"/>
    <x v="15"/>
    <x v="0"/>
    <n v="500"/>
    <n v="91.25"/>
    <n v="45625"/>
    <s v="20181214N300026786"/>
    <n v="2018236"/>
    <s v="Rolling"/>
    <s v="IN302679-38296183"/>
    <s v="NSE"/>
    <n v="0"/>
    <n v="1.37"/>
    <n v="3"/>
    <n v="29.75"/>
    <n v="34.118699999999997"/>
  </r>
  <r>
    <d v="2018-12-13T00:00:00"/>
    <x v="15"/>
    <x v="0"/>
    <n v="500"/>
    <n v="90.05"/>
    <n v="45025"/>
    <s v="20181213N300021567"/>
    <n v="2018235"/>
    <s v="Rolling"/>
    <s v="IN302679-38296183"/>
    <s v="NSE"/>
    <n v="0"/>
    <n v="1.35"/>
    <n v="0"/>
    <n v="29.74"/>
    <n v="31.090699999999998"/>
  </r>
  <r>
    <d v="2018-12-13T00:00:00"/>
    <x v="15"/>
    <x v="1"/>
    <n v="500"/>
    <n v="89.35"/>
    <n v="44675"/>
    <s v="20181213N300028555"/>
    <n v="2018235"/>
    <s v="Rolling"/>
    <s v="IN302679-38296183"/>
    <s v="NSE"/>
    <n v="11"/>
    <n v="1.34"/>
    <n v="2.7"/>
    <n v="29.74"/>
    <n v="44.780099999999997"/>
  </r>
  <r>
    <d v="2018-12-12T00:00:00"/>
    <x v="43"/>
    <x v="0"/>
    <n v="50"/>
    <n v="22.2"/>
    <n v="1110"/>
    <s v="20181212B700002092"/>
    <n v="201819176"/>
    <s v="Rolling"/>
    <s v="IN302679-38296183"/>
    <s v="BSE"/>
    <n v="1"/>
    <n v="0.05"/>
    <n v="0.3"/>
    <n v="32.75"/>
    <n v="34.101700000000001"/>
  </r>
  <r>
    <d v="2018-11-29T00:00:00"/>
    <x v="15"/>
    <x v="1"/>
    <n v="1000"/>
    <n v="82.93"/>
    <n v="82930.600000000006"/>
    <s v="20181129N300015940"/>
    <n v="2018225"/>
    <s v="Rolling"/>
    <s v="IN302679-38296183"/>
    <s v="NSE"/>
    <n v="20.87"/>
    <n v="2.4900000000000002"/>
    <n v="10.199999999999999"/>
    <n v="49.38"/>
    <n v="82.937799999999996"/>
  </r>
  <r>
    <d v="2018-11-29T00:00:00"/>
    <x v="15"/>
    <x v="1"/>
    <n v="500"/>
    <n v="83.15"/>
    <n v="41575"/>
    <s v="20181129N300018440"/>
    <n v="2018225"/>
    <s v="Rolling"/>
    <s v="IN302679-38296183"/>
    <s v="NSE"/>
    <n v="10.57"/>
    <n v="1.25"/>
    <n v="0"/>
    <n v="29.72"/>
    <n v="41.537300000000002"/>
  </r>
  <r>
    <d v="2018-11-29T00:00:00"/>
    <x v="15"/>
    <x v="1"/>
    <n v="500"/>
    <n v="85"/>
    <n v="42500"/>
    <s v="20181129N300019893"/>
    <n v="2018225"/>
    <s v="Rolling"/>
    <s v="IN302679-38296183"/>
    <s v="NSE"/>
    <n v="10.57"/>
    <n v="1.28"/>
    <n v="0"/>
    <n v="29.73"/>
    <n v="41.575099999999999"/>
  </r>
  <r>
    <d v="2018-11-29T00:00:00"/>
    <x v="15"/>
    <x v="0"/>
    <n v="2000"/>
    <n v="85.55"/>
    <n v="171100"/>
    <s v="20181129N300030493"/>
    <n v="2018225"/>
    <s v="Rolling"/>
    <s v="IN302679-38296183"/>
    <s v="NSE"/>
    <n v="0"/>
    <n v="5.13"/>
    <n v="0"/>
    <n v="101.87"/>
    <n v="107.0031"/>
  </r>
  <r>
    <d v="2018-11-15T00:00:00"/>
    <x v="28"/>
    <x v="1"/>
    <n v="5000"/>
    <n v="370.7"/>
    <n v="1853500"/>
    <s v="20181115N300027683"/>
    <n v="2018216"/>
    <s v="Rolling"/>
    <s v="IN302679-38296183"/>
    <s v="NSE"/>
    <n v="463.36"/>
    <n v="55.61"/>
    <n v="0"/>
    <n v="1103.58"/>
    <n v="1622.5451"/>
  </r>
  <r>
    <d v="2018-11-15T00:00:00"/>
    <x v="28"/>
    <x v="0"/>
    <n v="5000"/>
    <n v="372.06"/>
    <n v="1860281.85"/>
    <s v="20181115N300027789"/>
    <n v="2018216"/>
    <s v="Rolling"/>
    <s v="IN302679-38296183"/>
    <s v="NSE"/>
    <n v="0"/>
    <n v="55.81"/>
    <n v="223.8"/>
    <n v="1107.6199999999999"/>
    <n v="1387.2285999999999"/>
  </r>
  <r>
    <d v="2018-11-15T00:00:00"/>
    <x v="28"/>
    <x v="0"/>
    <n v="5000"/>
    <n v="371"/>
    <n v="1855000"/>
    <s v="20181115N300027857"/>
    <n v="2018216"/>
    <s v="Rolling"/>
    <s v="IN302679-38296183"/>
    <s v="NSE"/>
    <n v="0"/>
    <n v="55.65"/>
    <n v="0"/>
    <n v="1104.52"/>
    <n v="1160.1701"/>
  </r>
  <r>
    <d v="2018-11-15T00:00:00"/>
    <x v="28"/>
    <x v="1"/>
    <n v="5000"/>
    <n v="369"/>
    <n v="1845000"/>
    <s v="20181115N300030522"/>
    <n v="2018216"/>
    <s v="Rolling"/>
    <s v="IN302679-38296183"/>
    <s v="NSE"/>
    <n v="463.36"/>
    <n v="55.35"/>
    <n v="0"/>
    <n v="1098.55"/>
    <n v="1617.2606000000001"/>
  </r>
  <r>
    <d v="2018-11-15T00:00:00"/>
    <x v="76"/>
    <x v="1"/>
    <n v="5000"/>
    <n v="4.18"/>
    <n v="20900"/>
    <s v="20181115N300030816"/>
    <n v="2018216"/>
    <s v="Rolling"/>
    <s v="IN302679-38296183"/>
    <s v="NSE"/>
    <n v="21.04"/>
    <n v="0.63"/>
    <n v="0"/>
    <n v="295.11"/>
    <n v="316.77699999999999"/>
  </r>
  <r>
    <d v="2018-11-15T00:00:00"/>
    <x v="6"/>
    <x v="1"/>
    <n v="100"/>
    <n v="42.05"/>
    <n v="4205"/>
    <s v="20181115N300030832"/>
    <n v="2018216"/>
    <s v="Rolling"/>
    <s v="IN302679-38296183"/>
    <s v="NSE"/>
    <n v="4.21"/>
    <n v="0.13"/>
    <n v="0"/>
    <n v="41.32"/>
    <n v="45.656100000000002"/>
  </r>
  <r>
    <d v="2018-11-15T00:00:00"/>
    <x v="43"/>
    <x v="1"/>
    <n v="200"/>
    <n v="24.65"/>
    <n v="4930"/>
    <s v="20181115N300030846"/>
    <n v="2018216"/>
    <s v="Rolling"/>
    <s v="IN302679-38296183"/>
    <s v="NSE"/>
    <n v="4.93"/>
    <n v="0.15"/>
    <n v="0"/>
    <n v="41.33"/>
    <n v="46.407899999999998"/>
  </r>
  <r>
    <d v="2018-11-15T00:00:00"/>
    <x v="2"/>
    <x v="1"/>
    <n v="600"/>
    <n v="23.5"/>
    <n v="14100"/>
    <s v="20181115N300030855"/>
    <n v="2018216"/>
    <s v="Rolling"/>
    <s v="IN302679-38296183"/>
    <s v="NSE"/>
    <n v="14.1"/>
    <n v="0.42"/>
    <n v="0"/>
    <n v="91.59"/>
    <n v="106.1131"/>
  </r>
  <r>
    <d v="2018-11-14T00:00:00"/>
    <x v="28"/>
    <x v="0"/>
    <n v="1000"/>
    <n v="362"/>
    <n v="362000"/>
    <s v="20181114N300019753"/>
    <n v="2018215"/>
    <s v="Rolling"/>
    <s v="IN302679-38296183"/>
    <s v="NSE"/>
    <n v="0"/>
    <n v="10.86"/>
    <n v="0"/>
    <n v="215.53"/>
    <n v="226.38980000000001"/>
  </r>
  <r>
    <d v="2018-11-14T00:00:00"/>
    <x v="28"/>
    <x v="1"/>
    <n v="1000"/>
    <n v="366"/>
    <n v="366000"/>
    <s v="20181114N300021375"/>
    <n v="2018215"/>
    <s v="Rolling"/>
    <s v="IN302679-38296183"/>
    <s v="NSE"/>
    <n v="91.42"/>
    <n v="10.98"/>
    <n v="0"/>
    <n v="217.92"/>
    <n v="320.32010000000002"/>
  </r>
  <r>
    <d v="2018-11-14T00:00:00"/>
    <x v="28"/>
    <x v="0"/>
    <n v="1000"/>
    <n v="364.25"/>
    <n v="364250"/>
    <s v="20181114N300023513"/>
    <n v="2018215"/>
    <s v="Rolling"/>
    <s v="IN302679-38296183"/>
    <s v="NSE"/>
    <n v="0"/>
    <n v="10.93"/>
    <n v="0"/>
    <n v="216.87"/>
    <n v="227.79750000000001"/>
  </r>
  <r>
    <d v="2018-11-14T00:00:00"/>
    <x v="28"/>
    <x v="1"/>
    <n v="10000"/>
    <n v="364"/>
    <n v="3640000"/>
    <s v="20181114N300023600"/>
    <n v="2018215"/>
    <s v="Rolling"/>
    <s v="IN302679-38296183"/>
    <s v="NSE"/>
    <n v="914.24"/>
    <n v="109.2"/>
    <n v="0"/>
    <n v="2167.2800000000002"/>
    <n v="3190.7204000000002"/>
  </r>
  <r>
    <d v="2018-11-14T00:00:00"/>
    <x v="28"/>
    <x v="0"/>
    <n v="9000"/>
    <n v="365.4"/>
    <n v="3288587.8"/>
    <s v="20181114N300023843"/>
    <n v="2018215"/>
    <s v="Rolling"/>
    <s v="IN302679-38296183"/>
    <s v="NSE"/>
    <n v="0"/>
    <n v="98.66"/>
    <n v="0"/>
    <n v="1958.07"/>
    <n v="2056.7274000000002"/>
  </r>
  <r>
    <d v="2018-11-14T00:00:00"/>
    <x v="28"/>
    <x v="0"/>
    <n v="8000"/>
    <n v="365.55"/>
    <n v="2924387.25"/>
    <s v="20181114N300024349"/>
    <n v="2018215"/>
    <s v="Rolling"/>
    <s v="IN302679-38296183"/>
    <s v="NSE"/>
    <n v="0"/>
    <n v="87.73"/>
    <n v="0"/>
    <n v="1741.18"/>
    <n v="1828.9117000000001"/>
  </r>
  <r>
    <d v="2018-11-14T00:00:00"/>
    <x v="28"/>
    <x v="1"/>
    <n v="8000"/>
    <n v="368.07"/>
    <n v="2944530.8"/>
    <s v="20181114N300024369"/>
    <n v="2018215"/>
    <s v="Rolling"/>
    <s v="IN302679-38296183"/>
    <s v="NSE"/>
    <n v="731.39"/>
    <n v="88.34"/>
    <n v="0"/>
    <n v="1753.17"/>
    <n v="2572.8960000000002"/>
  </r>
  <r>
    <d v="2018-11-14T00:00:00"/>
    <x v="28"/>
    <x v="0"/>
    <n v="2500"/>
    <n v="366.5"/>
    <n v="916250"/>
    <s v="20181114N300026868"/>
    <n v="2018215"/>
    <s v="Rolling"/>
    <s v="IN302679-38296183"/>
    <s v="NSE"/>
    <n v="0"/>
    <n v="27.49"/>
    <n v="0"/>
    <n v="545.53"/>
    <n v="573.01769999999999"/>
  </r>
  <r>
    <d v="2018-11-14T00:00:00"/>
    <x v="28"/>
    <x v="0"/>
    <n v="2500"/>
    <n v="366"/>
    <n v="915000"/>
    <s v="20181114N300029894"/>
    <n v="2018215"/>
    <s v="Rolling"/>
    <s v="IN302679-38296183"/>
    <s v="NSE"/>
    <n v="0"/>
    <n v="27.45"/>
    <n v="0"/>
    <n v="544.79999999999995"/>
    <n v="572.25"/>
  </r>
  <r>
    <d v="2018-11-14T00:00:00"/>
    <x v="28"/>
    <x v="1"/>
    <n v="5000"/>
    <n v="365.19"/>
    <n v="1825946.75"/>
    <s v="20181114N300030029"/>
    <n v="2018215"/>
    <s v="Rolling"/>
    <s v="IN302679-38296183"/>
    <s v="NSE"/>
    <n v="457.12"/>
    <n v="54.78"/>
    <n v="0"/>
    <n v="1087.18"/>
    <n v="1599.0784000000001"/>
  </r>
  <r>
    <d v="2018-11-14T00:00:00"/>
    <x v="28"/>
    <x v="1"/>
    <n v="8000"/>
    <n v="365.5"/>
    <n v="2924000"/>
    <s v="20181114N300030081"/>
    <n v="2018215"/>
    <s v="Rolling"/>
    <s v="IN302679-38296183"/>
    <s v="NSE"/>
    <n v="731.82"/>
    <n v="87.72"/>
    <n v="702.3"/>
    <n v="1740.95"/>
    <n v="3262.7903999999999"/>
  </r>
  <r>
    <d v="2018-11-14T00:00:00"/>
    <x v="28"/>
    <x v="0"/>
    <n v="8000"/>
    <n v="366.7"/>
    <n v="2933602.75"/>
    <s v="20181114N300032418"/>
    <n v="2018215"/>
    <s v="Rolling"/>
    <s v="IN302679-38296183"/>
    <s v="NSE"/>
    <n v="0"/>
    <n v="88.01"/>
    <n v="0"/>
    <n v="1746.68"/>
    <n v="1834.6880000000001"/>
  </r>
  <r>
    <d v="2018-10-31T00:00:00"/>
    <x v="28"/>
    <x v="1"/>
    <n v="100"/>
    <n v="344"/>
    <n v="34400"/>
    <s v="20181031N300017447"/>
    <n v="2018206"/>
    <s v="Rolling"/>
    <s v="IN302679-38296183"/>
    <s v="NSE"/>
    <n v="8.4499999999999993"/>
    <n v="1.03"/>
    <n v="0"/>
    <n v="29.69"/>
    <n v="39.171999999999997"/>
  </r>
  <r>
    <d v="2018-10-31T00:00:00"/>
    <x v="28"/>
    <x v="1"/>
    <n v="2500"/>
    <n v="349.9"/>
    <n v="874750"/>
    <s v="20181031N300019019"/>
    <n v="2018206"/>
    <s v="Rolling"/>
    <s v="IN302679-38296183"/>
    <s v="NSE"/>
    <n v="220.98"/>
    <n v="26.24"/>
    <n v="0"/>
    <n v="520.83000000000004"/>
    <n v="768.05250000000001"/>
  </r>
  <r>
    <d v="2018-10-31T00:00:00"/>
    <x v="28"/>
    <x v="1"/>
    <n v="1000"/>
    <n v="348"/>
    <n v="348000"/>
    <s v="20181031N300025444"/>
    <n v="2018206"/>
    <s v="Rolling"/>
    <s v="IN302679-38296183"/>
    <s v="NSE"/>
    <n v="88.39"/>
    <n v="10.44"/>
    <n v="0"/>
    <n v="207.2"/>
    <n v="306.02999999999997"/>
  </r>
  <r>
    <d v="2018-10-31T00:00:00"/>
    <x v="28"/>
    <x v="1"/>
    <n v="1000"/>
    <n v="355"/>
    <n v="355000"/>
    <s v="20181031N300029156"/>
    <n v="2018206"/>
    <s v="Rolling"/>
    <s v="IN302679-38296183"/>
    <s v="NSE"/>
    <n v="88.39"/>
    <n v="10.65"/>
    <n v="0"/>
    <n v="211.37"/>
    <n v="310.41000000000003"/>
  </r>
  <r>
    <d v="2018-10-31T00:00:00"/>
    <x v="28"/>
    <x v="1"/>
    <n v="2000"/>
    <n v="356"/>
    <n v="712000"/>
    <s v="20181031N300029471"/>
    <n v="2018206"/>
    <s v="Rolling"/>
    <s v="IN302679-38296183"/>
    <s v="NSE"/>
    <n v="176.78"/>
    <n v="21.36"/>
    <n v="0"/>
    <n v="423.92"/>
    <n v="622.05999999999995"/>
  </r>
  <r>
    <d v="2018-10-31T00:00:00"/>
    <x v="28"/>
    <x v="0"/>
    <n v="6600"/>
    <n v="355"/>
    <n v="2342968.6"/>
    <s v="20181031N300031542"/>
    <n v="2018206"/>
    <s v="Rolling"/>
    <s v="IN302679-38296183"/>
    <s v="NSE"/>
    <n v="0"/>
    <n v="70.290000000000006"/>
    <n v="140.1"/>
    <n v="1395.01"/>
    <n v="1605.4001000000001"/>
  </r>
  <r>
    <d v="2018-10-30T00:00:00"/>
    <x v="28"/>
    <x v="1"/>
    <n v="1000"/>
    <n v="348.5"/>
    <n v="348500"/>
    <s v="20181030N300021038"/>
    <n v="2018205"/>
    <s v="Rolling"/>
    <s v="IN302679-38296183"/>
    <s v="NSE"/>
    <n v="86.94"/>
    <n v="10.46"/>
    <n v="0"/>
    <n v="207.5"/>
    <n v="304.89510000000001"/>
  </r>
  <r>
    <d v="2018-10-30T00:00:00"/>
    <x v="15"/>
    <x v="1"/>
    <n v="10000"/>
    <n v="85.16"/>
    <n v="851577"/>
    <s v="20181030N300021936"/>
    <n v="2018205"/>
    <s v="Rolling"/>
    <s v="IN302679-38296183"/>
    <s v="NSE"/>
    <n v="211.67"/>
    <n v="25.55"/>
    <n v="0"/>
    <n v="507.03"/>
    <n v="744.24710000000005"/>
  </r>
  <r>
    <d v="2018-10-30T00:00:00"/>
    <x v="15"/>
    <x v="0"/>
    <n v="10000"/>
    <n v="85.45"/>
    <n v="854500"/>
    <s v="20181030N300021981"/>
    <n v="2018205"/>
    <s v="Rolling"/>
    <s v="IN302679-38296183"/>
    <s v="NSE"/>
    <n v="0"/>
    <n v="25.64"/>
    <n v="0"/>
    <n v="508.77"/>
    <n v="534.40499999999997"/>
  </r>
  <r>
    <d v="2018-10-30T00:00:00"/>
    <x v="28"/>
    <x v="0"/>
    <n v="1000"/>
    <n v="347"/>
    <n v="347000"/>
    <s v="20181030N300027966"/>
    <n v="2018205"/>
    <s v="Rolling"/>
    <s v="IN302679-38296183"/>
    <s v="NSE"/>
    <n v="0"/>
    <n v="10.41"/>
    <n v="0"/>
    <n v="206.6"/>
    <n v="217.01"/>
  </r>
  <r>
    <d v="2018-10-30T00:00:00"/>
    <x v="15"/>
    <x v="1"/>
    <n v="5000"/>
    <n v="83.5"/>
    <n v="417489.6"/>
    <s v="20181030N300028851"/>
    <n v="2018205"/>
    <s v="Rolling"/>
    <s v="IN302679-38296183"/>
    <s v="NSE"/>
    <n v="105.39"/>
    <n v="12.52"/>
    <n v="97.2"/>
    <n v="248.57"/>
    <n v="463.68490000000003"/>
  </r>
  <r>
    <d v="2018-10-30T00:00:00"/>
    <x v="15"/>
    <x v="0"/>
    <n v="5000"/>
    <n v="83.3"/>
    <n v="416500"/>
    <s v="20181030N300029507"/>
    <n v="2018205"/>
    <s v="Rolling"/>
    <s v="IN302679-38296183"/>
    <s v="NSE"/>
    <n v="0"/>
    <n v="12.49"/>
    <n v="0"/>
    <n v="247.98"/>
    <n v="260.47480000000002"/>
  </r>
  <r>
    <d v="2018-10-29T00:00:00"/>
    <x v="28"/>
    <x v="1"/>
    <n v="100"/>
    <n v="336.05"/>
    <n v="33605"/>
    <s v="20181029N300016513"/>
    <n v="2018204"/>
    <s v="Rolling"/>
    <s v="IN302679-38296183"/>
    <s v="NSE"/>
    <n v="8.84"/>
    <n v="1.01"/>
    <n v="21"/>
    <n v="29.68"/>
    <n v="60.528100000000002"/>
  </r>
  <r>
    <d v="2018-10-29T00:00:00"/>
    <x v="28"/>
    <x v="1"/>
    <n v="200"/>
    <n v="340"/>
    <n v="68000"/>
    <s v="20181029N300016897"/>
    <n v="2018204"/>
    <s v="Rolling"/>
    <s v="IN302679-38296183"/>
    <s v="NSE"/>
    <n v="17.37"/>
    <n v="2.04"/>
    <n v="0"/>
    <n v="40.49"/>
    <n v="59.9"/>
  </r>
  <r>
    <d v="2018-10-29T00:00:00"/>
    <x v="28"/>
    <x v="1"/>
    <n v="200"/>
    <n v="345"/>
    <n v="69000"/>
    <s v="20181029N300017966"/>
    <n v="2018204"/>
    <s v="Rolling"/>
    <s v="IN302679-38296183"/>
    <s v="NSE"/>
    <n v="17.37"/>
    <n v="2.0699999999999998"/>
    <n v="0"/>
    <n v="41.08"/>
    <n v="60.52"/>
  </r>
  <r>
    <d v="2018-10-29T00:00:00"/>
    <x v="28"/>
    <x v="1"/>
    <n v="500"/>
    <n v="349.95"/>
    <n v="174975"/>
    <s v="20181029N300027222"/>
    <n v="2018204"/>
    <s v="Rolling"/>
    <s v="IN302679-38296183"/>
    <s v="NSE"/>
    <n v="43.42"/>
    <n v="5.25"/>
    <n v="0"/>
    <n v="104.18"/>
    <n v="152.8493"/>
  </r>
  <r>
    <d v="2018-10-29T00:00:00"/>
    <x v="28"/>
    <x v="0"/>
    <n v="1000"/>
    <n v="349.15"/>
    <n v="349150"/>
    <s v="20181029N300031272"/>
    <n v="2018204"/>
    <s v="Rolling"/>
    <s v="IN302679-38296183"/>
    <s v="NSE"/>
    <n v="0"/>
    <n v="10.47"/>
    <n v="0"/>
    <n v="207.88"/>
    <n v="218.3544"/>
  </r>
  <r>
    <d v="2018-10-26T00:00:00"/>
    <x v="74"/>
    <x v="1"/>
    <n v="1000"/>
    <n v="320"/>
    <n v="320000"/>
    <s v="20181026N200001037"/>
    <n v="2018203"/>
    <s v="Rolling"/>
    <s v="IN302679-38296183"/>
    <s v="NSE"/>
    <n v="79.75"/>
    <n v="9.6"/>
    <n v="0"/>
    <n v="190.53"/>
    <n v="279.88"/>
  </r>
  <r>
    <d v="2018-10-26T00:00:00"/>
    <x v="74"/>
    <x v="0"/>
    <n v="1000"/>
    <n v="318"/>
    <n v="318000"/>
    <s v="20181026N300013983"/>
    <n v="2018203"/>
    <s v="Rolling"/>
    <s v="IN302679-38296183"/>
    <s v="NSE"/>
    <n v="0"/>
    <n v="9.5399999999999991"/>
    <n v="0"/>
    <n v="189.34"/>
    <n v="198.88"/>
  </r>
  <r>
    <d v="2018-10-26T00:00:00"/>
    <x v="28"/>
    <x v="1"/>
    <n v="2500"/>
    <n v="315"/>
    <n v="787500"/>
    <s v="20181026N300017592"/>
    <n v="2018203"/>
    <s v="Rolling"/>
    <s v="IN302679-38296183"/>
    <s v="NSE"/>
    <n v="197.44"/>
    <n v="23.63"/>
    <n v="0"/>
    <n v="468.88"/>
    <n v="689.94510000000002"/>
  </r>
  <r>
    <d v="2018-10-26T00:00:00"/>
    <x v="28"/>
    <x v="1"/>
    <n v="1000"/>
    <n v="317"/>
    <n v="317000"/>
    <s v="20181026N300029069"/>
    <n v="2018203"/>
    <s v="Rolling"/>
    <s v="IN302679-38296183"/>
    <s v="NSE"/>
    <n v="78.83"/>
    <n v="9.51"/>
    <n v="104.7"/>
    <n v="188.75"/>
    <n v="381.79"/>
  </r>
  <r>
    <d v="2018-10-26T00:00:00"/>
    <x v="28"/>
    <x v="1"/>
    <n v="1000"/>
    <n v="318"/>
    <n v="318000"/>
    <s v="20181026N300029504"/>
    <n v="2018203"/>
    <s v="Rolling"/>
    <s v="IN302679-38296183"/>
    <s v="NSE"/>
    <n v="78.98"/>
    <n v="9.5399999999999991"/>
    <n v="0"/>
    <n v="189.34"/>
    <n v="277.86"/>
  </r>
  <r>
    <d v="2018-10-26T00:00:00"/>
    <x v="28"/>
    <x v="0"/>
    <n v="4500"/>
    <n v="315.7"/>
    <n v="1420650"/>
    <s v="20181026N300030617"/>
    <n v="2018203"/>
    <s v="Rolling"/>
    <s v="IN302679-38296183"/>
    <s v="NSE"/>
    <n v="0"/>
    <n v="42.62"/>
    <n v="0"/>
    <n v="845.85"/>
    <n v="888.46939999999995"/>
  </r>
  <r>
    <d v="2018-10-25T00:00:00"/>
    <x v="15"/>
    <x v="0"/>
    <n v="10000"/>
    <n v="79.900000000000006"/>
    <n v="799000"/>
    <s v="20181025N300014038"/>
    <n v="2018202"/>
    <s v="Rolling"/>
    <s v="IN302679-38296183"/>
    <s v="NSE"/>
    <n v="0"/>
    <n v="23.97"/>
    <n v="124.5"/>
    <n v="475.72"/>
    <n v="624.19039999999995"/>
  </r>
  <r>
    <d v="2018-10-25T00:00:00"/>
    <x v="74"/>
    <x v="1"/>
    <n v="1000"/>
    <n v="313"/>
    <n v="313000"/>
    <s v="20181025N300014311"/>
    <n v="2018202"/>
    <s v="Rolling"/>
    <s v="IN302679-38296183"/>
    <s v="NSE"/>
    <n v="79.290000000000006"/>
    <n v="9.39"/>
    <n v="0"/>
    <n v="186.36"/>
    <n v="275.0401"/>
  </r>
  <r>
    <d v="2018-10-25T00:00:00"/>
    <x v="74"/>
    <x v="1"/>
    <n v="1000"/>
    <n v="312"/>
    <n v="312000"/>
    <s v="20181025N300018359"/>
    <n v="2018202"/>
    <s v="Rolling"/>
    <s v="IN302679-38296183"/>
    <s v="NSE"/>
    <n v="79.290000000000006"/>
    <n v="9.36"/>
    <n v="0"/>
    <n v="185.76"/>
    <n v="274.41000000000003"/>
  </r>
  <r>
    <d v="2018-10-25T00:00:00"/>
    <x v="74"/>
    <x v="1"/>
    <n v="1000"/>
    <n v="315"/>
    <n v="315000"/>
    <s v="20181025N300020004"/>
    <n v="2018202"/>
    <s v="Rolling"/>
    <s v="IN302679-38296183"/>
    <s v="NSE"/>
    <n v="79.290000000000006"/>
    <n v="9.4499999999999993"/>
    <n v="0"/>
    <n v="187.55"/>
    <n v="276.29000000000002"/>
  </r>
  <r>
    <d v="2018-10-25T00:00:00"/>
    <x v="74"/>
    <x v="1"/>
    <n v="1000"/>
    <n v="320"/>
    <n v="320000"/>
    <s v="20181025N300021681"/>
    <n v="2018202"/>
    <s v="Rolling"/>
    <s v="IN302679-38296183"/>
    <s v="NSE"/>
    <n v="79.290000000000006"/>
    <n v="9.6"/>
    <n v="0"/>
    <n v="190.53"/>
    <n v="279.42"/>
  </r>
  <r>
    <d v="2018-10-25T00:00:00"/>
    <x v="74"/>
    <x v="0"/>
    <n v="4000"/>
    <n v="319.33"/>
    <n v="1277331.3"/>
    <s v="20181025N300029331"/>
    <n v="2018202"/>
    <s v="Rolling"/>
    <s v="IN302679-38296183"/>
    <s v="NSE"/>
    <n v="0"/>
    <n v="38.32"/>
    <n v="0"/>
    <n v="760.52"/>
    <n v="798.84"/>
  </r>
  <r>
    <d v="2018-10-25T00:00:00"/>
    <x v="15"/>
    <x v="1"/>
    <n v="10000"/>
    <n v="81"/>
    <n v="810000"/>
    <s v="20181025N900014953"/>
    <n v="2018202"/>
    <s v="Rolling"/>
    <s v="IN302679-38296183"/>
    <s v="NSE"/>
    <n v="200.83"/>
    <n v="24.3"/>
    <n v="0"/>
    <n v="482.27"/>
    <n v="707.4"/>
  </r>
  <r>
    <d v="2018-10-17T00:00:00"/>
    <x v="15"/>
    <x v="1"/>
    <n v="10000"/>
    <n v="80.75"/>
    <n v="807500"/>
    <s v="20181017N300024205"/>
    <n v="2018197"/>
    <s v="Rolling"/>
    <s v="IN302679-38296183"/>
    <s v="NSE"/>
    <n v="199.3"/>
    <n v="24.23"/>
    <n v="0"/>
    <n v="480.77"/>
    <n v="704.29520000000002"/>
  </r>
  <r>
    <d v="2018-10-17T00:00:00"/>
    <x v="15"/>
    <x v="0"/>
    <n v="10000"/>
    <n v="80.599999999999994"/>
    <n v="806000"/>
    <s v="20181017N300025147"/>
    <n v="2018197"/>
    <s v="Rolling"/>
    <s v="IN302679-38296183"/>
    <s v="NSE"/>
    <n v="0"/>
    <n v="24.18"/>
    <n v="97.2"/>
    <n v="479.9"/>
    <n v="601.28009999999995"/>
  </r>
  <r>
    <d v="2018-10-17T00:00:00"/>
    <x v="15"/>
    <x v="1"/>
    <n v="10000"/>
    <n v="78.5"/>
    <n v="785000"/>
    <s v="20181017N300030641"/>
    <n v="2018197"/>
    <s v="Rolling"/>
    <s v="IN302679-38296183"/>
    <s v="NSE"/>
    <n v="199.3"/>
    <n v="23.55"/>
    <n v="0"/>
    <n v="467.38"/>
    <n v="690.23"/>
  </r>
  <r>
    <d v="2018-10-17T00:00:00"/>
    <x v="15"/>
    <x v="0"/>
    <n v="10000"/>
    <n v="79.03"/>
    <n v="790276.25"/>
    <s v="20181017N300031004"/>
    <n v="2018197"/>
    <s v="Rolling"/>
    <s v="IN302679-38296183"/>
    <s v="NSE"/>
    <n v="0"/>
    <n v="23.71"/>
    <n v="0"/>
    <n v="470.52"/>
    <n v="494.2285"/>
  </r>
  <r>
    <d v="2018-10-17T00:00:00"/>
    <x v="77"/>
    <x v="1"/>
    <n v="10"/>
    <n v="285.55"/>
    <n v="2855.5"/>
    <s v="20181017N300031217"/>
    <n v="2018197"/>
    <s v="Rolling"/>
    <s v="IN302679-38296183"/>
    <s v="NSE"/>
    <n v="2.86"/>
    <n v="0.09"/>
    <n v="0"/>
    <n v="41.32"/>
    <n v="44.265700000000002"/>
  </r>
  <r>
    <d v="2018-10-17T00:00:00"/>
    <x v="70"/>
    <x v="1"/>
    <n v="57"/>
    <n v="252.6"/>
    <n v="14398.25"/>
    <s v="20181017N300031249"/>
    <n v="2018197"/>
    <s v="Rolling"/>
    <s v="IN302679-38296183"/>
    <s v="NSE"/>
    <n v="14.4"/>
    <n v="0.43"/>
    <n v="0"/>
    <n v="93.52"/>
    <n v="108.3519"/>
  </r>
  <r>
    <d v="2018-10-17T00:00:00"/>
    <x v="78"/>
    <x v="1"/>
    <n v="250"/>
    <n v="77.06"/>
    <n v="19264.150000000001"/>
    <s v="20181017N300031265"/>
    <n v="2018197"/>
    <s v="Rolling"/>
    <s v="IN302679-38296183"/>
    <s v="NSE"/>
    <n v="19.260000000000002"/>
    <n v="0.57999999999999996"/>
    <n v="0"/>
    <n v="125.13"/>
    <n v="144.96789999999999"/>
  </r>
  <r>
    <d v="2018-10-17T00:00:00"/>
    <x v="79"/>
    <x v="1"/>
    <n v="10"/>
    <n v="96.3"/>
    <n v="963"/>
    <s v="20181017N300031302"/>
    <n v="2018197"/>
    <s v="Rolling"/>
    <s v="IN302679-38296183"/>
    <s v="NSE"/>
    <n v="0.96"/>
    <n v="0.03"/>
    <n v="0"/>
    <n v="28.41"/>
    <n v="29.399000000000001"/>
  </r>
  <r>
    <d v="2018-10-17T00:00:00"/>
    <x v="41"/>
    <x v="1"/>
    <n v="25"/>
    <n v="206.18"/>
    <n v="5154.45"/>
    <s v="20181017N300031316"/>
    <n v="2018197"/>
    <s v="Rolling"/>
    <s v="IN302679-38296183"/>
    <s v="NSE"/>
    <n v="4.92"/>
    <n v="0.15"/>
    <n v="0"/>
    <n v="41.33"/>
    <n v="46.404699999999998"/>
  </r>
  <r>
    <d v="2018-10-16T00:00:00"/>
    <x v="15"/>
    <x v="1"/>
    <n v="1000"/>
    <n v="77.5"/>
    <n v="77500"/>
    <s v="20181016N300015547"/>
    <n v="2018196"/>
    <s v="Rolling"/>
    <s v="IN302679-38296183"/>
    <s v="NSE"/>
    <n v="20.23"/>
    <n v="2.33"/>
    <n v="0"/>
    <n v="46.14"/>
    <n v="68.695099999999996"/>
  </r>
  <r>
    <d v="2018-10-16T00:00:00"/>
    <x v="80"/>
    <x v="1"/>
    <n v="1000"/>
    <n v="39.6"/>
    <n v="39600"/>
    <s v="20181016N300017496"/>
    <n v="2018196"/>
    <s v="Rolling"/>
    <s v="IN302679-38296183"/>
    <s v="NSE"/>
    <n v="9.49"/>
    <n v="1.19"/>
    <n v="0"/>
    <n v="29.71"/>
    <n v="40.387999999999998"/>
  </r>
  <r>
    <d v="2018-10-16T00:00:00"/>
    <x v="15"/>
    <x v="1"/>
    <n v="5000"/>
    <n v="79.75"/>
    <n v="398750"/>
    <s v="20181016N300024558"/>
    <n v="2018196"/>
    <s v="Rolling"/>
    <s v="IN302679-38296183"/>
    <s v="NSE"/>
    <n v="101.14"/>
    <n v="11.96"/>
    <n v="0"/>
    <n v="237.41"/>
    <n v="350.51240000000001"/>
  </r>
  <r>
    <d v="2018-10-16T00:00:00"/>
    <x v="80"/>
    <x v="0"/>
    <n v="1000"/>
    <n v="39.299999999999997"/>
    <n v="39300"/>
    <s v="20181016N300025225"/>
    <n v="2018196"/>
    <s v="Rolling"/>
    <s v="IN302679-38296183"/>
    <s v="NSE"/>
    <n v="0"/>
    <n v="1.18"/>
    <n v="0"/>
    <n v="29.71"/>
    <n v="30.889099999999999"/>
  </r>
  <r>
    <d v="2018-10-16T00:00:00"/>
    <x v="15"/>
    <x v="1"/>
    <n v="2500"/>
    <n v="80.150000000000006"/>
    <n v="200375"/>
    <s v="20181016N300026100"/>
    <n v="2018196"/>
    <s v="Rolling"/>
    <s v="IN302679-38296183"/>
    <s v="NSE"/>
    <n v="50.57"/>
    <n v="6.01"/>
    <n v="0"/>
    <n v="119.3"/>
    <n v="175.88140000000001"/>
  </r>
  <r>
    <d v="2018-10-16T00:00:00"/>
    <x v="15"/>
    <x v="1"/>
    <n v="2500"/>
    <n v="81.5"/>
    <n v="203750"/>
    <s v="20181016N300026584"/>
    <n v="2018196"/>
    <s v="Rolling"/>
    <s v="IN302679-38296183"/>
    <s v="NSE"/>
    <n v="50.57"/>
    <n v="6.11"/>
    <n v="0"/>
    <n v="121.32"/>
    <n v="178.0025"/>
  </r>
  <r>
    <d v="2018-10-16T00:00:00"/>
    <x v="15"/>
    <x v="0"/>
    <n v="11000"/>
    <n v="81.790000000000006"/>
    <n v="899667.25"/>
    <s v="20181016N300030350"/>
    <n v="2018196"/>
    <s v="Rolling"/>
    <s v="IN302679-38296183"/>
    <s v="NSE"/>
    <n v="0"/>
    <n v="26.99"/>
    <n v="55.8"/>
    <n v="535.69000000000005"/>
    <n v="618.48050000000001"/>
  </r>
  <r>
    <d v="2018-10-15T00:00:00"/>
    <x v="4"/>
    <x v="1"/>
    <n v="2000"/>
    <n v="246"/>
    <n v="492000"/>
    <s v="20181015N300029943"/>
    <n v="2018195"/>
    <s v="Rolling"/>
    <s v="IN302679-38296183"/>
    <s v="NSE"/>
    <n v="123"/>
    <n v="14.76"/>
    <n v="0"/>
    <n v="292.93"/>
    <n v="430.69"/>
  </r>
  <r>
    <d v="2018-10-15T00:00:00"/>
    <x v="4"/>
    <x v="0"/>
    <n v="2000"/>
    <n v="246.23"/>
    <n v="492465.65"/>
    <s v="20181015N300030664"/>
    <n v="2018195"/>
    <s v="Rolling"/>
    <s v="IN302679-38296183"/>
    <s v="NSE"/>
    <n v="0"/>
    <n v="14.77"/>
    <n v="29.7"/>
    <n v="293.2"/>
    <n v="337.67399999999998"/>
  </r>
  <r>
    <d v="2018-10-12T00:00:00"/>
    <x v="81"/>
    <x v="0"/>
    <n v="100"/>
    <n v="480.89"/>
    <n v="48088.85"/>
    <s v="20181012N300016812"/>
    <n v="2018194"/>
    <s v="Rolling"/>
    <s v="IN302679-38296183"/>
    <s v="NSE"/>
    <n v="0"/>
    <n v="1.44"/>
    <n v="0"/>
    <n v="29.81"/>
    <n v="31.252199999999998"/>
  </r>
  <r>
    <d v="2018-10-12T00:00:00"/>
    <x v="81"/>
    <x v="1"/>
    <n v="1000"/>
    <n v="479"/>
    <n v="479000"/>
    <s v="20181012N300018585"/>
    <n v="2018194"/>
    <s v="Rolling"/>
    <s v="IN302679-38296183"/>
    <s v="NSE"/>
    <n v="119.06"/>
    <n v="14.37"/>
    <n v="0"/>
    <n v="286.44"/>
    <n v="419.87020000000001"/>
  </r>
  <r>
    <d v="2018-10-12T00:00:00"/>
    <x v="81"/>
    <x v="0"/>
    <n v="900"/>
    <n v="480.99"/>
    <n v="432892.3"/>
    <s v="20181012N300018901"/>
    <n v="2018194"/>
    <s v="Rolling"/>
    <s v="IN302679-38296183"/>
    <s v="NSE"/>
    <n v="0"/>
    <n v="12.99"/>
    <n v="0"/>
    <n v="257.74"/>
    <n v="270.72669999999999"/>
  </r>
  <r>
    <d v="2018-10-12T00:00:00"/>
    <x v="81"/>
    <x v="1"/>
    <n v="1000"/>
    <n v="475"/>
    <n v="475000"/>
    <s v="20181012N300022697"/>
    <n v="2018194"/>
    <s v="Rolling"/>
    <s v="IN302679-38296183"/>
    <s v="NSE"/>
    <n v="118.94"/>
    <n v="14.25"/>
    <n v="57.3"/>
    <n v="282.81"/>
    <n v="473.30029999999999"/>
  </r>
  <r>
    <d v="2018-10-12T00:00:00"/>
    <x v="81"/>
    <x v="0"/>
    <n v="1000"/>
    <n v="470"/>
    <n v="470000"/>
    <s v="20181012N300028606"/>
    <n v="2018194"/>
    <s v="Rolling"/>
    <s v="IN302679-38296183"/>
    <s v="NSE"/>
    <n v="0"/>
    <n v="14.1"/>
    <n v="0"/>
    <n v="279.83999999999997"/>
    <n v="293.94"/>
  </r>
  <r>
    <d v="2018-10-11T00:00:00"/>
    <x v="1"/>
    <x v="1"/>
    <n v="500"/>
    <n v="457.15"/>
    <n v="228575.6"/>
    <s v="20181011N300017231"/>
    <n v="2018193"/>
    <s v="Rolling"/>
    <s v="IN302679-38296183"/>
    <s v="NSE"/>
    <n v="57.5"/>
    <n v="6.86"/>
    <n v="0"/>
    <n v="136.09"/>
    <n v="200.44739999999999"/>
  </r>
  <r>
    <d v="2018-10-11T00:00:00"/>
    <x v="1"/>
    <x v="1"/>
    <n v="500"/>
    <n v="465"/>
    <n v="232500"/>
    <s v="20181011N300029951"/>
    <n v="2018193"/>
    <s v="Rolling"/>
    <s v="IN302679-38296183"/>
    <s v="NSE"/>
    <n v="57.5"/>
    <n v="6.98"/>
    <n v="0"/>
    <n v="138.43"/>
    <n v="202.9051"/>
  </r>
  <r>
    <d v="2018-10-11T00:00:00"/>
    <x v="1"/>
    <x v="0"/>
    <n v="1000"/>
    <n v="459"/>
    <n v="459000"/>
    <s v="20181011N300035265"/>
    <n v="2018193"/>
    <s v="Rolling"/>
    <s v="IN302679-38296183"/>
    <s v="NSE"/>
    <n v="0"/>
    <n v="13.77"/>
    <n v="27.9"/>
    <n v="273.29000000000002"/>
    <n v="314.95999999999998"/>
  </r>
  <r>
    <d v="2018-10-09T00:00:00"/>
    <x v="5"/>
    <x v="0"/>
    <n v="100"/>
    <n v="599"/>
    <n v="59900"/>
    <s v="20181009N300018488"/>
    <n v="2018191"/>
    <s v="Rolling"/>
    <s v="IN302679-38296183"/>
    <s v="NSE"/>
    <n v="0"/>
    <n v="1.8"/>
    <n v="0"/>
    <n v="35.67"/>
    <n v="37.466900000000003"/>
  </r>
  <r>
    <d v="2018-10-09T00:00:00"/>
    <x v="5"/>
    <x v="1"/>
    <n v="200"/>
    <n v="583.17999999999995"/>
    <n v="116635.25"/>
    <s v="20181009N300023084"/>
    <n v="2018191"/>
    <s v="Rolling"/>
    <s v="IN302679-38296183"/>
    <s v="NSE"/>
    <n v="29.53"/>
    <n v="3.5"/>
    <n v="42.3"/>
    <n v="69.459999999999994"/>
    <n v="144.78899999999999"/>
  </r>
  <r>
    <d v="2018-10-09T00:00:00"/>
    <x v="5"/>
    <x v="1"/>
    <n v="500"/>
    <n v="583"/>
    <n v="291500"/>
    <s v="20181009N300023456"/>
    <n v="2018191"/>
    <s v="Rolling"/>
    <s v="IN302679-38296183"/>
    <s v="NSE"/>
    <n v="73.2"/>
    <n v="8.75"/>
    <n v="0"/>
    <n v="173.56"/>
    <n v="255.505"/>
  </r>
  <r>
    <d v="2018-10-09T00:00:00"/>
    <x v="5"/>
    <x v="1"/>
    <n v="100"/>
    <n v="587"/>
    <n v="58700"/>
    <s v="20181009N300023671"/>
    <n v="2018191"/>
    <s v="Rolling"/>
    <s v="IN302679-38296183"/>
    <s v="NSE"/>
    <n v="14.64"/>
    <n v="1.76"/>
    <n v="0"/>
    <n v="34.96"/>
    <n v="51.360900000000001"/>
  </r>
  <r>
    <d v="2018-10-09T00:00:00"/>
    <x v="5"/>
    <x v="0"/>
    <n v="100"/>
    <n v="582.85"/>
    <n v="58285"/>
    <s v="20181009N300025189"/>
    <n v="2018191"/>
    <s v="Rolling"/>
    <s v="IN302679-38296183"/>
    <s v="NSE"/>
    <n v="0"/>
    <n v="1.75"/>
    <n v="0"/>
    <n v="34.700000000000003"/>
    <n v="36.448500000000003"/>
  </r>
  <r>
    <d v="2018-10-09T00:00:00"/>
    <x v="5"/>
    <x v="0"/>
    <n v="500"/>
    <n v="583.91"/>
    <n v="291954.84999999998"/>
    <s v="20181009N300027588"/>
    <n v="2018191"/>
    <s v="Rolling"/>
    <s v="IN302679-38296183"/>
    <s v="NSE"/>
    <n v="0"/>
    <n v="8.76"/>
    <n v="0"/>
    <n v="173.83"/>
    <n v="182.58879999999999"/>
  </r>
  <r>
    <d v="2018-10-09T00:00:00"/>
    <x v="44"/>
    <x v="1"/>
    <n v="1000"/>
    <n v="236.54"/>
    <n v="236539.65"/>
    <s v="20181009N300033613"/>
    <n v="2018191"/>
    <s v="Rolling"/>
    <s v="IN302679-38296183"/>
    <s v="NSE"/>
    <n v="58.63"/>
    <n v="7.1"/>
    <n v="0"/>
    <n v="140.84"/>
    <n v="206.56630000000001"/>
  </r>
  <r>
    <d v="2018-10-09T00:00:00"/>
    <x v="44"/>
    <x v="0"/>
    <n v="1000"/>
    <n v="232.53"/>
    <n v="232525.45"/>
    <s v="20181009N300034584"/>
    <n v="2018191"/>
    <s v="Rolling"/>
    <s v="IN302679-38296183"/>
    <s v="NSE"/>
    <n v="0"/>
    <n v="6.98"/>
    <n v="0"/>
    <n v="138.44999999999999"/>
    <n v="145.4256"/>
  </r>
  <r>
    <d v="2018-10-09T00:00:00"/>
    <x v="5"/>
    <x v="0"/>
    <n v="100"/>
    <n v="600"/>
    <n v="60000"/>
    <s v="20181009N900015183"/>
    <n v="2018191"/>
    <s v="Rolling"/>
    <s v="IN302679-38296183"/>
    <s v="NSE"/>
    <n v="0"/>
    <n v="1.8"/>
    <n v="0"/>
    <n v="35.72"/>
    <n v="37.520000000000003"/>
  </r>
  <r>
    <d v="2018-10-08T00:00:00"/>
    <x v="41"/>
    <x v="1"/>
    <n v="100"/>
    <n v="171.8"/>
    <n v="17180"/>
    <s v="20181008N300028308"/>
    <n v="2018190"/>
    <s v="Rolling"/>
    <s v="IN302679-38296183"/>
    <s v="NSE"/>
    <n v="4.45"/>
    <n v="0.52"/>
    <n v="0"/>
    <n v="29.59"/>
    <n v="34.555399999999999"/>
  </r>
  <r>
    <d v="2018-10-08T00:00:00"/>
    <x v="41"/>
    <x v="1"/>
    <n v="500"/>
    <n v="175"/>
    <n v="87500"/>
    <s v="20181008N300034363"/>
    <n v="2018190"/>
    <s v="Rolling"/>
    <s v="IN302679-38296183"/>
    <s v="NSE"/>
    <n v="22.25"/>
    <n v="2.63"/>
    <n v="0"/>
    <n v="52.1"/>
    <n v="76.975099999999998"/>
  </r>
  <r>
    <d v="2018-10-08T00:00:00"/>
    <x v="15"/>
    <x v="1"/>
    <n v="2500"/>
    <n v="69.900000000000006"/>
    <n v="174750"/>
    <s v="20181008N300034501"/>
    <n v="2018190"/>
    <s v="Rolling"/>
    <s v="IN302679-38296183"/>
    <s v="NSE"/>
    <n v="44.06"/>
    <n v="5.24"/>
    <n v="0"/>
    <n v="104.05"/>
    <n v="153.35249999999999"/>
  </r>
  <r>
    <d v="2018-10-08T00:00:00"/>
    <x v="41"/>
    <x v="1"/>
    <n v="500"/>
    <n v="180"/>
    <n v="90000"/>
    <s v="20181008N300036651"/>
    <n v="2018190"/>
    <s v="Rolling"/>
    <s v="IN302679-38296183"/>
    <s v="NSE"/>
    <n v="22.25"/>
    <n v="2.7"/>
    <n v="0"/>
    <n v="53.59"/>
    <n v="78.540000000000006"/>
  </r>
  <r>
    <d v="2018-10-08T00:00:00"/>
    <x v="41"/>
    <x v="0"/>
    <n v="1100"/>
    <n v="178.95"/>
    <n v="196845"/>
    <s v="20181008N300038855"/>
    <n v="2018190"/>
    <s v="Rolling"/>
    <s v="IN302679-38296183"/>
    <s v="NSE"/>
    <n v="0"/>
    <n v="5.91"/>
    <n v="0"/>
    <n v="117.2"/>
    <n v="123.1054"/>
  </r>
  <r>
    <d v="2018-10-08T00:00:00"/>
    <x v="15"/>
    <x v="0"/>
    <n v="2500"/>
    <n v="70.3"/>
    <n v="175750"/>
    <s v="20181008N300038859"/>
    <n v="2018190"/>
    <s v="Rolling"/>
    <s v="IN302679-38296183"/>
    <s v="NSE"/>
    <n v="0"/>
    <n v="5.27"/>
    <n v="22.5"/>
    <n v="104.64"/>
    <n v="132.41249999999999"/>
  </r>
  <r>
    <d v="2018-10-05T00:00:00"/>
    <x v="15"/>
    <x v="1"/>
    <n v="2500"/>
    <n v="68.400000000000006"/>
    <n v="171000"/>
    <s v="20181005N300023049"/>
    <n v="2018189"/>
    <s v="Rolling"/>
    <s v="IN302679-38296183"/>
    <s v="NSE"/>
    <n v="42.91"/>
    <n v="5.13"/>
    <n v="0"/>
    <n v="101.82"/>
    <n v="149.86000000000001"/>
  </r>
  <r>
    <d v="2018-10-05T00:00:00"/>
    <x v="5"/>
    <x v="1"/>
    <n v="250"/>
    <n v="615"/>
    <n v="153750"/>
    <s v="20181005N300028868"/>
    <n v="2018189"/>
    <s v="Rolling"/>
    <s v="IN302679-38296183"/>
    <s v="NSE"/>
    <n v="38.17"/>
    <n v="4.6100000000000003"/>
    <n v="30"/>
    <n v="91.55"/>
    <n v="164.33260000000001"/>
  </r>
  <r>
    <d v="2018-10-05T00:00:00"/>
    <x v="15"/>
    <x v="1"/>
    <n v="2500"/>
    <n v="69.25"/>
    <n v="173125"/>
    <s v="20181005N300029135"/>
    <n v="2018189"/>
    <s v="Rolling"/>
    <s v="IN302679-38296183"/>
    <s v="NSE"/>
    <n v="42.91"/>
    <n v="5.19"/>
    <n v="0"/>
    <n v="103.08"/>
    <n v="151.18369999999999"/>
  </r>
  <r>
    <d v="2018-10-05T00:00:00"/>
    <x v="5"/>
    <x v="0"/>
    <n v="250"/>
    <n v="619.41999999999996"/>
    <n v="154856.20000000001"/>
    <s v="20181005N300029711"/>
    <n v="2018189"/>
    <s v="Rolling"/>
    <s v="IN302679-38296183"/>
    <s v="NSE"/>
    <n v="0"/>
    <n v="4.6500000000000004"/>
    <n v="0"/>
    <n v="92.2"/>
    <n v="96.845799999999997"/>
  </r>
  <r>
    <d v="2018-10-05T00:00:00"/>
    <x v="15"/>
    <x v="0"/>
    <n v="5000"/>
    <n v="68.5"/>
    <n v="342500"/>
    <s v="20181005N300034793"/>
    <n v="2018189"/>
    <s v="Rolling"/>
    <s v="IN302679-38296183"/>
    <s v="NSE"/>
    <n v="0"/>
    <n v="10.28"/>
    <n v="0"/>
    <n v="203.92"/>
    <n v="214.1951"/>
  </r>
  <r>
    <d v="2018-10-04T00:00:00"/>
    <x v="15"/>
    <x v="1"/>
    <n v="500"/>
    <n v="68.2"/>
    <n v="34100"/>
    <s v="20181004N200001135"/>
    <n v="2018188"/>
    <s v="Rolling"/>
    <s v="IN302679-38296183"/>
    <s v="NSE"/>
    <n v="8.51"/>
    <n v="1.02"/>
    <n v="0"/>
    <n v="29.68"/>
    <n v="39.213099999999997"/>
  </r>
  <r>
    <d v="2018-10-04T00:00:00"/>
    <x v="19"/>
    <x v="1"/>
    <n v="1100"/>
    <n v="104.5"/>
    <n v="114950"/>
    <s v="20181004N300028247"/>
    <n v="2018188"/>
    <s v="Rolling"/>
    <s v="IN302679-38296183"/>
    <s v="NSE"/>
    <n v="28.64"/>
    <n v="3.45"/>
    <n v="0"/>
    <n v="68.45"/>
    <n v="100.5384"/>
  </r>
  <r>
    <d v="2018-10-04T00:00:00"/>
    <x v="19"/>
    <x v="0"/>
    <n v="1100"/>
    <n v="103.8"/>
    <n v="114180"/>
    <s v="20181004N300028852"/>
    <n v="2018188"/>
    <s v="Rolling"/>
    <s v="IN302679-38296183"/>
    <s v="NSE"/>
    <n v="0"/>
    <n v="3.43"/>
    <n v="0"/>
    <n v="67.98"/>
    <n v="71.4054"/>
  </r>
  <r>
    <d v="2018-10-04T00:00:00"/>
    <x v="28"/>
    <x v="1"/>
    <n v="100"/>
    <n v="316.5"/>
    <n v="31650"/>
    <s v="20181004N300033166"/>
    <n v="2018188"/>
    <s v="Rolling"/>
    <s v="IN302679-38296183"/>
    <s v="NSE"/>
    <n v="7.89"/>
    <n v="0.95"/>
    <n v="0"/>
    <n v="29.67"/>
    <n v="38.509500000000003"/>
  </r>
  <r>
    <d v="2018-10-04T00:00:00"/>
    <x v="28"/>
    <x v="1"/>
    <n v="1000"/>
    <n v="312.7"/>
    <n v="312700"/>
    <s v="20181004N300033391"/>
    <n v="2018188"/>
    <s v="Rolling"/>
    <s v="IN302679-38296183"/>
    <s v="NSE"/>
    <n v="79.099999999999994"/>
    <n v="9.3800000000000008"/>
    <n v="48.9"/>
    <n v="186.18"/>
    <n v="323.56099999999998"/>
  </r>
  <r>
    <d v="2018-10-04T00:00:00"/>
    <x v="15"/>
    <x v="0"/>
    <n v="500"/>
    <n v="68"/>
    <n v="34000"/>
    <s v="20181004N300033486"/>
    <n v="2018188"/>
    <s v="Rolling"/>
    <s v="IN302679-38296183"/>
    <s v="NSE"/>
    <n v="0"/>
    <n v="1.02"/>
    <n v="0"/>
    <n v="29.68"/>
    <n v="30.7"/>
  </r>
  <r>
    <d v="2018-10-04T00:00:00"/>
    <x v="28"/>
    <x v="1"/>
    <n v="1000"/>
    <n v="319.01"/>
    <n v="319014.65000000002"/>
    <s v="20181004N300033943"/>
    <n v="2018188"/>
    <s v="Rolling"/>
    <s v="IN302679-38296183"/>
    <s v="NSE"/>
    <n v="78.86"/>
    <n v="9.57"/>
    <n v="0"/>
    <n v="189.95"/>
    <n v="278.38049999999998"/>
  </r>
  <r>
    <d v="2018-10-04T00:00:00"/>
    <x v="28"/>
    <x v="0"/>
    <n v="2100"/>
    <n v="315"/>
    <n v="661500"/>
    <s v="20181004N300034942"/>
    <n v="2018188"/>
    <s v="Rolling"/>
    <s v="IN302679-38296183"/>
    <s v="NSE"/>
    <n v="0"/>
    <n v="19.850000000000001"/>
    <n v="0"/>
    <n v="393.86"/>
    <n v="413.70510000000002"/>
  </r>
  <r>
    <d v="2018-10-03T00:00:00"/>
    <x v="44"/>
    <x v="1"/>
    <n v="500"/>
    <n v="255"/>
    <n v="127502.39999999999"/>
    <s v="20181003N200001206"/>
    <n v="2018187"/>
    <s v="Rolling"/>
    <s v="IN302679-38296183"/>
    <s v="NSE"/>
    <n v="32.159999999999997"/>
    <n v="3.83"/>
    <n v="0"/>
    <n v="75.92"/>
    <n v="111.9051"/>
  </r>
  <r>
    <d v="2018-10-03T00:00:00"/>
    <x v="44"/>
    <x v="1"/>
    <n v="500"/>
    <n v="256"/>
    <n v="128000"/>
    <s v="20181003N300017546"/>
    <n v="2018187"/>
    <s v="Rolling"/>
    <s v="IN302679-38296183"/>
    <s v="NSE"/>
    <n v="32.159999999999997"/>
    <n v="3.84"/>
    <n v="0"/>
    <n v="76.2"/>
    <n v="112.2"/>
  </r>
  <r>
    <d v="2018-10-03T00:00:00"/>
    <x v="44"/>
    <x v="0"/>
    <n v="547"/>
    <n v="264"/>
    <n v="144408"/>
    <s v="20181003N300018815"/>
    <n v="2018187"/>
    <s v="Rolling"/>
    <s v="IN302679-38296183"/>
    <s v="NSE"/>
    <n v="0"/>
    <n v="4.33"/>
    <n v="0"/>
    <n v="86"/>
    <n v="90.332099999999997"/>
  </r>
  <r>
    <d v="2018-10-03T00:00:00"/>
    <x v="44"/>
    <x v="1"/>
    <n v="500"/>
    <n v="261.01"/>
    <n v="130504"/>
    <s v="20181003N300019236"/>
    <n v="2018187"/>
    <s v="Rolling"/>
    <s v="IN302679-38296183"/>
    <s v="NSE"/>
    <n v="32.159999999999997"/>
    <n v="3.92"/>
    <n v="0"/>
    <n v="77.7"/>
    <n v="113.7752"/>
  </r>
  <r>
    <d v="2018-10-03T00:00:00"/>
    <x v="44"/>
    <x v="0"/>
    <n v="953"/>
    <n v="257.75"/>
    <n v="245639.2"/>
    <s v="20181003N300019486"/>
    <n v="2018187"/>
    <s v="Rolling"/>
    <s v="IN302679-38296183"/>
    <s v="NSE"/>
    <n v="0"/>
    <n v="7.37"/>
    <n v="46.5"/>
    <n v="146.26"/>
    <n v="200.1293"/>
  </r>
  <r>
    <d v="2018-10-03T00:00:00"/>
    <x v="44"/>
    <x v="1"/>
    <n v="500"/>
    <n v="257"/>
    <n v="128500"/>
    <s v="20181003N300021717"/>
    <n v="2018187"/>
    <s v="Rolling"/>
    <s v="IN302679-38296183"/>
    <s v="NSE"/>
    <n v="32.159999999999997"/>
    <n v="3.86"/>
    <n v="0"/>
    <n v="76.510000000000005"/>
    <n v="112.52509999999999"/>
  </r>
  <r>
    <d v="2018-10-03T00:00:00"/>
    <x v="44"/>
    <x v="0"/>
    <n v="500"/>
    <n v="252"/>
    <n v="126000"/>
    <s v="20181003N300025154"/>
    <n v="2018187"/>
    <s v="Rolling"/>
    <s v="IN302679-38296183"/>
    <s v="NSE"/>
    <n v="0"/>
    <n v="3.78"/>
    <n v="0"/>
    <n v="75.02"/>
    <n v="78.8"/>
  </r>
  <r>
    <d v="2018-10-03T00:00:00"/>
    <x v="44"/>
    <x v="1"/>
    <n v="500"/>
    <n v="257"/>
    <n v="128500"/>
    <s v="20181003N300025362"/>
    <n v="2018187"/>
    <s v="Rolling"/>
    <s v="IN302679-38296183"/>
    <s v="NSE"/>
    <n v="32.21"/>
    <n v="3.86"/>
    <n v="0"/>
    <n v="76.510000000000005"/>
    <n v="112.57510000000001"/>
  </r>
  <r>
    <d v="2018-10-03T00:00:00"/>
    <x v="44"/>
    <x v="1"/>
    <n v="500"/>
    <n v="259"/>
    <n v="129500"/>
    <s v="20181003N300026504"/>
    <n v="2018187"/>
    <s v="Rolling"/>
    <s v="IN302679-38296183"/>
    <s v="NSE"/>
    <n v="32.159999999999997"/>
    <n v="3.89"/>
    <n v="0"/>
    <n v="77.099999999999994"/>
    <n v="113.1451"/>
  </r>
  <r>
    <d v="2018-10-03T00:00:00"/>
    <x v="44"/>
    <x v="0"/>
    <n v="1000"/>
    <n v="255"/>
    <n v="255000"/>
    <s v="20181003N300027207"/>
    <n v="2018187"/>
    <s v="Rolling"/>
    <s v="IN302679-38296183"/>
    <s v="NSE"/>
    <n v="0"/>
    <n v="7.65"/>
    <n v="0"/>
    <n v="151.83000000000001"/>
    <n v="159.47999999999999"/>
  </r>
  <r>
    <d v="2018-09-28T00:00:00"/>
    <x v="44"/>
    <x v="1"/>
    <n v="250"/>
    <n v="241"/>
    <n v="60250"/>
    <s v="20180928N300020383"/>
    <n v="2018185"/>
    <s v="Rolling"/>
    <s v="IN302679-38296183"/>
    <s v="NSE"/>
    <n v="14.58"/>
    <n v="1.81"/>
    <n v="39.6"/>
    <n v="35.869999999999997"/>
    <n v="91.857500000000002"/>
  </r>
  <r>
    <d v="2018-09-28T00:00:00"/>
    <x v="44"/>
    <x v="0"/>
    <n v="250"/>
    <n v="241.5"/>
    <n v="60375"/>
    <s v="20180928N300022191"/>
    <n v="2018185"/>
    <s v="Rolling"/>
    <s v="IN302679-38296183"/>
    <s v="NSE"/>
    <n v="0"/>
    <n v="1.81"/>
    <n v="0"/>
    <n v="35.950000000000003"/>
    <n v="37.761200000000002"/>
  </r>
  <r>
    <d v="2018-09-28T00:00:00"/>
    <x v="44"/>
    <x v="1"/>
    <n v="1000"/>
    <n v="242"/>
    <n v="242000"/>
    <s v="20180928N300024936"/>
    <n v="2018185"/>
    <s v="Rolling"/>
    <s v="IN302679-38296183"/>
    <s v="NSE"/>
    <n v="59.77"/>
    <n v="7.26"/>
    <n v="0"/>
    <n v="144.09"/>
    <n v="211.12"/>
  </r>
  <r>
    <d v="2018-09-28T00:00:00"/>
    <x v="44"/>
    <x v="0"/>
    <n v="1000"/>
    <n v="241"/>
    <n v="241000"/>
    <s v="20180928N300025120"/>
    <n v="2018185"/>
    <s v="Rolling"/>
    <s v="IN302679-38296183"/>
    <s v="NSE"/>
    <n v="0"/>
    <n v="7.23"/>
    <n v="0"/>
    <n v="143.49"/>
    <n v="150.72"/>
  </r>
  <r>
    <d v="2018-09-28T00:00:00"/>
    <x v="44"/>
    <x v="1"/>
    <n v="1000"/>
    <n v="237"/>
    <n v="237000"/>
    <s v="20180928N300027110"/>
    <n v="2018185"/>
    <s v="Rolling"/>
    <s v="IN302679-38296183"/>
    <s v="NSE"/>
    <n v="59.77"/>
    <n v="7.11"/>
    <n v="0"/>
    <n v="141.11000000000001"/>
    <n v="207.99010000000001"/>
  </r>
  <r>
    <d v="2018-09-28T00:00:00"/>
    <x v="44"/>
    <x v="1"/>
    <n v="500"/>
    <n v="232"/>
    <n v="116000"/>
    <s v="20180928N300030924"/>
    <n v="2018185"/>
    <s v="Rolling"/>
    <s v="IN302679-38296183"/>
    <s v="NSE"/>
    <n v="29.88"/>
    <n v="3.48"/>
    <n v="0"/>
    <n v="69.06"/>
    <n v="102.42"/>
  </r>
  <r>
    <d v="2018-09-28T00:00:00"/>
    <x v="44"/>
    <x v="0"/>
    <n v="1500"/>
    <n v="238.87"/>
    <n v="358300.45"/>
    <s v="20180928N300038416"/>
    <n v="2018185"/>
    <s v="Rolling"/>
    <s v="IN302679-38296183"/>
    <s v="NSE"/>
    <n v="0"/>
    <n v="10.75"/>
    <n v="0"/>
    <n v="213.33"/>
    <n v="224.0796"/>
  </r>
  <r>
    <d v="2018-09-27T00:00:00"/>
    <x v="4"/>
    <x v="1"/>
    <n v="1000"/>
    <n v="212.55"/>
    <n v="212552.55"/>
    <s v="20180927N300015621"/>
    <n v="2018184"/>
    <s v="Rolling"/>
    <s v="IN302679-38296183"/>
    <s v="NSE"/>
    <n v="52.66"/>
    <n v="6.38"/>
    <n v="0"/>
    <n v="126.55"/>
    <n v="185.5864"/>
  </r>
  <r>
    <d v="2018-09-27T00:00:00"/>
    <x v="5"/>
    <x v="1"/>
    <n v="100"/>
    <n v="703.24"/>
    <n v="70323.8"/>
    <s v="20180927N300016415"/>
    <n v="2018184"/>
    <s v="Rolling"/>
    <s v="IN302679-38296183"/>
    <s v="NSE"/>
    <n v="18.02"/>
    <n v="2.11"/>
    <n v="0"/>
    <n v="41.87"/>
    <n v="61.999699999999997"/>
  </r>
  <r>
    <d v="2018-09-27T00:00:00"/>
    <x v="5"/>
    <x v="0"/>
    <n v="100"/>
    <n v="699"/>
    <n v="69900"/>
    <s v="20180927N300016439"/>
    <n v="2018184"/>
    <s v="Rolling"/>
    <s v="IN302679-38296183"/>
    <s v="NSE"/>
    <n v="0"/>
    <n v="2.1"/>
    <n v="32.1"/>
    <n v="41.62"/>
    <n v="75.817099999999996"/>
  </r>
  <r>
    <d v="2018-09-27T00:00:00"/>
    <x v="4"/>
    <x v="0"/>
    <n v="1000"/>
    <n v="208.75"/>
    <n v="208750"/>
    <s v="20180927N300019525"/>
    <n v="2018184"/>
    <s v="Rolling"/>
    <s v="IN302679-38296183"/>
    <s v="NSE"/>
    <n v="0"/>
    <n v="6.26"/>
    <n v="0"/>
    <n v="124.29"/>
    <n v="130.55250000000001"/>
  </r>
  <r>
    <d v="2018-09-27T00:00:00"/>
    <x v="41"/>
    <x v="1"/>
    <n v="1000"/>
    <n v="249.08"/>
    <n v="249076.75"/>
    <s v="20180927N300022158"/>
    <n v="2018184"/>
    <s v="Rolling"/>
    <s v="IN302679-38296183"/>
    <s v="NSE"/>
    <n v="62.32"/>
    <n v="7.47"/>
    <n v="0"/>
    <n v="148.30000000000001"/>
    <n v="218.0924"/>
  </r>
  <r>
    <d v="2018-09-27T00:00:00"/>
    <x v="41"/>
    <x v="0"/>
    <n v="1000"/>
    <n v="249.5"/>
    <n v="249500"/>
    <s v="20180927N300022454"/>
    <n v="2018184"/>
    <s v="Rolling"/>
    <s v="IN302679-38296183"/>
    <s v="NSE"/>
    <n v="0"/>
    <n v="7.49"/>
    <n v="0"/>
    <n v="148.55000000000001"/>
    <n v="156.0352"/>
  </r>
  <r>
    <d v="2018-09-26T00:00:00"/>
    <x v="71"/>
    <x v="0"/>
    <n v="350"/>
    <n v="204.05"/>
    <n v="71417.5"/>
    <s v="20180926N300017964"/>
    <n v="2018183"/>
    <s v="Rolling"/>
    <s v="IN302679-38296183"/>
    <s v="NSE"/>
    <n v="0"/>
    <n v="2.14"/>
    <n v="0"/>
    <n v="42.52"/>
    <n v="44.662500000000001"/>
  </r>
  <r>
    <d v="2018-09-26T00:00:00"/>
    <x v="71"/>
    <x v="1"/>
    <n v="21"/>
    <n v="206"/>
    <n v="4326"/>
    <s v="20180926N300018259"/>
    <n v="2018183"/>
    <s v="Rolling"/>
    <s v="IN302679-38296183"/>
    <s v="NSE"/>
    <n v="1.05"/>
    <n v="0.13"/>
    <n v="0"/>
    <n v="29.52"/>
    <n v="30.6998"/>
  </r>
  <r>
    <d v="2018-09-26T00:00:00"/>
    <x v="5"/>
    <x v="1"/>
    <n v="100"/>
    <n v="705"/>
    <n v="70500"/>
    <s v="20180926N300024982"/>
    <n v="2018183"/>
    <s v="Rolling"/>
    <s v="IN302679-38296183"/>
    <s v="NSE"/>
    <n v="17.940000000000001"/>
    <n v="2.12"/>
    <n v="9.6"/>
    <n v="41.98"/>
    <n v="71.635099999999994"/>
  </r>
  <r>
    <d v="2018-09-26T00:00:00"/>
    <x v="5"/>
    <x v="0"/>
    <n v="100"/>
    <n v="705.5"/>
    <n v="70550"/>
    <s v="20180926N300025006"/>
    <n v="2018183"/>
    <s v="Rolling"/>
    <s v="IN302679-38296183"/>
    <s v="NSE"/>
    <n v="0"/>
    <n v="2.12"/>
    <n v="0"/>
    <n v="42"/>
    <n v="44.116500000000002"/>
  </r>
  <r>
    <d v="2018-09-26T00:00:00"/>
    <x v="13"/>
    <x v="1"/>
    <n v="1500"/>
    <n v="12"/>
    <n v="18000"/>
    <s v="20180926N300025473"/>
    <n v="2018183"/>
    <s v="Rolling"/>
    <s v="IN302679-38296183"/>
    <s v="NSE"/>
    <n v="4.4800000000000004"/>
    <n v="0.54"/>
    <n v="0"/>
    <n v="29.6"/>
    <n v="34.619999999999997"/>
  </r>
  <r>
    <d v="2018-09-26T00:00:00"/>
    <x v="13"/>
    <x v="0"/>
    <n v="1500"/>
    <n v="11.9"/>
    <n v="17850"/>
    <s v="20180926N300025995"/>
    <n v="2018183"/>
    <s v="Rolling"/>
    <s v="IN302679-38296183"/>
    <s v="NSE"/>
    <n v="0"/>
    <n v="0.54"/>
    <n v="0"/>
    <n v="29.6"/>
    <n v="30.1355"/>
  </r>
  <r>
    <d v="2018-09-26T00:00:00"/>
    <x v="71"/>
    <x v="1"/>
    <n v="329"/>
    <n v="197.2"/>
    <n v="64879.9"/>
    <s v="20180926N300031266"/>
    <n v="2018183"/>
    <s v="Rolling"/>
    <s v="IN302679-38296183"/>
    <s v="NSE"/>
    <n v="16.52"/>
    <n v="1.95"/>
    <n v="0"/>
    <n v="38.630000000000003"/>
    <n v="57.096400000000003"/>
  </r>
  <r>
    <d v="2018-09-25T00:00:00"/>
    <x v="44"/>
    <x v="1"/>
    <n v="500"/>
    <n v="249.12"/>
    <n v="124560.6"/>
    <s v="20180925N300016314"/>
    <n v="2018182"/>
    <s v="Rolling"/>
    <s v="IN302679-38296183"/>
    <s v="NSE"/>
    <n v="31.48"/>
    <n v="3.74"/>
    <n v="0"/>
    <n v="74.17"/>
    <n v="109.38679999999999"/>
  </r>
  <r>
    <d v="2018-09-25T00:00:00"/>
    <x v="44"/>
    <x v="0"/>
    <n v="500"/>
    <n v="254.51"/>
    <n v="127255.9"/>
    <s v="20180925N300016393"/>
    <n v="2018182"/>
    <s v="Rolling"/>
    <s v="IN302679-38296183"/>
    <s v="NSE"/>
    <n v="0"/>
    <n v="3.82"/>
    <n v="0"/>
    <n v="75.760000000000005"/>
    <n v="79.5779"/>
  </r>
  <r>
    <d v="2018-09-25T00:00:00"/>
    <x v="41"/>
    <x v="0"/>
    <n v="700"/>
    <n v="240.5"/>
    <n v="168350"/>
    <s v="20180925N300018634"/>
    <n v="2018182"/>
    <s v="Rolling"/>
    <s v="IN302679-38296183"/>
    <s v="NSE"/>
    <n v="0"/>
    <n v="5.05"/>
    <n v="30.9"/>
    <n v="100.24"/>
    <n v="136.19049999999999"/>
  </r>
  <r>
    <d v="2018-09-25T00:00:00"/>
    <x v="41"/>
    <x v="1"/>
    <n v="700"/>
    <n v="241.11"/>
    <n v="168778.25"/>
    <s v="20180925N300018859"/>
    <n v="2018182"/>
    <s v="Rolling"/>
    <s v="IN302679-38296183"/>
    <s v="NSE"/>
    <n v="42.02"/>
    <n v="5.0599999999999996"/>
    <n v="0"/>
    <n v="100.5"/>
    <n v="147.58340000000001"/>
  </r>
  <r>
    <d v="2018-09-25T00:00:00"/>
    <x v="4"/>
    <x v="1"/>
    <n v="1000"/>
    <n v="213.1"/>
    <n v="213100"/>
    <s v="20180925N300032802"/>
    <n v="2018182"/>
    <s v="Rolling"/>
    <s v="IN302679-38296183"/>
    <s v="NSE"/>
    <n v="54.5"/>
    <n v="6.39"/>
    <n v="0"/>
    <n v="126.88"/>
    <n v="187.773"/>
  </r>
  <r>
    <d v="2018-09-25T00:00:00"/>
    <x v="4"/>
    <x v="0"/>
    <n v="1000"/>
    <n v="222.89"/>
    <n v="222893.9"/>
    <s v="20180925N300037747"/>
    <n v="2018182"/>
    <s v="Rolling"/>
    <s v="IN302679-38296183"/>
    <s v="NSE"/>
    <n v="0"/>
    <n v="6.69"/>
    <n v="0"/>
    <n v="132.69999999999999"/>
    <n v="139.387"/>
  </r>
  <r>
    <d v="2018-09-24T00:00:00"/>
    <x v="33"/>
    <x v="1"/>
    <n v="350"/>
    <n v="40"/>
    <n v="14000"/>
    <s v="20180924N300018617"/>
    <n v="2018181"/>
    <s v="Rolling"/>
    <s v="IN302679-38296183"/>
    <s v="NSE"/>
    <n v="14"/>
    <n v="0.42"/>
    <n v="0"/>
    <n v="90.94"/>
    <n v="105.36"/>
  </r>
  <r>
    <d v="2018-09-24T00:00:00"/>
    <x v="41"/>
    <x v="1"/>
    <n v="100"/>
    <n v="258"/>
    <n v="25800"/>
    <s v="20180924N300019362"/>
    <n v="2018181"/>
    <s v="Rolling"/>
    <s v="IN302679-38296183"/>
    <s v="NSE"/>
    <n v="6.41"/>
    <n v="0.77"/>
    <n v="0"/>
    <n v="29.64"/>
    <n v="36.823999999999998"/>
  </r>
  <r>
    <d v="2018-09-24T00:00:00"/>
    <x v="41"/>
    <x v="1"/>
    <n v="150"/>
    <n v="261.05"/>
    <n v="39157.5"/>
    <s v="20180924N300022447"/>
    <n v="2018181"/>
    <s v="Rolling"/>
    <s v="IN302679-38296183"/>
    <s v="NSE"/>
    <n v="9.6199999999999992"/>
    <n v="1.17"/>
    <n v="0"/>
    <n v="29.71"/>
    <n v="40.5047"/>
  </r>
  <r>
    <d v="2018-09-24T00:00:00"/>
    <x v="36"/>
    <x v="1"/>
    <n v="100"/>
    <n v="394.15"/>
    <n v="39415"/>
    <s v="20180924N300025439"/>
    <n v="2018181"/>
    <s v="Rolling"/>
    <s v="IN302679-38296183"/>
    <s v="NSE"/>
    <n v="9.7100000000000009"/>
    <n v="1.18"/>
    <n v="0"/>
    <n v="29.71"/>
    <n v="40.602400000000003"/>
  </r>
  <r>
    <d v="2018-09-24T00:00:00"/>
    <x v="36"/>
    <x v="0"/>
    <n v="100"/>
    <n v="375"/>
    <n v="37500"/>
    <s v="20180924N300025767"/>
    <n v="2018181"/>
    <s v="Rolling"/>
    <s v="IN302679-38296183"/>
    <s v="NSE"/>
    <n v="0"/>
    <n v="1.1299999999999999"/>
    <n v="0"/>
    <n v="29.7"/>
    <n v="30.825099999999999"/>
  </r>
  <r>
    <d v="2018-09-24T00:00:00"/>
    <x v="41"/>
    <x v="1"/>
    <n v="250"/>
    <n v="258.05"/>
    <n v="64512.45"/>
    <s v="20180924N300028391"/>
    <n v="2018181"/>
    <s v="Rolling"/>
    <s v="IN302679-38296183"/>
    <s v="NSE"/>
    <n v="15.78"/>
    <n v="1.94"/>
    <n v="23.1"/>
    <n v="38.340000000000003"/>
    <n v="79.1571"/>
  </r>
  <r>
    <d v="2018-09-24T00:00:00"/>
    <x v="41"/>
    <x v="0"/>
    <n v="500"/>
    <n v="254"/>
    <n v="127000"/>
    <s v="20180924N300028762"/>
    <n v="2018181"/>
    <s v="Rolling"/>
    <s v="IN302679-38296183"/>
    <s v="NSE"/>
    <n v="0"/>
    <n v="3.81"/>
    <n v="0"/>
    <n v="75.62"/>
    <n v="79.430000000000007"/>
  </r>
  <r>
    <d v="2018-09-24T00:00:00"/>
    <x v="36"/>
    <x v="1"/>
    <n v="100"/>
    <n v="391.69"/>
    <n v="39168.5"/>
    <s v="20180924N300034857"/>
    <n v="2018181"/>
    <s v="Rolling"/>
    <s v="IN302679-38296183"/>
    <s v="NSE"/>
    <n v="9.7100000000000009"/>
    <n v="1.18"/>
    <n v="0"/>
    <n v="29.71"/>
    <n v="40.595100000000002"/>
  </r>
  <r>
    <d v="2018-09-24T00:00:00"/>
    <x v="36"/>
    <x v="0"/>
    <n v="100"/>
    <n v="392.22"/>
    <n v="39222.15"/>
    <s v="20180924N300034892"/>
    <n v="2018181"/>
    <s v="Rolling"/>
    <s v="IN302679-38296183"/>
    <s v="NSE"/>
    <n v="0"/>
    <n v="1.18"/>
    <n v="0"/>
    <n v="29.72"/>
    <n v="30.896599999999999"/>
  </r>
  <r>
    <d v="2018-09-24T00:00:00"/>
    <x v="5"/>
    <x v="1"/>
    <n v="250"/>
    <n v="669"/>
    <n v="167250"/>
    <s v="20180924N300036459"/>
    <n v="2018181"/>
    <s v="Rolling"/>
    <s v="IN302679-38296183"/>
    <s v="NSE"/>
    <n v="41.78"/>
    <n v="5.0199999999999996"/>
    <n v="0"/>
    <n v="99.58"/>
    <n v="146.3775"/>
  </r>
  <r>
    <d v="2018-09-24T00:00:00"/>
    <x v="5"/>
    <x v="0"/>
    <n v="250"/>
    <n v="668"/>
    <n v="167000"/>
    <s v="20180924N300036622"/>
    <n v="2018181"/>
    <s v="Rolling"/>
    <s v="IN302679-38296183"/>
    <s v="NSE"/>
    <n v="0"/>
    <n v="5.01"/>
    <n v="0"/>
    <n v="99.43"/>
    <n v="104.44"/>
  </r>
  <r>
    <d v="2018-09-21T00:00:00"/>
    <x v="13"/>
    <x v="1"/>
    <n v="100"/>
    <n v="14.45"/>
    <n v="1445"/>
    <s v="20180921N300018571"/>
    <n v="2018180"/>
    <s v="Rolling"/>
    <s v="IN302679-38296183"/>
    <s v="NSE"/>
    <n v="1.49"/>
    <n v="0.04"/>
    <n v="0"/>
    <n v="29.51"/>
    <n v="31.043399999999998"/>
  </r>
  <r>
    <d v="2018-09-21T00:00:00"/>
    <x v="13"/>
    <x v="1"/>
    <n v="100"/>
    <n v="14.45"/>
    <n v="1445"/>
    <s v="20180921N300018649"/>
    <n v="2018180"/>
    <s v="Rolling"/>
    <s v="IN302679-38296183"/>
    <s v="NSE"/>
    <n v="1.49"/>
    <n v="0.04"/>
    <n v="0"/>
    <n v="29.51"/>
    <n v="31.043399999999998"/>
  </r>
  <r>
    <d v="2018-09-21T00:00:00"/>
    <x v="13"/>
    <x v="0"/>
    <n v="200"/>
    <n v="14.15"/>
    <n v="2830"/>
    <s v="20180921N300020252"/>
    <n v="2018180"/>
    <s v="Rolling"/>
    <s v="IN302679-38296183"/>
    <s v="NSE"/>
    <n v="0"/>
    <n v="0.08"/>
    <n v="0"/>
    <n v="29.52"/>
    <n v="29.604900000000001"/>
  </r>
  <r>
    <d v="2018-09-21T00:00:00"/>
    <x v="71"/>
    <x v="1"/>
    <n v="250"/>
    <n v="201.17"/>
    <n v="50292.1"/>
    <s v="20180921N300021865"/>
    <n v="2018180"/>
    <s v="Rolling"/>
    <s v="IN302679-38296183"/>
    <s v="NSE"/>
    <n v="12.41"/>
    <n v="1.51"/>
    <n v="0"/>
    <n v="29.94"/>
    <n v="43.858699999999999"/>
  </r>
  <r>
    <d v="2018-09-21T00:00:00"/>
    <x v="71"/>
    <x v="0"/>
    <n v="250"/>
    <n v="196"/>
    <n v="49000"/>
    <s v="20180921N300024265"/>
    <n v="2018180"/>
    <s v="Rolling"/>
    <s v="IN302679-38296183"/>
    <s v="NSE"/>
    <n v="0"/>
    <n v="1.47"/>
    <n v="0"/>
    <n v="29.76"/>
    <n v="31.23"/>
  </r>
  <r>
    <d v="2018-09-21T00:00:00"/>
    <x v="13"/>
    <x v="1"/>
    <n v="1750"/>
    <n v="15"/>
    <n v="26250"/>
    <s v="20180921N900000094"/>
    <n v="2018180"/>
    <s v="Rolling"/>
    <s v="IN302679-38296183"/>
    <s v="NSE"/>
    <n v="23.61"/>
    <n v="0.79"/>
    <n v="4.2"/>
    <n v="170.5"/>
    <n v="199.0975"/>
  </r>
  <r>
    <d v="2018-09-19T00:00:00"/>
    <x v="71"/>
    <x v="0"/>
    <n v="50"/>
    <n v="196"/>
    <n v="9800"/>
    <s v="20180919N300017123"/>
    <n v="2018179"/>
    <s v="Rolling"/>
    <s v="IN302679-38296183"/>
    <s v="NSE"/>
    <n v="0"/>
    <n v="0.28999999999999998"/>
    <n v="0"/>
    <n v="29.55"/>
    <n v="29.844000000000001"/>
  </r>
  <r>
    <d v="2018-09-19T00:00:00"/>
    <x v="71"/>
    <x v="1"/>
    <n v="50"/>
    <n v="194.95"/>
    <n v="9747.5"/>
    <s v="20180919N300032212"/>
    <n v="2018179"/>
    <s v="Rolling"/>
    <s v="IN302679-38296183"/>
    <s v="NSE"/>
    <n v="2"/>
    <n v="0.28999999999999998"/>
    <n v="0.6"/>
    <n v="29.55"/>
    <n v="32.442399999999999"/>
  </r>
  <r>
    <d v="2018-09-14T00:00:00"/>
    <x v="79"/>
    <x v="0"/>
    <n v="10"/>
    <n v="111.45"/>
    <n v="1114.5"/>
    <s v="20180914N300025856"/>
    <n v="2018176"/>
    <s v="Rolling"/>
    <s v="IN302679-38296183"/>
    <s v="NSE"/>
    <n v="1"/>
    <n v="0.03"/>
    <n v="0.3"/>
    <n v="32.880000000000003"/>
    <n v="34.213500000000003"/>
  </r>
  <r>
    <d v="2018-09-07T00:00:00"/>
    <x v="71"/>
    <x v="0"/>
    <n v="100"/>
    <n v="215.53"/>
    <n v="21552.55"/>
    <s v="20180907N300030485"/>
    <n v="2018172"/>
    <s v="Rolling"/>
    <s v="IN302679-38296183"/>
    <s v="NSE"/>
    <n v="0"/>
    <n v="0.65"/>
    <n v="0"/>
    <n v="29.61"/>
    <n v="30.256499999999999"/>
  </r>
  <r>
    <d v="2018-09-07T00:00:00"/>
    <x v="71"/>
    <x v="0"/>
    <n v="50"/>
    <n v="215.6"/>
    <n v="10780"/>
    <s v="20180907N300031461"/>
    <n v="2018172"/>
    <s v="Rolling"/>
    <s v="IN302679-38296183"/>
    <s v="NSE"/>
    <n v="0"/>
    <n v="0.32"/>
    <n v="0"/>
    <n v="29.56"/>
    <n v="29.883400000000002"/>
  </r>
  <r>
    <d v="2018-09-07T00:00:00"/>
    <x v="71"/>
    <x v="1"/>
    <n v="11"/>
    <n v="216.95"/>
    <n v="2386.4499999999998"/>
    <s v="20180907N300033987"/>
    <n v="2018172"/>
    <s v="Rolling"/>
    <s v="IN302679-38296183"/>
    <s v="NSE"/>
    <n v="0.51"/>
    <n v="7.0000000000000007E-2"/>
    <n v="2.1"/>
    <n v="29.51"/>
    <n v="32.191600000000001"/>
  </r>
  <r>
    <d v="2018-09-07T00:00:00"/>
    <x v="71"/>
    <x v="1"/>
    <n v="139"/>
    <n v="215.15"/>
    <n v="29905.85"/>
    <s v="20180907N300034337"/>
    <n v="2018172"/>
    <s v="Rolling"/>
    <s v="IN302679-38296183"/>
    <s v="NSE"/>
    <n v="7.49"/>
    <n v="0.9"/>
    <n v="0"/>
    <n v="29.66"/>
    <n v="38.047199999999997"/>
  </r>
  <r>
    <d v="2018-09-06T00:00:00"/>
    <x v="43"/>
    <x v="0"/>
    <n v="1000"/>
    <n v="36.35"/>
    <n v="36350"/>
    <s v="20180906N300029148"/>
    <n v="2018171"/>
    <s v="Rolling"/>
    <s v="IN302679-38296183"/>
    <s v="NSE"/>
    <n v="0"/>
    <n v="1.0900000000000001"/>
    <n v="2.4"/>
    <n v="29.7"/>
    <n v="33.1905"/>
  </r>
  <r>
    <d v="2018-09-06T00:00:00"/>
    <x v="43"/>
    <x v="1"/>
    <n v="1000"/>
    <n v="36.4"/>
    <n v="36400"/>
    <s v="20180906N300029177"/>
    <n v="2018171"/>
    <s v="Rolling"/>
    <s v="IN302679-38296183"/>
    <s v="NSE"/>
    <n v="9"/>
    <n v="1.0900000000000001"/>
    <n v="0"/>
    <n v="29.7"/>
    <n v="39.792000000000002"/>
  </r>
  <r>
    <d v="2018-09-06T00:00:00"/>
    <x v="76"/>
    <x v="0"/>
    <n v="1000"/>
    <n v="5"/>
    <n v="5000"/>
    <s v="20180906N300029661"/>
    <n v="2018171"/>
    <s v="TT"/>
    <s v="IN302679-38296183"/>
    <s v="NSE"/>
    <n v="5"/>
    <n v="0.15"/>
    <n v="0.3"/>
    <n v="59.03"/>
    <n v="64.48"/>
  </r>
  <r>
    <d v="2018-09-05T00:00:00"/>
    <x v="43"/>
    <x v="0"/>
    <n v="100"/>
    <n v="35.450000000000003"/>
    <n v="3545"/>
    <s v="20180905N300031782"/>
    <n v="2018170"/>
    <s v="Rolling"/>
    <s v="IN302679-38296183"/>
    <s v="NSE"/>
    <n v="4"/>
    <n v="0.11"/>
    <n v="0.3"/>
    <n v="41.32"/>
    <n v="45.726300000000002"/>
  </r>
  <r>
    <d v="2018-09-04T00:00:00"/>
    <x v="13"/>
    <x v="0"/>
    <n v="2500"/>
    <n v="18.2"/>
    <n v="45500"/>
    <s v="20180904N300016420"/>
    <n v="2018169"/>
    <s v="Rolling"/>
    <s v="IN302679-38296183"/>
    <s v="NSE"/>
    <n v="0"/>
    <n v="1.37"/>
    <n v="0"/>
    <n v="29.75"/>
    <n v="31.115100000000002"/>
  </r>
  <r>
    <d v="2018-09-04T00:00:00"/>
    <x v="70"/>
    <x v="0"/>
    <n v="100"/>
    <n v="292.25"/>
    <n v="29225"/>
    <s v="20180904N300021395"/>
    <n v="2018169"/>
    <s v="Rolling"/>
    <s v="IN302679-38296183"/>
    <s v="NSE"/>
    <n v="0"/>
    <n v="0.88"/>
    <n v="4.5"/>
    <n v="29.66"/>
    <n v="35.036700000000003"/>
  </r>
  <r>
    <d v="2018-09-04T00:00:00"/>
    <x v="70"/>
    <x v="1"/>
    <n v="100"/>
    <n v="289.5"/>
    <n v="28950"/>
    <s v="20180904N300031245"/>
    <n v="2018169"/>
    <s v="Rolling"/>
    <s v="IN302679-38296183"/>
    <s v="NSE"/>
    <n v="6.88"/>
    <n v="0.87"/>
    <n v="0"/>
    <n v="29.66"/>
    <n v="37.408499999999997"/>
  </r>
  <r>
    <d v="2018-09-04T00:00:00"/>
    <x v="13"/>
    <x v="1"/>
    <n v="2500"/>
    <n v="17.399999999999999"/>
    <n v="43500"/>
    <s v="20180904N300035550"/>
    <n v="2018169"/>
    <s v="Rolling"/>
    <s v="IN302679-38296183"/>
    <s v="NSE"/>
    <n v="11.13"/>
    <n v="1.31"/>
    <n v="0"/>
    <n v="29.74"/>
    <n v="42.1751"/>
  </r>
  <r>
    <d v="2018-09-03T00:00:00"/>
    <x v="70"/>
    <x v="0"/>
    <n v="250"/>
    <n v="294.39999999999998"/>
    <n v="73599.25"/>
    <s v="20180903N300020216"/>
    <n v="2018168"/>
    <s v="Rolling"/>
    <s v="IN302902-46841937"/>
    <s v="NSE"/>
    <n v="0"/>
    <n v="2.21"/>
    <n v="0"/>
    <n v="43.82"/>
    <n v="46.027900000000002"/>
  </r>
  <r>
    <d v="2018-09-03T00:00:00"/>
    <x v="70"/>
    <x v="1"/>
    <n v="250"/>
    <n v="294.42"/>
    <n v="73606.149999999994"/>
    <s v="20180903N300020271"/>
    <n v="2018168"/>
    <s v="Rolling"/>
    <s v="IN302902-46841937"/>
    <s v="NSE"/>
    <n v="17.989999999999998"/>
    <n v="2.21"/>
    <n v="5.0999999999999996"/>
    <n v="43.83"/>
    <n v="69.128100000000003"/>
  </r>
  <r>
    <d v="2018-09-03T00:00:00"/>
    <x v="70"/>
    <x v="0"/>
    <n v="60"/>
    <n v="295"/>
    <n v="17700"/>
    <s v="20180903N300030454"/>
    <n v="2018168"/>
    <s v="Rolling"/>
    <s v="IN302902-46841937"/>
    <s v="NSE"/>
    <n v="16.79"/>
    <n v="0.53"/>
    <n v="0"/>
    <n v="135.33000000000001"/>
    <n v="152.65090000000001"/>
  </r>
  <r>
    <d v="2018-09-03T00:00:00"/>
    <x v="70"/>
    <x v="1"/>
    <n v="3"/>
    <n v="299.25"/>
    <n v="897.75"/>
    <s v="20180903N300038095"/>
    <n v="2018168"/>
    <s v="Rolling"/>
    <s v="IN302902-46841937"/>
    <s v="NSE"/>
    <n v="0.22"/>
    <n v="0.03"/>
    <n v="0"/>
    <n v="26.49"/>
    <n v="26.736899999999999"/>
  </r>
  <r>
    <d v="2018-08-31T00:00:00"/>
    <x v="70"/>
    <x v="0"/>
    <n v="100"/>
    <n v="296.17"/>
    <n v="29617"/>
    <s v="20180831N300017424"/>
    <n v="2018167"/>
    <s v="Rolling"/>
    <s v="IN302679-38296183"/>
    <s v="NSE"/>
    <n v="0"/>
    <n v="0.89"/>
    <n v="3.6"/>
    <n v="29.67"/>
    <n v="34.158299999999997"/>
  </r>
  <r>
    <d v="2018-08-31T00:00:00"/>
    <x v="70"/>
    <x v="0"/>
    <n v="100"/>
    <n v="292"/>
    <n v="29200"/>
    <s v="20180831N300019116"/>
    <n v="2018167"/>
    <s v="Rolling"/>
    <s v="IN302679-38296183"/>
    <s v="NSE"/>
    <n v="0"/>
    <n v="0.88"/>
    <n v="0"/>
    <n v="29.66"/>
    <n v="30.536000000000001"/>
  </r>
  <r>
    <d v="2018-08-31T00:00:00"/>
    <x v="70"/>
    <x v="1"/>
    <n v="200"/>
    <n v="292.52"/>
    <n v="58504.95"/>
    <s v="20180831N300034714"/>
    <n v="2018167"/>
    <s v="Rolling"/>
    <s v="IN302679-38296183"/>
    <s v="NSE"/>
    <n v="15"/>
    <n v="1.76"/>
    <n v="0"/>
    <n v="34.83"/>
    <n v="51.585099999999997"/>
  </r>
  <r>
    <d v="2018-08-29T00:00:00"/>
    <x v="70"/>
    <x v="0"/>
    <n v="50"/>
    <n v="295.91000000000003"/>
    <n v="14795.65"/>
    <s v="20180829N300021262"/>
    <n v="2018165"/>
    <s v="Rolling"/>
    <s v="IN302679-38296183"/>
    <s v="NSE"/>
    <n v="0"/>
    <n v="0.44"/>
    <n v="0.9"/>
    <n v="29.58"/>
    <n v="30.9238"/>
  </r>
  <r>
    <d v="2018-08-29T00:00:00"/>
    <x v="70"/>
    <x v="1"/>
    <n v="50"/>
    <n v="296.95999999999998"/>
    <n v="14847.85"/>
    <s v="20180829N300023367"/>
    <n v="2018165"/>
    <s v="Rolling"/>
    <s v="IN302679-38296183"/>
    <s v="NSE"/>
    <n v="4"/>
    <n v="0.45"/>
    <n v="0"/>
    <n v="29.58"/>
    <n v="34.025500000000001"/>
  </r>
  <r>
    <d v="2018-08-28T00:00:00"/>
    <x v="13"/>
    <x v="0"/>
    <n v="1000"/>
    <n v="18.8"/>
    <n v="18800"/>
    <s v="20180828N300025634"/>
    <n v="2018164"/>
    <s v="Rolling"/>
    <s v="IN302902-46841937"/>
    <s v="NSE"/>
    <n v="0"/>
    <n v="0.56000000000000005"/>
    <n v="0"/>
    <n v="122.11"/>
    <n v="122.67400000000001"/>
  </r>
  <r>
    <d v="2018-08-28T00:00:00"/>
    <x v="41"/>
    <x v="0"/>
    <n v="15"/>
    <n v="257.55"/>
    <n v="3863.25"/>
    <s v="20180828N300029651"/>
    <n v="2018164"/>
    <s v="Rolling"/>
    <s v="IN302679-38296183"/>
    <s v="NSE"/>
    <n v="3.86"/>
    <n v="0.12"/>
    <n v="0"/>
    <n v="41.32"/>
    <n v="45.295900000000003"/>
  </r>
  <r>
    <d v="2018-08-28T00:00:00"/>
    <x v="13"/>
    <x v="1"/>
    <n v="5000"/>
    <n v="18.399999999999999"/>
    <n v="92000"/>
    <s v="20180828N900017439"/>
    <n v="2018164"/>
    <s v="Rolling"/>
    <s v="IN302902-46841937"/>
    <s v="NSE"/>
    <n v="78.14"/>
    <n v="2.76"/>
    <n v="3.6"/>
    <n v="478.16"/>
    <n v="562.65989999999999"/>
  </r>
  <r>
    <d v="2018-08-27T00:00:00"/>
    <x v="33"/>
    <x v="0"/>
    <n v="100"/>
    <n v="50"/>
    <n v="5000"/>
    <s v="20180827N300026198"/>
    <n v="2018163"/>
    <s v="Rolling"/>
    <s v="IN302679-38296183"/>
    <s v="NSE"/>
    <n v="5"/>
    <n v="0.15"/>
    <n v="0"/>
    <n v="41.33"/>
    <n v="46.48"/>
  </r>
  <r>
    <d v="2018-08-27T00:00:00"/>
    <x v="70"/>
    <x v="0"/>
    <n v="100"/>
    <n v="295"/>
    <n v="29500"/>
    <s v="20180827N300027182"/>
    <n v="2018163"/>
    <s v="Rolling"/>
    <s v="IN302679-38296183"/>
    <s v="NSE"/>
    <n v="0"/>
    <n v="0.89"/>
    <n v="0"/>
    <n v="29.66"/>
    <n v="30.545100000000001"/>
  </r>
  <r>
    <d v="2018-08-27T00:00:00"/>
    <x v="70"/>
    <x v="0"/>
    <n v="150"/>
    <n v="292.89999999999998"/>
    <n v="43935"/>
    <s v="20180827N300030419"/>
    <n v="2018163"/>
    <s v="Rolling"/>
    <s v="IN302679-38296183"/>
    <s v="NSE"/>
    <n v="0"/>
    <n v="1.32"/>
    <n v="5.4"/>
    <n v="29.74"/>
    <n v="36.457999999999998"/>
  </r>
  <r>
    <d v="2018-08-27T00:00:00"/>
    <x v="70"/>
    <x v="1"/>
    <n v="250"/>
    <n v="292.33"/>
    <n v="73083.600000000006"/>
    <s v="20180827N300030649"/>
    <n v="2018163"/>
    <s v="Rolling"/>
    <s v="IN302679-38296183"/>
    <s v="NSE"/>
    <n v="18.46"/>
    <n v="2.19"/>
    <n v="0"/>
    <n v="43.52"/>
    <n v="64.172399999999996"/>
  </r>
  <r>
    <d v="2018-08-27T00:00:00"/>
    <x v="78"/>
    <x v="0"/>
    <n v="100"/>
    <n v="101.8"/>
    <n v="10180"/>
    <s v="20180827N300031398"/>
    <n v="2018163"/>
    <s v="Rolling"/>
    <s v="IN302679-38296183"/>
    <s v="NSE"/>
    <n v="0"/>
    <n v="0.31"/>
    <n v="0"/>
    <n v="29.56"/>
    <n v="29.865400000000001"/>
  </r>
  <r>
    <d v="2018-08-27T00:00:00"/>
    <x v="78"/>
    <x v="1"/>
    <n v="100"/>
    <n v="101.5"/>
    <n v="10150"/>
    <s v="20180827N300033622"/>
    <n v="2018163"/>
    <s v="Rolling"/>
    <s v="IN302679-38296183"/>
    <s v="NSE"/>
    <n v="2.54"/>
    <n v="0.3"/>
    <n v="0"/>
    <n v="29.56"/>
    <n v="32.404499999999999"/>
  </r>
  <r>
    <d v="2018-08-21T00:00:00"/>
    <x v="13"/>
    <x v="0"/>
    <n v="5000"/>
    <n v="19.25"/>
    <n v="96250"/>
    <s v="20180821N300015890"/>
    <n v="2018160"/>
    <s v="Rolling"/>
    <s v="IN302902-46841937"/>
    <s v="NSE"/>
    <n v="96.25"/>
    <n v="2.89"/>
    <n v="0"/>
    <n v="625.17999999999995"/>
    <n v="724.3175"/>
  </r>
  <r>
    <d v="2018-08-21T00:00:00"/>
    <x v="6"/>
    <x v="0"/>
    <n v="1000"/>
    <n v="57"/>
    <n v="57000"/>
    <s v="20180821N300019613"/>
    <n v="2018160"/>
    <s v="Rolling"/>
    <s v="IN302679-38296183"/>
    <s v="NSE"/>
    <n v="0"/>
    <n v="1.71"/>
    <n v="0"/>
    <n v="33.950000000000003"/>
    <n v="35.659999999999997"/>
  </r>
  <r>
    <d v="2018-08-21T00:00:00"/>
    <x v="6"/>
    <x v="1"/>
    <n v="1000"/>
    <n v="58.1"/>
    <n v="58100"/>
    <s v="20180821N300020195"/>
    <n v="2018160"/>
    <s v="Rolling"/>
    <s v="IN302679-38296183"/>
    <s v="NSE"/>
    <n v="14.39"/>
    <n v="1.74"/>
    <n v="0"/>
    <n v="34.590000000000003"/>
    <n v="50.723100000000002"/>
  </r>
  <r>
    <d v="2018-08-21T00:00:00"/>
    <x v="70"/>
    <x v="0"/>
    <n v="100"/>
    <n v="300"/>
    <n v="30000"/>
    <s v="20180821N300021799"/>
    <n v="2018160"/>
    <s v="Rolling"/>
    <s v="IN302679-38296183"/>
    <s v="NSE"/>
    <n v="0"/>
    <n v="0.9"/>
    <n v="8.4"/>
    <n v="29.66"/>
    <n v="38.96"/>
  </r>
  <r>
    <d v="2018-08-21T00:00:00"/>
    <x v="70"/>
    <x v="1"/>
    <n v="100"/>
    <n v="299"/>
    <n v="29900"/>
    <s v="20180821N300022975"/>
    <n v="2018160"/>
    <s v="Rolling"/>
    <s v="IN302679-38296183"/>
    <s v="NSE"/>
    <n v="7.36"/>
    <n v="0.9"/>
    <n v="0"/>
    <n v="29.66"/>
    <n v="37.917099999999998"/>
  </r>
  <r>
    <d v="2018-08-20T00:00:00"/>
    <x v="13"/>
    <x v="0"/>
    <n v="1500"/>
    <n v="19.5"/>
    <n v="29250"/>
    <s v="20180820N300018655"/>
    <n v="2018159"/>
    <s v="Rolling"/>
    <s v="IN302679-38296183"/>
    <s v="NSE"/>
    <n v="0"/>
    <n v="0.88"/>
    <n v="0"/>
    <n v="92.94"/>
    <n v="93.817599999999999"/>
  </r>
  <r>
    <d v="2018-08-20T00:00:00"/>
    <x v="13"/>
    <x v="1"/>
    <n v="1500"/>
    <n v="19.75"/>
    <n v="29625"/>
    <s v="20180820N300018855"/>
    <n v="2018159"/>
    <s v="Rolling"/>
    <s v="IN302679-38296183"/>
    <s v="NSE"/>
    <n v="6.81"/>
    <n v="0.89"/>
    <n v="12.3"/>
    <n v="29.66"/>
    <n v="49.658700000000003"/>
  </r>
  <r>
    <d v="2018-08-20T00:00:00"/>
    <x v="13"/>
    <x v="0"/>
    <n v="1000"/>
    <n v="19.45"/>
    <n v="19450"/>
    <s v="20180820N300026320"/>
    <n v="2018159"/>
    <s v="Rolling"/>
    <s v="IN302679-38296183"/>
    <s v="NSE"/>
    <n v="0"/>
    <n v="0.57999999999999996"/>
    <n v="0"/>
    <n v="29.61"/>
    <n v="30.1935"/>
  </r>
  <r>
    <d v="2018-08-20T00:00:00"/>
    <x v="13"/>
    <x v="0"/>
    <n v="2500"/>
    <n v="19.5"/>
    <n v="48750"/>
    <s v="20180820N300026449"/>
    <n v="2018159"/>
    <s v="Rolling"/>
    <s v="IN302679-38296183"/>
    <s v="NSE"/>
    <n v="0"/>
    <n v="1.46"/>
    <n v="0"/>
    <n v="29.77"/>
    <n v="31.232399999999998"/>
  </r>
  <r>
    <d v="2018-08-20T00:00:00"/>
    <x v="70"/>
    <x v="1"/>
    <n v="100"/>
    <n v="309.39999999999998"/>
    <n v="30940"/>
    <s v="20180820N300026801"/>
    <n v="2018159"/>
    <s v="Rolling"/>
    <s v="IN302679-38296183"/>
    <s v="NSE"/>
    <n v="30.94"/>
    <n v="0.93"/>
    <n v="0"/>
    <n v="200.97"/>
    <n v="232.8382"/>
  </r>
  <r>
    <d v="2018-08-20T00:00:00"/>
    <x v="13"/>
    <x v="0"/>
    <n v="5000"/>
    <n v="19.05"/>
    <n v="95250"/>
    <s v="20180820N300028488"/>
    <n v="2018159"/>
    <s v="Rolling"/>
    <s v="IN302679-38296183"/>
    <s v="NSE"/>
    <n v="9.65"/>
    <n v="2.86"/>
    <n v="0"/>
    <n v="56.71"/>
    <n v="69.217500000000001"/>
  </r>
  <r>
    <d v="2018-08-20T00:00:00"/>
    <x v="13"/>
    <x v="1"/>
    <n v="8000"/>
    <n v="19.25"/>
    <n v="154000"/>
    <s v="20180820N300030854"/>
    <n v="2018159"/>
    <s v="Rolling"/>
    <s v="IN302679-38296183"/>
    <s v="NSE"/>
    <n v="38.6"/>
    <n v="4.62"/>
    <n v="0"/>
    <n v="91.69"/>
    <n v="134.91"/>
  </r>
  <r>
    <d v="2018-08-16T00:00:00"/>
    <x v="13"/>
    <x v="1"/>
    <n v="2250"/>
    <n v="21"/>
    <n v="47250"/>
    <s v="20180816N300018986"/>
    <n v="2018157"/>
    <s v="Rolling"/>
    <s v="IN302902-46841937"/>
    <s v="NSE"/>
    <n v="47.25"/>
    <n v="1.42"/>
    <n v="0"/>
    <n v="306.91000000000003"/>
    <n v="355.57749999999999"/>
  </r>
  <r>
    <d v="2018-08-16T00:00:00"/>
    <x v="6"/>
    <x v="1"/>
    <n v="1900"/>
    <n v="58"/>
    <n v="110200"/>
    <s v="20180816N300026581"/>
    <n v="2018157"/>
    <s v="Rolling"/>
    <s v="IN302902-46841937"/>
    <s v="NSE"/>
    <n v="109.75"/>
    <n v="3.31"/>
    <n v="4.8"/>
    <n v="715.79"/>
    <n v="833.64599999999996"/>
  </r>
  <r>
    <d v="2018-08-14T00:00:00"/>
    <x v="6"/>
    <x v="0"/>
    <n v="1500"/>
    <n v="62.3"/>
    <n v="93450"/>
    <s v="20180814N300020137"/>
    <n v="2018156"/>
    <s v="Rolling"/>
    <s v="IN302679-38296183"/>
    <s v="NSE"/>
    <n v="0"/>
    <n v="2.8"/>
    <n v="0"/>
    <n v="55.64"/>
    <n v="58.4435"/>
  </r>
  <r>
    <d v="2018-08-14T00:00:00"/>
    <x v="6"/>
    <x v="1"/>
    <n v="1500"/>
    <n v="60"/>
    <n v="90000"/>
    <s v="20180814N300030451"/>
    <n v="2018156"/>
    <s v="Rolling"/>
    <s v="IN302679-38296183"/>
    <s v="NSE"/>
    <n v="23"/>
    <n v="2.7"/>
    <n v="5.7"/>
    <n v="53.62"/>
    <n v="85.020799999999994"/>
  </r>
  <r>
    <d v="2018-08-10T00:00:00"/>
    <x v="20"/>
    <x v="0"/>
    <n v="500"/>
    <n v="108.95"/>
    <n v="54474.6"/>
    <s v="20180810N300015985"/>
    <n v="2018154"/>
    <s v="Rolling"/>
    <s v="IN302679-38296183"/>
    <s v="NSE"/>
    <n v="0"/>
    <n v="1.63"/>
    <n v="0"/>
    <n v="32.43"/>
    <n v="34.0642"/>
  </r>
  <r>
    <d v="2018-08-10T00:00:00"/>
    <x v="20"/>
    <x v="0"/>
    <n v="1000"/>
    <n v="107.15"/>
    <n v="107150"/>
    <s v="20180810N300024510"/>
    <n v="2018154"/>
    <s v="Rolling"/>
    <s v="IN302679-38296183"/>
    <s v="NSE"/>
    <n v="0"/>
    <n v="3.21"/>
    <n v="0"/>
    <n v="63.8"/>
    <n v="67.014499999999998"/>
  </r>
  <r>
    <d v="2018-08-10T00:00:00"/>
    <x v="20"/>
    <x v="1"/>
    <n v="1500"/>
    <n v="107"/>
    <n v="160500"/>
    <s v="20180810N300025020"/>
    <n v="2018154"/>
    <s v="Rolling"/>
    <s v="IN302679-38296183"/>
    <s v="NSE"/>
    <n v="40"/>
    <n v="4.8099999999999996"/>
    <n v="11.1"/>
    <n v="95.56"/>
    <n v="151.47489999999999"/>
  </r>
  <r>
    <d v="2018-08-10T00:00:00"/>
    <x v="13"/>
    <x v="0"/>
    <n v="2250"/>
    <n v="20"/>
    <n v="45000"/>
    <s v="20180810N900016614"/>
    <n v="2018154"/>
    <s v="Rolling"/>
    <s v="IN302902-46841937"/>
    <s v="NSE"/>
    <n v="45"/>
    <n v="1.35"/>
    <n v="0"/>
    <n v="292.29000000000002"/>
    <n v="338.64"/>
  </r>
  <r>
    <d v="2018-08-09T00:00:00"/>
    <x v="6"/>
    <x v="0"/>
    <n v="1000"/>
    <n v="64.75"/>
    <n v="64750"/>
    <s v="20180809N300016026"/>
    <n v="2018153"/>
    <s v="Rolling"/>
    <s v="IN302902-46841937"/>
    <s v="NSE"/>
    <n v="64.19"/>
    <n v="1.94"/>
    <n v="24.9"/>
    <n v="420.6"/>
    <n v="511.63260000000002"/>
  </r>
  <r>
    <d v="2018-08-09T00:00:00"/>
    <x v="13"/>
    <x v="0"/>
    <n v="2250"/>
    <n v="19.8"/>
    <n v="44550"/>
    <s v="20180809N300018376"/>
    <n v="2018153"/>
    <s v="Rolling"/>
    <s v="IN302679-38296183"/>
    <s v="NSE"/>
    <n v="0"/>
    <n v="1.34"/>
    <n v="0"/>
    <n v="29.74"/>
    <n v="31.076499999999999"/>
  </r>
  <r>
    <d v="2018-08-09T00:00:00"/>
    <x v="6"/>
    <x v="0"/>
    <n v="1000"/>
    <n v="63.5"/>
    <n v="63500"/>
    <s v="20180809N300018448"/>
    <n v="2018153"/>
    <s v="Rolling"/>
    <s v="IN302902-46841937"/>
    <s v="NSE"/>
    <n v="64.13"/>
    <n v="1.91"/>
    <n v="0"/>
    <n v="412.45"/>
    <n v="478.48509999999999"/>
  </r>
  <r>
    <d v="2018-08-09T00:00:00"/>
    <x v="13"/>
    <x v="0"/>
    <n v="5000"/>
    <n v="19.5"/>
    <n v="97500"/>
    <s v="20180809N300018982"/>
    <n v="2018153"/>
    <s v="Rolling"/>
    <s v="IN302679-38296183"/>
    <s v="NSE"/>
    <n v="0"/>
    <n v="2.93"/>
    <n v="0"/>
    <n v="58.05"/>
    <n v="60.975000000000001"/>
  </r>
  <r>
    <d v="2018-08-09T00:00:00"/>
    <x v="13"/>
    <x v="1"/>
    <n v="5000"/>
    <n v="19.75"/>
    <n v="98750"/>
    <s v="20180809N300022463"/>
    <n v="2018153"/>
    <s v="Rolling"/>
    <s v="IN302679-38296183"/>
    <s v="NSE"/>
    <n v="24.85"/>
    <n v="2.96"/>
    <n v="0"/>
    <n v="58.8"/>
    <n v="86.612499999999997"/>
  </r>
  <r>
    <d v="2018-08-09T00:00:00"/>
    <x v="78"/>
    <x v="0"/>
    <n v="500"/>
    <n v="107.05"/>
    <n v="53525"/>
    <s v="20180809N300023336"/>
    <n v="2018153"/>
    <s v="Rolling"/>
    <s v="IN302679-38296183"/>
    <s v="NSE"/>
    <n v="0"/>
    <n v="1.61"/>
    <n v="0"/>
    <n v="31.87"/>
    <n v="33.4758"/>
  </r>
  <r>
    <d v="2018-08-09T00:00:00"/>
    <x v="78"/>
    <x v="1"/>
    <n v="500"/>
    <n v="107"/>
    <n v="53500"/>
    <s v="20180809N300024093"/>
    <n v="2018153"/>
    <s v="Rolling"/>
    <s v="IN302679-38296183"/>
    <s v="NSE"/>
    <n v="13.38"/>
    <n v="1.61"/>
    <n v="0"/>
    <n v="31.85"/>
    <n v="46.835000000000001"/>
  </r>
  <r>
    <d v="2018-08-09T00:00:00"/>
    <x v="13"/>
    <x v="0"/>
    <n v="7500"/>
    <n v="20.149999999999999"/>
    <n v="151125"/>
    <s v="20180809N300031738"/>
    <n v="2018153"/>
    <s v="Rolling"/>
    <s v="IN302679-38296183"/>
    <s v="NSE"/>
    <n v="0"/>
    <n v="4.53"/>
    <n v="0"/>
    <n v="89.98"/>
    <n v="94.513999999999996"/>
  </r>
  <r>
    <d v="2018-08-09T00:00:00"/>
    <x v="13"/>
    <x v="1"/>
    <n v="9750"/>
    <n v="19.95"/>
    <n v="194512.5"/>
    <s v="20180809N300035409"/>
    <n v="2018153"/>
    <s v="Rolling"/>
    <s v="IN302679-38296183"/>
    <s v="NSE"/>
    <n v="48.46"/>
    <n v="5.84"/>
    <n v="0"/>
    <n v="115.82"/>
    <n v="170.1155"/>
  </r>
  <r>
    <d v="2018-08-08T00:00:00"/>
    <x v="78"/>
    <x v="0"/>
    <n v="679"/>
    <n v="106"/>
    <n v="71974"/>
    <s v="20180808N300019880"/>
    <n v="2018152"/>
    <s v="Rolling"/>
    <s v="IN302679-38296183"/>
    <s v="NSE"/>
    <n v="0"/>
    <n v="2.16"/>
    <n v="0"/>
    <n v="42.85"/>
    <n v="45.009300000000003"/>
  </r>
  <r>
    <d v="2018-08-08T00:00:00"/>
    <x v="78"/>
    <x v="1"/>
    <n v="679"/>
    <n v="106.32"/>
    <n v="72192.149999999994"/>
    <s v="20180808N300020048"/>
    <n v="2018152"/>
    <s v="Rolling"/>
    <s v="IN302679-38296183"/>
    <s v="NSE"/>
    <n v="18.09"/>
    <n v="2.17"/>
    <n v="0"/>
    <n v="43"/>
    <n v="63.255800000000001"/>
  </r>
  <r>
    <d v="2018-08-08T00:00:00"/>
    <x v="6"/>
    <x v="0"/>
    <n v="2500"/>
    <n v="65"/>
    <n v="162500"/>
    <s v="20180808N300023462"/>
    <n v="2018152"/>
    <s v="Rolling"/>
    <s v="IN302679-38296183"/>
    <s v="NSE"/>
    <n v="0"/>
    <n v="4.88"/>
    <n v="14.4"/>
    <n v="96.72"/>
    <n v="115.9961"/>
  </r>
  <r>
    <d v="2018-08-08T00:00:00"/>
    <x v="6"/>
    <x v="1"/>
    <n v="2500"/>
    <n v="65.900000000000006"/>
    <n v="164750"/>
    <s v="20180808N300031702"/>
    <n v="2018152"/>
    <s v="Rolling"/>
    <s v="IN302679-38296183"/>
    <s v="NSE"/>
    <n v="40.909999999999997"/>
    <n v="4.9400000000000004"/>
    <n v="0"/>
    <n v="98.09"/>
    <n v="143.9425"/>
  </r>
  <r>
    <d v="2018-08-07T00:00:00"/>
    <x v="13"/>
    <x v="0"/>
    <n v="2750"/>
    <n v="16.5"/>
    <n v="45375"/>
    <s v="20180807N300016987"/>
    <n v="2018151"/>
    <s v="Rolling"/>
    <s v="IN302679-38296183"/>
    <s v="NSE"/>
    <n v="0"/>
    <n v="1.36"/>
    <n v="0"/>
    <n v="29.75"/>
    <n v="31.1113"/>
  </r>
  <r>
    <d v="2018-08-07T00:00:00"/>
    <x v="13"/>
    <x v="0"/>
    <n v="2500"/>
    <n v="16.7"/>
    <n v="41750"/>
    <s v="20180807N300017435"/>
    <n v="2018151"/>
    <s v="Rolling"/>
    <s v="IN302679-38296183"/>
    <s v="NSE"/>
    <n v="0"/>
    <n v="1.25"/>
    <n v="0"/>
    <n v="29.73"/>
    <n v="30.982500000000002"/>
  </r>
  <r>
    <d v="2018-08-07T00:00:00"/>
    <x v="5"/>
    <x v="0"/>
    <n v="250"/>
    <n v="575.45000000000005"/>
    <n v="143862.5"/>
    <s v="20180807N300027278"/>
    <n v="2018151"/>
    <s v="Rolling"/>
    <s v="IN302679-38296183"/>
    <s v="NSE"/>
    <n v="0"/>
    <n v="4.32"/>
    <n v="0"/>
    <n v="85.66"/>
    <n v="89.975899999999996"/>
  </r>
  <r>
    <d v="2018-08-07T00:00:00"/>
    <x v="5"/>
    <x v="1"/>
    <n v="250"/>
    <n v="573.45000000000005"/>
    <n v="143362.5"/>
    <s v="20180807N300027326"/>
    <n v="2018151"/>
    <s v="Rolling"/>
    <s v="IN302679-38296183"/>
    <s v="NSE"/>
    <n v="36.29"/>
    <n v="4.3"/>
    <n v="15"/>
    <n v="85.36"/>
    <n v="140.95079999999999"/>
  </r>
  <r>
    <d v="2018-08-07T00:00:00"/>
    <x v="13"/>
    <x v="1"/>
    <n v="5250"/>
    <n v="17.05"/>
    <n v="89512.5"/>
    <s v="20180807N300027699"/>
    <n v="2018151"/>
    <s v="Rolling"/>
    <s v="IN302679-38296183"/>
    <s v="NSE"/>
    <n v="22.07"/>
    <n v="2.69"/>
    <n v="0"/>
    <n v="53.3"/>
    <n v="78.055400000000006"/>
  </r>
  <r>
    <d v="2018-08-07T00:00:00"/>
    <x v="13"/>
    <x v="1"/>
    <n v="2000"/>
    <n v="16.8"/>
    <n v="33600"/>
    <s v="20180807N300029238"/>
    <n v="2018151"/>
    <s v="Rolling"/>
    <s v="IN302902-46841937"/>
    <s v="NSE"/>
    <n v="33.64"/>
    <n v="1.01"/>
    <n v="0"/>
    <n v="218.25"/>
    <n v="252.898"/>
  </r>
  <r>
    <d v="2018-08-06T00:00:00"/>
    <x v="78"/>
    <x v="0"/>
    <n v="100"/>
    <n v="109.75"/>
    <n v="10974.55"/>
    <s v="20180806N300016204"/>
    <n v="2018150"/>
    <s v="Rolling"/>
    <s v="IN302902-46841937"/>
    <s v="NSE"/>
    <n v="10.68"/>
    <n v="0.33"/>
    <n v="4.5"/>
    <n v="71.28"/>
    <n v="86.789199999999994"/>
  </r>
  <r>
    <d v="2018-08-06T00:00:00"/>
    <x v="13"/>
    <x v="0"/>
    <n v="2500"/>
    <n v="16.149999999999999"/>
    <n v="40375"/>
    <s v="20180806N300018320"/>
    <n v="2018150"/>
    <s v="Rolling"/>
    <s v="IN302902-46841937"/>
    <s v="NSE"/>
    <n v="0"/>
    <n v="1.21"/>
    <n v="0"/>
    <n v="29.72"/>
    <n v="30.9313"/>
  </r>
  <r>
    <d v="2018-08-06T00:00:00"/>
    <x v="78"/>
    <x v="0"/>
    <n v="150"/>
    <n v="109"/>
    <n v="16350"/>
    <s v="20180806N300020522"/>
    <n v="2018150"/>
    <s v="Rolling"/>
    <s v="IN302902-46841937"/>
    <s v="NSE"/>
    <n v="16.39"/>
    <n v="0.49"/>
    <n v="0"/>
    <n v="106.2"/>
    <n v="123.0805"/>
  </r>
  <r>
    <d v="2018-08-06T00:00:00"/>
    <x v="13"/>
    <x v="1"/>
    <n v="2500"/>
    <n v="16.399999999999999"/>
    <n v="41000"/>
    <s v="20180806N300021349"/>
    <n v="2018150"/>
    <s v="Rolling"/>
    <s v="IN302902-46841937"/>
    <s v="NSE"/>
    <n v="10.220000000000001"/>
    <n v="1.23"/>
    <n v="0"/>
    <n v="29.72"/>
    <n v="41.17"/>
  </r>
  <r>
    <d v="2018-08-06T00:00:00"/>
    <x v="13"/>
    <x v="0"/>
    <n v="2000"/>
    <n v="16.55"/>
    <n v="33100"/>
    <s v="20180806N300034005"/>
    <n v="2018150"/>
    <s v="Rolling"/>
    <s v="IN302902-46841937"/>
    <s v="NSE"/>
    <n v="32.71"/>
    <n v="0.99"/>
    <n v="0"/>
    <n v="215"/>
    <n v="248.70310000000001"/>
  </r>
  <r>
    <d v="2018-08-03T00:00:00"/>
    <x v="82"/>
    <x v="0"/>
    <n v="1100"/>
    <n v="62.25"/>
    <n v="68475"/>
    <s v="20180803N300014891"/>
    <n v="2018149"/>
    <s v="Rolling"/>
    <s v="IN302679-38296183"/>
    <s v="NSE"/>
    <n v="0"/>
    <n v="2.0499999999999998"/>
    <n v="7.8"/>
    <n v="40.78"/>
    <n v="50.6342"/>
  </r>
  <r>
    <d v="2018-08-03T00:00:00"/>
    <x v="82"/>
    <x v="1"/>
    <n v="1100"/>
    <n v="62.4"/>
    <n v="68640"/>
    <s v="20180803N300016125"/>
    <n v="2018149"/>
    <s v="Rolling"/>
    <s v="IN302679-38296183"/>
    <s v="NSE"/>
    <n v="17.14"/>
    <n v="2.06"/>
    <n v="0"/>
    <n v="40.869999999999997"/>
    <n v="60.069200000000002"/>
  </r>
  <r>
    <d v="2018-08-03T00:00:00"/>
    <x v="13"/>
    <x v="1"/>
    <n v="6000"/>
    <n v="16"/>
    <n v="96000"/>
    <s v="20180803N300020050"/>
    <n v="2018149"/>
    <s v="Rolling"/>
    <s v="IN302679-38296183"/>
    <s v="NSE"/>
    <n v="92.95"/>
    <n v="2.88"/>
    <n v="0"/>
    <n v="623.54999999999995"/>
    <n v="719.38"/>
  </r>
  <r>
    <d v="2018-08-03T00:00:00"/>
    <x v="33"/>
    <x v="0"/>
    <n v="150"/>
    <n v="60.19"/>
    <n v="9029.0499999999993"/>
    <s v="20180803N300027755"/>
    <n v="2018149"/>
    <s v="Rolling"/>
    <s v="IN302679-38296183"/>
    <s v="NSE"/>
    <n v="9.0299999999999994"/>
    <n v="0.27"/>
    <n v="0"/>
    <n v="58.64"/>
    <n v="67.940899999999999"/>
  </r>
  <r>
    <d v="2018-08-03T00:00:00"/>
    <x v="76"/>
    <x v="0"/>
    <n v="1000"/>
    <n v="6"/>
    <n v="6000"/>
    <s v="20180803N300029430"/>
    <n v="2018149"/>
    <s v="Rolling"/>
    <s v="IN302679-38296183"/>
    <s v="NSE"/>
    <n v="5.88"/>
    <n v="0.18"/>
    <n v="0"/>
    <n v="59.03"/>
    <n v="65.09"/>
  </r>
  <r>
    <d v="2018-08-03T00:00:00"/>
    <x v="13"/>
    <x v="0"/>
    <n v="250"/>
    <n v="15.8"/>
    <n v="3950"/>
    <s v="20180803N300029644"/>
    <n v="2018149"/>
    <s v="Rolling"/>
    <s v="IN302679-38296183"/>
    <s v="NSE"/>
    <n v="0"/>
    <n v="0.12"/>
    <n v="0"/>
    <n v="0.02"/>
    <n v="0.13850000000000001"/>
  </r>
  <r>
    <d v="2018-08-02T00:00:00"/>
    <x v="13"/>
    <x v="0"/>
    <n v="5000"/>
    <n v="14.7"/>
    <n v="73500"/>
    <s v="20180802N300014974"/>
    <n v="2018148"/>
    <s v="Rolling"/>
    <s v="IN302679-38296183"/>
    <s v="NSE"/>
    <n v="0"/>
    <n v="2.21"/>
    <n v="0"/>
    <n v="43.77"/>
    <n v="45.975099999999998"/>
  </r>
  <r>
    <d v="2018-08-02T00:00:00"/>
    <x v="13"/>
    <x v="1"/>
    <n v="5000"/>
    <n v="14.75"/>
    <n v="73750"/>
    <s v="20180802N300021583"/>
    <n v="2018148"/>
    <s v="Rolling"/>
    <s v="IN302679-38296183"/>
    <s v="NSE"/>
    <n v="18"/>
    <n v="2.21"/>
    <n v="4.5"/>
    <n v="43.91"/>
    <n v="68.622500000000002"/>
  </r>
  <r>
    <d v="2018-08-01T00:00:00"/>
    <x v="78"/>
    <x v="0"/>
    <n v="1100"/>
    <n v="117"/>
    <n v="128700"/>
    <s v="20180801N300025755"/>
    <n v="2018147"/>
    <s v="Rolling"/>
    <s v="IN302679-38296183"/>
    <s v="NSE"/>
    <n v="0"/>
    <n v="3.86"/>
    <n v="15.6"/>
    <n v="76.63"/>
    <n v="96.090999999999994"/>
  </r>
  <r>
    <d v="2018-08-01T00:00:00"/>
    <x v="78"/>
    <x v="1"/>
    <n v="1100"/>
    <n v="113.39"/>
    <n v="124734.45"/>
    <s v="20180801N300025821"/>
    <n v="2018147"/>
    <s v="Rolling"/>
    <s v="IN302679-38296183"/>
    <s v="NSE"/>
    <n v="31.9"/>
    <n v="3.74"/>
    <n v="0"/>
    <n v="74.27"/>
    <n v="109.9121"/>
  </r>
  <r>
    <d v="2018-08-01T00:00:00"/>
    <x v="78"/>
    <x v="0"/>
    <n v="1100"/>
    <n v="114"/>
    <n v="125400"/>
    <s v="20180801N300027188"/>
    <n v="2018147"/>
    <s v="Rolling"/>
    <s v="IN302679-38296183"/>
    <s v="NSE"/>
    <n v="0"/>
    <n v="3.76"/>
    <n v="0"/>
    <n v="74.66"/>
    <n v="78.4221"/>
  </r>
  <r>
    <d v="2018-08-01T00:00:00"/>
    <x v="78"/>
    <x v="1"/>
    <n v="1100"/>
    <n v="114"/>
    <n v="125400"/>
    <s v="20180801N300030018"/>
    <n v="2018147"/>
    <s v="Rolling"/>
    <s v="IN302679-38296183"/>
    <s v="NSE"/>
    <n v="40.950000000000003"/>
    <n v="3.76"/>
    <n v="0"/>
    <n v="74.67"/>
    <n v="119.38209999999999"/>
  </r>
  <r>
    <d v="2018-08-01T00:00:00"/>
    <x v="78"/>
    <x v="1"/>
    <n v="110"/>
    <n v="112"/>
    <n v="12320"/>
    <s v="20180801N900000311"/>
    <n v="2018147"/>
    <s v="Rolling"/>
    <s v="IN302902-46841937"/>
    <s v="NSE"/>
    <n v="3.15"/>
    <n v="0.37"/>
    <n v="0"/>
    <n v="80.02"/>
    <n v="83.539599999999993"/>
  </r>
  <r>
    <d v="2018-07-31T00:00:00"/>
    <x v="13"/>
    <x v="0"/>
    <n v="1000"/>
    <n v="14.1"/>
    <n v="14100"/>
    <s v="20180731N300017065"/>
    <n v="2018146"/>
    <s v="Rolling"/>
    <s v="IN302679-38296183"/>
    <s v="NSE"/>
    <n v="0"/>
    <n v="0.42"/>
    <n v="0"/>
    <n v="29.58"/>
    <n v="30.0029"/>
  </r>
  <r>
    <d v="2018-07-31T00:00:00"/>
    <x v="13"/>
    <x v="0"/>
    <n v="5000"/>
    <n v="14"/>
    <n v="70000"/>
    <s v="20180731N300018246"/>
    <n v="2018146"/>
    <s v="Rolling"/>
    <s v="IN302679-38296183"/>
    <s v="NSE"/>
    <n v="0"/>
    <n v="2.1"/>
    <n v="0"/>
    <n v="41.68"/>
    <n v="43.78"/>
  </r>
  <r>
    <d v="2018-07-31T00:00:00"/>
    <x v="13"/>
    <x v="1"/>
    <n v="6000"/>
    <n v="14.1"/>
    <n v="84600"/>
    <s v="20180731N300019000"/>
    <n v="2018146"/>
    <s v="Rolling"/>
    <s v="IN302679-38296183"/>
    <s v="NSE"/>
    <n v="21"/>
    <n v="2.54"/>
    <n v="5.0999999999999996"/>
    <n v="50.37"/>
    <n v="79.007999999999996"/>
  </r>
  <r>
    <d v="2018-07-30T00:00:00"/>
    <x v="78"/>
    <x v="0"/>
    <n v="100"/>
    <n v="110"/>
    <n v="11000"/>
    <s v="20180730N300014024"/>
    <n v="2018145"/>
    <s v="Rolling"/>
    <s v="IN302902-46841937"/>
    <s v="NSE"/>
    <n v="10.98"/>
    <n v="0.33"/>
    <n v="0"/>
    <n v="71.45"/>
    <n v="82.76"/>
  </r>
  <r>
    <d v="2018-07-30T00:00:00"/>
    <x v="78"/>
    <x v="0"/>
    <n v="10"/>
    <n v="107.66"/>
    <n v="1076.55"/>
    <s v="20180730N300026360"/>
    <n v="2018145"/>
    <s v="Rolling"/>
    <s v="IN302902-46841937"/>
    <s v="NSE"/>
    <n v="1.02"/>
    <n v="0.03"/>
    <n v="0.6"/>
    <n v="31.77"/>
    <n v="33.422400000000003"/>
  </r>
  <r>
    <d v="2018-07-19T00:00:00"/>
    <x v="83"/>
    <x v="1"/>
    <n v="10"/>
    <n v="130.9"/>
    <n v="1309"/>
    <s v="20180719N300012451"/>
    <n v="2018138"/>
    <s v="Rolling"/>
    <s v="IN302679-38296183"/>
    <s v="NSE"/>
    <n v="1"/>
    <n v="0.04"/>
    <n v="0.3"/>
    <n v="38.619999999999997"/>
    <n v="39.959299999999999"/>
  </r>
  <r>
    <d v="2018-07-18T00:00:00"/>
    <x v="47"/>
    <x v="0"/>
    <n v="500"/>
    <n v="80.099999999999994"/>
    <n v="40050"/>
    <s v="20180718N300012750"/>
    <n v="2018137"/>
    <s v="Rolling"/>
    <s v="IN302679-38296183"/>
    <s v="NSE"/>
    <n v="0"/>
    <n v="1.2"/>
    <n v="0"/>
    <n v="29.72"/>
    <n v="30.921399999999998"/>
  </r>
  <r>
    <d v="2018-07-18T00:00:00"/>
    <x v="47"/>
    <x v="1"/>
    <n v="106"/>
    <n v="75.8"/>
    <n v="8034.8"/>
    <s v="20180718N300017473"/>
    <n v="2018137"/>
    <s v="Rolling"/>
    <s v="IN302679-38296183"/>
    <s v="NSE"/>
    <n v="2.4"/>
    <n v="0.24"/>
    <n v="6.9"/>
    <n v="29.54"/>
    <n v="39.081000000000003"/>
  </r>
  <r>
    <d v="2018-07-18T00:00:00"/>
    <x v="47"/>
    <x v="0"/>
    <n v="1000"/>
    <n v="76.099999999999994"/>
    <n v="76100"/>
    <s v="20180718N300018919"/>
    <n v="2018137"/>
    <s v="Rolling"/>
    <s v="IN302679-38296183"/>
    <s v="NSE"/>
    <n v="0"/>
    <n v="2.2799999999999998"/>
    <n v="0"/>
    <n v="45.31"/>
    <n v="47.5931"/>
  </r>
  <r>
    <d v="2018-07-18T00:00:00"/>
    <x v="47"/>
    <x v="1"/>
    <n v="1394"/>
    <n v="75.150000000000006"/>
    <n v="104759.1"/>
    <s v="20180718N300027277"/>
    <n v="2018137"/>
    <s v="Rolling"/>
    <s v="IN302679-38296183"/>
    <s v="NSE"/>
    <n v="26.6"/>
    <n v="3.14"/>
    <n v="0"/>
    <n v="62.37"/>
    <n v="92.112700000000004"/>
  </r>
  <r>
    <d v="2018-07-06T00:00:00"/>
    <x v="83"/>
    <x v="0"/>
    <n v="10"/>
    <n v="81"/>
    <n v="810"/>
    <s v="20180706N300013753"/>
    <n v="2018129"/>
    <s v="Rolling"/>
    <s v="IN302679-38296183"/>
    <s v="NSE"/>
    <n v="1"/>
    <n v="0.02"/>
    <n v="0.3"/>
    <n v="23.9"/>
    <n v="25.224299999999999"/>
  </r>
  <r>
    <d v="2018-06-26T00:00:00"/>
    <x v="41"/>
    <x v="0"/>
    <n v="500"/>
    <n v="303.45"/>
    <n v="151725.9"/>
    <s v="20180626N300014603"/>
    <n v="2018121"/>
    <s v="Rolling"/>
    <s v="IN302679-38296183"/>
    <s v="NSE"/>
    <n v="0"/>
    <n v="4.55"/>
    <n v="0"/>
    <n v="90.33"/>
    <n v="94.881699999999995"/>
  </r>
  <r>
    <d v="2018-06-26T00:00:00"/>
    <x v="41"/>
    <x v="0"/>
    <n v="1000"/>
    <n v="300"/>
    <n v="300000"/>
    <s v="20180626N300024052"/>
    <n v="2018121"/>
    <s v="Rolling"/>
    <s v="IN302679-38296183"/>
    <s v="NSE"/>
    <n v="0"/>
    <n v="9"/>
    <n v="0"/>
    <n v="178.62"/>
    <n v="187.62"/>
  </r>
  <r>
    <d v="2018-06-26T00:00:00"/>
    <x v="41"/>
    <x v="1"/>
    <n v="1500"/>
    <n v="298.91000000000003"/>
    <n v="448366.65"/>
    <s v="20180626N300025804"/>
    <n v="2018121"/>
    <s v="Rolling"/>
    <s v="IN302679-38296183"/>
    <s v="NSE"/>
    <n v="113"/>
    <n v="13.45"/>
    <n v="27.3"/>
    <n v="266.99"/>
    <n v="420.74029999999999"/>
  </r>
  <r>
    <d v="2018-06-22T00:00:00"/>
    <x v="41"/>
    <x v="0"/>
    <n v="100"/>
    <n v="313.60000000000002"/>
    <n v="31359.75"/>
    <s v="20180622N300013273"/>
    <n v="2018119"/>
    <s v="Rolling"/>
    <s v="IN302679-38296183"/>
    <s v="NSE"/>
    <n v="0"/>
    <n v="0.94"/>
    <n v="23.4"/>
    <n v="29.67"/>
    <n v="54.0107"/>
  </r>
  <r>
    <d v="2018-06-22T00:00:00"/>
    <x v="41"/>
    <x v="0"/>
    <n v="500"/>
    <n v="313"/>
    <n v="156500"/>
    <s v="20180622N300018494"/>
    <n v="2018119"/>
    <s v="Rolling"/>
    <s v="IN302679-38296183"/>
    <s v="NSE"/>
    <n v="0"/>
    <n v="4.7"/>
    <n v="0"/>
    <n v="93.18"/>
    <n v="97.875100000000003"/>
  </r>
  <r>
    <d v="2018-06-22T00:00:00"/>
    <x v="41"/>
    <x v="0"/>
    <n v="500"/>
    <n v="309.25"/>
    <n v="154625"/>
    <s v="20180622N300019009"/>
    <n v="2018119"/>
    <s v="Rolling"/>
    <s v="IN302679-38296183"/>
    <s v="NSE"/>
    <n v="0"/>
    <n v="4.6399999999999997"/>
    <n v="0"/>
    <n v="92.06"/>
    <n v="96.698700000000002"/>
  </r>
  <r>
    <d v="2018-06-22T00:00:00"/>
    <x v="41"/>
    <x v="0"/>
    <n v="150"/>
    <n v="311.25"/>
    <n v="46687.5"/>
    <s v="20180622N300020265"/>
    <n v="2018119"/>
    <s v="Rolling"/>
    <s v="IN302679-38296183"/>
    <s v="NSE"/>
    <n v="0"/>
    <n v="1.4"/>
    <n v="0"/>
    <n v="29.75"/>
    <n v="31.150600000000001"/>
  </r>
  <r>
    <d v="2018-06-22T00:00:00"/>
    <x v="41"/>
    <x v="1"/>
    <n v="1250"/>
    <n v="310.25"/>
    <n v="387812.5"/>
    <s v="20180622N300024441"/>
    <n v="2018119"/>
    <s v="Rolling"/>
    <s v="IN302679-38296183"/>
    <s v="NSE"/>
    <n v="97"/>
    <n v="11.63"/>
    <n v="0"/>
    <n v="230.91"/>
    <n v="339.54450000000003"/>
  </r>
  <r>
    <d v="2018-06-20T00:00:00"/>
    <x v="41"/>
    <x v="0"/>
    <n v="250"/>
    <n v="309"/>
    <n v="77250"/>
    <s v="20180620N300019606"/>
    <n v="2018117"/>
    <s v="Rolling"/>
    <s v="IN302679-38296183"/>
    <s v="NSE"/>
    <n v="0"/>
    <n v="2.3199999999999998"/>
    <n v="0"/>
    <n v="45.99"/>
    <n v="48.307499999999997"/>
  </r>
  <r>
    <d v="2018-06-20T00:00:00"/>
    <x v="41"/>
    <x v="1"/>
    <n v="250"/>
    <n v="308.25"/>
    <n v="77062.5"/>
    <s v="20180620N300020465"/>
    <n v="2018117"/>
    <s v="Rolling"/>
    <s v="IN302679-38296183"/>
    <s v="NSE"/>
    <n v="19.45"/>
    <n v="2.31"/>
    <n v="6.3"/>
    <n v="45.87"/>
    <n v="73.931899999999999"/>
  </r>
  <r>
    <d v="2018-06-20T00:00:00"/>
    <x v="33"/>
    <x v="1"/>
    <n v="900"/>
    <n v="59.5"/>
    <n v="53550"/>
    <s v="20180620N900014269"/>
    <n v="2018117"/>
    <s v="Rolling"/>
    <s v="IN302679-38296183"/>
    <s v="NSE"/>
    <n v="53.55"/>
    <n v="1.61"/>
    <n v="0"/>
    <n v="347.82"/>
    <n v="402.97660000000002"/>
  </r>
  <r>
    <d v="2018-06-19T00:00:00"/>
    <x v="41"/>
    <x v="1"/>
    <n v="1000"/>
    <n v="315"/>
    <n v="315000"/>
    <s v="20180619N900013987"/>
    <n v="2018116"/>
    <s v="Rolling"/>
    <s v="IN302902-46841937"/>
    <s v="NSE"/>
    <n v="315"/>
    <n v="9.4499999999999993"/>
    <n v="9.6"/>
    <n v="2046.11"/>
    <n v="2380.1606999999999"/>
  </r>
  <r>
    <d v="2018-06-18T00:00:00"/>
    <x v="41"/>
    <x v="0"/>
    <n v="250"/>
    <n v="322.10000000000002"/>
    <n v="80525"/>
    <s v="20180618N300019051"/>
    <n v="2018115"/>
    <s v="Rolling"/>
    <s v="IN302902-46841937"/>
    <s v="NSE"/>
    <n v="0"/>
    <n v="2.42"/>
    <n v="0"/>
    <n v="47.94"/>
    <n v="50.355800000000002"/>
  </r>
  <r>
    <d v="2018-06-18T00:00:00"/>
    <x v="41"/>
    <x v="1"/>
    <n v="250"/>
    <n v="323.85000000000002"/>
    <n v="80962.5"/>
    <s v="20180618N300019828"/>
    <n v="2018115"/>
    <s v="Rolling"/>
    <s v="IN302902-46841937"/>
    <s v="NSE"/>
    <n v="19.97"/>
    <n v="2.4300000000000002"/>
    <n v="33.9"/>
    <n v="48.2"/>
    <n v="104.49930000000001"/>
  </r>
  <r>
    <d v="2018-06-18T00:00:00"/>
    <x v="41"/>
    <x v="0"/>
    <n v="1000"/>
    <n v="323.5"/>
    <n v="323500"/>
    <s v="20180618N300021111"/>
    <n v="2018115"/>
    <s v="Rolling"/>
    <s v="IN302902-46841937"/>
    <s v="NSE"/>
    <n v="0"/>
    <n v="9.6999999999999993"/>
    <n v="0"/>
    <n v="192.62"/>
    <n v="202.32490000000001"/>
  </r>
  <r>
    <d v="2018-06-18T00:00:00"/>
    <x v="41"/>
    <x v="1"/>
    <n v="1000"/>
    <n v="322.25"/>
    <n v="322250"/>
    <s v="20180618N300022231"/>
    <n v="2018115"/>
    <s v="Rolling"/>
    <s v="IN302902-46841937"/>
    <s v="NSE"/>
    <n v="80.61"/>
    <n v="9.67"/>
    <n v="0"/>
    <n v="191.87"/>
    <n v="282.14749999999998"/>
  </r>
  <r>
    <d v="2018-06-18T00:00:00"/>
    <x v="41"/>
    <x v="0"/>
    <n v="1000"/>
    <n v="321.25"/>
    <n v="321250"/>
    <s v="20180618N300023937"/>
    <n v="2018115"/>
    <s v="Rolling"/>
    <s v="IN302902-46841937"/>
    <s v="NSE"/>
    <n v="322.43"/>
    <n v="9.64"/>
    <n v="0"/>
    <n v="2086.64"/>
    <n v="2418.7078000000001"/>
  </r>
  <r>
    <d v="2018-06-15T00:00:00"/>
    <x v="49"/>
    <x v="0"/>
    <n v="60"/>
    <n v="280"/>
    <n v="16800"/>
    <s v="20180615N200003289"/>
    <n v="2018114"/>
    <s v="Rolling"/>
    <s v="IN302679-38296183"/>
    <s v="NSE"/>
    <n v="0"/>
    <n v="0.5"/>
    <n v="34.200000000000003"/>
    <n v="29.59"/>
    <n v="64.293999999999997"/>
  </r>
  <r>
    <d v="2018-06-15T00:00:00"/>
    <x v="49"/>
    <x v="1"/>
    <n v="60"/>
    <n v="281.85000000000002"/>
    <n v="16910.75"/>
    <s v="20180615N200004589"/>
    <n v="2018114"/>
    <s v="Rolling"/>
    <s v="IN302679-38296183"/>
    <s v="NSE"/>
    <n v="3.98"/>
    <n v="0.51"/>
    <n v="0"/>
    <n v="29.59"/>
    <n v="34.077300000000001"/>
  </r>
  <r>
    <d v="2018-06-15T00:00:00"/>
    <x v="47"/>
    <x v="0"/>
    <n v="1000"/>
    <n v="92.8"/>
    <n v="92800"/>
    <s v="20180615N200005775"/>
    <n v="2018114"/>
    <s v="Rolling"/>
    <s v="IN302679-38296183"/>
    <s v="NSE"/>
    <n v="0"/>
    <n v="2.78"/>
    <n v="0"/>
    <n v="55.26"/>
    <n v="58.043900000000001"/>
  </r>
  <r>
    <d v="2018-06-15T00:00:00"/>
    <x v="47"/>
    <x v="1"/>
    <n v="1000"/>
    <n v="92.7"/>
    <n v="92700"/>
    <s v="20180615N200006823"/>
    <n v="2018114"/>
    <s v="Rolling"/>
    <s v="IN302679-38296183"/>
    <s v="NSE"/>
    <n v="23.19"/>
    <n v="2.78"/>
    <n v="0"/>
    <n v="55.19"/>
    <n v="81.161100000000005"/>
  </r>
  <r>
    <d v="2018-06-15T00:00:00"/>
    <x v="41"/>
    <x v="0"/>
    <n v="1000"/>
    <n v="306.64999999999998"/>
    <n v="306650"/>
    <s v="20180615N200009336"/>
    <n v="2018114"/>
    <s v="Rolling"/>
    <s v="IN302679-38296183"/>
    <s v="NSE"/>
    <n v="0"/>
    <n v="9.1999999999999993"/>
    <n v="0"/>
    <n v="182.56"/>
    <n v="191.7595"/>
  </r>
  <r>
    <d v="2018-06-15T00:00:00"/>
    <x v="41"/>
    <x v="0"/>
    <n v="500"/>
    <n v="304.3"/>
    <n v="152150"/>
    <s v="20180615N200021269"/>
    <n v="2018114"/>
    <s v="Rolling"/>
    <s v="IN302679-38296183"/>
    <s v="NSE"/>
    <n v="0"/>
    <n v="4.5599999999999996"/>
    <n v="0"/>
    <n v="90.59"/>
    <n v="95.154499999999999"/>
  </r>
  <r>
    <d v="2018-06-15T00:00:00"/>
    <x v="41"/>
    <x v="1"/>
    <n v="1500"/>
    <n v="306.55"/>
    <n v="459825"/>
    <s v="20180615N200021564"/>
    <n v="2018114"/>
    <s v="Rolling"/>
    <s v="IN302679-38296183"/>
    <s v="NSE"/>
    <n v="114.83"/>
    <n v="13.79"/>
    <n v="0"/>
    <n v="273.77999999999997"/>
    <n v="402.40469999999999"/>
  </r>
  <r>
    <d v="2018-06-14T00:00:00"/>
    <x v="70"/>
    <x v="0"/>
    <n v="500"/>
    <n v="269.42"/>
    <n v="134711.45000000001"/>
    <s v="20180614N300015503"/>
    <n v="2018113"/>
    <s v="Rolling"/>
    <s v="IN302679-38296183"/>
    <s v="NSE"/>
    <n v="0"/>
    <n v="4.04"/>
    <n v="8.1"/>
    <n v="80.209999999999994"/>
    <n v="92.351399999999998"/>
  </r>
  <r>
    <d v="2018-06-14T00:00:00"/>
    <x v="70"/>
    <x v="1"/>
    <n v="500"/>
    <n v="268.61"/>
    <n v="134304.5"/>
    <s v="20180614N300015532"/>
    <n v="2018113"/>
    <s v="Rolling"/>
    <s v="IN302679-38296183"/>
    <s v="NSE"/>
    <n v="34"/>
    <n v="4.03"/>
    <n v="0"/>
    <n v="79.94"/>
    <n v="117.96899999999999"/>
  </r>
  <r>
    <d v="2018-06-13T00:00:00"/>
    <x v="47"/>
    <x v="0"/>
    <n v="500"/>
    <n v="92.5"/>
    <n v="46250"/>
    <s v="20180613N200000888"/>
    <n v="2018112"/>
    <s v="Rolling"/>
    <s v="IN302679-38296183"/>
    <s v="NSE"/>
    <n v="0"/>
    <n v="1.39"/>
    <n v="21.9"/>
    <n v="29.75"/>
    <n v="53.037500000000001"/>
  </r>
  <r>
    <d v="2018-06-13T00:00:00"/>
    <x v="47"/>
    <x v="1"/>
    <n v="500"/>
    <n v="92.85"/>
    <n v="46425"/>
    <s v="20180613N300020482"/>
    <n v="2018112"/>
    <s v="Rolling"/>
    <s v="IN302679-38296183"/>
    <s v="NSE"/>
    <n v="11.43"/>
    <n v="1.39"/>
    <n v="0"/>
    <n v="29.75"/>
    <n v="42.572699999999998"/>
  </r>
  <r>
    <d v="2018-06-13T00:00:00"/>
    <x v="41"/>
    <x v="0"/>
    <n v="1000"/>
    <n v="313.10000000000002"/>
    <n v="313100"/>
    <s v="20180613N300020940"/>
    <n v="2018112"/>
    <s v="Rolling"/>
    <s v="IN302679-38296183"/>
    <s v="NSE"/>
    <n v="0"/>
    <n v="9.39"/>
    <n v="0"/>
    <n v="186.42"/>
    <n v="195.81290000000001"/>
  </r>
  <r>
    <d v="2018-06-13T00:00:00"/>
    <x v="41"/>
    <x v="1"/>
    <n v="1000"/>
    <n v="315.5"/>
    <n v="315500"/>
    <s v="20180613N300020984"/>
    <n v="2018112"/>
    <s v="Rolling"/>
    <s v="IN302679-38296183"/>
    <s v="NSE"/>
    <n v="78.58"/>
    <n v="9.4700000000000006"/>
    <n v="0"/>
    <n v="187.85"/>
    <n v="275.89510000000001"/>
  </r>
  <r>
    <d v="2018-06-12T00:00:00"/>
    <x v="5"/>
    <x v="0"/>
    <n v="250"/>
    <n v="608"/>
    <n v="152000"/>
    <s v="20180612N300013601"/>
    <n v="2018111"/>
    <s v="Rolling"/>
    <s v="IN302679-38296183"/>
    <s v="NSE"/>
    <n v="0"/>
    <n v="4.5599999999999996"/>
    <n v="0"/>
    <n v="90.5"/>
    <n v="95.06"/>
  </r>
  <r>
    <d v="2018-06-12T00:00:00"/>
    <x v="5"/>
    <x v="1"/>
    <n v="250"/>
    <n v="611"/>
    <n v="152750"/>
    <s v="20180612N300013655"/>
    <n v="2018111"/>
    <s v="Rolling"/>
    <s v="IN302679-38296183"/>
    <s v="NSE"/>
    <n v="38.11"/>
    <n v="4.58"/>
    <n v="0"/>
    <n v="90.95"/>
    <n v="133.64250000000001"/>
  </r>
  <r>
    <d v="2018-06-12T00:00:00"/>
    <x v="41"/>
    <x v="0"/>
    <n v="500"/>
    <n v="316"/>
    <n v="158000"/>
    <s v="20180612N300013873"/>
    <n v="2018111"/>
    <s v="Rolling"/>
    <s v="IN302679-38296183"/>
    <s v="NSE"/>
    <n v="0"/>
    <n v="4.74"/>
    <n v="30"/>
    <n v="94.06"/>
    <n v="128.80000000000001"/>
  </r>
  <r>
    <d v="2018-06-12T00:00:00"/>
    <x v="41"/>
    <x v="0"/>
    <n v="250"/>
    <n v="316.39"/>
    <n v="79096.649999999994"/>
    <s v="20180612N300016831"/>
    <n v="2018111"/>
    <s v="Rolling"/>
    <s v="IN302679-38296183"/>
    <s v="NSE"/>
    <n v="0"/>
    <n v="2.37"/>
    <n v="0"/>
    <n v="47.13"/>
    <n v="49.502299999999998"/>
  </r>
  <r>
    <d v="2018-06-12T00:00:00"/>
    <x v="41"/>
    <x v="0"/>
    <n v="250"/>
    <n v="315.25"/>
    <n v="78812.5"/>
    <s v="20180612N300019095"/>
    <n v="2018111"/>
    <s v="Rolling"/>
    <s v="IN302679-38296183"/>
    <s v="NSE"/>
    <n v="0"/>
    <n v="2.36"/>
    <n v="0"/>
    <n v="46.93"/>
    <n v="49.294400000000003"/>
  </r>
  <r>
    <d v="2018-06-12T00:00:00"/>
    <x v="41"/>
    <x v="1"/>
    <n v="1000"/>
    <n v="316.7"/>
    <n v="316700"/>
    <s v="20180612N300019934"/>
    <n v="2018111"/>
    <s v="Rolling"/>
    <s v="IN302679-38296183"/>
    <s v="NSE"/>
    <n v="78.92"/>
    <n v="9.5"/>
    <n v="0"/>
    <n v="188.56"/>
    <n v="276.98099999999999"/>
  </r>
  <r>
    <d v="2018-06-12T00:00:00"/>
    <x v="5"/>
    <x v="1"/>
    <n v="100"/>
    <n v="611"/>
    <n v="61100"/>
    <s v="20180612N900013689"/>
    <n v="2018111"/>
    <s v="Rolling"/>
    <s v="IN302902-46841937"/>
    <s v="NSE"/>
    <n v="60.98"/>
    <n v="1.83"/>
    <n v="0"/>
    <n v="396.87"/>
    <n v="459.68310000000002"/>
  </r>
  <r>
    <d v="2018-06-11T00:00:00"/>
    <x v="41"/>
    <x v="0"/>
    <n v="500"/>
    <n v="311.43"/>
    <n v="155713.15"/>
    <s v="20180611N300014348"/>
    <n v="2018110"/>
    <s v="Rolling"/>
    <s v="IN302679-38296183"/>
    <s v="NSE"/>
    <n v="0"/>
    <n v="4.67"/>
    <n v="11.7"/>
    <n v="92.74"/>
    <n v="109.11150000000001"/>
  </r>
  <r>
    <d v="2018-06-11T00:00:00"/>
    <x v="20"/>
    <x v="0"/>
    <n v="250"/>
    <n v="147.25"/>
    <n v="36812.5"/>
    <s v="20180611N300017998"/>
    <n v="2018110"/>
    <s v="Rolling"/>
    <s v="IN302679-38296183"/>
    <s v="NSE"/>
    <n v="0"/>
    <n v="1.1000000000000001"/>
    <n v="0"/>
    <n v="29.7"/>
    <n v="30.804400000000001"/>
  </r>
  <r>
    <d v="2018-06-11T00:00:00"/>
    <x v="41"/>
    <x v="1"/>
    <n v="500"/>
    <n v="313.25"/>
    <n v="156625"/>
    <s v="20180611N300018231"/>
    <n v="2018110"/>
    <s v="Rolling"/>
    <s v="IN302679-38296183"/>
    <s v="NSE"/>
    <n v="38.869999999999997"/>
    <n v="4.7"/>
    <n v="0"/>
    <n v="93.25"/>
    <n v="136.81870000000001"/>
  </r>
  <r>
    <d v="2018-06-11T00:00:00"/>
    <x v="20"/>
    <x v="1"/>
    <n v="250"/>
    <n v="144.80000000000001"/>
    <n v="36200"/>
    <s v="20180611N300028315"/>
    <n v="2018110"/>
    <s v="Rolling"/>
    <s v="IN302679-38296183"/>
    <s v="NSE"/>
    <n v="9.1300000000000008"/>
    <n v="1.0900000000000001"/>
    <n v="0"/>
    <n v="29.69"/>
    <n v="39.905999999999999"/>
  </r>
  <r>
    <d v="2018-06-08T00:00:00"/>
    <x v="5"/>
    <x v="0"/>
    <n v="100"/>
    <n v="610"/>
    <n v="61000"/>
    <s v="20180608N300014671"/>
    <n v="2018109"/>
    <s v="Rolling"/>
    <s v="IN302679-38296183"/>
    <s v="NSE"/>
    <n v="0"/>
    <n v="1.83"/>
    <n v="0"/>
    <n v="36.32"/>
    <n v="38.15"/>
  </r>
  <r>
    <d v="2018-06-08T00:00:00"/>
    <x v="5"/>
    <x v="1"/>
    <n v="100"/>
    <n v="612"/>
    <n v="61200"/>
    <s v="20180608N300018818"/>
    <n v="2018109"/>
    <s v="Rolling"/>
    <s v="IN302679-38296183"/>
    <s v="NSE"/>
    <n v="15"/>
    <n v="1.84"/>
    <n v="3.9"/>
    <n v="36.44"/>
    <n v="57.176000000000002"/>
  </r>
  <r>
    <d v="2018-06-07T00:00:00"/>
    <x v="84"/>
    <x v="0"/>
    <n v="1000"/>
    <n v="57.9"/>
    <n v="57900"/>
    <s v="20180607N300014977"/>
    <n v="2018108"/>
    <s v="Rolling"/>
    <s v="IN302679-38296183"/>
    <s v="NSE"/>
    <n v="0"/>
    <n v="1.74"/>
    <n v="0"/>
    <n v="34.46"/>
    <n v="36.197099999999999"/>
  </r>
  <r>
    <d v="2018-06-07T00:00:00"/>
    <x v="84"/>
    <x v="0"/>
    <n v="500"/>
    <n v="57.45"/>
    <n v="28725"/>
    <s v="20180607N300016962"/>
    <n v="2018108"/>
    <s v="Rolling"/>
    <s v="IN302679-38296183"/>
    <s v="NSE"/>
    <n v="0"/>
    <n v="0.86"/>
    <n v="5.4"/>
    <n v="29.66"/>
    <n v="35.921799999999998"/>
  </r>
  <r>
    <d v="2018-06-07T00:00:00"/>
    <x v="84"/>
    <x v="1"/>
    <n v="1500"/>
    <n v="57.85"/>
    <n v="86775"/>
    <s v="20180607N300017015"/>
    <n v="2018108"/>
    <s v="Rolling"/>
    <s v="IN302679-38296183"/>
    <s v="NSE"/>
    <n v="22"/>
    <n v="2.6"/>
    <n v="0"/>
    <n v="51.67"/>
    <n v="76.273300000000006"/>
  </r>
  <r>
    <d v="2018-06-06T00:00:00"/>
    <x v="5"/>
    <x v="0"/>
    <n v="100"/>
    <n v="600"/>
    <n v="60000"/>
    <s v="20180606N300015348"/>
    <n v="2018107"/>
    <s v="Rolling"/>
    <s v="IN302679-38296183"/>
    <s v="NSE"/>
    <n v="0"/>
    <n v="1.8"/>
    <n v="0"/>
    <n v="35.72"/>
    <n v="37.520000000000003"/>
  </r>
  <r>
    <d v="2018-06-06T00:00:00"/>
    <x v="5"/>
    <x v="0"/>
    <n v="150"/>
    <n v="603"/>
    <n v="90450"/>
    <s v="20180606N300016499"/>
    <n v="2018107"/>
    <s v="Rolling"/>
    <s v="IN302679-38296183"/>
    <s v="NSE"/>
    <n v="0"/>
    <n v="2.71"/>
    <n v="0"/>
    <n v="53.85"/>
    <n v="56.563499999999998"/>
  </r>
  <r>
    <d v="2018-06-06T00:00:00"/>
    <x v="5"/>
    <x v="1"/>
    <n v="250"/>
    <n v="612"/>
    <n v="153000"/>
    <s v="20180606N300016807"/>
    <n v="2018107"/>
    <s v="Rolling"/>
    <s v="IN302679-38296183"/>
    <s v="NSE"/>
    <n v="37.93"/>
    <n v="4.59"/>
    <n v="0"/>
    <n v="91.1"/>
    <n v="133.62"/>
  </r>
  <r>
    <d v="2018-06-06T00:00:00"/>
    <x v="6"/>
    <x v="0"/>
    <n v="1500"/>
    <n v="68.150000000000006"/>
    <n v="102225"/>
    <s v="20180606N300017632"/>
    <n v="2018107"/>
    <s v="Rolling"/>
    <s v="IN302679-38296183"/>
    <s v="NSE"/>
    <n v="0"/>
    <n v="3.07"/>
    <n v="0"/>
    <n v="60.86"/>
    <n v="63.926699999999997"/>
  </r>
  <r>
    <d v="2018-06-06T00:00:00"/>
    <x v="6"/>
    <x v="1"/>
    <n v="1500"/>
    <n v="66.67"/>
    <n v="99997.9"/>
    <s v="20180606N300017824"/>
    <n v="2018107"/>
    <s v="Rolling"/>
    <s v="IN302679-38296183"/>
    <s v="NSE"/>
    <n v="25.1"/>
    <n v="3"/>
    <n v="20.100000000000001"/>
    <n v="59.54"/>
    <n v="107.73990000000001"/>
  </r>
  <r>
    <d v="2018-06-06T00:00:00"/>
    <x v="13"/>
    <x v="0"/>
    <n v="5000"/>
    <n v="15.85"/>
    <n v="79250"/>
    <s v="20180606N300023180"/>
    <n v="2018107"/>
    <s v="Rolling"/>
    <s v="IN302679-38296183"/>
    <s v="NSE"/>
    <n v="0"/>
    <n v="2.38"/>
    <n v="0"/>
    <n v="47.19"/>
    <n v="49.567500000000003"/>
  </r>
  <r>
    <d v="2018-06-06T00:00:00"/>
    <x v="13"/>
    <x v="1"/>
    <n v="5000"/>
    <n v="16.100000000000001"/>
    <n v="80500"/>
    <s v="20180606N300027423"/>
    <n v="2018107"/>
    <s v="Rolling"/>
    <s v="IN302679-38296183"/>
    <s v="NSE"/>
    <n v="19.97"/>
    <n v="2.42"/>
    <n v="0"/>
    <n v="47.93"/>
    <n v="70.315100000000001"/>
  </r>
  <r>
    <d v="2018-06-05T00:00:00"/>
    <x v="20"/>
    <x v="0"/>
    <n v="100"/>
    <n v="130"/>
    <n v="13000"/>
    <s v="20180605N300015849"/>
    <n v="2018106"/>
    <s v="Rolling"/>
    <s v="IN302679-38296183"/>
    <s v="NSE"/>
    <n v="0"/>
    <n v="0.39"/>
    <n v="0"/>
    <n v="29.57"/>
    <n v="29.96"/>
  </r>
  <r>
    <d v="2018-06-05T00:00:00"/>
    <x v="20"/>
    <x v="0"/>
    <n v="150"/>
    <n v="130.5"/>
    <n v="19575"/>
    <s v="20180605N300016878"/>
    <n v="2018106"/>
    <s v="Rolling"/>
    <s v="IN302679-38296183"/>
    <s v="NSE"/>
    <n v="0"/>
    <n v="0.59"/>
    <n v="0"/>
    <n v="29.61"/>
    <n v="30.197299999999998"/>
  </r>
  <r>
    <d v="2018-06-05T00:00:00"/>
    <x v="20"/>
    <x v="0"/>
    <n v="250"/>
    <n v="133"/>
    <n v="33250"/>
    <s v="20180605N300018323"/>
    <n v="2018106"/>
    <s v="Rolling"/>
    <s v="IN302679-38296183"/>
    <s v="NSE"/>
    <n v="0"/>
    <n v="1"/>
    <n v="0"/>
    <n v="29.68"/>
    <n v="30.677600000000002"/>
  </r>
  <r>
    <d v="2018-06-05T00:00:00"/>
    <x v="20"/>
    <x v="1"/>
    <n v="500"/>
    <n v="133"/>
    <n v="66500"/>
    <s v="20180605N300021318"/>
    <n v="2018106"/>
    <s v="Rolling"/>
    <s v="IN302679-38296183"/>
    <s v="NSE"/>
    <n v="16.5"/>
    <n v="2"/>
    <n v="0"/>
    <n v="39.590000000000003"/>
    <n v="58.085099999999997"/>
  </r>
  <r>
    <d v="2018-06-05T00:00:00"/>
    <x v="20"/>
    <x v="0"/>
    <n v="500"/>
    <n v="132"/>
    <n v="66000"/>
    <s v="20180605N300022769"/>
    <n v="2018106"/>
    <s v="Rolling"/>
    <s v="IN302679-38296183"/>
    <s v="NSE"/>
    <n v="0"/>
    <n v="1.98"/>
    <n v="0"/>
    <n v="39.299999999999997"/>
    <n v="41.28"/>
  </r>
  <r>
    <d v="2018-06-05T00:00:00"/>
    <x v="20"/>
    <x v="1"/>
    <n v="500"/>
    <n v="131.5"/>
    <n v="65750"/>
    <s v="20180605N300022868"/>
    <n v="2018106"/>
    <s v="Rolling"/>
    <s v="IN302679-38296183"/>
    <s v="NSE"/>
    <n v="16.5"/>
    <n v="1.97"/>
    <n v="0"/>
    <n v="39.15"/>
    <n v="57.622500000000002"/>
  </r>
  <r>
    <d v="2018-06-05T00:00:00"/>
    <x v="6"/>
    <x v="0"/>
    <n v="1000"/>
    <n v="67.28"/>
    <n v="67284.899999999994"/>
    <s v="20180605N300023018"/>
    <n v="2018106"/>
    <s v="Rolling"/>
    <s v="IN302679-38296183"/>
    <s v="NSE"/>
    <n v="0"/>
    <n v="2.02"/>
    <n v="0"/>
    <n v="40.06"/>
    <n v="42.078600000000002"/>
  </r>
  <r>
    <d v="2018-06-05T00:00:00"/>
    <x v="6"/>
    <x v="0"/>
    <n v="1000"/>
    <n v="66.5"/>
    <n v="66500"/>
    <s v="20180605N300026929"/>
    <n v="2018106"/>
    <s v="Rolling"/>
    <s v="IN302679-38296183"/>
    <s v="NSE"/>
    <n v="0"/>
    <n v="2"/>
    <n v="0"/>
    <n v="39.590000000000003"/>
    <n v="41.585099999999997"/>
  </r>
  <r>
    <d v="2018-06-05T00:00:00"/>
    <x v="5"/>
    <x v="0"/>
    <n v="100"/>
    <n v="591.64"/>
    <n v="59164.1"/>
    <s v="20180605N300027911"/>
    <n v="2018106"/>
    <s v="Rolling"/>
    <s v="IN302902-46841937"/>
    <s v="NSE"/>
    <n v="0"/>
    <n v="1.78"/>
    <n v="34.200000000000003"/>
    <n v="35.229999999999997"/>
    <n v="71.204999999999998"/>
  </r>
  <r>
    <d v="2018-06-05T00:00:00"/>
    <x v="5"/>
    <x v="1"/>
    <n v="100"/>
    <n v="605"/>
    <n v="60500"/>
    <s v="20180605N300027944"/>
    <n v="2018106"/>
    <s v="Rolling"/>
    <s v="IN302902-46841937"/>
    <s v="NSE"/>
    <n v="15.15"/>
    <n v="1.82"/>
    <n v="0"/>
    <n v="36.020000000000003"/>
    <n v="52.985100000000003"/>
  </r>
  <r>
    <d v="2018-06-05T00:00:00"/>
    <x v="6"/>
    <x v="1"/>
    <n v="2000"/>
    <n v="67.099999999999994"/>
    <n v="134200"/>
    <s v="20180605N300028333"/>
    <n v="2018106"/>
    <s v="Rolling"/>
    <s v="IN302679-38296183"/>
    <s v="NSE"/>
    <n v="33.5"/>
    <n v="4.03"/>
    <n v="0"/>
    <n v="79.91"/>
    <n v="117.4362"/>
  </r>
  <r>
    <d v="2018-06-05T00:00:00"/>
    <x v="5"/>
    <x v="0"/>
    <n v="150"/>
    <n v="602.95000000000005"/>
    <n v="90442.5"/>
    <s v="20180605N300028732"/>
    <n v="2018106"/>
    <s v="Rolling"/>
    <s v="IN302902-46841937"/>
    <s v="NSE"/>
    <n v="0"/>
    <n v="2.71"/>
    <n v="0"/>
    <n v="53.85"/>
    <n v="56.563299999999998"/>
  </r>
  <r>
    <d v="2018-06-05T00:00:00"/>
    <x v="5"/>
    <x v="0"/>
    <n v="100"/>
    <n v="605"/>
    <n v="60500"/>
    <s v="20180605N300029021"/>
    <n v="2018106"/>
    <s v="Rolling"/>
    <s v="IN302902-46841937"/>
    <s v="NSE"/>
    <n v="0"/>
    <n v="1.82"/>
    <n v="0"/>
    <n v="36.020000000000003"/>
    <n v="37.835099999999997"/>
  </r>
  <r>
    <d v="2018-06-05T00:00:00"/>
    <x v="5"/>
    <x v="0"/>
    <n v="100"/>
    <n v="602"/>
    <n v="60200"/>
    <s v="20180605N300029141"/>
    <n v="2018106"/>
    <s v="Rolling"/>
    <s v="IN302902-46841937"/>
    <s v="NSE"/>
    <n v="0"/>
    <n v="1.81"/>
    <n v="0"/>
    <n v="35.840000000000003"/>
    <n v="37.646000000000001"/>
  </r>
  <r>
    <d v="2018-06-05T00:00:00"/>
    <x v="5"/>
    <x v="1"/>
    <n v="350"/>
    <n v="612"/>
    <n v="214200"/>
    <s v="20180605N300029261"/>
    <n v="2018106"/>
    <s v="Rolling"/>
    <s v="IN302902-46841937"/>
    <s v="NSE"/>
    <n v="53.03"/>
    <n v="6.43"/>
    <n v="0"/>
    <n v="127.53"/>
    <n v="186.98599999999999"/>
  </r>
  <r>
    <d v="2018-06-05T00:00:00"/>
    <x v="5"/>
    <x v="0"/>
    <n v="100"/>
    <n v="611"/>
    <n v="61100"/>
    <s v="20180605N300029980"/>
    <n v="2018106"/>
    <s v="Rolling"/>
    <s v="IN302902-46841937"/>
    <s v="NSE"/>
    <n v="60.31"/>
    <n v="1.83"/>
    <n v="0"/>
    <n v="396.87"/>
    <n v="459.01310000000001"/>
  </r>
  <r>
    <d v="2018-06-04T00:00:00"/>
    <x v="85"/>
    <x v="0"/>
    <n v="2500"/>
    <n v="16.75"/>
    <n v="41875"/>
    <s v="20180604N300017003"/>
    <n v="2018105"/>
    <s v="Rolling"/>
    <s v="IN302679-38296183"/>
    <s v="NSE"/>
    <n v="0"/>
    <n v="1.26"/>
    <n v="5.0999999999999996"/>
    <n v="29.73"/>
    <n v="36.086199999999998"/>
  </r>
  <r>
    <d v="2018-06-04T00:00:00"/>
    <x v="85"/>
    <x v="0"/>
    <n v="2500"/>
    <n v="16.899999999999999"/>
    <n v="42250"/>
    <s v="20180604N300022470"/>
    <n v="2018105"/>
    <s v="Rolling"/>
    <s v="IN302679-38296183"/>
    <s v="NSE"/>
    <n v="0"/>
    <n v="1.27"/>
    <n v="0"/>
    <n v="29.72"/>
    <n v="30.987500000000001"/>
  </r>
  <r>
    <d v="2018-06-04T00:00:00"/>
    <x v="85"/>
    <x v="1"/>
    <n v="5000"/>
    <n v="16.399999999999999"/>
    <n v="82000"/>
    <s v="20180604N300024067"/>
    <n v="2018105"/>
    <s v="Rolling"/>
    <s v="IN302679-38296183"/>
    <s v="NSE"/>
    <n v="21"/>
    <n v="2.46"/>
    <n v="0"/>
    <n v="48.83"/>
    <n v="72.290000000000006"/>
  </r>
  <r>
    <d v="2018-06-01T00:00:00"/>
    <x v="85"/>
    <x v="0"/>
    <n v="5000"/>
    <n v="16"/>
    <n v="80000"/>
    <s v="20180601N300024608"/>
    <n v="2018104"/>
    <s v="Rolling"/>
    <s v="IN302679-38296183"/>
    <s v="NSE"/>
    <n v="0"/>
    <n v="2.4"/>
    <n v="0"/>
    <n v="47.63"/>
    <n v="50.03"/>
  </r>
  <r>
    <d v="2018-06-01T00:00:00"/>
    <x v="85"/>
    <x v="1"/>
    <n v="5000"/>
    <n v="16.25"/>
    <n v="81250"/>
    <s v="20180601N300024646"/>
    <n v="2018104"/>
    <s v="Rolling"/>
    <s v="IN302679-38296183"/>
    <s v="NSE"/>
    <n v="20"/>
    <n v="2.44"/>
    <n v="5.0999999999999996"/>
    <n v="48.38"/>
    <n v="75.917500000000004"/>
  </r>
  <r>
    <d v="2018-05-31T00:00:00"/>
    <x v="33"/>
    <x v="0"/>
    <n v="1000"/>
    <n v="64.599999999999994"/>
    <n v="64600"/>
    <s v="20180531N200001746"/>
    <n v="2018103"/>
    <s v="Rolling"/>
    <s v="IN302679-38296183"/>
    <s v="NSE"/>
    <n v="0"/>
    <n v="1.94"/>
    <n v="0"/>
    <n v="38.46"/>
    <n v="40.398000000000003"/>
  </r>
  <r>
    <d v="2018-05-31T00:00:00"/>
    <x v="33"/>
    <x v="0"/>
    <n v="1000"/>
    <n v="65.25"/>
    <n v="65250"/>
    <s v="20180531N300015860"/>
    <n v="2018103"/>
    <s v="Rolling"/>
    <s v="IN302679-38296183"/>
    <s v="NSE"/>
    <n v="0"/>
    <n v="1.96"/>
    <n v="0"/>
    <n v="38.840000000000003"/>
    <n v="40.797499999999999"/>
  </r>
  <r>
    <d v="2018-05-31T00:00:00"/>
    <x v="33"/>
    <x v="1"/>
    <n v="2000"/>
    <n v="65.25"/>
    <n v="130500"/>
    <s v="20180531N300020400"/>
    <n v="2018103"/>
    <s v="Rolling"/>
    <s v="IN302679-38296183"/>
    <s v="NSE"/>
    <n v="33"/>
    <n v="3.92"/>
    <n v="8.4"/>
    <n v="77.680000000000007"/>
    <n v="122.9953"/>
  </r>
  <r>
    <d v="2018-05-31T00:00:00"/>
    <x v="86"/>
    <x v="0"/>
    <n v="500"/>
    <n v="15.65"/>
    <n v="7825"/>
    <s v="20180531N300027090"/>
    <n v="2018103"/>
    <s v="Rolling"/>
    <s v="IN302679-38296183"/>
    <s v="NSE"/>
    <n v="0"/>
    <n v="0.23"/>
    <n v="0"/>
    <n v="29.54"/>
    <n v="29.774699999999999"/>
  </r>
  <r>
    <d v="2018-05-31T00:00:00"/>
    <x v="86"/>
    <x v="1"/>
    <n v="500"/>
    <n v="16.3"/>
    <n v="8150"/>
    <s v="20180531N300030204"/>
    <n v="2018103"/>
    <s v="Rolling"/>
    <s v="IN302679-38296183"/>
    <s v="NSE"/>
    <n v="2"/>
    <n v="0.24"/>
    <n v="0"/>
    <n v="29.54"/>
    <n v="31.784500000000001"/>
  </r>
  <r>
    <d v="2018-05-30T00:00:00"/>
    <x v="20"/>
    <x v="0"/>
    <n v="100"/>
    <n v="178.9"/>
    <n v="17890"/>
    <s v="20180530N300016485"/>
    <n v="2018102"/>
    <s v="Rolling"/>
    <s v="IN302679-38296183"/>
    <s v="NSE"/>
    <n v="0"/>
    <n v="0.54"/>
    <n v="0"/>
    <n v="29.59"/>
    <n v="30.126799999999999"/>
  </r>
  <r>
    <d v="2018-05-30T00:00:00"/>
    <x v="13"/>
    <x v="0"/>
    <n v="1000"/>
    <n v="17.649999999999999"/>
    <n v="17650"/>
    <s v="20180530N300018870"/>
    <n v="2018102"/>
    <s v="Rolling"/>
    <s v="IN302902-46841937"/>
    <s v="NSE"/>
    <n v="0"/>
    <n v="0.53"/>
    <n v="0"/>
    <n v="114.64"/>
    <n v="115.1695"/>
  </r>
  <r>
    <d v="2018-05-30T00:00:00"/>
    <x v="13"/>
    <x v="1"/>
    <n v="2000"/>
    <n v="17.600000000000001"/>
    <n v="35200"/>
    <s v="20180530N300024283"/>
    <n v="2018102"/>
    <s v="Rolling"/>
    <s v="IN302902-46841937"/>
    <s v="NSE"/>
    <n v="22.02"/>
    <n v="1.06"/>
    <n v="2.7"/>
    <n v="114.41"/>
    <n v="140.1859"/>
  </r>
  <r>
    <d v="2018-05-30T00:00:00"/>
    <x v="20"/>
    <x v="1"/>
    <n v="100"/>
    <n v="174.5"/>
    <n v="17450"/>
    <s v="20180530N300024347"/>
    <n v="2018102"/>
    <s v="Rolling"/>
    <s v="IN302679-38296183"/>
    <s v="NSE"/>
    <n v="3.98"/>
    <n v="0.52"/>
    <n v="0"/>
    <n v="29.59"/>
    <n v="34.093499999999999"/>
  </r>
  <r>
    <d v="2018-05-29T00:00:00"/>
    <x v="13"/>
    <x v="0"/>
    <n v="1000"/>
    <n v="16"/>
    <n v="16000"/>
    <s v="20180529N300017743"/>
    <n v="2018101"/>
    <s v="Rolling"/>
    <s v="IN302902-46841937"/>
    <s v="NSE"/>
    <n v="0"/>
    <n v="0.48"/>
    <n v="0"/>
    <n v="29.59"/>
    <n v="30.07"/>
  </r>
  <r>
    <d v="2018-05-29T00:00:00"/>
    <x v="13"/>
    <x v="1"/>
    <n v="1000"/>
    <n v="16.8"/>
    <n v="16800"/>
    <s v="20180529N300021665"/>
    <n v="2018101"/>
    <s v="Rolling"/>
    <s v="IN302902-46841937"/>
    <s v="NSE"/>
    <n v="4.0599999999999996"/>
    <n v="0.5"/>
    <n v="0"/>
    <n v="29.59"/>
    <n v="34.154000000000003"/>
  </r>
  <r>
    <d v="2018-05-29T00:00:00"/>
    <x v="13"/>
    <x v="0"/>
    <n v="1000"/>
    <n v="16"/>
    <n v="16000"/>
    <s v="20180529N300021740"/>
    <n v="2018101"/>
    <s v="Rolling"/>
    <s v="IN302902-46841937"/>
    <s v="NSE"/>
    <n v="16.239999999999998"/>
    <n v="0.48"/>
    <n v="0"/>
    <n v="103.93"/>
    <n v="120.65"/>
  </r>
  <r>
    <d v="2018-05-29T00:00:00"/>
    <x v="13"/>
    <x v="0"/>
    <n v="1000"/>
    <n v="16.149999999999999"/>
    <n v="16150"/>
    <s v="20180529N300021800"/>
    <n v="2018101"/>
    <s v="Rolling"/>
    <s v="IN302902-46841937"/>
    <s v="NSE"/>
    <n v="16.239999999999998"/>
    <n v="0.48"/>
    <n v="0"/>
    <n v="104.9"/>
    <n v="121.6245"/>
  </r>
  <r>
    <d v="2018-05-29T00:00:00"/>
    <x v="78"/>
    <x v="0"/>
    <n v="100"/>
    <n v="101.08"/>
    <n v="10107.5"/>
    <s v="20180529N300024491"/>
    <n v="2018101"/>
    <s v="Rolling"/>
    <s v="IN302679-38296183"/>
    <s v="NSE"/>
    <n v="0"/>
    <n v="0.3"/>
    <n v="0"/>
    <n v="29.55"/>
    <n v="29.853300000000001"/>
  </r>
  <r>
    <d v="2018-05-29T00:00:00"/>
    <x v="78"/>
    <x v="0"/>
    <n v="100"/>
    <n v="98.5"/>
    <n v="9850"/>
    <s v="20180529N300027295"/>
    <n v="2018101"/>
    <s v="Rolling"/>
    <s v="IN302679-38296183"/>
    <s v="NSE"/>
    <n v="0"/>
    <n v="0.3"/>
    <n v="0"/>
    <n v="29.55"/>
    <n v="29.845500000000001"/>
  </r>
  <r>
    <d v="2018-05-29T00:00:00"/>
    <x v="78"/>
    <x v="1"/>
    <n v="200"/>
    <n v="98.25"/>
    <n v="19650"/>
    <s v="20180529N300028298"/>
    <n v="2018101"/>
    <s v="Rolling"/>
    <s v="IN302679-38296183"/>
    <s v="NSE"/>
    <n v="4.95"/>
    <n v="0.59"/>
    <n v="0"/>
    <n v="29.61"/>
    <n v="35.149500000000003"/>
  </r>
  <r>
    <d v="2018-05-29T00:00:00"/>
    <x v="33"/>
    <x v="1"/>
    <n v="2000"/>
    <n v="76"/>
    <n v="152000"/>
    <s v="20180529N900014794"/>
    <n v="2018101"/>
    <s v="Rolling"/>
    <s v="IN302902-46841937"/>
    <s v="NSE"/>
    <n v="151.51"/>
    <n v="4.5599999999999996"/>
    <n v="7.8"/>
    <n v="987.3"/>
    <n v="1151.17"/>
  </r>
  <r>
    <d v="2018-05-25T00:00:00"/>
    <x v="33"/>
    <x v="0"/>
    <n v="1000"/>
    <n v="72"/>
    <n v="72000"/>
    <s v="20180525N300014942"/>
    <n v="2018099"/>
    <s v="Rolling"/>
    <s v="IN302902-46841937"/>
    <s v="NSE"/>
    <n v="72.349999999999994"/>
    <n v="2.16"/>
    <n v="0"/>
    <n v="467.67"/>
    <n v="542.17999999999995"/>
  </r>
  <r>
    <d v="2018-05-25T00:00:00"/>
    <x v="33"/>
    <x v="0"/>
    <n v="1000"/>
    <n v="72.7"/>
    <n v="72700"/>
    <s v="20180525N300015089"/>
    <n v="2018099"/>
    <s v="Rolling"/>
    <s v="IN302902-46841937"/>
    <s v="NSE"/>
    <n v="72.349999999999994"/>
    <n v="2.1800000000000002"/>
    <n v="0"/>
    <n v="472.22"/>
    <n v="546.75109999999995"/>
  </r>
  <r>
    <d v="2018-05-25T00:00:00"/>
    <x v="13"/>
    <x v="1"/>
    <n v="5000"/>
    <n v="14.3"/>
    <n v="71500"/>
    <s v="20180525N300028219"/>
    <n v="2018099"/>
    <s v="Rolling"/>
    <s v="IN302902-46841937"/>
    <s v="NSE"/>
    <n v="71.3"/>
    <n v="2.15"/>
    <n v="6.6"/>
    <n v="464.42"/>
    <n v="544.46500000000003"/>
  </r>
  <r>
    <d v="2018-05-24T00:00:00"/>
    <x v="33"/>
    <x v="0"/>
    <n v="1000"/>
    <n v="70.349999999999994"/>
    <n v="70350"/>
    <s v="20180524N300020409"/>
    <n v="2018098"/>
    <s v="Rolling"/>
    <s v="IN302679-38296183"/>
    <s v="NSE"/>
    <n v="0"/>
    <n v="2.11"/>
    <n v="0"/>
    <n v="41.89"/>
    <n v="44.000500000000002"/>
  </r>
  <r>
    <d v="2018-05-24T00:00:00"/>
    <x v="33"/>
    <x v="1"/>
    <n v="1000"/>
    <n v="71.349999999999994"/>
    <n v="71350"/>
    <s v="20180524N300021149"/>
    <n v="2018098"/>
    <s v="Rolling"/>
    <s v="IN302679-38296183"/>
    <s v="NSE"/>
    <n v="17.670000000000002"/>
    <n v="2.14"/>
    <n v="0"/>
    <n v="42.47"/>
    <n v="62.2804"/>
  </r>
  <r>
    <d v="2018-05-24T00:00:00"/>
    <x v="33"/>
    <x v="1"/>
    <n v="2000"/>
    <n v="70.5"/>
    <n v="141000"/>
    <s v="20180524N900000294"/>
    <n v="2018098"/>
    <s v="Rolling"/>
    <s v="IN302902-46841937"/>
    <s v="NSE"/>
    <n v="141.33000000000001"/>
    <n v="4.2300000000000004"/>
    <n v="8.6999999999999993"/>
    <n v="915.85"/>
    <n v="1070.1099999999999"/>
  </r>
  <r>
    <d v="2018-05-23T00:00:00"/>
    <x v="41"/>
    <x v="0"/>
    <n v="250"/>
    <n v="295.14999999999998"/>
    <n v="73787.5"/>
    <s v="20180523N300017945"/>
    <n v="2018097"/>
    <s v="Rolling"/>
    <s v="IN302679-38296183"/>
    <s v="NSE"/>
    <n v="0"/>
    <n v="2.21"/>
    <n v="0"/>
    <n v="43.94"/>
    <n v="46.153599999999997"/>
  </r>
  <r>
    <d v="2018-05-23T00:00:00"/>
    <x v="41"/>
    <x v="0"/>
    <n v="250"/>
    <n v="294.64999999999998"/>
    <n v="73662.5"/>
    <s v="20180523N300018126"/>
    <n v="2018097"/>
    <s v="Rolling"/>
    <s v="IN302679-38296183"/>
    <s v="NSE"/>
    <n v="0"/>
    <n v="2.21"/>
    <n v="0"/>
    <n v="43.86"/>
    <n v="46.069899999999997"/>
  </r>
  <r>
    <d v="2018-05-23T00:00:00"/>
    <x v="41"/>
    <x v="0"/>
    <n v="250"/>
    <n v="292"/>
    <n v="73000"/>
    <s v="20180523N300025064"/>
    <n v="2018097"/>
    <s v="Rolling"/>
    <s v="IN302679-38296183"/>
    <s v="NSE"/>
    <n v="0"/>
    <n v="2.19"/>
    <n v="0"/>
    <n v="43.46"/>
    <n v="45.65"/>
  </r>
  <r>
    <d v="2018-05-23T00:00:00"/>
    <x v="41"/>
    <x v="0"/>
    <n v="250"/>
    <n v="286"/>
    <n v="71500"/>
    <s v="20180523N300025895"/>
    <n v="2018097"/>
    <s v="Rolling"/>
    <s v="IN302679-38296183"/>
    <s v="NSE"/>
    <n v="0"/>
    <n v="2.15"/>
    <n v="17.399999999999999"/>
    <n v="42.57"/>
    <n v="62.115099999999998"/>
  </r>
  <r>
    <d v="2018-05-23T00:00:00"/>
    <x v="41"/>
    <x v="1"/>
    <n v="1000"/>
    <n v="286"/>
    <n v="286000"/>
    <s v="20180523N300028357"/>
    <n v="2018097"/>
    <s v="Rolling"/>
    <s v="IN302679-38296183"/>
    <s v="NSE"/>
    <n v="72"/>
    <n v="8.58"/>
    <n v="0"/>
    <n v="170.28"/>
    <n v="250.86009999999999"/>
  </r>
  <r>
    <d v="2018-05-22T00:00:00"/>
    <x v="33"/>
    <x v="0"/>
    <n v="2000"/>
    <n v="67.5"/>
    <n v="135000"/>
    <s v="20180522N300025925"/>
    <n v="2018096"/>
    <s v="Rolling"/>
    <s v="IN302902-46841937"/>
    <s v="NSE"/>
    <n v="135"/>
    <n v="4.05"/>
    <n v="4.2"/>
    <n v="876.88"/>
    <n v="1020.13"/>
  </r>
  <r>
    <d v="2018-05-21T00:00:00"/>
    <x v="13"/>
    <x v="0"/>
    <n v="2500"/>
    <n v="14"/>
    <n v="35000"/>
    <s v="20180521N300015838"/>
    <n v="2018095"/>
    <s v="Rolling"/>
    <s v="IN302902-46841937"/>
    <s v="NSE"/>
    <n v="35"/>
    <n v="1.05"/>
    <n v="0"/>
    <n v="227.34"/>
    <n v="263.39"/>
  </r>
  <r>
    <d v="2018-05-21T00:00:00"/>
    <x v="18"/>
    <x v="0"/>
    <n v="2000"/>
    <n v="140.9"/>
    <n v="281800"/>
    <s v="20180521N300016308"/>
    <n v="2018095"/>
    <s v="Rolling"/>
    <s v="IN302679-38296183"/>
    <s v="NSE"/>
    <n v="0"/>
    <n v="8.4499999999999993"/>
    <n v="0"/>
    <n v="167.78"/>
    <n v="176.23400000000001"/>
  </r>
  <r>
    <d v="2018-05-21T00:00:00"/>
    <x v="18"/>
    <x v="1"/>
    <n v="2000"/>
    <n v="139"/>
    <n v="278000"/>
    <s v="20180521N300016793"/>
    <n v="2018095"/>
    <s v="Rolling"/>
    <s v="IN302679-38296183"/>
    <s v="NSE"/>
    <n v="68.260000000000005"/>
    <n v="8.34"/>
    <n v="0"/>
    <n v="165.52"/>
    <n v="242.12010000000001"/>
  </r>
  <r>
    <d v="2018-05-21T00:00:00"/>
    <x v="18"/>
    <x v="0"/>
    <n v="2000"/>
    <n v="136"/>
    <n v="272000"/>
    <s v="20180521N300019399"/>
    <n v="2018095"/>
    <s v="Rolling"/>
    <s v="IN302679-38296183"/>
    <s v="NSE"/>
    <n v="0"/>
    <n v="8.16"/>
    <n v="34.200000000000003"/>
    <n v="161.94999999999999"/>
    <n v="204.31"/>
  </r>
  <r>
    <d v="2018-05-21T00:00:00"/>
    <x v="18"/>
    <x v="1"/>
    <n v="2000"/>
    <n v="134"/>
    <n v="268000"/>
    <s v="20180521N300031291"/>
    <n v="2018095"/>
    <s v="Rolling"/>
    <s v="IN302679-38296183"/>
    <s v="NSE"/>
    <n v="68.739999999999995"/>
    <n v="8.0399999999999991"/>
    <n v="0"/>
    <n v="159.57"/>
    <n v="236.35"/>
  </r>
  <r>
    <d v="2018-05-18T00:00:00"/>
    <x v="5"/>
    <x v="1"/>
    <n v="100"/>
    <n v="635.35"/>
    <n v="63535"/>
    <s v="20180518N200001394"/>
    <n v="2018094"/>
    <s v="Rolling"/>
    <s v="IN302679-38296183"/>
    <s v="NSE"/>
    <n v="63.54"/>
    <n v="1.91"/>
    <n v="0"/>
    <n v="412.68"/>
    <n v="478.12610000000001"/>
  </r>
  <r>
    <d v="2018-05-18T00:00:00"/>
    <x v="13"/>
    <x v="0"/>
    <n v="2500"/>
    <n v="19.350000000000001"/>
    <n v="48375"/>
    <s v="20180518N300014730"/>
    <n v="2018094"/>
    <s v="Rolling"/>
    <s v="IN302902-46841937"/>
    <s v="NSE"/>
    <n v="41.63"/>
    <n v="1.45"/>
    <n v="0"/>
    <n v="314.20999999999998"/>
    <n v="357.29129999999998"/>
  </r>
  <r>
    <d v="2018-05-18T00:00:00"/>
    <x v="18"/>
    <x v="0"/>
    <n v="1000"/>
    <n v="152"/>
    <n v="152000"/>
    <s v="20180518N300017385"/>
    <n v="2018094"/>
    <s v="Rolling"/>
    <s v="IN302679-38296183"/>
    <s v="NSE"/>
    <n v="0"/>
    <n v="4.5599999999999996"/>
    <n v="13.5"/>
    <n v="90.5"/>
    <n v="108.56"/>
  </r>
  <r>
    <d v="2018-05-18T00:00:00"/>
    <x v="18"/>
    <x v="1"/>
    <n v="1000"/>
    <n v="149"/>
    <n v="149000"/>
    <s v="20180518N300023953"/>
    <n v="2018094"/>
    <s v="Rolling"/>
    <s v="IN302679-38296183"/>
    <s v="NSE"/>
    <n v="37.22"/>
    <n v="4.47"/>
    <n v="0"/>
    <n v="88.71"/>
    <n v="130.4"/>
  </r>
  <r>
    <d v="2018-05-18T00:00:00"/>
    <x v="13"/>
    <x v="0"/>
    <n v="2500"/>
    <n v="13.95"/>
    <n v="34875"/>
    <s v="20180518N300025049"/>
    <n v="2018094"/>
    <s v="Rolling"/>
    <s v="IN302902-46841937"/>
    <s v="NSE"/>
    <n v="41.63"/>
    <n v="1.05"/>
    <n v="0"/>
    <n v="226.53"/>
    <n v="269.20620000000002"/>
  </r>
  <r>
    <d v="2018-05-17T00:00:00"/>
    <x v="5"/>
    <x v="0"/>
    <n v="100"/>
    <n v="638"/>
    <n v="63800"/>
    <s v="20180517N300023359"/>
    <n v="2018093"/>
    <s v="Rolling"/>
    <s v="IN302679-38296183"/>
    <s v="NSE"/>
    <n v="0"/>
    <n v="1.91"/>
    <n v="0"/>
    <n v="37.99"/>
    <n v="39.904000000000003"/>
  </r>
  <r>
    <d v="2018-05-17T00:00:00"/>
    <x v="5"/>
    <x v="1"/>
    <n v="100"/>
    <n v="641.25"/>
    <n v="64125"/>
    <s v="20180517N300023667"/>
    <n v="2018093"/>
    <s v="Rolling"/>
    <s v="IN302679-38296183"/>
    <s v="NSE"/>
    <n v="16.350000000000001"/>
    <n v="1.92"/>
    <n v="5.0999999999999996"/>
    <n v="38.17"/>
    <n v="61.543799999999997"/>
  </r>
  <r>
    <d v="2018-05-17T00:00:00"/>
    <x v="13"/>
    <x v="0"/>
    <n v="1000"/>
    <n v="14.7"/>
    <n v="14700"/>
    <s v="20180517N300025903"/>
    <n v="2018093"/>
    <s v="Rolling"/>
    <s v="IN302902-46841937"/>
    <s v="NSE"/>
    <n v="16.260000000000002"/>
    <n v="0.44"/>
    <n v="0"/>
    <n v="95.48"/>
    <n v="112.1811"/>
  </r>
  <r>
    <d v="2018-05-17T00:00:00"/>
    <x v="13"/>
    <x v="0"/>
    <n v="1500"/>
    <n v="17.3"/>
    <n v="25950"/>
    <s v="20180517N300026222"/>
    <n v="2018093"/>
    <s v="Rolling"/>
    <s v="IN302902-46841937"/>
    <s v="NSE"/>
    <n v="24.39"/>
    <n v="0.78"/>
    <n v="0"/>
    <n v="168.56"/>
    <n v="193.7285"/>
  </r>
  <r>
    <d v="2018-05-16T00:00:00"/>
    <x v="87"/>
    <x v="0"/>
    <n v="1500"/>
    <n v="92"/>
    <n v="138000"/>
    <s v="20180516N300027461"/>
    <n v="2018092"/>
    <s v="Rolling"/>
    <s v="IN302679-38296183"/>
    <s v="NSE"/>
    <n v="0"/>
    <n v="4.1399999999999997"/>
    <n v="0"/>
    <n v="82.17"/>
    <n v="86.31"/>
  </r>
  <r>
    <d v="2018-05-16T00:00:00"/>
    <x v="87"/>
    <x v="0"/>
    <n v="1000"/>
    <n v="91.25"/>
    <n v="91250"/>
    <s v="20180516N300028810"/>
    <n v="2018092"/>
    <s v="Rolling"/>
    <s v="IN302679-38296183"/>
    <s v="NSE"/>
    <n v="0"/>
    <n v="2.74"/>
    <n v="0"/>
    <n v="54.33"/>
    <n v="57.067500000000003"/>
  </r>
  <r>
    <d v="2018-05-16T00:00:00"/>
    <x v="87"/>
    <x v="1"/>
    <n v="2500"/>
    <n v="91.85"/>
    <n v="229625"/>
    <s v="20180516N300030305"/>
    <n v="2018092"/>
    <s v="Rolling"/>
    <s v="IN302679-38296183"/>
    <s v="NSE"/>
    <n v="57"/>
    <n v="6.89"/>
    <n v="13.8"/>
    <n v="136.76"/>
    <n v="214.44800000000001"/>
  </r>
  <r>
    <d v="2018-05-14T00:00:00"/>
    <x v="87"/>
    <x v="0"/>
    <n v="1000"/>
    <n v="95.75"/>
    <n v="95750"/>
    <s v="20180514N300019809"/>
    <n v="2018090"/>
    <s v="Rolling"/>
    <s v="IN302679-38296183"/>
    <s v="NSE"/>
    <n v="0"/>
    <n v="2.87"/>
    <n v="8.6999999999999993"/>
    <n v="57"/>
    <n v="68.572599999999994"/>
  </r>
  <r>
    <d v="2018-05-14T00:00:00"/>
    <x v="87"/>
    <x v="0"/>
    <n v="500"/>
    <n v="94.5"/>
    <n v="47250"/>
    <s v="20180514N300022189"/>
    <n v="2018090"/>
    <s v="Rolling"/>
    <s v="IN302679-38296183"/>
    <s v="NSE"/>
    <n v="0"/>
    <n v="1.42"/>
    <n v="0"/>
    <n v="29.76"/>
    <n v="31.177499999999998"/>
  </r>
  <r>
    <d v="2018-05-14T00:00:00"/>
    <x v="87"/>
    <x v="1"/>
    <n v="1500"/>
    <n v="92"/>
    <n v="138000"/>
    <s v="20180514N300029473"/>
    <n v="2018090"/>
    <s v="Rolling"/>
    <s v="IN302679-38296183"/>
    <s v="NSE"/>
    <n v="35"/>
    <n v="4.1399999999999997"/>
    <n v="0"/>
    <n v="82.17"/>
    <n v="121.31"/>
  </r>
  <r>
    <d v="2018-05-11T00:00:00"/>
    <x v="33"/>
    <x v="0"/>
    <n v="1100"/>
    <n v="79.099999999999994"/>
    <n v="87010"/>
    <s v="20180511N300016788"/>
    <n v="2018089"/>
    <s v="Rolling"/>
    <s v="IN302679-38296183"/>
    <s v="NSE"/>
    <n v="0"/>
    <n v="2.61"/>
    <n v="0"/>
    <n v="51.81"/>
    <n v="54.420299999999997"/>
  </r>
  <r>
    <d v="2018-05-11T00:00:00"/>
    <x v="33"/>
    <x v="1"/>
    <n v="1100"/>
    <n v="76.8"/>
    <n v="84480"/>
    <s v="20180511N300017605"/>
    <n v="2018089"/>
    <s v="Rolling"/>
    <s v="IN302679-38296183"/>
    <s v="NSE"/>
    <n v="21"/>
    <n v="2.5299999999999998"/>
    <n v="5.4"/>
    <n v="50.3"/>
    <n v="79.234399999999994"/>
  </r>
  <r>
    <d v="2018-05-10T00:00:00"/>
    <x v="15"/>
    <x v="0"/>
    <n v="1000"/>
    <n v="91"/>
    <n v="91000"/>
    <s v="20180510N300016264"/>
    <n v="2018088"/>
    <s v="Rolling"/>
    <s v="IN302679-38296183"/>
    <s v="NSE"/>
    <n v="0"/>
    <n v="2.73"/>
    <n v="12.3"/>
    <n v="54.18"/>
    <n v="69.209999999999994"/>
  </r>
  <r>
    <d v="2018-05-10T00:00:00"/>
    <x v="43"/>
    <x v="1"/>
    <n v="900"/>
    <n v="51.17"/>
    <n v="46052.05"/>
    <s v="20180510N300020487"/>
    <n v="2018088"/>
    <s v="Rolling"/>
    <s v="IN302679-38296183"/>
    <s v="NSE"/>
    <n v="46.14"/>
    <n v="1.38"/>
    <n v="0"/>
    <n v="299.12"/>
    <n v="346.64159999999998"/>
  </r>
  <r>
    <d v="2018-05-10T00:00:00"/>
    <x v="15"/>
    <x v="0"/>
    <n v="1000"/>
    <n v="90.75"/>
    <n v="90750"/>
    <s v="20180510N300020574"/>
    <n v="2018088"/>
    <s v="Rolling"/>
    <s v="IN302679-38296183"/>
    <s v="NSE"/>
    <n v="0"/>
    <n v="2.72"/>
    <n v="0"/>
    <n v="54.03"/>
    <n v="56.752499999999998"/>
  </r>
  <r>
    <d v="2018-05-10T00:00:00"/>
    <x v="15"/>
    <x v="1"/>
    <n v="2000"/>
    <n v="88.55"/>
    <n v="177100"/>
    <s v="20180510N300021118"/>
    <n v="2018088"/>
    <s v="Rolling"/>
    <s v="IN302679-38296183"/>
    <s v="NSE"/>
    <n v="44.86"/>
    <n v="5.31"/>
    <n v="0"/>
    <n v="105.45"/>
    <n v="155.62309999999999"/>
  </r>
  <r>
    <d v="2018-05-10T00:00:00"/>
    <x v="76"/>
    <x v="0"/>
    <n v="1000"/>
    <n v="7"/>
    <n v="7000"/>
    <s v="20180510N300024665"/>
    <n v="2018088"/>
    <s v="TT"/>
    <s v="IN302679-38296183"/>
    <s v="NSE"/>
    <n v="7"/>
    <n v="0.21"/>
    <n v="0.3"/>
    <n v="59.04"/>
    <n v="66.55"/>
  </r>
  <r>
    <d v="2018-05-09T00:00:00"/>
    <x v="15"/>
    <x v="0"/>
    <n v="1000"/>
    <n v="100.5"/>
    <n v="100500"/>
    <s v="20180509N300028623"/>
    <n v="2018087"/>
    <s v="Rolling"/>
    <s v="IN302679-38296183"/>
    <s v="NSE"/>
    <n v="0"/>
    <n v="3.02"/>
    <n v="6.3"/>
    <n v="59.83"/>
    <n v="69.144999999999996"/>
  </r>
  <r>
    <d v="2018-05-09T00:00:00"/>
    <x v="15"/>
    <x v="1"/>
    <n v="1000"/>
    <n v="101"/>
    <n v="101000"/>
    <s v="20180509N300029961"/>
    <n v="2018087"/>
    <s v="Rolling"/>
    <s v="IN302679-38296183"/>
    <s v="NSE"/>
    <n v="25"/>
    <n v="3.03"/>
    <n v="0"/>
    <n v="60.14"/>
    <n v="88.17"/>
  </r>
  <r>
    <d v="2018-05-04T00:00:00"/>
    <x v="41"/>
    <x v="0"/>
    <n v="1000"/>
    <n v="293"/>
    <n v="293000"/>
    <s v="20180504N300015638"/>
    <n v="2018084"/>
    <s v="Rolling"/>
    <s v="IN302679-38296183"/>
    <s v="NSE"/>
    <n v="0"/>
    <n v="8.7899999999999991"/>
    <n v="17.7"/>
    <n v="174.45"/>
    <n v="200.9401"/>
  </r>
  <r>
    <d v="2018-05-04T00:00:00"/>
    <x v="41"/>
    <x v="1"/>
    <n v="1000"/>
    <n v="291"/>
    <n v="291000"/>
    <s v="20180504N300015712"/>
    <n v="2018084"/>
    <s v="Rolling"/>
    <s v="IN302679-38296183"/>
    <s v="NSE"/>
    <n v="73"/>
    <n v="8.73"/>
    <n v="0"/>
    <n v="173.26"/>
    <n v="254.99"/>
  </r>
  <r>
    <d v="2018-05-03T00:00:00"/>
    <x v="5"/>
    <x v="1"/>
    <n v="290"/>
    <n v="626.88"/>
    <n v="181796.1"/>
    <s v="20180503N300020755"/>
    <n v="2018083"/>
    <s v="Rolling"/>
    <s v="IN302902-46841937"/>
    <s v="NSE"/>
    <n v="181.82"/>
    <n v="5.45"/>
    <n v="0"/>
    <n v="1180.8399999999999"/>
    <n v="1368.114"/>
  </r>
  <r>
    <d v="2018-05-03T00:00:00"/>
    <x v="5"/>
    <x v="1"/>
    <n v="710"/>
    <n v="627"/>
    <n v="445170"/>
    <s v="20180503N300021418"/>
    <n v="2018083"/>
    <s v="Rolling"/>
    <s v="IN302902-46841937"/>
    <s v="NSE"/>
    <n v="445.18"/>
    <n v="13.36"/>
    <n v="18.899999999999999"/>
    <n v="2891.56"/>
    <n v="3368.9951000000001"/>
  </r>
  <r>
    <d v="2018-04-30T00:00:00"/>
    <x v="5"/>
    <x v="0"/>
    <n v="100"/>
    <n v="662"/>
    <n v="66200"/>
    <s v="20180430N300019289"/>
    <n v="2018081"/>
    <s v="Rolling"/>
    <s v="IN302902-46841937"/>
    <s v="NSE"/>
    <n v="0"/>
    <n v="1.99"/>
    <n v="0"/>
    <n v="39.409999999999997"/>
    <n v="41.396099999999997"/>
  </r>
  <r>
    <d v="2018-04-30T00:00:00"/>
    <x v="5"/>
    <x v="0"/>
    <n v="150"/>
    <n v="661"/>
    <n v="99150"/>
    <s v="20180430N300021260"/>
    <n v="2018081"/>
    <s v="Rolling"/>
    <s v="IN302902-46841937"/>
    <s v="NSE"/>
    <n v="0"/>
    <n v="2.97"/>
    <n v="0"/>
    <n v="59.03"/>
    <n v="62.0045"/>
  </r>
  <r>
    <d v="2018-04-30T00:00:00"/>
    <x v="5"/>
    <x v="0"/>
    <n v="250"/>
    <n v="663"/>
    <n v="165750"/>
    <s v="20180430N300023429"/>
    <n v="2018081"/>
    <s v="Rolling"/>
    <s v="IN302902-46841937"/>
    <s v="NSE"/>
    <n v="0"/>
    <n v="4.97"/>
    <n v="40.200000000000003"/>
    <n v="98.69"/>
    <n v="143.86259999999999"/>
  </r>
  <r>
    <d v="2018-04-30T00:00:00"/>
    <x v="5"/>
    <x v="1"/>
    <n v="500"/>
    <n v="670"/>
    <n v="335000"/>
    <s v="20180430N300027963"/>
    <n v="2018081"/>
    <s v="Rolling"/>
    <s v="IN302902-46841937"/>
    <s v="NSE"/>
    <n v="83.32"/>
    <n v="10.050000000000001"/>
    <n v="0"/>
    <n v="199.46"/>
    <n v="292.83"/>
  </r>
  <r>
    <d v="2018-04-30T00:00:00"/>
    <x v="5"/>
    <x v="0"/>
    <n v="1000"/>
    <n v="667"/>
    <n v="667000"/>
    <s v="20180430N300030079"/>
    <n v="2018081"/>
    <s v="Rolling"/>
    <s v="IN302902-46841937"/>
    <s v="NSE"/>
    <n v="666.68"/>
    <n v="20.010000000000002"/>
    <n v="0"/>
    <n v="4332.42"/>
    <n v="5019.1100999999999"/>
  </r>
  <r>
    <d v="2018-04-27T00:00:00"/>
    <x v="33"/>
    <x v="0"/>
    <n v="1000"/>
    <n v="81"/>
    <n v="81000"/>
    <s v="20180427N300015778"/>
    <n v="2018080"/>
    <s v="Rolling"/>
    <s v="IN302902-46841937"/>
    <s v="NSE"/>
    <n v="81"/>
    <n v="2.4300000000000002"/>
    <n v="0"/>
    <n v="526.13"/>
    <n v="609.55999999999995"/>
  </r>
  <r>
    <d v="2018-04-27T00:00:00"/>
    <x v="8"/>
    <x v="0"/>
    <n v="100"/>
    <n v="239"/>
    <n v="23900"/>
    <s v="20180427N300016013"/>
    <n v="2018080"/>
    <s v="Rolling"/>
    <s v="IN302679-38296183"/>
    <s v="NSE"/>
    <n v="0"/>
    <n v="0.72"/>
    <n v="11.1"/>
    <n v="29.63"/>
    <n v="41.447099999999999"/>
  </r>
  <r>
    <d v="2018-04-27T00:00:00"/>
    <x v="8"/>
    <x v="1"/>
    <n v="100"/>
    <n v="233"/>
    <n v="23300"/>
    <s v="20180427N300016322"/>
    <n v="2018080"/>
    <s v="Rolling"/>
    <s v="IN302679-38296183"/>
    <s v="NSE"/>
    <n v="5.9"/>
    <n v="0.7"/>
    <n v="0"/>
    <n v="29.63"/>
    <n v="36.229100000000003"/>
  </r>
  <r>
    <d v="2018-04-27T00:00:00"/>
    <x v="5"/>
    <x v="1"/>
    <n v="350"/>
    <n v="670"/>
    <n v="234500"/>
    <s v="20180427N900015482"/>
    <n v="2018080"/>
    <s v="Rolling"/>
    <s v="IN302902-46841937"/>
    <s v="NSE"/>
    <n v="234.1"/>
    <n v="7.04"/>
    <n v="0"/>
    <n v="1523.18"/>
    <n v="1764.3150000000001"/>
  </r>
  <r>
    <d v="2018-04-26T00:00:00"/>
    <x v="70"/>
    <x v="0"/>
    <n v="75"/>
    <n v="281"/>
    <n v="21075"/>
    <s v="20180426N300024083"/>
    <n v="2018079"/>
    <s v="Rolling"/>
    <s v="IN302679-38296183"/>
    <s v="NSE"/>
    <n v="21"/>
    <n v="0.63"/>
    <n v="0.9"/>
    <n v="136.88999999999999"/>
    <n v="159.4222"/>
  </r>
  <r>
    <d v="2018-04-26T00:00:00"/>
    <x v="76"/>
    <x v="0"/>
    <n v="1000"/>
    <n v="8"/>
    <n v="8000"/>
    <s v="20180426N300026254"/>
    <n v="2018079"/>
    <s v="TT"/>
    <s v="IN302679-38296183"/>
    <s v="NSE"/>
    <n v="8"/>
    <n v="0.24"/>
    <n v="0.3"/>
    <n v="59.04"/>
    <n v="67.58"/>
  </r>
  <r>
    <d v="2018-04-25T00:00:00"/>
    <x v="8"/>
    <x v="0"/>
    <n v="150"/>
    <n v="250"/>
    <n v="37500"/>
    <s v="20180425N300015592"/>
    <n v="2018078"/>
    <s v="Rolling"/>
    <s v="IN302679-38296183"/>
    <s v="NSE"/>
    <n v="0"/>
    <n v="1.1299999999999999"/>
    <n v="0"/>
    <n v="29.7"/>
    <n v="30.825099999999999"/>
  </r>
  <r>
    <d v="2018-04-25T00:00:00"/>
    <x v="8"/>
    <x v="1"/>
    <n v="250"/>
    <n v="242"/>
    <n v="60500"/>
    <s v="20180425N300017118"/>
    <n v="2018078"/>
    <s v="Rolling"/>
    <s v="IN302679-38296183"/>
    <s v="NSE"/>
    <n v="15.49"/>
    <n v="1.82"/>
    <n v="0"/>
    <n v="36.020000000000003"/>
    <n v="53.325099999999999"/>
  </r>
  <r>
    <d v="2018-04-25T00:00:00"/>
    <x v="41"/>
    <x v="1"/>
    <n v="100"/>
    <n v="300"/>
    <n v="30000"/>
    <s v="20180425N300027680"/>
    <n v="2018078"/>
    <s v="Rolling"/>
    <s v="IN302679-38296183"/>
    <s v="NSE"/>
    <n v="7.51"/>
    <n v="0.9"/>
    <n v="0"/>
    <n v="29.66"/>
    <n v="38.07"/>
  </r>
  <r>
    <d v="2018-04-25T00:00:00"/>
    <x v="8"/>
    <x v="0"/>
    <n v="100"/>
    <n v="252.7"/>
    <n v="25270"/>
    <s v="20180425N900014199"/>
    <n v="2018078"/>
    <s v="Rolling"/>
    <s v="IN302679-38296183"/>
    <s v="NSE"/>
    <n v="0"/>
    <n v="0.76"/>
    <n v="5.7"/>
    <n v="29.64"/>
    <n v="36.098100000000002"/>
  </r>
  <r>
    <d v="2018-04-25T00:00:00"/>
    <x v="41"/>
    <x v="0"/>
    <n v="100"/>
    <n v="301"/>
    <n v="30100"/>
    <s v="20180425N900015995"/>
    <n v="2018078"/>
    <s v="Rolling"/>
    <s v="IN302679-38296183"/>
    <s v="NSE"/>
    <n v="0"/>
    <n v="0.9"/>
    <n v="0"/>
    <n v="29.67"/>
    <n v="30.573"/>
  </r>
  <r>
    <d v="2018-04-24T00:00:00"/>
    <x v="5"/>
    <x v="0"/>
    <n v="100"/>
    <n v="653"/>
    <n v="65300"/>
    <s v="20180424N300025146"/>
    <n v="2018077"/>
    <s v="Rolling"/>
    <s v="IN302902-46841937"/>
    <s v="NSE"/>
    <n v="65.7"/>
    <n v="1.96"/>
    <n v="10.8"/>
    <n v="424.15"/>
    <n v="502.60899999999998"/>
  </r>
  <r>
    <d v="2018-04-24T00:00:00"/>
    <x v="5"/>
    <x v="0"/>
    <n v="250"/>
    <n v="654"/>
    <n v="163500"/>
    <s v="20180424N300027155"/>
    <n v="2018077"/>
    <s v="Rolling"/>
    <s v="IN302902-46841937"/>
    <s v="NSE"/>
    <n v="163.43"/>
    <n v="4.91"/>
    <n v="0"/>
    <n v="1062"/>
    <n v="1230.3351"/>
  </r>
  <r>
    <d v="2018-04-24T00:00:00"/>
    <x v="88"/>
    <x v="0"/>
    <n v="1000"/>
    <n v="64.25"/>
    <n v="64250"/>
    <s v="20180424N300027657"/>
    <n v="2018077"/>
    <s v="Rolling"/>
    <s v="IN302679-38296183"/>
    <s v="NSE"/>
    <n v="0"/>
    <n v="1.93"/>
    <n v="0"/>
    <n v="38.26"/>
    <n v="40.187600000000003"/>
  </r>
  <r>
    <d v="2018-04-24T00:00:00"/>
    <x v="88"/>
    <x v="1"/>
    <n v="1000"/>
    <n v="62.71"/>
    <n v="62705.9"/>
    <s v="20180424N300027917"/>
    <n v="2018077"/>
    <s v="Rolling"/>
    <s v="IN302679-38296183"/>
    <s v="NSE"/>
    <n v="15.87"/>
    <n v="1.88"/>
    <n v="0"/>
    <n v="37.32"/>
    <n v="55.071399999999997"/>
  </r>
  <r>
    <d v="2018-04-23T00:00:00"/>
    <x v="5"/>
    <x v="0"/>
    <n v="100"/>
    <n v="629"/>
    <n v="62900"/>
    <s v="20180423B300005992"/>
    <n v="201819018"/>
    <s v="Rolling"/>
    <s v="IN302679-38296183"/>
    <s v="BSE"/>
    <n v="0"/>
    <n v="2.57"/>
    <n v="3.9"/>
    <n v="37.58"/>
    <n v="44.054299999999998"/>
  </r>
  <r>
    <d v="2018-04-23T00:00:00"/>
    <x v="5"/>
    <x v="1"/>
    <n v="100"/>
    <n v="636"/>
    <n v="63600"/>
    <s v="20180423B700001870"/>
    <n v="201819018"/>
    <s v="Rolling"/>
    <s v="IN302679-38296183"/>
    <s v="BSE"/>
    <n v="16"/>
    <n v="0.72"/>
    <n v="0"/>
    <n v="37.65"/>
    <n v="54.365400000000001"/>
  </r>
  <r>
    <d v="2018-04-23T00:00:00"/>
    <x v="89"/>
    <x v="0"/>
    <n v="15"/>
    <n v="1840.2"/>
    <n v="27603"/>
    <s v="20180423N300017440"/>
    <n v="2018076"/>
    <s v="Rolling"/>
    <s v="IN302679-38296183"/>
    <s v="NSE"/>
    <n v="0"/>
    <n v="0.83"/>
    <n v="8.6999999999999993"/>
    <n v="29.65"/>
    <n v="39.178100000000001"/>
  </r>
  <r>
    <d v="2018-04-23T00:00:00"/>
    <x v="89"/>
    <x v="1"/>
    <n v="25"/>
    <n v="1830.7"/>
    <n v="45767.5"/>
    <s v="20180423N300017625"/>
    <n v="2018076"/>
    <s v="Rolling"/>
    <s v="IN302679-38296183"/>
    <s v="NSE"/>
    <n v="11.48"/>
    <n v="1.37"/>
    <n v="0"/>
    <n v="29.75"/>
    <n v="42.603000000000002"/>
  </r>
  <r>
    <d v="2018-04-23T00:00:00"/>
    <x v="5"/>
    <x v="0"/>
    <n v="150"/>
    <n v="630.5"/>
    <n v="94575"/>
    <s v="20180423N300020656"/>
    <n v="2018076"/>
    <s v="Rolling"/>
    <s v="IN302679-38296183"/>
    <s v="NSE"/>
    <n v="0"/>
    <n v="2.84"/>
    <n v="0"/>
    <n v="56.31"/>
    <n v="59.147300000000001"/>
  </r>
  <r>
    <d v="2018-04-23T00:00:00"/>
    <x v="5"/>
    <x v="1"/>
    <n v="150"/>
    <n v="633.29999999999995"/>
    <n v="94995"/>
    <s v="20180423N300021060"/>
    <n v="2018076"/>
    <s v="Rolling"/>
    <s v="IN302679-38296183"/>
    <s v="NSE"/>
    <n v="23.7"/>
    <n v="2.85"/>
    <n v="0"/>
    <n v="56.56"/>
    <n v="83.109899999999996"/>
  </r>
  <r>
    <d v="2018-04-23T00:00:00"/>
    <x v="70"/>
    <x v="0"/>
    <n v="25"/>
    <n v="259"/>
    <n v="6475"/>
    <s v="20180423N300026601"/>
    <n v="2018076"/>
    <s v="Rolling"/>
    <s v="IN302902-46841937"/>
    <s v="NSE"/>
    <n v="6.82"/>
    <n v="0.19"/>
    <n v="0"/>
    <n v="42.06"/>
    <n v="49.074199999999998"/>
  </r>
  <r>
    <d v="2018-04-23T00:00:00"/>
    <x v="89"/>
    <x v="0"/>
    <n v="10"/>
    <n v="1849"/>
    <n v="18490"/>
    <s v="20180423N900016609"/>
    <n v="2018076"/>
    <s v="Rolling"/>
    <s v="IN302679-38296183"/>
    <s v="NSE"/>
    <n v="0"/>
    <n v="0.55000000000000004"/>
    <n v="0"/>
    <n v="29.6"/>
    <n v="30.154699999999998"/>
  </r>
  <r>
    <d v="2018-04-20T00:00:00"/>
    <x v="5"/>
    <x v="0"/>
    <n v="100"/>
    <n v="631"/>
    <n v="63100"/>
    <s v="20180420N300024276"/>
    <n v="2018075"/>
    <s v="Rolling"/>
    <s v="IN302679-38296183"/>
    <s v="NSE"/>
    <n v="0"/>
    <n v="1.89"/>
    <n v="0"/>
    <n v="37.58"/>
    <n v="39.472999999999999"/>
  </r>
  <r>
    <d v="2018-04-20T00:00:00"/>
    <x v="5"/>
    <x v="1"/>
    <n v="100"/>
    <n v="633"/>
    <n v="63300"/>
    <s v="20180420N300025254"/>
    <n v="2018075"/>
    <s v="Rolling"/>
    <s v="IN302679-38296183"/>
    <s v="NSE"/>
    <n v="16"/>
    <n v="1.9"/>
    <n v="3.9"/>
    <n v="37.69"/>
    <n v="59.489100000000001"/>
  </r>
  <r>
    <d v="2018-04-19T00:00:00"/>
    <x v="90"/>
    <x v="0"/>
    <n v="50"/>
    <n v="799"/>
    <n v="39950"/>
    <s v="20180419N200000457"/>
    <n v="2018074"/>
    <s v="Rolling"/>
    <s v="IN302679-38296183"/>
    <s v="NSE"/>
    <n v="0"/>
    <n v="1.2"/>
    <n v="0"/>
    <n v="29.72"/>
    <n v="30.918500000000002"/>
  </r>
  <r>
    <d v="2018-04-19T00:00:00"/>
    <x v="41"/>
    <x v="0"/>
    <n v="10"/>
    <n v="300"/>
    <n v="3000"/>
    <s v="20180419N300018951"/>
    <n v="2018074"/>
    <s v="Rolling"/>
    <s v="IN302679-38296183"/>
    <s v="NSE"/>
    <n v="3"/>
    <n v="0.09"/>
    <n v="0"/>
    <n v="41.32"/>
    <n v="44.41"/>
  </r>
  <r>
    <d v="2018-04-19T00:00:00"/>
    <x v="77"/>
    <x v="0"/>
    <n v="10"/>
    <n v="380"/>
    <n v="3800"/>
    <s v="20180419N300020130"/>
    <n v="2018074"/>
    <s v="Rolling"/>
    <s v="IN302679-38296183"/>
    <s v="NSE"/>
    <n v="4.13"/>
    <n v="0.11"/>
    <n v="2.7"/>
    <n v="41.32"/>
    <n v="48.264000000000003"/>
  </r>
  <r>
    <d v="2018-04-19T00:00:00"/>
    <x v="90"/>
    <x v="1"/>
    <n v="50"/>
    <n v="781"/>
    <n v="39050"/>
    <s v="20180419N300029963"/>
    <n v="2018074"/>
    <s v="Rolling"/>
    <s v="IN302679-38296183"/>
    <s v="NSE"/>
    <n v="9.8800000000000008"/>
    <n v="1.17"/>
    <n v="0"/>
    <n v="29.71"/>
    <n v="40.761499999999998"/>
  </r>
  <r>
    <d v="2018-04-18T00:00:00"/>
    <x v="90"/>
    <x v="1"/>
    <n v="20"/>
    <n v="808.3"/>
    <n v="16166"/>
    <s v="20180418B500007930"/>
    <n v="201819015"/>
    <s v="Rolling"/>
    <s v="IN302679-38296183"/>
    <s v="BSE"/>
    <n v="16.170000000000002"/>
    <n v="0.64"/>
    <n v="0"/>
    <n v="105.03"/>
    <n v="121.8442"/>
  </r>
  <r>
    <d v="2018-04-18T00:00:00"/>
    <x v="2"/>
    <x v="0"/>
    <n v="100"/>
    <n v="125.65"/>
    <n v="12565"/>
    <s v="20180418B500007944"/>
    <n v="201819015"/>
    <s v="Rolling"/>
    <s v="IN302679-38296183"/>
    <s v="BSE"/>
    <n v="12.83"/>
    <n v="0.64"/>
    <n v="0.9"/>
    <n v="81.66"/>
    <n v="96.028800000000004"/>
  </r>
  <r>
    <d v="2018-04-18T00:00:00"/>
    <x v="69"/>
    <x v="0"/>
    <n v="100"/>
    <n v="877"/>
    <n v="87700"/>
    <s v="20180418N300022775"/>
    <n v="2018073"/>
    <s v="Rolling"/>
    <s v="IN302679-38296183"/>
    <s v="NSE"/>
    <n v="0"/>
    <n v="2.63"/>
    <n v="0"/>
    <n v="52.22"/>
    <n v="54.851100000000002"/>
  </r>
  <r>
    <d v="2018-04-18T00:00:00"/>
    <x v="69"/>
    <x v="1"/>
    <n v="100"/>
    <n v="874"/>
    <n v="87400"/>
    <s v="20180418N300023887"/>
    <n v="2018073"/>
    <s v="Rolling"/>
    <s v="IN302679-38296183"/>
    <s v="NSE"/>
    <n v="22"/>
    <n v="2.62"/>
    <n v="5.4"/>
    <n v="52.04"/>
    <n v="82.061999999999998"/>
  </r>
  <r>
    <d v="2018-04-16T00:00:00"/>
    <x v="43"/>
    <x v="1"/>
    <n v="1000"/>
    <n v="60.25"/>
    <n v="60253.3"/>
    <s v="20180416N300027914"/>
    <n v="2018071"/>
    <s v="Rolling"/>
    <s v="IN302902-46841937"/>
    <s v="NSE"/>
    <n v="60"/>
    <n v="1.81"/>
    <n v="2.1"/>
    <n v="391.36"/>
    <n v="455.26760000000002"/>
  </r>
  <r>
    <d v="2018-04-13T00:00:00"/>
    <x v="5"/>
    <x v="0"/>
    <n v="500"/>
    <n v="621"/>
    <n v="310500"/>
    <s v="20180413N200000982"/>
    <n v="2018070"/>
    <s v="Rolling"/>
    <s v="IN302679-38296183"/>
    <s v="NSE"/>
    <n v="0"/>
    <n v="9.32"/>
    <n v="0"/>
    <n v="184.87"/>
    <n v="194.18510000000001"/>
  </r>
  <r>
    <d v="2018-04-13T00:00:00"/>
    <x v="5"/>
    <x v="1"/>
    <n v="500"/>
    <n v="623.5"/>
    <n v="311750"/>
    <s v="20180413N300015088"/>
    <n v="2018070"/>
    <s v="Rolling"/>
    <s v="IN302679-38296183"/>
    <s v="NSE"/>
    <n v="78"/>
    <n v="9.35"/>
    <n v="18.899999999999999"/>
    <n v="185.61"/>
    <n v="291.8623"/>
  </r>
  <r>
    <d v="2018-04-12T00:00:00"/>
    <x v="5"/>
    <x v="0"/>
    <n v="500"/>
    <n v="627.5"/>
    <n v="313750"/>
    <s v="20180412N300017774"/>
    <n v="2018069"/>
    <s v="Rolling"/>
    <s v="IN302679-38296183"/>
    <s v="NSE"/>
    <n v="0"/>
    <n v="9.41"/>
    <n v="0"/>
    <n v="186.81"/>
    <n v="196.22239999999999"/>
  </r>
  <r>
    <d v="2018-04-12T00:00:00"/>
    <x v="5"/>
    <x v="1"/>
    <n v="500"/>
    <n v="632"/>
    <n v="316000"/>
    <s v="20180412N300018483"/>
    <n v="2018069"/>
    <s v="Rolling"/>
    <s v="IN302679-38296183"/>
    <s v="NSE"/>
    <n v="78.31"/>
    <n v="9.48"/>
    <n v="0"/>
    <n v="188.15"/>
    <n v="275.94"/>
  </r>
  <r>
    <d v="2018-04-12T00:00:00"/>
    <x v="5"/>
    <x v="0"/>
    <n v="500"/>
    <n v="626.5"/>
    <n v="313250"/>
    <s v="20180412N300023896"/>
    <n v="2018069"/>
    <s v="Rolling"/>
    <s v="IN302679-38296183"/>
    <s v="NSE"/>
    <n v="0"/>
    <n v="9.4"/>
    <n v="37.799999999999997"/>
    <n v="186.5"/>
    <n v="233.69749999999999"/>
  </r>
  <r>
    <d v="2018-04-12T00:00:00"/>
    <x v="5"/>
    <x v="1"/>
    <n v="500"/>
    <n v="620"/>
    <n v="310000"/>
    <s v="20180412N300028725"/>
    <n v="2018069"/>
    <s v="Rolling"/>
    <s v="IN302679-38296183"/>
    <s v="NSE"/>
    <n v="78.69"/>
    <n v="9.3000000000000007"/>
    <n v="0"/>
    <n v="184.57"/>
    <n v="272.56009999999998"/>
  </r>
  <r>
    <d v="2018-04-10T00:00:00"/>
    <x v="76"/>
    <x v="0"/>
    <n v="1000"/>
    <n v="9"/>
    <n v="9000"/>
    <s v="20180410N300019344"/>
    <n v="2018067"/>
    <s v="Rolling"/>
    <s v="IN302679-38296183"/>
    <s v="NSE"/>
    <n v="9"/>
    <n v="0.27"/>
    <n v="0.3"/>
    <n v="59.05"/>
    <n v="68.62"/>
  </r>
  <r>
    <d v="2018-04-09T00:00:00"/>
    <x v="43"/>
    <x v="0"/>
    <n v="1000"/>
    <n v="64.25"/>
    <n v="64250"/>
    <s v="20180409N300027247"/>
    <n v="2018066"/>
    <s v="Rolling"/>
    <s v="IN302902-46841937"/>
    <s v="NSE"/>
    <n v="64"/>
    <n v="1.93"/>
    <n v="2.1"/>
    <n v="417.33"/>
    <n v="485.35750000000002"/>
  </r>
  <r>
    <d v="2018-04-06T00:00:00"/>
    <x v="2"/>
    <x v="0"/>
    <n v="250"/>
    <n v="171.4"/>
    <n v="42850"/>
    <s v="20180406N300020719"/>
    <n v="2018065"/>
    <s v="Rolling"/>
    <s v="IN302679-38296183"/>
    <s v="NSE"/>
    <n v="43"/>
    <n v="1.29"/>
    <n v="1.5"/>
    <n v="278.33"/>
    <n v="324.1155"/>
  </r>
  <r>
    <d v="2018-04-05T00:00:00"/>
    <x v="5"/>
    <x v="0"/>
    <n v="1000"/>
    <n v="605.88"/>
    <n v="605877.65"/>
    <s v="20180405N300013797"/>
    <n v="2018064"/>
    <s v="Rolling"/>
    <s v="IN302679-38296183"/>
    <s v="NSE"/>
    <n v="0"/>
    <n v="18.18"/>
    <n v="0"/>
    <n v="360.74"/>
    <n v="378.91680000000002"/>
  </r>
  <r>
    <d v="2018-04-05T00:00:00"/>
    <x v="5"/>
    <x v="1"/>
    <n v="1000"/>
    <n v="607"/>
    <n v="607000"/>
    <s v="20180405N300013857"/>
    <n v="2018064"/>
    <s v="Rolling"/>
    <s v="IN302679-38296183"/>
    <s v="NSE"/>
    <n v="151.96"/>
    <n v="18.21"/>
    <n v="37.200000000000003"/>
    <n v="361.4"/>
    <n v="568.76990000000001"/>
  </r>
  <r>
    <d v="2018-04-05T00:00:00"/>
    <x v="2"/>
    <x v="0"/>
    <n v="100"/>
    <n v="180.4"/>
    <n v="18040"/>
    <s v="20180405N300024232"/>
    <n v="2018064"/>
    <s v="Rolling"/>
    <s v="IN302679-38296183"/>
    <s v="NSE"/>
    <n v="18.04"/>
    <n v="0.54"/>
    <n v="0"/>
    <n v="117.18"/>
    <n v="135.7612"/>
  </r>
  <r>
    <d v="2018-04-04T00:00:00"/>
    <x v="44"/>
    <x v="0"/>
    <n v="250"/>
    <n v="435.24"/>
    <n v="108810.5"/>
    <s v="20180404N200000803"/>
    <n v="2018063"/>
    <s v="Rolling"/>
    <s v="IN302679-38296183"/>
    <s v="NSE"/>
    <n v="0"/>
    <n v="3.26"/>
    <n v="0"/>
    <n v="64.78"/>
    <n v="68.044300000000007"/>
  </r>
  <r>
    <d v="2018-04-04T00:00:00"/>
    <x v="44"/>
    <x v="0"/>
    <n v="250"/>
    <n v="439.1"/>
    <n v="109775"/>
    <s v="20180404N300017709"/>
    <n v="2018063"/>
    <s v="Rolling"/>
    <s v="IN302679-38296183"/>
    <s v="NSE"/>
    <n v="0"/>
    <n v="3.29"/>
    <n v="0"/>
    <n v="65.36"/>
    <n v="68.653199999999998"/>
  </r>
  <r>
    <d v="2018-04-04T00:00:00"/>
    <x v="44"/>
    <x v="1"/>
    <n v="500"/>
    <n v="437.46"/>
    <n v="218730.1"/>
    <s v="20180404N300018059"/>
    <n v="2018063"/>
    <s v="Rolling"/>
    <s v="IN302679-38296183"/>
    <s v="NSE"/>
    <n v="54.66"/>
    <n v="6.56"/>
    <n v="0"/>
    <n v="130.22"/>
    <n v="191.44210000000001"/>
  </r>
  <r>
    <d v="2018-04-04T00:00:00"/>
    <x v="5"/>
    <x v="0"/>
    <n v="500"/>
    <n v="607.13"/>
    <n v="303563.65000000002"/>
    <s v="20180404N300018859"/>
    <n v="2018063"/>
    <s v="Rolling"/>
    <s v="IN302679-38296183"/>
    <s v="NSE"/>
    <n v="0"/>
    <n v="9.11"/>
    <n v="31.5"/>
    <n v="180.73"/>
    <n v="221.33709999999999"/>
  </r>
  <r>
    <d v="2018-04-04T00:00:00"/>
    <x v="5"/>
    <x v="1"/>
    <n v="500"/>
    <n v="605"/>
    <n v="302500"/>
    <s v="20180404N300018892"/>
    <n v="2018063"/>
    <s v="Rolling"/>
    <s v="IN302679-38296183"/>
    <s v="NSE"/>
    <n v="75.34"/>
    <n v="9.07"/>
    <n v="0"/>
    <n v="180.11"/>
    <n v="264.5249"/>
  </r>
  <r>
    <d v="2018-04-03T00:00:00"/>
    <x v="43"/>
    <x v="0"/>
    <n v="1000"/>
    <n v="60.6"/>
    <n v="60600"/>
    <s v="20180403N300023467"/>
    <n v="2018062"/>
    <s v="Rolling"/>
    <s v="IN302679-38296183"/>
    <s v="NSE"/>
    <n v="0"/>
    <n v="1.82"/>
    <n v="3.9"/>
    <n v="36.08"/>
    <n v="41.798099999999998"/>
  </r>
  <r>
    <d v="2018-04-03T00:00:00"/>
    <x v="43"/>
    <x v="1"/>
    <n v="1000"/>
    <n v="62"/>
    <n v="62000"/>
    <s v="20180403N300027109"/>
    <n v="2018062"/>
    <s v="Rolling"/>
    <s v="IN302679-38296183"/>
    <s v="NSE"/>
    <n v="15"/>
    <n v="1.86"/>
    <n v="0"/>
    <n v="36.909999999999997"/>
    <n v="53.77"/>
  </r>
  <r>
    <d v="2018-04-02T00:00:00"/>
    <x v="43"/>
    <x v="0"/>
    <n v="2130"/>
    <n v="57.8"/>
    <n v="123114"/>
    <s v="20180402N200001139"/>
    <n v="2018061"/>
    <s v="Rolling"/>
    <s v="IN302679-38296183"/>
    <s v="NSE"/>
    <n v="0"/>
    <n v="3.69"/>
    <n v="0"/>
    <n v="73.3"/>
    <n v="76.993399999999994"/>
  </r>
  <r>
    <d v="2018-04-02T00:00:00"/>
    <x v="43"/>
    <x v="1"/>
    <n v="2130"/>
    <n v="58.9"/>
    <n v="125457"/>
    <s v="20180402N300016426"/>
    <n v="2018061"/>
    <s v="Rolling"/>
    <s v="IN302679-38296183"/>
    <s v="NSE"/>
    <n v="31.07"/>
    <n v="3.76"/>
    <n v="0"/>
    <n v="74.7"/>
    <n v="109.5337"/>
  </r>
  <r>
    <d v="2018-04-02T00:00:00"/>
    <x v="44"/>
    <x v="0"/>
    <n v="100"/>
    <n v="452"/>
    <n v="45200"/>
    <s v="20180402N300019820"/>
    <n v="2018061"/>
    <s v="Rolling"/>
    <s v="IN302679-38296183"/>
    <s v="NSE"/>
    <n v="0"/>
    <n v="1.36"/>
    <n v="20.7"/>
    <n v="29.74"/>
    <n v="51.795999999999999"/>
  </r>
  <r>
    <d v="2018-04-02T00:00:00"/>
    <x v="44"/>
    <x v="0"/>
    <n v="100"/>
    <n v="447.9"/>
    <n v="44790"/>
    <s v="20180402N300024654"/>
    <n v="2018061"/>
    <s v="Rolling"/>
    <s v="IN302679-38296183"/>
    <s v="NSE"/>
    <n v="0"/>
    <n v="1.34"/>
    <n v="0"/>
    <n v="29.74"/>
    <n v="31.0837"/>
  </r>
  <r>
    <d v="2018-04-02T00:00:00"/>
    <x v="44"/>
    <x v="0"/>
    <n v="300"/>
    <n v="441"/>
    <n v="132300"/>
    <s v="20180402N300025274"/>
    <n v="2018061"/>
    <s v="Rolling"/>
    <s v="IN302679-38296183"/>
    <s v="NSE"/>
    <n v="0"/>
    <n v="3.97"/>
    <n v="0"/>
    <n v="78.77"/>
    <n v="82.738900000000001"/>
  </r>
  <r>
    <d v="2018-04-02T00:00:00"/>
    <x v="44"/>
    <x v="1"/>
    <n v="500"/>
    <n v="429"/>
    <n v="214500"/>
    <s v="20180402N300032012"/>
    <n v="2018061"/>
    <s v="Rolling"/>
    <s v="IN302679-38296183"/>
    <s v="NSE"/>
    <n v="54.93"/>
    <n v="6.44"/>
    <n v="0"/>
    <n v="127.71"/>
    <n v="189.07509999999999"/>
  </r>
  <r>
    <d v="2018-03-26T00:00:00"/>
    <x v="43"/>
    <x v="0"/>
    <n v="2500"/>
    <n v="57.88"/>
    <n v="144709.20000000001"/>
    <s v="20180326N200000932"/>
    <n v="2018058"/>
    <s v="Rolling"/>
    <s v="IN302679-38296183"/>
    <s v="NSE"/>
    <n v="0"/>
    <n v="4.34"/>
    <n v="0"/>
    <n v="86.14"/>
    <n v="90.481099999999998"/>
  </r>
  <r>
    <d v="2018-03-26T00:00:00"/>
    <x v="43"/>
    <x v="1"/>
    <n v="2500"/>
    <n v="55.65"/>
    <n v="139125"/>
    <s v="20180326N200001569"/>
    <n v="2018058"/>
    <s v="Rolling"/>
    <s v="IN302679-38296183"/>
    <s v="NSE"/>
    <n v="35"/>
    <n v="4.17"/>
    <n v="8.6999999999999993"/>
    <n v="82.84"/>
    <n v="130.71379999999999"/>
  </r>
  <r>
    <d v="2018-03-23T00:00:00"/>
    <x v="43"/>
    <x v="1"/>
    <n v="2500"/>
    <n v="57.45"/>
    <n v="143632.9"/>
    <s v="20180323N900013439"/>
    <n v="2018057"/>
    <s v="Rolling"/>
    <s v="IN302902-46841937"/>
    <s v="NSE"/>
    <n v="143.86000000000001"/>
    <n v="4.3099999999999996"/>
    <n v="5.4"/>
    <n v="932.95"/>
    <n v="1086.519"/>
  </r>
  <r>
    <d v="2018-03-23T00:00:00"/>
    <x v="91"/>
    <x v="1"/>
    <n v="750"/>
    <n v="38.85"/>
    <n v="29137.5"/>
    <s v="20180323N900015257"/>
    <n v="2018057"/>
    <s v="Rolling"/>
    <s v="IN302679-38296183"/>
    <s v="NSE"/>
    <n v="29.14"/>
    <n v="0.87"/>
    <n v="0"/>
    <n v="189.26"/>
    <n v="219.2741"/>
  </r>
  <r>
    <d v="2018-03-22T00:00:00"/>
    <x v="2"/>
    <x v="0"/>
    <n v="50"/>
    <n v="271.7"/>
    <n v="13585"/>
    <s v="20180322N300018812"/>
    <n v="2018056"/>
    <s v="Rolling"/>
    <s v="IN302679-38296183"/>
    <s v="NSE"/>
    <n v="14"/>
    <n v="0.41"/>
    <n v="0.6"/>
    <n v="88.24"/>
    <n v="103.24760000000001"/>
  </r>
  <r>
    <d v="2018-03-19T00:00:00"/>
    <x v="78"/>
    <x v="1"/>
    <n v="200"/>
    <n v="102.05"/>
    <n v="20410"/>
    <s v="20180319N300023053"/>
    <n v="2018053"/>
    <s v="Rolling"/>
    <s v="IN302679-38296183"/>
    <s v="NSE"/>
    <n v="20.25"/>
    <n v="0.61"/>
    <n v="5.4"/>
    <n v="132.58000000000001"/>
    <n v="158.8425"/>
  </r>
  <r>
    <d v="2018-03-19T00:00:00"/>
    <x v="43"/>
    <x v="0"/>
    <n v="2500"/>
    <n v="61.5"/>
    <n v="153750"/>
    <s v="20180319N300024619"/>
    <n v="2018053"/>
    <s v="Rolling"/>
    <s v="IN302902-46841937"/>
    <s v="NSE"/>
    <n v="153.75"/>
    <n v="4.6100000000000003"/>
    <n v="0"/>
    <n v="998.67"/>
    <n v="1157.0326"/>
  </r>
  <r>
    <d v="2018-03-15T00:00:00"/>
    <x v="92"/>
    <x v="0"/>
    <n v="700"/>
    <n v="405.52"/>
    <n v="283866.5"/>
    <s v="20180315N300017801"/>
    <n v="2018051"/>
    <s v="Rolling"/>
    <s v="IN302679-38296183"/>
    <s v="NSE"/>
    <n v="0"/>
    <n v="8.52"/>
    <n v="0"/>
    <n v="169.02"/>
    <n v="177.53579999999999"/>
  </r>
  <r>
    <d v="2018-03-15T00:00:00"/>
    <x v="92"/>
    <x v="1"/>
    <n v="700"/>
    <n v="405"/>
    <n v="283500"/>
    <s v="20180315N300022550"/>
    <n v="2018051"/>
    <s v="Rolling"/>
    <s v="IN302679-38296183"/>
    <s v="NSE"/>
    <n v="71"/>
    <n v="8.49"/>
    <n v="17.100000000000001"/>
    <n v="168.44"/>
    <n v="265.03190000000001"/>
  </r>
  <r>
    <d v="2018-03-14T00:00:00"/>
    <x v="5"/>
    <x v="0"/>
    <n v="500"/>
    <n v="610"/>
    <n v="305000"/>
    <s v="20180314N300018122"/>
    <n v="2018050"/>
    <s v="Rolling"/>
    <s v="IN302679-38296183"/>
    <s v="NSE"/>
    <n v="0"/>
    <n v="9.15"/>
    <n v="18.3"/>
    <n v="181.6"/>
    <n v="209.05"/>
  </r>
  <r>
    <d v="2018-03-14T00:00:00"/>
    <x v="5"/>
    <x v="1"/>
    <n v="500"/>
    <n v="606"/>
    <n v="303000"/>
    <s v="20180314N300020563"/>
    <n v="2018050"/>
    <s v="Rolling"/>
    <s v="IN302679-38296183"/>
    <s v="NSE"/>
    <n v="76"/>
    <n v="9.09"/>
    <n v="0"/>
    <n v="180.41"/>
    <n v="265.5"/>
  </r>
  <r>
    <d v="2018-03-13T00:00:00"/>
    <x v="5"/>
    <x v="0"/>
    <n v="100"/>
    <n v="608"/>
    <n v="60799.5"/>
    <s v="20180313N300026465"/>
    <n v="2018049"/>
    <s v="Rolling"/>
    <s v="IN302679-38296183"/>
    <s v="NSE"/>
    <n v="0"/>
    <n v="1.82"/>
    <n v="0"/>
    <n v="36.200000000000003"/>
    <n v="38.024000000000001"/>
  </r>
  <r>
    <d v="2018-03-13T00:00:00"/>
    <x v="5"/>
    <x v="1"/>
    <n v="100"/>
    <n v="603.29999999999995"/>
    <n v="60330"/>
    <s v="20180313N300030778"/>
    <n v="2018049"/>
    <s v="Rolling"/>
    <s v="IN302679-38296183"/>
    <s v="NSE"/>
    <n v="15"/>
    <n v="1.81"/>
    <n v="3.9"/>
    <n v="35.93"/>
    <n v="56.639899999999997"/>
  </r>
  <r>
    <d v="2018-03-12T00:00:00"/>
    <x v="5"/>
    <x v="0"/>
    <n v="500"/>
    <n v="590"/>
    <n v="295000"/>
    <s v="20180312N300016476"/>
    <n v="2018048"/>
    <s v="Rolling"/>
    <s v="IN302679-38296183"/>
    <s v="NSE"/>
    <n v="0"/>
    <n v="8.85"/>
    <n v="0"/>
    <n v="175.65"/>
    <n v="184.5"/>
  </r>
  <r>
    <d v="2018-03-12T00:00:00"/>
    <x v="5"/>
    <x v="1"/>
    <n v="500"/>
    <n v="591.5"/>
    <n v="295750"/>
    <s v="20180312N300024128"/>
    <n v="2018048"/>
    <s v="Rolling"/>
    <s v="IN302679-38296183"/>
    <s v="NSE"/>
    <n v="74"/>
    <n v="8.8699999999999992"/>
    <n v="18"/>
    <n v="176.09"/>
    <n v="276.96249999999998"/>
  </r>
  <r>
    <d v="2018-03-08T00:00:00"/>
    <x v="44"/>
    <x v="0"/>
    <n v="500"/>
    <n v="506"/>
    <n v="253000"/>
    <s v="20180308N200000664"/>
    <n v="2018046"/>
    <s v="Rolling"/>
    <s v="IN302679-38296183"/>
    <s v="NSE"/>
    <n v="0"/>
    <n v="7.59"/>
    <n v="0"/>
    <n v="150.63999999999999"/>
    <n v="158.22999999999999"/>
  </r>
  <r>
    <d v="2018-03-08T00:00:00"/>
    <x v="44"/>
    <x v="1"/>
    <n v="500"/>
    <n v="509"/>
    <n v="254500"/>
    <s v="20180308N300017226"/>
    <n v="2018046"/>
    <s v="Rolling"/>
    <s v="IN302679-38296183"/>
    <s v="NSE"/>
    <n v="63.03"/>
    <n v="7.64"/>
    <n v="15.6"/>
    <n v="151.53"/>
    <n v="237.79509999999999"/>
  </r>
  <r>
    <d v="2018-03-08T00:00:00"/>
    <x v="90"/>
    <x v="0"/>
    <n v="10"/>
    <n v="796.7"/>
    <n v="7967"/>
    <s v="20180308N300031445"/>
    <n v="2018046"/>
    <s v="Rolling"/>
    <s v="IN302679-38296183"/>
    <s v="NSE"/>
    <n v="7.97"/>
    <n v="0.24"/>
    <n v="0"/>
    <n v="51.74"/>
    <n v="59.948999999999998"/>
  </r>
  <r>
    <d v="2018-03-07T00:00:00"/>
    <x v="49"/>
    <x v="1"/>
    <n v="200"/>
    <n v="305.08"/>
    <n v="61016"/>
    <s v="20180307B300010485"/>
    <n v="201718233"/>
    <s v="Rolling"/>
    <s v="IN302679-38296183"/>
    <s v="BSE"/>
    <n v="61"/>
    <n v="1.31"/>
    <n v="2.1"/>
    <n v="396.23"/>
    <n v="460.64159999999998"/>
  </r>
  <r>
    <d v="2018-03-07T00:00:00"/>
    <x v="5"/>
    <x v="0"/>
    <n v="100"/>
    <n v="603"/>
    <n v="60300"/>
    <s v="20180307N300036339"/>
    <n v="2018045"/>
    <s v="Rolling"/>
    <s v="IN302902-46841937"/>
    <s v="NSE"/>
    <n v="60"/>
    <n v="1.81"/>
    <n v="2.1"/>
    <n v="391.67"/>
    <n v="455.57909999999998"/>
  </r>
  <r>
    <d v="2018-03-01T00:00:00"/>
    <x v="41"/>
    <x v="0"/>
    <n v="1000"/>
    <n v="380.25"/>
    <n v="380250"/>
    <s v="20180301N300026576"/>
    <n v="2018042"/>
    <s v="Rolling"/>
    <s v="IN302679-38296183"/>
    <s v="NSE"/>
    <n v="0"/>
    <n v="11.41"/>
    <n v="0"/>
    <n v="226.4"/>
    <n v="237.8075"/>
  </r>
  <r>
    <d v="2018-03-01T00:00:00"/>
    <x v="41"/>
    <x v="1"/>
    <n v="1000"/>
    <n v="377.5"/>
    <n v="377500"/>
    <s v="20180301N300026905"/>
    <n v="2018042"/>
    <s v="Rolling"/>
    <s v="IN302679-38296183"/>
    <s v="NSE"/>
    <n v="95"/>
    <n v="11.33"/>
    <n v="22.8"/>
    <n v="224.77"/>
    <n v="353.89499999999998"/>
  </r>
  <r>
    <d v="2018-02-23T00:00:00"/>
    <x v="90"/>
    <x v="0"/>
    <n v="10"/>
    <n v="896.8"/>
    <n v="8968"/>
    <s v="20180223N300028913"/>
    <n v="2018038"/>
    <s v="Rolling"/>
    <s v="IN302679-38296183"/>
    <s v="NSE"/>
    <n v="9"/>
    <n v="0.27"/>
    <n v="0.3"/>
    <n v="58.25"/>
    <n v="67.819100000000006"/>
  </r>
  <r>
    <d v="2018-02-22T00:00:00"/>
    <x v="91"/>
    <x v="0"/>
    <n v="250"/>
    <n v="49"/>
    <n v="12250"/>
    <s v="20180222N300031088"/>
    <n v="2018037"/>
    <s v="Rolling"/>
    <s v="IN302679-38296183"/>
    <s v="NSE"/>
    <n v="12"/>
    <n v="0.37"/>
    <n v="0.6"/>
    <n v="79.569999999999993"/>
    <n v="92.537499999999994"/>
  </r>
  <r>
    <d v="2018-02-21T00:00:00"/>
    <x v="2"/>
    <x v="0"/>
    <n v="50"/>
    <n v="210.15"/>
    <n v="10507.5"/>
    <s v="20180221N300022287"/>
    <n v="2018036"/>
    <s v="Rolling"/>
    <s v="IN302679-38296183"/>
    <s v="NSE"/>
    <n v="10.51"/>
    <n v="0.32"/>
    <n v="0"/>
    <n v="68.25"/>
    <n v="79.075299999999999"/>
  </r>
  <r>
    <d v="2018-02-21T00:00:00"/>
    <x v="5"/>
    <x v="0"/>
    <n v="500"/>
    <n v="580.4"/>
    <n v="290200"/>
    <s v="20180221N300033357"/>
    <n v="2018036"/>
    <s v="Rolling"/>
    <s v="IN302679-38296183"/>
    <s v="NSE"/>
    <n v="0"/>
    <n v="8.7100000000000009"/>
    <n v="17.7"/>
    <n v="172.78"/>
    <n v="199.18600000000001"/>
  </r>
  <r>
    <d v="2018-02-21T00:00:00"/>
    <x v="5"/>
    <x v="1"/>
    <n v="500"/>
    <n v="577.52"/>
    <n v="288760.59999999998"/>
    <s v="20180221N300033366"/>
    <n v="2018036"/>
    <s v="Rolling"/>
    <s v="IN302679-38296183"/>
    <s v="NSE"/>
    <n v="72.489999999999995"/>
    <n v="8.66"/>
    <n v="0"/>
    <n v="171.93"/>
    <n v="253.08279999999999"/>
  </r>
  <r>
    <d v="2018-02-20T00:00:00"/>
    <x v="5"/>
    <x v="0"/>
    <n v="500"/>
    <n v="585"/>
    <n v="292500"/>
    <s v="20180220N300021386"/>
    <n v="2018035"/>
    <s v="Rolling"/>
    <s v="IN302679-38296183"/>
    <s v="NSE"/>
    <n v="0"/>
    <n v="8.7799999999999994"/>
    <n v="35.1"/>
    <n v="174.15"/>
    <n v="218.02510000000001"/>
  </r>
  <r>
    <d v="2018-02-20T00:00:00"/>
    <x v="5"/>
    <x v="1"/>
    <n v="500"/>
    <n v="580"/>
    <n v="290000"/>
    <s v="20180220N300022427"/>
    <n v="2018035"/>
    <s v="Rolling"/>
    <s v="IN302679-38296183"/>
    <s v="NSE"/>
    <n v="72.650000000000006"/>
    <n v="8.6999999999999993"/>
    <n v="0"/>
    <n v="172.67"/>
    <n v="254.02"/>
  </r>
  <r>
    <d v="2018-02-20T00:00:00"/>
    <x v="5"/>
    <x v="0"/>
    <n v="500"/>
    <n v="582.78"/>
    <n v="291390.3"/>
    <s v="20180220N300023277"/>
    <n v="2018035"/>
    <s v="Rolling"/>
    <s v="IN302679-38296183"/>
    <s v="NSE"/>
    <n v="0"/>
    <n v="8.74"/>
    <n v="0"/>
    <n v="173.49"/>
    <n v="182.23169999999999"/>
  </r>
  <r>
    <d v="2018-02-20T00:00:00"/>
    <x v="5"/>
    <x v="1"/>
    <n v="500"/>
    <n v="577.02"/>
    <n v="288511.3"/>
    <s v="20180220N300023968"/>
    <n v="2018035"/>
    <s v="Rolling"/>
    <s v="IN302679-38296183"/>
    <s v="NSE"/>
    <n v="72.349999999999994"/>
    <n v="8.66"/>
    <n v="0"/>
    <n v="171.77"/>
    <n v="252.7757"/>
  </r>
  <r>
    <d v="2018-02-16T00:00:00"/>
    <x v="5"/>
    <x v="0"/>
    <n v="500"/>
    <n v="607.96"/>
    <n v="303981.8"/>
    <s v="20180216N200001218"/>
    <n v="2018033"/>
    <s v="Rolling"/>
    <s v="IN302679-38296183"/>
    <s v="NSE"/>
    <n v="0"/>
    <n v="9.1199999999999992"/>
    <n v="0"/>
    <n v="180.98"/>
    <n v="190.0994"/>
  </r>
  <r>
    <d v="2018-02-16T00:00:00"/>
    <x v="5"/>
    <x v="1"/>
    <n v="500"/>
    <n v="611"/>
    <n v="305500"/>
    <s v="20180216N200001818"/>
    <n v="2018033"/>
    <s v="Rolling"/>
    <s v="IN302679-38296183"/>
    <s v="NSE"/>
    <n v="76.709999999999994"/>
    <n v="9.17"/>
    <n v="64.5"/>
    <n v="181.89"/>
    <n v="332.26499999999999"/>
  </r>
  <r>
    <d v="2018-02-16T00:00:00"/>
    <x v="5"/>
    <x v="0"/>
    <n v="500"/>
    <n v="611.75"/>
    <n v="305875"/>
    <s v="20180216N300023231"/>
    <n v="2018033"/>
    <s v="Rolling"/>
    <s v="IN302679-38296183"/>
    <s v="NSE"/>
    <n v="0"/>
    <n v="9.18"/>
    <n v="0"/>
    <n v="182.12"/>
    <n v="191.2962"/>
  </r>
  <r>
    <d v="2018-02-16T00:00:00"/>
    <x v="5"/>
    <x v="1"/>
    <n v="500"/>
    <n v="614"/>
    <n v="307000"/>
    <s v="20180216N300032770"/>
    <n v="2018033"/>
    <s v="Rolling"/>
    <s v="IN302679-38296183"/>
    <s v="NSE"/>
    <n v="76.510000000000005"/>
    <n v="9.2100000000000009"/>
    <n v="0"/>
    <n v="182.82"/>
    <n v="268.53980000000001"/>
  </r>
  <r>
    <d v="2018-02-16T00:00:00"/>
    <x v="5"/>
    <x v="0"/>
    <n v="750"/>
    <n v="612.75"/>
    <n v="459562.5"/>
    <s v="20180216N300033650"/>
    <n v="2018033"/>
    <s v="Rolling"/>
    <s v="IN302679-38296183"/>
    <s v="NSE"/>
    <n v="0"/>
    <n v="13.79"/>
    <n v="0"/>
    <n v="273.62"/>
    <n v="287.40690000000001"/>
  </r>
  <r>
    <d v="2018-02-16T00:00:00"/>
    <x v="5"/>
    <x v="1"/>
    <n v="750"/>
    <n v="614"/>
    <n v="460500"/>
    <s v="20180216N300033787"/>
    <n v="2018033"/>
    <s v="Rolling"/>
    <s v="IN302679-38296183"/>
    <s v="NSE"/>
    <n v="114.77"/>
    <n v="13.82"/>
    <n v="0"/>
    <n v="274.18"/>
    <n v="402.76510000000002"/>
  </r>
  <r>
    <d v="2018-02-15T00:00:00"/>
    <x v="92"/>
    <x v="0"/>
    <n v="500"/>
    <n v="415.67"/>
    <n v="207836.4"/>
    <s v="20180215N200001473"/>
    <n v="2018032"/>
    <s v="Rolling"/>
    <s v="IN302679-38296183"/>
    <s v="NSE"/>
    <n v="0"/>
    <n v="6.24"/>
    <n v="0"/>
    <n v="123.75"/>
    <n v="129.98519999999999"/>
  </r>
  <r>
    <d v="2018-02-15T00:00:00"/>
    <x v="92"/>
    <x v="1"/>
    <n v="500"/>
    <n v="412"/>
    <n v="206000"/>
    <s v="20180215N200001728"/>
    <n v="2018032"/>
    <s v="Rolling"/>
    <s v="IN302679-38296183"/>
    <s v="NSE"/>
    <n v="51.73"/>
    <n v="6.18"/>
    <n v="0"/>
    <n v="122.66"/>
    <n v="180.57"/>
  </r>
  <r>
    <d v="2018-02-15T00:00:00"/>
    <x v="5"/>
    <x v="1"/>
    <n v="500"/>
    <n v="607"/>
    <n v="303500"/>
    <s v="20180215N300033410"/>
    <n v="2018032"/>
    <s v="Rolling"/>
    <s v="IN302902-46841937"/>
    <s v="NSE"/>
    <n v="303.27"/>
    <n v="9.11"/>
    <n v="21.6"/>
    <n v="1971.35"/>
    <n v="2305.3251"/>
  </r>
  <r>
    <d v="2018-02-14T00:00:00"/>
    <x v="5"/>
    <x v="0"/>
    <n v="500"/>
    <n v="614.25"/>
    <n v="307125"/>
    <s v="20180214N300025108"/>
    <n v="2018031"/>
    <s v="Rolling"/>
    <s v="IN302902-46841937"/>
    <s v="NSE"/>
    <n v="307"/>
    <n v="9.2100000000000009"/>
    <n v="9.3000000000000007"/>
    <n v="1994.9"/>
    <n v="2320.4137999999998"/>
  </r>
  <r>
    <d v="2018-02-09T00:00:00"/>
    <x v="92"/>
    <x v="0"/>
    <n v="1000"/>
    <n v="429.1"/>
    <n v="429099.25"/>
    <s v="20180209N300025062"/>
    <n v="2018029"/>
    <s v="Rolling"/>
    <s v="IN302679-38296183"/>
    <s v="NSE"/>
    <n v="0"/>
    <n v="13.95"/>
    <n v="0"/>
    <n v="255.68"/>
    <n v="269.62569999999999"/>
  </r>
  <r>
    <d v="2018-02-09T00:00:00"/>
    <x v="92"/>
    <x v="1"/>
    <n v="1000"/>
    <n v="434"/>
    <n v="434000"/>
    <s v="20180209N300025137"/>
    <n v="2018029"/>
    <s v="Rolling"/>
    <s v="IN302679-38296183"/>
    <s v="NSE"/>
    <n v="107.89"/>
    <n v="14.11"/>
    <n v="0"/>
    <n v="258.60000000000002"/>
    <n v="380.5951"/>
  </r>
  <r>
    <d v="2018-02-09T00:00:00"/>
    <x v="49"/>
    <x v="0"/>
    <n v="1000"/>
    <n v="309.57"/>
    <n v="309565.3"/>
    <s v="20180209N300027890"/>
    <n v="2018029"/>
    <s v="Rolling"/>
    <s v="IN302679-38296183"/>
    <s v="NSE"/>
    <n v="0"/>
    <n v="10.06"/>
    <n v="44.4"/>
    <n v="184.46"/>
    <n v="238.92089999999999"/>
  </r>
  <r>
    <d v="2018-02-09T00:00:00"/>
    <x v="49"/>
    <x v="1"/>
    <n v="1000"/>
    <n v="303.01"/>
    <n v="303014.3"/>
    <s v="20180209N300029456"/>
    <n v="2018029"/>
    <s v="Rolling"/>
    <s v="IN302679-38296183"/>
    <s v="NSE"/>
    <n v="76.11"/>
    <n v="9.85"/>
    <n v="0"/>
    <n v="180.56"/>
    <n v="266.5179"/>
  </r>
  <r>
    <d v="2018-02-08T00:00:00"/>
    <x v="5"/>
    <x v="0"/>
    <n v="100"/>
    <n v="612"/>
    <n v="61200"/>
    <s v="20180208N300033164"/>
    <n v="2018028"/>
    <s v="Rolling"/>
    <s v="IN302679-38296183"/>
    <s v="NSE"/>
    <n v="0"/>
    <n v="1.99"/>
    <n v="0"/>
    <n v="36.47"/>
    <n v="38.459000000000003"/>
  </r>
  <r>
    <d v="2018-02-08T00:00:00"/>
    <x v="92"/>
    <x v="0"/>
    <n v="100"/>
    <n v="414"/>
    <n v="41400"/>
    <s v="20180208N300034127"/>
    <n v="2018028"/>
    <s v="Rolling"/>
    <s v="IN302679-38296183"/>
    <s v="NSE"/>
    <n v="0"/>
    <n v="1.35"/>
    <n v="0"/>
    <n v="29.74"/>
    <n v="31.0855"/>
  </r>
  <r>
    <d v="2018-02-08T00:00:00"/>
    <x v="92"/>
    <x v="1"/>
    <n v="100"/>
    <n v="417"/>
    <n v="41700"/>
    <s v="20180208N300034279"/>
    <n v="2018028"/>
    <s v="Rolling"/>
    <s v="IN302679-38296183"/>
    <s v="NSE"/>
    <n v="10.39"/>
    <n v="1.36"/>
    <n v="0"/>
    <n v="29.75"/>
    <n v="41.495199999999997"/>
  </r>
  <r>
    <d v="2018-02-08T00:00:00"/>
    <x v="5"/>
    <x v="1"/>
    <n v="100"/>
    <n v="620"/>
    <n v="62000"/>
    <s v="20180208N300035918"/>
    <n v="2018028"/>
    <s v="Rolling"/>
    <s v="IN302679-38296183"/>
    <s v="NSE"/>
    <n v="61.27"/>
    <n v="2.02"/>
    <n v="0"/>
    <n v="36.94"/>
    <n v="100.22499999999999"/>
  </r>
  <r>
    <d v="2018-02-08T00:00:00"/>
    <x v="5"/>
    <x v="0"/>
    <n v="500"/>
    <n v="615"/>
    <n v="307500"/>
    <s v="20180208N300038133"/>
    <n v="2018028"/>
    <s v="Rolling"/>
    <s v="IN302679-38296183"/>
    <s v="NSE"/>
    <n v="0"/>
    <n v="9.99"/>
    <n v="0"/>
    <n v="183.22"/>
    <n v="193.21379999999999"/>
  </r>
  <r>
    <d v="2018-02-08T00:00:00"/>
    <x v="5"/>
    <x v="1"/>
    <n v="500"/>
    <n v="617"/>
    <n v="308500"/>
    <s v="20180208N300038429"/>
    <n v="2018028"/>
    <s v="Rolling"/>
    <s v="IN302679-38296183"/>
    <s v="NSE"/>
    <n v="306.33"/>
    <n v="10.029999999999999"/>
    <n v="0"/>
    <n v="183.82"/>
    <n v="500.17630000000003"/>
  </r>
  <r>
    <d v="2018-02-08T00:00:00"/>
    <x v="5"/>
    <x v="1"/>
    <n v="1100"/>
    <n v="609"/>
    <n v="669900"/>
    <s v="20180208N900020226"/>
    <n v="2018028"/>
    <s v="Rolling"/>
    <s v="IN302902-46841937"/>
    <s v="NSE"/>
    <n v="398.02"/>
    <n v="21.77"/>
    <n v="45"/>
    <n v="4351.57"/>
    <n v="4816.3617000000004"/>
  </r>
  <r>
    <d v="2018-02-06T00:00:00"/>
    <x v="5"/>
    <x v="0"/>
    <n v="100"/>
    <n v="582"/>
    <n v="58200"/>
    <s v="20180206N300040909"/>
    <n v="2018026"/>
    <s v="Rolling"/>
    <s v="IN302902-46841937"/>
    <s v="NSE"/>
    <n v="59.01"/>
    <n v="1.89"/>
    <n v="24.9"/>
    <n v="378.06"/>
    <n v="463.86149999999998"/>
  </r>
  <r>
    <d v="2018-02-06T00:00:00"/>
    <x v="92"/>
    <x v="0"/>
    <n v="100"/>
    <n v="386.82"/>
    <n v="38682"/>
    <s v="20180206N300044031"/>
    <n v="2018026"/>
    <s v="Rolling"/>
    <s v="IN302679-38296183"/>
    <s v="NSE"/>
    <n v="0"/>
    <n v="1.26"/>
    <n v="0"/>
    <n v="29.73"/>
    <n v="30.987200000000001"/>
  </r>
  <r>
    <d v="2018-02-06T00:00:00"/>
    <x v="92"/>
    <x v="1"/>
    <n v="100"/>
    <n v="405"/>
    <n v="40500"/>
    <s v="20180206N300044736"/>
    <n v="2018026"/>
    <s v="Rolling"/>
    <s v="IN302679-38296183"/>
    <s v="NSE"/>
    <n v="9.9"/>
    <n v="1.32"/>
    <n v="0"/>
    <n v="29.74"/>
    <n v="40.956299999999999"/>
  </r>
  <r>
    <d v="2018-02-06T00:00:00"/>
    <x v="5"/>
    <x v="0"/>
    <n v="1000"/>
    <n v="592"/>
    <n v="592000"/>
    <s v="20180206N300050080"/>
    <n v="2018026"/>
    <s v="Rolling"/>
    <s v="IN302902-46841937"/>
    <s v="NSE"/>
    <n v="591.09"/>
    <n v="19.239999999999998"/>
    <n v="0"/>
    <n v="3845.55"/>
    <n v="4455.8797999999997"/>
  </r>
  <r>
    <d v="2018-02-06T00:00:00"/>
    <x v="85"/>
    <x v="1"/>
    <n v="5000"/>
    <n v="18.2"/>
    <n v="91000"/>
    <s v="20180206N900019901"/>
    <n v="2018026"/>
    <s v="Rolling"/>
    <s v="IN302679-38296183"/>
    <s v="NSE"/>
    <n v="91"/>
    <n v="2.96"/>
    <n v="0"/>
    <n v="591.12"/>
    <n v="685.07749999999999"/>
  </r>
  <r>
    <d v="2018-02-05T00:00:00"/>
    <x v="2"/>
    <x v="0"/>
    <n v="50"/>
    <n v="236.8"/>
    <n v="11840"/>
    <s v="20180205B300015638"/>
    <n v="201718213"/>
    <s v="Rolling"/>
    <s v="IN302679-38296183"/>
    <s v="BSE"/>
    <n v="12"/>
    <n v="0.63"/>
    <n v="0.6"/>
    <n v="76.95"/>
    <n v="90.177800000000005"/>
  </r>
  <r>
    <d v="2018-02-02T00:00:00"/>
    <x v="78"/>
    <x v="1"/>
    <n v="1000"/>
    <n v="120.99"/>
    <n v="120994.8"/>
    <s v="20180202N200013648"/>
    <n v="2018024"/>
    <s v="Rolling"/>
    <s v="IN302902-46841937"/>
    <s v="NSE"/>
    <n v="121.25"/>
    <n v="3.93"/>
    <n v="8.4"/>
    <n v="785.97"/>
    <n v="919.55229999999995"/>
  </r>
  <r>
    <d v="2018-02-02T00:00:00"/>
    <x v="35"/>
    <x v="1"/>
    <n v="277"/>
    <n v="157.4"/>
    <n v="43599.8"/>
    <s v="20180202N300020032"/>
    <n v="2018024"/>
    <s v="Rolling"/>
    <s v="IN302902-46841937"/>
    <s v="NSE"/>
    <n v="42.59"/>
    <n v="1.42"/>
    <n v="0"/>
    <n v="283.22000000000003"/>
    <n v="327.22699999999998"/>
  </r>
  <r>
    <d v="2018-02-02T00:00:00"/>
    <x v="35"/>
    <x v="1"/>
    <n v="723"/>
    <n v="152.35"/>
    <n v="110149.05"/>
    <s v="20180202N300025376"/>
    <n v="2018024"/>
    <s v="Rolling"/>
    <s v="IN302902-46841937"/>
    <s v="NSE"/>
    <n v="111.16"/>
    <n v="3.58"/>
    <n v="0"/>
    <n v="715.5"/>
    <n v="830.23990000000003"/>
  </r>
  <r>
    <d v="2018-01-31T00:00:00"/>
    <x v="35"/>
    <x v="0"/>
    <n v="1000"/>
    <n v="169"/>
    <n v="169000"/>
    <s v="20180131N300041988"/>
    <n v="2018022"/>
    <s v="Rolling"/>
    <s v="IN302902-46841937"/>
    <s v="NSE"/>
    <n v="169"/>
    <n v="5.49"/>
    <n v="0"/>
    <n v="1097.8"/>
    <n v="1272.2925"/>
  </r>
  <r>
    <d v="2018-01-31T00:00:00"/>
    <x v="78"/>
    <x v="0"/>
    <n v="1000"/>
    <n v="129"/>
    <n v="129000"/>
    <s v="20180131N900021200"/>
    <n v="2018022"/>
    <s v="Rolling"/>
    <s v="IN302902-46841937"/>
    <s v="NSE"/>
    <n v="129"/>
    <n v="4.1900000000000004"/>
    <n v="9"/>
    <n v="837.96"/>
    <n v="980.15250000000003"/>
  </r>
  <r>
    <d v="2018-01-29T00:00:00"/>
    <x v="91"/>
    <x v="0"/>
    <n v="500"/>
    <n v="59.5"/>
    <n v="29750"/>
    <s v="20180129B300011483"/>
    <n v="201718208"/>
    <s v="Rolling"/>
    <s v="IN302679-38296183"/>
    <s v="BSE"/>
    <n v="30"/>
    <n v="0.65"/>
    <n v="0.9"/>
    <n v="193.2"/>
    <n v="224.75460000000001"/>
  </r>
  <r>
    <d v="2018-01-29T00:00:00"/>
    <x v="44"/>
    <x v="0"/>
    <n v="500"/>
    <n v="455.9"/>
    <n v="227950"/>
    <s v="20180129N300023752"/>
    <n v="2018020"/>
    <s v="Rolling"/>
    <s v="IN302679-38296183"/>
    <s v="NSE"/>
    <n v="0"/>
    <n v="7.41"/>
    <n v="13.8"/>
    <n v="135.82"/>
    <n v="157.02850000000001"/>
  </r>
  <r>
    <d v="2018-01-29T00:00:00"/>
    <x v="44"/>
    <x v="1"/>
    <n v="500"/>
    <n v="451"/>
    <n v="225500"/>
    <s v="20180129N300023811"/>
    <n v="2018020"/>
    <s v="Rolling"/>
    <s v="IN302679-38296183"/>
    <s v="NSE"/>
    <n v="57"/>
    <n v="7.33"/>
    <n v="0"/>
    <n v="134.36000000000001"/>
    <n v="198.68879999999999"/>
  </r>
  <r>
    <d v="2018-01-25T00:00:00"/>
    <x v="9"/>
    <x v="1"/>
    <n v="1000"/>
    <n v="320"/>
    <n v="320000"/>
    <s v="20180125N300022051"/>
    <n v="2018019"/>
    <s v="Rolling"/>
    <s v="IN302679-38296183"/>
    <s v="NSE"/>
    <n v="80.88"/>
    <n v="10.4"/>
    <n v="0"/>
    <n v="190.67"/>
    <n v="281.95"/>
  </r>
  <r>
    <d v="2018-01-25T00:00:00"/>
    <x v="19"/>
    <x v="1"/>
    <n v="1000"/>
    <n v="171"/>
    <n v="171000"/>
    <s v="20180125N300022259"/>
    <n v="2018019"/>
    <s v="Rolling"/>
    <s v="IN302679-38296183"/>
    <s v="NSE"/>
    <n v="43.62"/>
    <n v="5.56"/>
    <n v="33.299999999999997"/>
    <n v="101.89"/>
    <n v="184.36760000000001"/>
  </r>
  <r>
    <d v="2018-01-25T00:00:00"/>
    <x v="85"/>
    <x v="0"/>
    <n v="5000"/>
    <n v="22.9"/>
    <n v="114500"/>
    <s v="20180125N300037225"/>
    <n v="2018019"/>
    <s v="Rolling"/>
    <s v="IN302679-38296183"/>
    <s v="NSE"/>
    <n v="114.5"/>
    <n v="3.72"/>
    <n v="0"/>
    <n v="743.77"/>
    <n v="861.99130000000002"/>
  </r>
  <r>
    <d v="2018-01-25T00:00:00"/>
    <x v="19"/>
    <x v="0"/>
    <n v="1000"/>
    <n v="176"/>
    <n v="176000"/>
    <s v="20180125N900017806"/>
    <n v="2018019"/>
    <s v="Rolling"/>
    <s v="IN302679-38296183"/>
    <s v="NSE"/>
    <n v="0"/>
    <n v="5.72"/>
    <n v="0"/>
    <n v="104.87"/>
    <n v="110.59"/>
  </r>
  <r>
    <d v="2018-01-25T00:00:00"/>
    <x v="9"/>
    <x v="0"/>
    <n v="1000"/>
    <n v="327"/>
    <n v="327000"/>
    <s v="20180125N900017824"/>
    <n v="2018019"/>
    <s v="Rolling"/>
    <s v="IN302679-38296183"/>
    <s v="NSE"/>
    <n v="0"/>
    <n v="10.63"/>
    <n v="0"/>
    <n v="194.84"/>
    <n v="205.4675"/>
  </r>
  <r>
    <d v="2018-01-23T00:00:00"/>
    <x v="93"/>
    <x v="1"/>
    <n v="1000"/>
    <n v="100.98"/>
    <n v="100979.45"/>
    <s v="20180123N300025914"/>
    <n v="2018017"/>
    <s v="Rolling"/>
    <s v="IN302902-46841937"/>
    <s v="NSE"/>
    <n v="100.89"/>
    <n v="3.28"/>
    <n v="49.5"/>
    <n v="655.95"/>
    <n v="809.62170000000003"/>
  </r>
  <r>
    <d v="2018-01-23T00:00:00"/>
    <x v="94"/>
    <x v="0"/>
    <n v="2500"/>
    <n v="120"/>
    <n v="300000"/>
    <s v="20180123N300033763"/>
    <n v="2018017"/>
    <s v="Rolling"/>
    <s v="IN302679-38296183"/>
    <s v="NSE"/>
    <n v="0"/>
    <n v="9.75"/>
    <n v="0"/>
    <n v="178.75"/>
    <n v="188.5"/>
  </r>
  <r>
    <d v="2018-01-23T00:00:00"/>
    <x v="94"/>
    <x v="1"/>
    <n v="2500"/>
    <n v="118.26"/>
    <n v="295649.8"/>
    <s v="20180123N300034407"/>
    <n v="2018017"/>
    <s v="Rolling"/>
    <s v="IN302679-38296183"/>
    <s v="NSE"/>
    <n v="74.459999999999994"/>
    <n v="9.61"/>
    <n v="0"/>
    <n v="176.13"/>
    <n v="260.19830000000002"/>
  </r>
  <r>
    <d v="2018-01-23T00:00:00"/>
    <x v="44"/>
    <x v="0"/>
    <n v="1000"/>
    <n v="481"/>
    <n v="481000"/>
    <s v="20180123N300034606"/>
    <n v="2018017"/>
    <s v="Rolling"/>
    <s v="IN302679-38296183"/>
    <s v="NSE"/>
    <n v="0"/>
    <n v="15.63"/>
    <n v="0"/>
    <n v="286.61"/>
    <n v="302.24250000000001"/>
  </r>
  <r>
    <d v="2018-01-23T00:00:00"/>
    <x v="44"/>
    <x v="1"/>
    <n v="1000"/>
    <n v="468.2"/>
    <n v="468195.2"/>
    <s v="20180123N300034712"/>
    <n v="2018017"/>
    <s v="Rolling"/>
    <s v="IN302679-38296183"/>
    <s v="NSE"/>
    <n v="118.65"/>
    <n v="15.22"/>
    <n v="0"/>
    <n v="278.98"/>
    <n v="412.84620000000001"/>
  </r>
  <r>
    <d v="2018-01-22T00:00:00"/>
    <x v="95"/>
    <x v="0"/>
    <n v="1000"/>
    <n v="250.79"/>
    <n v="250788.3"/>
    <s v="20180122N300023763"/>
    <n v="2018016"/>
    <s v="Rolling"/>
    <s v="IN302679-38296183"/>
    <s v="NSE"/>
    <n v="0"/>
    <n v="8.15"/>
    <n v="15"/>
    <n v="149.43"/>
    <n v="172.58070000000001"/>
  </r>
  <r>
    <d v="2018-01-22T00:00:00"/>
    <x v="95"/>
    <x v="1"/>
    <n v="1000"/>
    <n v="241.76"/>
    <n v="241762.5"/>
    <s v="20180122N300023882"/>
    <n v="2018016"/>
    <s v="Rolling"/>
    <s v="IN302679-38296183"/>
    <s v="NSE"/>
    <n v="62"/>
    <n v="7.86"/>
    <n v="0"/>
    <n v="144.06"/>
    <n v="213.91739999999999"/>
  </r>
  <r>
    <d v="2018-01-19T00:00:00"/>
    <x v="92"/>
    <x v="0"/>
    <n v="1000"/>
    <n v="434.14"/>
    <n v="434142.5"/>
    <s v="20180119N300020287"/>
    <n v="2018015"/>
    <s v="Rolling"/>
    <s v="IN302679-38296183"/>
    <s v="NSE"/>
    <n v="0"/>
    <n v="14.11"/>
    <n v="191.7"/>
    <n v="258.68"/>
    <n v="464.48970000000003"/>
  </r>
  <r>
    <d v="2018-01-19T00:00:00"/>
    <x v="92"/>
    <x v="1"/>
    <n v="1000"/>
    <n v="425.86"/>
    <n v="425860.9"/>
    <s v="20180119N300020381"/>
    <n v="2018015"/>
    <s v="Rolling"/>
    <s v="IN302679-38296183"/>
    <s v="NSE"/>
    <n v="107.95"/>
    <n v="13.84"/>
    <n v="0"/>
    <n v="253.76"/>
    <n v="375.5505"/>
  </r>
  <r>
    <d v="2018-01-19T00:00:00"/>
    <x v="20"/>
    <x v="0"/>
    <n v="1000"/>
    <n v="580"/>
    <n v="580000"/>
    <s v="20180119N300030124"/>
    <n v="2018015"/>
    <s v="Rolling"/>
    <s v="IN302679-38296183"/>
    <s v="NSE"/>
    <n v="0"/>
    <n v="18.850000000000001"/>
    <n v="0"/>
    <n v="345.6"/>
    <n v="364.45"/>
  </r>
  <r>
    <d v="2018-01-19T00:00:00"/>
    <x v="20"/>
    <x v="1"/>
    <n v="1000"/>
    <n v="580.65"/>
    <n v="580650"/>
    <s v="20180119N300030531"/>
    <n v="2018015"/>
    <s v="Rolling"/>
    <s v="IN302679-38296183"/>
    <s v="NSE"/>
    <n v="145.66999999999999"/>
    <n v="18.87"/>
    <n v="0"/>
    <n v="345.98"/>
    <n v="510.52109999999999"/>
  </r>
  <r>
    <d v="2018-01-19T00:00:00"/>
    <x v="20"/>
    <x v="0"/>
    <n v="737"/>
    <n v="579"/>
    <n v="426723"/>
    <s v="20180119N300032868"/>
    <n v="2018015"/>
    <s v="Rolling"/>
    <s v="IN302679-38296183"/>
    <s v="NSE"/>
    <n v="0"/>
    <n v="13.87"/>
    <n v="0"/>
    <n v="254.26"/>
    <n v="268.12860000000001"/>
  </r>
  <r>
    <d v="2018-01-19T00:00:00"/>
    <x v="20"/>
    <x v="1"/>
    <n v="737"/>
    <n v="580"/>
    <n v="427460"/>
    <s v="20180119N300034464"/>
    <n v="2018015"/>
    <s v="Rolling"/>
    <s v="IN302679-38296183"/>
    <s v="NSE"/>
    <n v="107.36"/>
    <n v="13.89"/>
    <n v="0"/>
    <n v="254.7"/>
    <n v="375.95249999999999"/>
  </r>
  <r>
    <d v="2018-01-19T00:00:00"/>
    <x v="20"/>
    <x v="0"/>
    <n v="1000"/>
    <n v="579.75"/>
    <n v="579750"/>
    <s v="20180119N300034624"/>
    <n v="2018015"/>
    <s v="Rolling"/>
    <s v="IN302679-38296183"/>
    <s v="NSE"/>
    <n v="0"/>
    <n v="18.84"/>
    <n v="0"/>
    <n v="345.44"/>
    <n v="364.28179999999998"/>
  </r>
  <r>
    <d v="2018-01-19T00:00:00"/>
    <x v="20"/>
    <x v="1"/>
    <n v="730"/>
    <n v="581"/>
    <n v="424130"/>
    <s v="20180119N300034771"/>
    <n v="2018015"/>
    <s v="Rolling"/>
    <s v="IN302679-38296183"/>
    <s v="NSE"/>
    <n v="106.34"/>
    <n v="13.78"/>
    <n v="0"/>
    <n v="252.72"/>
    <n v="372.84429999999998"/>
  </r>
  <r>
    <d v="2018-01-19T00:00:00"/>
    <x v="20"/>
    <x v="1"/>
    <n v="270"/>
    <n v="581.5"/>
    <n v="157005"/>
    <s v="20180119N300034975"/>
    <n v="2018015"/>
    <s v="Rolling"/>
    <s v="IN302679-38296183"/>
    <s v="NSE"/>
    <n v="39.33"/>
    <n v="5.0999999999999996"/>
    <n v="0"/>
    <n v="93.55"/>
    <n v="137.98269999999999"/>
  </r>
  <r>
    <d v="2018-01-19T00:00:00"/>
    <x v="20"/>
    <x v="0"/>
    <n v="1000"/>
    <n v="585.5"/>
    <n v="585500"/>
    <s v="20180119N300036498"/>
    <n v="2018015"/>
    <s v="Rolling"/>
    <s v="IN302679-38296183"/>
    <s v="NSE"/>
    <n v="0"/>
    <n v="19.03"/>
    <n v="0"/>
    <n v="348.87"/>
    <n v="367.89879999999999"/>
  </r>
  <r>
    <d v="2018-01-19T00:00:00"/>
    <x v="20"/>
    <x v="1"/>
    <n v="1000"/>
    <n v="587"/>
    <n v="587000"/>
    <s v="20180119N300036535"/>
    <n v="2018015"/>
    <s v="Rolling"/>
    <s v="IN302679-38296183"/>
    <s v="NSE"/>
    <n v="145.66999999999999"/>
    <n v="19.079999999999998"/>
    <n v="0"/>
    <n v="349.76"/>
    <n v="514.50750000000005"/>
  </r>
  <r>
    <d v="2018-01-19T00:00:00"/>
    <x v="20"/>
    <x v="0"/>
    <n v="1000"/>
    <n v="586.5"/>
    <n v="586500"/>
    <s v="20180119N300037124"/>
    <n v="2018015"/>
    <s v="Rolling"/>
    <s v="IN302679-38296183"/>
    <s v="NSE"/>
    <n v="0"/>
    <n v="19.059999999999999"/>
    <n v="0"/>
    <n v="349.47"/>
    <n v="368.53129999999999"/>
  </r>
  <r>
    <d v="2018-01-19T00:00:00"/>
    <x v="20"/>
    <x v="1"/>
    <n v="1000"/>
    <n v="585.70000000000005"/>
    <n v="585696.9"/>
    <s v="20180119N300038058"/>
    <n v="2018015"/>
    <s v="Rolling"/>
    <s v="IN302679-38296183"/>
    <s v="NSE"/>
    <n v="145.66999999999999"/>
    <n v="19.04"/>
    <n v="0"/>
    <n v="348.99"/>
    <n v="513.69510000000002"/>
  </r>
  <r>
    <d v="2018-01-18T00:00:00"/>
    <x v="93"/>
    <x v="0"/>
    <n v="1000"/>
    <n v="104.43"/>
    <n v="104426.8"/>
    <s v="20180118N300022150"/>
    <n v="2018014"/>
    <s v="Rolling"/>
    <s v="IN302902-46841937"/>
    <s v="NSE"/>
    <n v="104.43"/>
    <n v="3.39"/>
    <n v="0"/>
    <n v="678.34"/>
    <n v="786.16390000000001"/>
  </r>
  <r>
    <d v="2018-01-18T00:00:00"/>
    <x v="27"/>
    <x v="0"/>
    <n v="1000"/>
    <n v="415.95"/>
    <n v="415948.75"/>
    <s v="20180118N300037300"/>
    <n v="2018014"/>
    <s v="Rolling"/>
    <s v="IN302679-38296183"/>
    <s v="NSE"/>
    <n v="0"/>
    <n v="13.52"/>
    <n v="0"/>
    <n v="247.85"/>
    <n v="261.36829999999998"/>
  </r>
  <r>
    <d v="2018-01-18T00:00:00"/>
    <x v="27"/>
    <x v="1"/>
    <n v="1000"/>
    <n v="410.55"/>
    <n v="410550.55"/>
    <s v="20180118N300037365"/>
    <n v="2018014"/>
    <s v="Rolling"/>
    <s v="IN302679-38296183"/>
    <s v="NSE"/>
    <n v="103.31"/>
    <n v="13.34"/>
    <n v="0"/>
    <n v="244.61"/>
    <n v="361.2629"/>
  </r>
  <r>
    <d v="2018-01-18T00:00:00"/>
    <x v="1"/>
    <x v="1"/>
    <n v="1000"/>
    <n v="597.57000000000005"/>
    <n v="597570.6"/>
    <s v="20180118N900019468"/>
    <n v="2018014"/>
    <s v="Rolling"/>
    <s v="IN302902-46841937"/>
    <s v="NSE"/>
    <n v="597.26"/>
    <n v="19.420000000000002"/>
    <n v="45.9"/>
    <n v="3881.72"/>
    <n v="4544.3009000000002"/>
  </r>
  <r>
    <d v="2018-01-17T00:00:00"/>
    <x v="92"/>
    <x v="1"/>
    <n v="1000"/>
    <n v="430.06"/>
    <n v="430060.45"/>
    <s v="20180117N300024103"/>
    <n v="2018013"/>
    <s v="Rolling"/>
    <s v="IN302902-46841937"/>
    <s v="NSE"/>
    <n v="430.06"/>
    <n v="13.98"/>
    <n v="0"/>
    <n v="2793.61"/>
    <n v="3237.6471000000001"/>
  </r>
  <r>
    <d v="2018-01-17T00:00:00"/>
    <x v="96"/>
    <x v="1"/>
    <n v="2878"/>
    <n v="14.65"/>
    <n v="42162.7"/>
    <s v="20180117N300024164"/>
    <n v="2018013"/>
    <s v="Rolling"/>
    <s v="IN302902-46841937"/>
    <s v="NSE"/>
    <n v="42.16"/>
    <n v="1.37"/>
    <n v="0"/>
    <n v="273.88"/>
    <n v="317.41019999999997"/>
  </r>
  <r>
    <d v="2018-01-17T00:00:00"/>
    <x v="76"/>
    <x v="1"/>
    <n v="5000"/>
    <n v="13.4"/>
    <n v="67000"/>
    <s v="20180117N300026235"/>
    <n v="2018013"/>
    <s v="TT"/>
    <s v="IN302679-38296183"/>
    <s v="NSE"/>
    <n v="67"/>
    <n v="2.1800000000000002"/>
    <n v="2.1"/>
    <n v="435.22"/>
    <n v="506.4975"/>
  </r>
  <r>
    <d v="2018-01-17T00:00:00"/>
    <x v="78"/>
    <x v="0"/>
    <n v="1000"/>
    <n v="150.35"/>
    <n v="150345.35"/>
    <s v="20180117N300030192"/>
    <n v="2018013"/>
    <s v="Rolling"/>
    <s v="IN302679-38296183"/>
    <s v="NSE"/>
    <n v="0"/>
    <n v="4.8899999999999997"/>
    <n v="0"/>
    <n v="89.58"/>
    <n v="94.466200000000001"/>
  </r>
  <r>
    <d v="2018-01-17T00:00:00"/>
    <x v="78"/>
    <x v="1"/>
    <n v="2500"/>
    <n v="148.38"/>
    <n v="370944.5"/>
    <s v="20180117N300030292"/>
    <n v="2018013"/>
    <s v="Rolling"/>
    <s v="IN302679-38296183"/>
    <s v="NSE"/>
    <n v="92.78"/>
    <n v="12.06"/>
    <n v="0"/>
    <n v="221.02"/>
    <n v="325.85550000000001"/>
  </r>
  <r>
    <d v="2018-01-17T00:00:00"/>
    <x v="78"/>
    <x v="0"/>
    <n v="1500"/>
    <n v="149.5"/>
    <n v="224250"/>
    <s v="20180117N300034959"/>
    <n v="2018013"/>
    <s v="Rolling"/>
    <s v="IN302679-38296183"/>
    <s v="NSE"/>
    <n v="0"/>
    <n v="7.29"/>
    <n v="54.6"/>
    <n v="133.62"/>
    <n v="195.50819999999999"/>
  </r>
  <r>
    <d v="2018-01-17T00:00:00"/>
    <x v="1"/>
    <x v="0"/>
    <n v="1000"/>
    <n v="595"/>
    <n v="595000"/>
    <s v="20180117N300040526"/>
    <n v="2018013"/>
    <s v="Rolling"/>
    <s v="IN302902-46841937"/>
    <s v="NSE"/>
    <n v="595"/>
    <n v="19.34"/>
    <n v="0"/>
    <n v="3865.03"/>
    <n v="4479.3674000000001"/>
  </r>
  <r>
    <d v="2018-01-16T00:00:00"/>
    <x v="96"/>
    <x v="1"/>
    <n v="2122"/>
    <n v="15.3"/>
    <n v="32466.6"/>
    <s v="20180116N300031182"/>
    <n v="2018012"/>
    <s v="Rolling"/>
    <s v="IN302902-46841937"/>
    <s v="NSE"/>
    <n v="31.89"/>
    <n v="1.06"/>
    <n v="2.4"/>
    <n v="210.9"/>
    <n v="246.24520000000001"/>
  </r>
  <r>
    <d v="2018-01-16T00:00:00"/>
    <x v="96"/>
    <x v="1"/>
    <n v="2500"/>
    <n v="15.2"/>
    <n v="38000"/>
    <s v="20180116N300044946"/>
    <n v="2018012"/>
    <s v="Rolling"/>
    <s v="IN302902-46841937"/>
    <s v="NSE"/>
    <n v="38.11"/>
    <n v="1.24"/>
    <n v="0"/>
    <n v="246.84"/>
    <n v="286.185"/>
  </r>
  <r>
    <d v="2018-01-15T00:00:00"/>
    <x v="97"/>
    <x v="0"/>
    <n v="1000"/>
    <n v="63.95"/>
    <n v="63950"/>
    <s v="20180115N300025674"/>
    <n v="2018011"/>
    <s v="Rolling"/>
    <s v="IN302679-38296183"/>
    <s v="NSE"/>
    <n v="0"/>
    <n v="2.08"/>
    <n v="0"/>
    <n v="38.1"/>
    <n v="40.178400000000003"/>
  </r>
  <r>
    <d v="2018-01-15T00:00:00"/>
    <x v="97"/>
    <x v="1"/>
    <n v="1000"/>
    <n v="62.88"/>
    <n v="62875"/>
    <s v="20180115N300026137"/>
    <n v="2018011"/>
    <s v="Rolling"/>
    <s v="IN302679-38296183"/>
    <s v="NSE"/>
    <n v="15.85"/>
    <n v="2.04"/>
    <n v="0"/>
    <n v="37.47"/>
    <n v="55.363599999999998"/>
  </r>
  <r>
    <d v="2018-01-15T00:00:00"/>
    <x v="54"/>
    <x v="0"/>
    <n v="100"/>
    <n v="956.3"/>
    <n v="95630"/>
    <s v="20180115N300026819"/>
    <n v="2018011"/>
    <s v="Rolling"/>
    <s v="IN302679-38296183"/>
    <s v="NSE"/>
    <n v="0"/>
    <n v="3.11"/>
    <n v="0"/>
    <n v="56.98"/>
    <n v="60.087899999999998"/>
  </r>
  <r>
    <d v="2018-01-15T00:00:00"/>
    <x v="54"/>
    <x v="1"/>
    <n v="100"/>
    <n v="954"/>
    <n v="95400"/>
    <s v="20180115N300026884"/>
    <n v="2018011"/>
    <s v="Rolling"/>
    <s v="IN302679-38296183"/>
    <s v="NSE"/>
    <n v="23.88"/>
    <n v="3.1"/>
    <n v="0"/>
    <n v="56.84"/>
    <n v="83.820499999999996"/>
  </r>
  <r>
    <d v="2018-01-15T00:00:00"/>
    <x v="78"/>
    <x v="0"/>
    <n v="1000"/>
    <n v="140.75"/>
    <n v="140750"/>
    <s v="20180115N300028379"/>
    <n v="2018011"/>
    <s v="Rolling"/>
    <s v="IN302679-38296183"/>
    <s v="NSE"/>
    <n v="0"/>
    <n v="4.57"/>
    <n v="0"/>
    <n v="83.85"/>
    <n v="88.424800000000005"/>
  </r>
  <r>
    <d v="2018-01-15T00:00:00"/>
    <x v="11"/>
    <x v="0"/>
    <n v="1000"/>
    <n v="291.75"/>
    <n v="291750"/>
    <s v="20180115N300029163"/>
    <n v="2018011"/>
    <s v="Rolling"/>
    <s v="IN302679-38296183"/>
    <s v="NSE"/>
    <n v="0"/>
    <n v="9.48"/>
    <n v="0"/>
    <n v="173.84"/>
    <n v="183.3219"/>
  </r>
  <r>
    <d v="2018-01-15T00:00:00"/>
    <x v="78"/>
    <x v="1"/>
    <n v="1000"/>
    <n v="142.25"/>
    <n v="142250"/>
    <s v="20180115N300029374"/>
    <n v="2018011"/>
    <s v="Rolling"/>
    <s v="IN302679-38296183"/>
    <s v="NSE"/>
    <n v="35.380000000000003"/>
    <n v="4.62"/>
    <n v="0"/>
    <n v="84.76"/>
    <n v="124.7632"/>
  </r>
  <r>
    <d v="2018-01-15T00:00:00"/>
    <x v="49"/>
    <x v="0"/>
    <n v="71"/>
    <n v="335.6"/>
    <n v="23827.599999999999"/>
    <s v="20180115N300031845"/>
    <n v="2018011"/>
    <s v="Rolling"/>
    <s v="IN302679-38296183"/>
    <s v="NSE"/>
    <n v="0"/>
    <n v="0.77"/>
    <n v="53.1"/>
    <n v="29.64"/>
    <n v="83.514399999999995"/>
  </r>
  <r>
    <d v="2018-01-15T00:00:00"/>
    <x v="49"/>
    <x v="1"/>
    <n v="71"/>
    <n v="337.5"/>
    <n v="23962.5"/>
    <s v="20180115N300034185"/>
    <n v="2018011"/>
    <s v="Rolling"/>
    <s v="IN302679-38296183"/>
    <s v="NSE"/>
    <n v="5.97"/>
    <n v="0.78"/>
    <n v="0"/>
    <n v="29.64"/>
    <n v="36.3887"/>
  </r>
  <r>
    <d v="2018-01-15T00:00:00"/>
    <x v="96"/>
    <x v="0"/>
    <n v="5000"/>
    <n v="16.149999999999999"/>
    <n v="80750"/>
    <s v="20180115N300034342"/>
    <n v="2018011"/>
    <s v="Rolling"/>
    <s v="IN302902-46841937"/>
    <s v="NSE"/>
    <n v="80.75"/>
    <n v="2.62"/>
    <n v="0"/>
    <n v="524.54"/>
    <n v="607.9144"/>
  </r>
  <r>
    <d v="2018-01-15T00:00:00"/>
    <x v="92"/>
    <x v="0"/>
    <n v="1000"/>
    <n v="455"/>
    <n v="455000"/>
    <s v="20180115N300035246"/>
    <n v="2018011"/>
    <s v="Rolling"/>
    <s v="IN302902-46841937"/>
    <s v="NSE"/>
    <n v="455.05"/>
    <n v="14.79"/>
    <n v="0"/>
    <n v="2955.63"/>
    <n v="3425.4674"/>
  </r>
  <r>
    <d v="2018-01-15T00:00:00"/>
    <x v="11"/>
    <x v="1"/>
    <n v="1000"/>
    <n v="285.20999999999998"/>
    <n v="285205"/>
    <s v="20180115N300044603"/>
    <n v="2018011"/>
    <s v="Rolling"/>
    <s v="IN302679-38296183"/>
    <s v="NSE"/>
    <n v="72.12"/>
    <n v="9.27"/>
    <n v="0"/>
    <n v="169.94"/>
    <n v="251.32929999999999"/>
  </r>
  <r>
    <d v="2018-01-12T00:00:00"/>
    <x v="43"/>
    <x v="0"/>
    <n v="1000"/>
    <n v="88.45"/>
    <n v="88450"/>
    <s v="20180112N300024521"/>
    <n v="2018010"/>
    <s v="Rolling"/>
    <s v="IN302679-38296183"/>
    <s v="NSE"/>
    <n v="0"/>
    <n v="2.87"/>
    <n v="0"/>
    <n v="52.7"/>
    <n v="55.5747"/>
  </r>
  <r>
    <d v="2018-01-12T00:00:00"/>
    <x v="98"/>
    <x v="0"/>
    <n v="1000"/>
    <n v="77.5"/>
    <n v="77500"/>
    <s v="20180112N300025051"/>
    <n v="2018010"/>
    <s v="Rolling"/>
    <s v="IN302679-38296183"/>
    <s v="NSE"/>
    <n v="0"/>
    <n v="2.52"/>
    <n v="0"/>
    <n v="46.18"/>
    <n v="48.698700000000002"/>
  </r>
  <r>
    <d v="2018-01-12T00:00:00"/>
    <x v="78"/>
    <x v="1"/>
    <n v="500"/>
    <n v="142"/>
    <n v="71000"/>
    <s v="20180112N300025284"/>
    <n v="2018010"/>
    <s v="Rolling"/>
    <s v="IN302679-38296183"/>
    <s v="NSE"/>
    <n v="17.940000000000001"/>
    <n v="2.31"/>
    <n v="0"/>
    <n v="461.21"/>
    <n v="481.45749999999998"/>
  </r>
  <r>
    <d v="2018-01-12T00:00:00"/>
    <x v="78"/>
    <x v="0"/>
    <n v="2000"/>
    <n v="143.41999999999999"/>
    <n v="286846"/>
    <s v="20180112N300028804"/>
    <n v="2018010"/>
    <s v="Rolling"/>
    <s v="IN302679-38296183"/>
    <s v="NSE"/>
    <n v="0"/>
    <n v="9.32"/>
    <n v="0"/>
    <n v="170.91"/>
    <n v="180.23269999999999"/>
  </r>
  <r>
    <d v="2018-01-12T00:00:00"/>
    <x v="78"/>
    <x v="1"/>
    <n v="2000"/>
    <n v="144"/>
    <n v="288000"/>
    <s v="20180112N300028903"/>
    <n v="2018010"/>
    <s v="Rolling"/>
    <s v="IN302679-38296183"/>
    <s v="NSE"/>
    <n v="126.01"/>
    <n v="9.36"/>
    <n v="0"/>
    <n v="171.6"/>
    <n v="306.97000000000003"/>
  </r>
  <r>
    <d v="2018-01-12T00:00:00"/>
    <x v="98"/>
    <x v="1"/>
    <n v="1000"/>
    <n v="79.25"/>
    <n v="79250"/>
    <s v="20180112N300032365"/>
    <n v="2018010"/>
    <s v="Rolling"/>
    <s v="IN302679-38296183"/>
    <s v="NSE"/>
    <n v="19.59"/>
    <n v="2.58"/>
    <n v="0"/>
    <n v="47.23"/>
    <n v="69.395600000000002"/>
  </r>
  <r>
    <d v="2018-01-12T00:00:00"/>
    <x v="43"/>
    <x v="1"/>
    <n v="1000"/>
    <n v="85"/>
    <n v="85000"/>
    <s v="20180112N300041069"/>
    <n v="2018010"/>
    <s v="Rolling"/>
    <s v="IN302679-38296183"/>
    <s v="NSE"/>
    <n v="21.68"/>
    <n v="2.76"/>
    <n v="0"/>
    <n v="50.65"/>
    <n v="75.092500000000001"/>
  </r>
  <r>
    <d v="2018-01-12T00:00:00"/>
    <x v="99"/>
    <x v="0"/>
    <n v="1000"/>
    <n v="114.62"/>
    <n v="114619.15"/>
    <s v="20180112N300043044"/>
    <n v="2018010"/>
    <s v="Rolling"/>
    <s v="IN302679-38296183"/>
    <s v="NSE"/>
    <n v="0"/>
    <n v="3.73"/>
    <n v="36.299999999999997"/>
    <n v="68.290000000000006"/>
    <n v="108.3152"/>
  </r>
  <r>
    <d v="2018-01-12T00:00:00"/>
    <x v="99"/>
    <x v="1"/>
    <n v="1000"/>
    <n v="115.58"/>
    <n v="115580"/>
    <s v="20180112N300044879"/>
    <n v="2018010"/>
    <s v="Rolling"/>
    <s v="IN302679-38296183"/>
    <s v="NSE"/>
    <n v="28.77"/>
    <n v="3.76"/>
    <n v="0"/>
    <n v="68.87"/>
    <n v="101.3963"/>
  </r>
  <r>
    <d v="2018-01-11T00:00:00"/>
    <x v="43"/>
    <x v="0"/>
    <n v="1000"/>
    <n v="91.5"/>
    <n v="91500"/>
    <s v="20180111N300026217"/>
    <n v="2018009"/>
    <s v="Rolling"/>
    <s v="IN302902-46841937"/>
    <s v="NSE"/>
    <n v="0"/>
    <n v="2.97"/>
    <n v="8.4"/>
    <n v="54.51"/>
    <n v="65.883799999999994"/>
  </r>
  <r>
    <d v="2018-01-11T00:00:00"/>
    <x v="43"/>
    <x v="1"/>
    <n v="1000"/>
    <n v="92.6"/>
    <n v="92600"/>
    <s v="20180111N300028781"/>
    <n v="2018009"/>
    <s v="Rolling"/>
    <s v="IN302902-46841937"/>
    <s v="NSE"/>
    <n v="23.13"/>
    <n v="3.01"/>
    <n v="0"/>
    <n v="55.18"/>
    <n v="81.319500000000005"/>
  </r>
  <r>
    <d v="2018-01-11T00:00:00"/>
    <x v="43"/>
    <x v="0"/>
    <n v="1000"/>
    <n v="93.4"/>
    <n v="93400"/>
    <s v="20180111N300040838"/>
    <n v="2018009"/>
    <s v="Rolling"/>
    <s v="IN302902-46841937"/>
    <s v="NSE"/>
    <n v="92.88"/>
    <n v="3.04"/>
    <n v="0"/>
    <n v="606.72"/>
    <n v="702.63549999999998"/>
  </r>
  <r>
    <d v="2018-01-10T00:00:00"/>
    <x v="96"/>
    <x v="1"/>
    <n v="5000"/>
    <n v="16.8"/>
    <n v="84000"/>
    <s v="20180110N300023054"/>
    <n v="2018008"/>
    <s v="Rolling"/>
    <s v="IN302679-38296183"/>
    <s v="NSE"/>
    <n v="83.92"/>
    <n v="2.73"/>
    <n v="0"/>
    <n v="545.65"/>
    <n v="632.29999999999995"/>
  </r>
  <r>
    <d v="2018-01-10T00:00:00"/>
    <x v="96"/>
    <x v="1"/>
    <n v="2500"/>
    <n v="16.75"/>
    <n v="41875"/>
    <s v="20180110N300024964"/>
    <n v="2018008"/>
    <s v="Rolling"/>
    <s v="IN302902-46841937"/>
    <s v="NSE"/>
    <n v="42.08"/>
    <n v="1.36"/>
    <n v="6.9"/>
    <n v="272.01"/>
    <n v="322.35090000000002"/>
  </r>
  <r>
    <d v="2018-01-10T00:00:00"/>
    <x v="100"/>
    <x v="1"/>
    <n v="1000"/>
    <n v="104"/>
    <n v="104000"/>
    <s v="20180110N300025510"/>
    <n v="2018008"/>
    <s v="Rolling"/>
    <s v="IN302679-38296183"/>
    <s v="NSE"/>
    <n v="104"/>
    <n v="3.38"/>
    <n v="0"/>
    <n v="675.57"/>
    <n v="782.95"/>
  </r>
  <r>
    <d v="2018-01-09T00:00:00"/>
    <x v="96"/>
    <x v="0"/>
    <n v="5000"/>
    <n v="16.149999999999999"/>
    <n v="80750"/>
    <s v="20180109N300036299"/>
    <n v="2018007"/>
    <s v="Rolling"/>
    <s v="IN302902-46841937"/>
    <s v="NSE"/>
    <n v="0"/>
    <n v="2.62"/>
    <n v="0"/>
    <n v="48.11"/>
    <n v="50.734400000000001"/>
  </r>
  <r>
    <d v="2018-01-09T00:00:00"/>
    <x v="96"/>
    <x v="1"/>
    <n v="5000"/>
    <n v="16.100000000000001"/>
    <n v="80500"/>
    <s v="20180109N300036397"/>
    <n v="2018007"/>
    <s v="Rolling"/>
    <s v="IN302902-46841937"/>
    <s v="NSE"/>
    <n v="20.75"/>
    <n v="2.62"/>
    <n v="12.3"/>
    <n v="47.97"/>
    <n v="83.636300000000006"/>
  </r>
  <r>
    <d v="2018-01-09T00:00:00"/>
    <x v="96"/>
    <x v="0"/>
    <n v="5000"/>
    <n v="16.100000000000001"/>
    <n v="80500"/>
    <s v="20180109N300038251"/>
    <n v="2018007"/>
    <s v="Rolling"/>
    <s v="IN302902-46841937"/>
    <s v="NSE"/>
    <n v="0"/>
    <n v="2.62"/>
    <n v="0"/>
    <n v="47.97"/>
    <n v="50.586300000000001"/>
  </r>
  <r>
    <d v="2018-01-09T00:00:00"/>
    <x v="96"/>
    <x v="1"/>
    <n v="5000"/>
    <n v="16.2"/>
    <n v="81000"/>
    <s v="20180109N300040691"/>
    <n v="2018007"/>
    <s v="Rolling"/>
    <s v="IN302902-46841937"/>
    <s v="NSE"/>
    <n v="20.25"/>
    <n v="2.63"/>
    <n v="0"/>
    <n v="48.26"/>
    <n v="71.142499999999998"/>
  </r>
  <r>
    <d v="2018-01-09T00:00:00"/>
    <x v="96"/>
    <x v="0"/>
    <n v="5000"/>
    <n v="16.45"/>
    <n v="82250"/>
    <s v="20180109N300042790"/>
    <n v="2018007"/>
    <s v="Rolling"/>
    <s v="IN302902-46841937"/>
    <s v="NSE"/>
    <n v="81"/>
    <n v="2.67"/>
    <n v="0"/>
    <n v="534.28"/>
    <n v="617.95320000000004"/>
  </r>
  <r>
    <d v="2018-01-05T00:00:00"/>
    <x v="101"/>
    <x v="0"/>
    <n v="5000"/>
    <n v="24"/>
    <n v="120000"/>
    <s v="20180105N200000985"/>
    <n v="2018005"/>
    <s v="Rolling"/>
    <s v="IN302679-38296183"/>
    <s v="NSE"/>
    <n v="0"/>
    <n v="3.9"/>
    <n v="7.2"/>
    <n v="71.5"/>
    <n v="82.6"/>
  </r>
  <r>
    <d v="2018-01-05T00:00:00"/>
    <x v="101"/>
    <x v="1"/>
    <n v="5000"/>
    <n v="23.65"/>
    <n v="118250"/>
    <s v="20180105N300045940"/>
    <n v="2018005"/>
    <s v="Rolling"/>
    <s v="IN302679-38296183"/>
    <s v="NSE"/>
    <n v="30"/>
    <n v="3.84"/>
    <n v="0"/>
    <n v="70.459999999999994"/>
    <n v="104.3032"/>
  </r>
  <r>
    <d v="2018-01-04T00:00:00"/>
    <x v="76"/>
    <x v="0"/>
    <n v="5000"/>
    <n v="15.95"/>
    <n v="79750"/>
    <s v="20180104N200001169"/>
    <n v="2018004"/>
    <s v="TT"/>
    <s v="IN302679-38296183"/>
    <s v="NSE"/>
    <n v="80"/>
    <n v="2.59"/>
    <n v="2.4"/>
    <n v="518.04"/>
    <n v="603.03189999999995"/>
  </r>
  <r>
    <d v="2018-01-04T00:00:00"/>
    <x v="102"/>
    <x v="0"/>
    <n v="100"/>
    <n v="38.700000000000003"/>
    <n v="3870"/>
    <s v="20180104N300035739"/>
    <n v="2018004"/>
    <s v="Rolling"/>
    <s v="IN302679-38296183"/>
    <s v="NSE"/>
    <n v="0"/>
    <n v="0.13"/>
    <n v="0.3"/>
    <n v="29.52"/>
    <n v="29.945799999999998"/>
  </r>
  <r>
    <d v="2018-01-04T00:00:00"/>
    <x v="102"/>
    <x v="1"/>
    <n v="100"/>
    <n v="37.6"/>
    <n v="3760"/>
    <s v="20180104N300035979"/>
    <n v="2018004"/>
    <s v="Rolling"/>
    <s v="IN302679-38296183"/>
    <s v="NSE"/>
    <n v="1"/>
    <n v="0.12"/>
    <n v="0"/>
    <n v="29.52"/>
    <n v="30.642199999999999"/>
  </r>
  <r>
    <d v="2018-01-03T00:00:00"/>
    <x v="100"/>
    <x v="0"/>
    <n v="1000"/>
    <n v="98.65"/>
    <n v="98650"/>
    <s v="20180103N300032732"/>
    <n v="2018003"/>
    <s v="Rolling"/>
    <s v="IN302679-38296183"/>
    <s v="NSE"/>
    <n v="99"/>
    <n v="3.21"/>
    <n v="3"/>
    <n v="640.82000000000005"/>
    <n v="746.02620000000002"/>
  </r>
  <r>
    <d v="2018-01-02T00:00:00"/>
    <x v="33"/>
    <x v="1"/>
    <n v="500"/>
    <n v="91"/>
    <n v="45500"/>
    <s v="20180102N300037617"/>
    <n v="2018002"/>
    <s v="Rolling"/>
    <s v="IN302679-38296183"/>
    <s v="NSE"/>
    <n v="45.5"/>
    <n v="1.48"/>
    <n v="0"/>
    <n v="295.56"/>
    <n v="342.53879999999998"/>
  </r>
  <r>
    <d v="2018-01-02T00:00:00"/>
    <x v="86"/>
    <x v="1"/>
    <n v="1000"/>
    <n v="71"/>
    <n v="71000"/>
    <s v="20180102N900018763"/>
    <n v="2018002"/>
    <s v="Rolling"/>
    <s v="IN302679-38296183"/>
    <s v="NSE"/>
    <n v="71.5"/>
    <n v="2.31"/>
    <n v="3.6"/>
    <n v="461.2"/>
    <n v="538.60749999999996"/>
  </r>
  <r>
    <d v="2018-01-01T00:00:00"/>
    <x v="96"/>
    <x v="0"/>
    <n v="5000"/>
    <n v="15.75"/>
    <n v="78750"/>
    <s v="20180101N300027607"/>
    <n v="2018001"/>
    <s v="Rolling"/>
    <s v="IN302679-38296183"/>
    <s v="NSE"/>
    <n v="78.75"/>
    <n v="2.56"/>
    <n v="0"/>
    <n v="511.55"/>
    <n v="592.85940000000005"/>
  </r>
  <r>
    <d v="2018-01-01T00:00:00"/>
    <x v="78"/>
    <x v="1"/>
    <n v="500"/>
    <n v="135.81"/>
    <n v="67905"/>
    <s v="20180101N300032556"/>
    <n v="2018001"/>
    <s v="Rolling"/>
    <s v="IN302679-38296183"/>
    <s v="NSE"/>
    <n v="67.75"/>
    <n v="2.21"/>
    <n v="5.7"/>
    <n v="441.1"/>
    <n v="516.7568"/>
  </r>
  <r>
    <d v="2018-01-01T00:00:00"/>
    <x v="49"/>
    <x v="0"/>
    <n v="100"/>
    <n v="335"/>
    <n v="33500"/>
    <s v="20180101N300032614"/>
    <n v="2018001"/>
    <s v="Rolling"/>
    <s v="IN302679-38296183"/>
    <s v="NSE"/>
    <n v="33.5"/>
    <n v="1.0900000000000001"/>
    <n v="0"/>
    <n v="217.61"/>
    <n v="252.19880000000001"/>
  </r>
  <r>
    <d v="2017-12-29T00:00:00"/>
    <x v="33"/>
    <x v="0"/>
    <n v="500"/>
    <n v="69.930000000000007"/>
    <n v="34962.5"/>
    <s v="20171229N300024242"/>
    <n v="2017248"/>
    <s v="Rolling"/>
    <s v="IN302679-38296183"/>
    <s v="NSE"/>
    <n v="34.5"/>
    <n v="1.1399999999999999"/>
    <n v="2.4"/>
    <n v="227.11"/>
    <n v="265.14620000000002"/>
  </r>
  <r>
    <d v="2017-12-29T00:00:00"/>
    <x v="96"/>
    <x v="1"/>
    <n v="2500"/>
    <n v="15.4"/>
    <n v="38500"/>
    <s v="20171229N300038123"/>
    <n v="2017248"/>
    <s v="Rolling"/>
    <s v="IN302679-38296183"/>
    <s v="NSE"/>
    <n v="38.5"/>
    <n v="1.25"/>
    <n v="0"/>
    <n v="250.09"/>
    <n v="289.84129999999999"/>
  </r>
  <r>
    <d v="2017-12-28T00:00:00"/>
    <x v="86"/>
    <x v="0"/>
    <n v="1000"/>
    <n v="48.75"/>
    <n v="48750"/>
    <s v="20171228N300020983"/>
    <n v="2017247"/>
    <s v="Rolling"/>
    <s v="IN302679-38296183"/>
    <s v="NSE"/>
    <n v="48.5"/>
    <n v="1.58"/>
    <n v="3"/>
    <n v="316.69"/>
    <n v="369.77429999999998"/>
  </r>
  <r>
    <d v="2017-12-28T00:00:00"/>
    <x v="6"/>
    <x v="1"/>
    <n v="500"/>
    <n v="93"/>
    <n v="46500"/>
    <s v="20171228N900018934"/>
    <n v="2017247"/>
    <s v="Rolling"/>
    <s v="IN302679-38296183"/>
    <s v="NSE"/>
    <n v="46.5"/>
    <n v="1.51"/>
    <n v="0"/>
    <n v="302.06"/>
    <n v="350.07130000000001"/>
  </r>
  <r>
    <d v="2017-12-22T00:00:00"/>
    <x v="96"/>
    <x v="0"/>
    <n v="2500"/>
    <n v="14.55"/>
    <n v="36375"/>
    <s v="20171222N900018064"/>
    <n v="2017244"/>
    <s v="Rolling"/>
    <s v="IN302679-38296183"/>
    <s v="NSE"/>
    <n v="36"/>
    <n v="1.18"/>
    <n v="1.2"/>
    <n v="236.29"/>
    <n v="274.67219999999998"/>
  </r>
  <r>
    <d v="2017-12-19T00:00:00"/>
    <x v="85"/>
    <x v="1"/>
    <n v="5000"/>
    <n v="17.8"/>
    <n v="89000"/>
    <s v="20171219N300022461"/>
    <n v="2017241"/>
    <s v="Rolling"/>
    <s v="IN302679-38296183"/>
    <s v="NSE"/>
    <n v="89"/>
    <n v="2.89"/>
    <n v="2.7"/>
    <n v="578.13"/>
    <n v="672.72249999999997"/>
  </r>
  <r>
    <d v="2017-12-14T00:00:00"/>
    <x v="78"/>
    <x v="0"/>
    <n v="500"/>
    <n v="130.69999999999999"/>
    <n v="65350"/>
    <s v="20171214B200011228"/>
    <n v="201718178"/>
    <s v="Rolling"/>
    <s v="IN302679-38296183"/>
    <s v="BSE"/>
    <n v="65.489999999999995"/>
    <n v="1.93"/>
    <n v="3.3"/>
    <n v="424.47"/>
    <n v="495.18779999999998"/>
  </r>
  <r>
    <d v="2017-12-14T00:00:00"/>
    <x v="6"/>
    <x v="0"/>
    <n v="500"/>
    <n v="77.03"/>
    <n v="38513.1"/>
    <s v="20171214B200011330"/>
    <n v="201718178"/>
    <s v="Rolling"/>
    <s v="IN302679-38296183"/>
    <s v="BSE"/>
    <n v="38.51"/>
    <n v="1.1399999999999999"/>
    <n v="0"/>
    <n v="250.15"/>
    <n v="289.7962"/>
  </r>
  <r>
    <d v="2017-12-14T00:00:00"/>
    <x v="103"/>
    <x v="1"/>
    <n v="1000"/>
    <n v="71.349999999999994"/>
    <n v="71345.05"/>
    <s v="20171214N200024296"/>
    <n v="2017238"/>
    <s v="Rolling"/>
    <s v="IN302679-38296183"/>
    <s v="NSE"/>
    <n v="71"/>
    <n v="2.3199999999999998"/>
    <n v="2.4"/>
    <n v="463.45"/>
    <n v="539.16869999999994"/>
  </r>
  <r>
    <d v="2017-12-08T00:00:00"/>
    <x v="78"/>
    <x v="0"/>
    <n v="500"/>
    <n v="137.24"/>
    <n v="68618.100000000006"/>
    <s v="20171208N100025107"/>
    <n v="2017234"/>
    <s v="Rolling"/>
    <s v="IN302679-38296183"/>
    <s v="NSE"/>
    <n v="68.62"/>
    <n v="2.23"/>
    <n v="0"/>
    <n v="445.73"/>
    <n v="516.58010000000002"/>
  </r>
  <r>
    <d v="2017-12-08T00:00:00"/>
    <x v="103"/>
    <x v="0"/>
    <n v="1000"/>
    <n v="78.650000000000006"/>
    <n v="78650"/>
    <s v="20171208N400021198"/>
    <n v="2017234"/>
    <s v="Rolling"/>
    <s v="IN302679-38296183"/>
    <s v="NSE"/>
    <n v="78.38"/>
    <n v="2.56"/>
    <n v="4.5"/>
    <n v="510.9"/>
    <n v="596.33600000000001"/>
  </r>
  <r>
    <d v="2017-12-06T00:00:00"/>
    <x v="85"/>
    <x v="0"/>
    <n v="5000"/>
    <n v="16.7"/>
    <n v="83500"/>
    <s v="20171206N100003917"/>
    <n v="2017232"/>
    <s v="Rolling"/>
    <s v="IN302679-38296183"/>
    <s v="NSE"/>
    <n v="84"/>
    <n v="2.71"/>
    <n v="2.7"/>
    <n v="542.4"/>
    <n v="631.81380000000001"/>
  </r>
  <r>
    <d v="2017-12-01T00:00:00"/>
    <x v="6"/>
    <x v="1"/>
    <n v="500"/>
    <n v="73.599999999999994"/>
    <n v="36800"/>
    <s v="20171201B300008618"/>
    <n v="201718169"/>
    <s v="Rolling"/>
    <s v="IN302679-38296183"/>
    <s v="BSE"/>
    <n v="37"/>
    <n v="1.0900000000000001"/>
    <n v="1.2"/>
    <n v="239.03"/>
    <n v="278.31560000000002"/>
  </r>
  <r>
    <d v="2017-11-21T00:00:00"/>
    <x v="78"/>
    <x v="0"/>
    <n v="1000"/>
    <n v="142"/>
    <n v="142000"/>
    <s v="20171121B300010264"/>
    <n v="201718161"/>
    <s v="Rolling"/>
    <s v="IN302679-38296183"/>
    <s v="BSE"/>
    <n v="0"/>
    <n v="4.1900000000000004"/>
    <n v="8.4"/>
    <n v="922.33"/>
    <n v="934.91899999999998"/>
  </r>
  <r>
    <d v="2017-11-21T00:00:00"/>
    <x v="78"/>
    <x v="1"/>
    <n v="1000"/>
    <n v="132.53"/>
    <n v="132525.1"/>
    <s v="20171121B300011972"/>
    <n v="201718161"/>
    <s v="Rolling"/>
    <s v="IN302679-38296183"/>
    <s v="BSE"/>
    <n v="34"/>
    <n v="3.91"/>
    <n v="0"/>
    <n v="0.7"/>
    <n v="38.609499999999997"/>
  </r>
  <r>
    <d v="2017-11-16T00:00:00"/>
    <x v="6"/>
    <x v="0"/>
    <n v="500"/>
    <n v="69"/>
    <n v="34500"/>
    <s v="20171116B300006963"/>
    <n v="201718158"/>
    <s v="Rolling"/>
    <s v="IN302679-38296183"/>
    <s v="BSE"/>
    <n v="35"/>
    <n v="1.02"/>
    <n v="1.2"/>
    <n v="224.09"/>
    <n v="261.30770000000001"/>
  </r>
  <r>
    <d v="2017-10-04T00:00:00"/>
    <x v="86"/>
    <x v="1"/>
    <n v="2000"/>
    <n v="51.06"/>
    <n v="102113"/>
    <s v="20171004B300006524"/>
    <n v="201718128"/>
    <s v="Rolling"/>
    <s v="IN302679-38296183"/>
    <s v="BSE"/>
    <n v="102"/>
    <n v="3.01"/>
    <n v="3.3"/>
    <n v="663.25"/>
    <n v="771.56230000000005"/>
  </r>
  <r>
    <d v="2017-09-22T00:00:00"/>
    <x v="86"/>
    <x v="0"/>
    <n v="1000"/>
    <n v="54"/>
    <n v="54000"/>
    <s v="20170922B100007059"/>
    <n v="201718121"/>
    <s v="Rolling"/>
    <s v="IN302679-38296183"/>
    <s v="BSE"/>
    <n v="54"/>
    <n v="1.59"/>
    <n v="1.8"/>
    <n v="350.75"/>
    <n v="408.14299999999997"/>
  </r>
  <r>
    <d v="2017-06-23T00:00:00"/>
    <x v="86"/>
    <x v="0"/>
    <n v="1000"/>
    <n v="62.1"/>
    <n v="62100"/>
    <s v="20170623B100010048"/>
    <n v="201718059"/>
    <s v="Rolling"/>
    <s v="IN302679-38296183"/>
    <s v="BSE"/>
    <n v="0"/>
    <n v="2.02"/>
    <n v="3.9"/>
    <n v="392.78"/>
    <n v="398.69830000000002"/>
  </r>
  <r>
    <d v="2017-06-23T00:00:00"/>
    <x v="86"/>
    <x v="1"/>
    <n v="1000"/>
    <n v="61.15"/>
    <n v="61150"/>
    <s v="20170623B300004731"/>
    <n v="201718059"/>
    <s v="Rolling"/>
    <s v="IN302679-38296183"/>
    <s v="BSE"/>
    <n v="15"/>
    <n v="1.99"/>
    <n v="0"/>
    <n v="0"/>
    <n v="16.987400000000001"/>
  </r>
  <r>
    <d v="2017-06-21T00:00:00"/>
    <x v="78"/>
    <x v="0"/>
    <n v="200"/>
    <n v="134"/>
    <n v="26800"/>
    <s v="20170621B300005278"/>
    <n v="201718057"/>
    <s v="Rolling"/>
    <s v="IN302679-38296183"/>
    <s v="BSE"/>
    <n v="27"/>
    <n v="0.87"/>
    <n v="0.9"/>
    <n v="169.51"/>
    <n v="198.28100000000001"/>
  </r>
  <r>
    <d v="2017-05-11T00:00:00"/>
    <x v="86"/>
    <x v="0"/>
    <n v="1000"/>
    <n v="67.75"/>
    <n v="67750"/>
    <s v="20170511B300004232"/>
    <n v="201718028"/>
    <s v="Rolling"/>
    <s v="IN302679-38296183"/>
    <s v="BSE"/>
    <n v="68"/>
    <n v="2.2000000000000002"/>
    <n v="2.1"/>
    <n v="428.52"/>
    <n v="500.82190000000003"/>
  </r>
  <r>
    <d v="2017-05-02T00:00:00"/>
    <x v="86"/>
    <x v="1"/>
    <n v="2000"/>
    <n v="70.150000000000006"/>
    <n v="140300"/>
    <s v="20170502B300008484"/>
    <n v="201718021"/>
    <s v="Rolling"/>
    <s v="IN302679-38296183"/>
    <s v="BSE"/>
    <n v="140"/>
    <n v="4.5599999999999996"/>
    <n v="4.5"/>
    <n v="887.4"/>
    <n v="1036.4597000000001"/>
  </r>
  <r>
    <d v="2017-04-11T00:00:00"/>
    <x v="86"/>
    <x v="0"/>
    <n v="1000"/>
    <n v="67"/>
    <n v="67000"/>
    <s v="20170411B300005171"/>
    <n v="201718008"/>
    <s v="Rolling"/>
    <s v="IN302679-38296183"/>
    <s v="BSE"/>
    <n v="67"/>
    <n v="2.21"/>
    <n v="2.1"/>
    <n v="423.77"/>
    <n v="495.08100000000002"/>
  </r>
  <r>
    <d v="2017-03-30T00:00:00"/>
    <x v="86"/>
    <x v="1"/>
    <n v="1000"/>
    <n v="65.8"/>
    <n v="65800"/>
    <s v="20170330B300005168"/>
    <n v="201718001"/>
    <s v="Rolling"/>
    <s v="IN302679-38296183"/>
    <s v="BSE"/>
    <n v="66"/>
    <n v="2.17"/>
    <n v="7"/>
    <n v="416.19"/>
    <n v="491.3614"/>
  </r>
  <r>
    <d v="2017-03-24T00:00:00"/>
    <x v="86"/>
    <x v="0"/>
    <n v="1000"/>
    <n v="63.49"/>
    <n v="63492.5"/>
    <s v="20170324B200004466"/>
    <n v="201617245"/>
    <s v="Rolling"/>
    <s v="IN302679-38296183"/>
    <s v="BSE"/>
    <n v="63.49"/>
    <n v="2.1"/>
    <n v="0"/>
    <n v="401.59"/>
    <n v="467.17520000000002"/>
  </r>
  <r>
    <d v="2017-03-24T00:00:00"/>
    <x v="104"/>
    <x v="1"/>
    <n v="100"/>
    <n v="97.5"/>
    <n v="9750"/>
    <s v="20170324B300005892"/>
    <n v="201617245"/>
    <s v="Rolling"/>
    <s v="IN302679-38296183"/>
    <s v="BSE"/>
    <n v="9.51"/>
    <n v="0.32"/>
    <n v="8"/>
    <n v="61.67"/>
    <n v="79.5017"/>
  </r>
  <r>
    <d v="2017-03-14T00:00:00"/>
    <x v="104"/>
    <x v="0"/>
    <n v="100"/>
    <n v="92"/>
    <n v="9200"/>
    <s v="20170314B300012194"/>
    <n v="201617237"/>
    <s v="Rolling"/>
    <s v="IN302679-38296183"/>
    <s v="BSE"/>
    <n v="9"/>
    <n v="0.3"/>
    <n v="1"/>
    <n v="58.19"/>
    <n v="68.493600000000001"/>
  </r>
  <r>
    <d v="2016-11-02T00:00:00"/>
    <x v="105"/>
    <x v="1"/>
    <n v="100"/>
    <n v="401.05"/>
    <n v="40105"/>
    <s v="20161102B300011127"/>
    <n v="201617147"/>
    <s v="Rolling"/>
    <s v="IN302679-38296183"/>
    <s v="BSE"/>
    <n v="40.11"/>
    <n v="1.32"/>
    <n v="0"/>
    <n v="253.66"/>
    <n v="295.09350000000001"/>
  </r>
  <r>
    <d v="2016-11-02T00:00:00"/>
    <x v="49"/>
    <x v="0"/>
    <n v="100"/>
    <n v="380"/>
    <n v="38000"/>
    <s v="20161102B300011216"/>
    <n v="201617147"/>
    <s v="Rolling"/>
    <s v="IN302679-38296183"/>
    <s v="BSE"/>
    <n v="37.9"/>
    <n v="1.25"/>
    <n v="8"/>
    <n v="240.35"/>
    <n v="287.50400000000002"/>
  </r>
  <r>
    <d v="2016-10-27T00:00:00"/>
    <x v="105"/>
    <x v="0"/>
    <n v="100"/>
    <n v="403.3"/>
    <n v="40330"/>
    <s v="20161027B300008864"/>
    <n v="201617143"/>
    <s v="Rolling"/>
    <s v="IN302679-38296183"/>
    <s v="BSE"/>
    <n v="40"/>
    <n v="1.33"/>
    <n v="5"/>
    <n v="255.08"/>
    <n v="301.41079999999999"/>
  </r>
  <r>
    <d v="2016-10-25T00:00:00"/>
    <x v="106"/>
    <x v="1"/>
    <n v="100"/>
    <n v="373"/>
    <n v="37300"/>
    <s v="20161025B300011486"/>
    <n v="201617141"/>
    <s v="Rolling"/>
    <s v="IN302679-38296183"/>
    <s v="BSE"/>
    <n v="37"/>
    <n v="1.23"/>
    <n v="4"/>
    <n v="235.92"/>
    <n v="278.15089999999998"/>
  </r>
  <r>
    <d v="2016-10-24T00:00:00"/>
    <x v="69"/>
    <x v="1"/>
    <n v="100"/>
    <n v="456.25"/>
    <n v="45624.7"/>
    <s v="20161024B300011086"/>
    <n v="201617140"/>
    <s v="Rolling"/>
    <s v="IN302679-38296183"/>
    <s v="BSE"/>
    <n v="46"/>
    <n v="1.51"/>
    <n v="5"/>
    <n v="288.57"/>
    <n v="341.07549999999998"/>
  </r>
  <r>
    <d v="2016-10-18T00:00:00"/>
    <x v="105"/>
    <x v="1"/>
    <n v="100"/>
    <n v="398.16"/>
    <n v="39815.599999999999"/>
    <s v="20161018B300009004"/>
    <n v="201617136"/>
    <s v="Rolling"/>
    <s v="IN302679-38296183"/>
    <s v="BSE"/>
    <n v="39.82"/>
    <n v="1.31"/>
    <n v="0"/>
    <n v="251.84"/>
    <n v="292.97390000000001"/>
  </r>
  <r>
    <d v="2016-10-18T00:00:00"/>
    <x v="106"/>
    <x v="0"/>
    <n v="100"/>
    <n v="357"/>
    <n v="35700"/>
    <s v="20161018B300010645"/>
    <n v="201617136"/>
    <s v="Rolling"/>
    <s v="IN302679-38296183"/>
    <s v="BSE"/>
    <n v="36.18"/>
    <n v="1.18"/>
    <n v="8"/>
    <n v="225.8"/>
    <n v="271.15809999999999"/>
  </r>
  <r>
    <d v="2016-09-30T00:00:00"/>
    <x v="78"/>
    <x v="1"/>
    <n v="400"/>
    <n v="129.44999999999999"/>
    <n v="51779.45"/>
    <s v="20160930B300013978"/>
    <n v="201617126"/>
    <s v="Rolling"/>
    <s v="IN302679-38296183"/>
    <s v="BSE"/>
    <n v="51.78"/>
    <n v="1.71"/>
    <n v="0"/>
    <n v="327.5"/>
    <n v="380.98880000000003"/>
  </r>
  <r>
    <d v="2016-09-30T00:00:00"/>
    <x v="105"/>
    <x v="0"/>
    <n v="100"/>
    <n v="364.63"/>
    <n v="36463.35"/>
    <s v="20160930B300013990"/>
    <n v="201617126"/>
    <s v="Rolling"/>
    <s v="IN302679-38296183"/>
    <s v="BSE"/>
    <n v="36.22"/>
    <n v="1.2"/>
    <n v="9"/>
    <n v="230.63"/>
    <n v="277.0532"/>
  </r>
  <r>
    <d v="2016-09-14T00:00:00"/>
    <x v="69"/>
    <x v="1"/>
    <n v="100"/>
    <n v="518"/>
    <n v="51800"/>
    <s v="20160914B300009614"/>
    <n v="201617114"/>
    <s v="Rolling"/>
    <s v="IN302679-38296183"/>
    <s v="BSE"/>
    <n v="52"/>
    <n v="1.71"/>
    <n v="6"/>
    <n v="327.64"/>
    <n v="387.3494"/>
  </r>
  <r>
    <d v="2016-08-31T00:00:00"/>
    <x v="86"/>
    <x v="1"/>
    <n v="1000"/>
    <n v="66"/>
    <n v="66000"/>
    <s v="20160831B300008786"/>
    <n v="201617106"/>
    <s v="Rolling"/>
    <s v="IN302679-38296183"/>
    <s v="BSE"/>
    <n v="66"/>
    <n v="2.1800000000000002"/>
    <n v="7"/>
    <n v="417.46"/>
    <n v="492.63799999999998"/>
  </r>
  <r>
    <d v="2016-08-01T00:00:00"/>
    <x v="78"/>
    <x v="0"/>
    <n v="400"/>
    <n v="183"/>
    <n v="73200"/>
    <s v="20160801B300012540"/>
    <n v="201617085"/>
    <s v="Rolling"/>
    <s v="IN302679-38296183"/>
    <s v="BSE"/>
    <n v="73"/>
    <n v="2.42"/>
    <n v="8"/>
    <n v="462.99"/>
    <n v="546.40560000000005"/>
  </r>
  <r>
    <d v="2016-07-21T00:00:00"/>
    <x v="47"/>
    <x v="1"/>
    <n v="500"/>
    <n v="127.5"/>
    <n v="63750"/>
    <s v="20160721B300009291"/>
    <n v="201617078"/>
    <s v="Rolling"/>
    <s v="IN302679-38296183"/>
    <s v="BSE"/>
    <n v="63.32"/>
    <n v="2.1"/>
    <n v="13"/>
    <n v="403.22"/>
    <n v="481.6438"/>
  </r>
  <r>
    <d v="2016-07-21T00:00:00"/>
    <x v="69"/>
    <x v="0"/>
    <n v="100"/>
    <n v="566.79999999999995"/>
    <n v="56680"/>
    <s v="20160721B300009323"/>
    <n v="201617078"/>
    <s v="Rolling"/>
    <s v="IN302679-38296183"/>
    <s v="BSE"/>
    <n v="56.68"/>
    <n v="1.87"/>
    <n v="0"/>
    <n v="358.51"/>
    <n v="417.06040000000002"/>
  </r>
  <r>
    <d v="2016-07-14T00:00:00"/>
    <x v="107"/>
    <x v="1"/>
    <n v="895"/>
    <n v="71.45"/>
    <n v="63947.75"/>
    <s v="20160714B300014295"/>
    <n v="201617073"/>
    <s v="Rolling"/>
    <s v="IN302679-38296183"/>
    <s v="BSE"/>
    <n v="64.349999999999994"/>
    <n v="2.11"/>
    <n v="14"/>
    <n v="404.47"/>
    <n v="484.93029999999999"/>
  </r>
  <r>
    <d v="2016-07-14T00:00:00"/>
    <x v="47"/>
    <x v="0"/>
    <n v="500"/>
    <n v="133.30000000000001"/>
    <n v="66650"/>
    <s v="20160714B300014314"/>
    <n v="201617073"/>
    <s v="Rolling"/>
    <s v="IN302679-38296183"/>
    <s v="BSE"/>
    <n v="66.650000000000006"/>
    <n v="2.2000000000000002"/>
    <n v="0"/>
    <n v="421.56"/>
    <n v="490.40949999999998"/>
  </r>
  <r>
    <d v="2016-06-24T00:00:00"/>
    <x v="69"/>
    <x v="0"/>
    <n v="100"/>
    <n v="662.96"/>
    <n v="66296"/>
    <s v="20160624B100022418"/>
    <n v="201617060"/>
    <s v="Rolling"/>
    <s v="IN302679-38296183"/>
    <s v="BSE"/>
    <n v="66"/>
    <n v="2.19"/>
    <n v="7"/>
    <n v="419.32"/>
    <n v="494.50790000000001"/>
  </r>
  <r>
    <d v="2016-03-22T00:00:00"/>
    <x v="107"/>
    <x v="1"/>
    <n v="105"/>
    <n v="59.5"/>
    <n v="6247.5"/>
    <s v="20160322B100002433"/>
    <n v="201516244"/>
    <s v="Rolling"/>
    <s v="IN302679-38296183"/>
    <s v="BSE"/>
    <n v="6"/>
    <n v="0.21"/>
    <n v="1"/>
    <n v="40.08"/>
    <n v="47.286200000000001"/>
  </r>
  <r>
    <d v="2016-02-16T00:00:00"/>
    <x v="86"/>
    <x v="0"/>
    <n v="2000"/>
    <n v="64.86"/>
    <n v="129717.8"/>
    <s v="20160216B100003721"/>
    <n v="201516220"/>
    <s v="Rolling"/>
    <s v="IN302679-38296183"/>
    <s v="BSE"/>
    <n v="130"/>
    <n v="4.28"/>
    <n v="13"/>
    <n v="816.9"/>
    <n v="964.18079999999998"/>
  </r>
  <r>
    <d v="2016-01-29T00:00:00"/>
    <x v="21"/>
    <x v="1"/>
    <n v="100"/>
    <n v="1160"/>
    <n v="116000"/>
    <s v="20160129B100005467"/>
    <n v="201516208"/>
    <s v="Rolling"/>
    <s v="IN302679-38296183"/>
    <s v="BSE"/>
    <n v="116"/>
    <n v="3.83"/>
    <n v="12"/>
    <n v="730.51"/>
    <n v="862.33799999999997"/>
  </r>
  <r>
    <d v="2016-01-04T00:00:00"/>
    <x v="107"/>
    <x v="0"/>
    <n v="1000"/>
    <n v="69"/>
    <n v="69000"/>
    <s v="20160104B100007560"/>
    <n v="201516190"/>
    <s v="Rolling"/>
    <s v="IN302679-38296183"/>
    <s v="BSE"/>
    <n v="69"/>
    <n v="2.2799999999999998"/>
    <n v="7"/>
    <n v="434.53"/>
    <n v="512.80709999999999"/>
  </r>
  <r>
    <d v="2015-12-24T00:00:00"/>
    <x v="86"/>
    <x v="1"/>
    <n v="1000"/>
    <n v="100"/>
    <n v="100000"/>
    <s v="20151224B100005141"/>
    <n v="201516184"/>
    <s v="Rolling"/>
    <s v="IN302679-38296183"/>
    <s v="BSE"/>
    <n v="100"/>
    <n v="3.3"/>
    <n v="10"/>
    <n v="629.75"/>
    <n v="743.05"/>
  </r>
  <r>
    <d v="2015-12-17T00:00:00"/>
    <x v="86"/>
    <x v="0"/>
    <n v="1000"/>
    <n v="75.3"/>
    <n v="75300"/>
    <s v="20151217B100003547"/>
    <n v="201516179"/>
    <s v="Rolling"/>
    <s v="IN302679-38296183"/>
    <s v="BSE"/>
    <n v="75"/>
    <n v="2.48"/>
    <n v="8"/>
    <n v="474.2"/>
    <n v="559.68489999999997"/>
  </r>
  <r>
    <d v="2015-08-17T00:00:00"/>
    <x v="85"/>
    <x v="1"/>
    <n v="4000"/>
    <n v="12.96"/>
    <n v="51840"/>
    <s v="20150817B100006875"/>
    <n v="201516097"/>
    <s v="Rolling"/>
    <s v="IN302679-38296183"/>
    <s v="BSE"/>
    <n v="51.84"/>
    <n v="1.71"/>
    <n v="20.86"/>
    <n v="325.04000000000002"/>
    <n v="399.45190000000002"/>
  </r>
  <r>
    <d v="2015-08-17T00:00:00"/>
    <x v="73"/>
    <x v="1"/>
    <n v="110"/>
    <n v="402.55"/>
    <n v="44280.5"/>
    <s v="20150817B100006879"/>
    <n v="201516097"/>
    <s v="Rolling"/>
    <s v="IN302679-38296183"/>
    <s v="BSE"/>
    <n v="44.28"/>
    <n v="1.46"/>
    <n v="0"/>
    <n v="277.64"/>
    <n v="323.38119999999998"/>
  </r>
  <r>
    <d v="2015-08-17T00:00:00"/>
    <x v="21"/>
    <x v="0"/>
    <n v="100"/>
    <n v="1124.9100000000001"/>
    <n v="112491.4"/>
    <s v="20150817B100006923"/>
    <n v="201516097"/>
    <s v="Rolling"/>
    <s v="IN302679-38296183"/>
    <s v="BSE"/>
    <n v="112.88"/>
    <n v="3.71"/>
    <n v="0"/>
    <n v="705.32"/>
    <n v="821.91200000000003"/>
  </r>
  <r>
    <d v="2015-07-15T00:00:00"/>
    <x v="85"/>
    <x v="0"/>
    <n v="2000"/>
    <n v="14.75"/>
    <n v="29500"/>
    <s v="20150715B100005559"/>
    <n v="201516074"/>
    <s v="Rolling"/>
    <s v="IN302679-38296183"/>
    <s v="BSE"/>
    <n v="30"/>
    <n v="0.97"/>
    <n v="2.95"/>
    <n v="184.97"/>
    <n v="218.89340000000001"/>
  </r>
  <r>
    <d v="2015-07-10T00:00:00"/>
    <x v="73"/>
    <x v="1"/>
    <n v="100"/>
    <n v="430"/>
    <n v="43000"/>
    <s v="20150710B100002164"/>
    <n v="201516071"/>
    <s v="Rolling"/>
    <s v="IN302679-38296183"/>
    <s v="BSE"/>
    <n v="43"/>
    <n v="1.42"/>
    <n v="4.3"/>
    <n v="269.61"/>
    <n v="318.32889999999998"/>
  </r>
  <r>
    <d v="2015-06-12T00:00:00"/>
    <x v="73"/>
    <x v="0"/>
    <n v="100"/>
    <n v="390"/>
    <n v="39000"/>
    <s v="20150612B100001779"/>
    <n v="201516051"/>
    <s v="Rolling"/>
    <s v="IN302679-38296183"/>
    <s v="BSE"/>
    <n v="39"/>
    <n v="1.29"/>
    <n v="3.9"/>
    <n v="244.54"/>
    <n v="288.72699999999998"/>
  </r>
  <r>
    <d v="2015-04-17T00:00:00"/>
    <x v="85"/>
    <x v="0"/>
    <n v="1000"/>
    <n v="17.100000000000001"/>
    <n v="17100"/>
    <s v="20150417B100007333"/>
    <n v="201516012"/>
    <s v="Rolling"/>
    <s v="IN302679-38296183"/>
    <s v="BSE"/>
    <n v="17"/>
    <n v="0.56000000000000005"/>
    <n v="1.71"/>
    <n v="105.67"/>
    <n v="124.9443"/>
  </r>
  <r>
    <d v="2015-04-13T00:00:00"/>
    <x v="85"/>
    <x v="1"/>
    <n v="1000"/>
    <n v="19.100000000000001"/>
    <n v="19100"/>
    <s v="20150413B100000039"/>
    <n v="201516009"/>
    <s v="Rolling"/>
    <s v="IN302679-38296183"/>
    <s v="BSE"/>
    <n v="19"/>
    <n v="0.63"/>
    <n v="1.91"/>
    <n v="118.03"/>
    <n v="139.5703"/>
  </r>
  <r>
    <d v="2015-04-07T00:00:00"/>
    <x v="85"/>
    <x v="0"/>
    <n v="1000"/>
    <n v="17"/>
    <n v="17000"/>
    <s v="20150407N700000957"/>
    <n v="2015064"/>
    <s v="Rolling"/>
    <s v="IN302679-38296183"/>
    <s v="NSE"/>
    <n v="17"/>
    <n v="0.63"/>
    <n v="1.7"/>
    <n v="105.06"/>
    <n v="124.389"/>
  </r>
  <r>
    <d v="2015-03-24T00:00:00"/>
    <x v="108"/>
    <x v="1"/>
    <n v="2000"/>
    <n v="10.35"/>
    <n v="20700"/>
    <s v="20150324N700009087"/>
    <n v="2015056"/>
    <s v="Rolling"/>
    <s v="IN302679-38296183"/>
    <s v="NSE"/>
    <n v="21"/>
    <n v="0.77"/>
    <n v="2.0699999999999998"/>
    <n v="127.92"/>
    <n v="151.7559"/>
  </r>
  <r>
    <d v="2015-03-18T00:00:00"/>
    <x v="73"/>
    <x v="0"/>
    <n v="110"/>
    <n v="510"/>
    <n v="56100"/>
    <s v="20150318B700000064"/>
    <n v="201415237"/>
    <s v="Rolling"/>
    <s v="IN302679-38296183"/>
    <s v="BSE"/>
    <n v="56"/>
    <n v="1.85"/>
    <n v="5.61"/>
    <n v="346.69"/>
    <n v="410.15129999999999"/>
  </r>
  <r>
    <d v="2015-03-10T00:00:00"/>
    <x v="86"/>
    <x v="1"/>
    <n v="1000"/>
    <n v="63"/>
    <n v="63000"/>
    <s v="20150310B100005782"/>
    <n v="201415231"/>
    <s v="Rolling"/>
    <s v="IN302679-38296183"/>
    <s v="BSE"/>
    <n v="63"/>
    <n v="2.08"/>
    <n v="6.3"/>
    <n v="389.33"/>
    <n v="460.70890000000003"/>
  </r>
  <r>
    <d v="2015-02-28T00:00:00"/>
    <x v="85"/>
    <x v="0"/>
    <n v="1000"/>
    <n v="19.89"/>
    <n v="19891"/>
    <s v="20150228B100004273"/>
    <n v="201415225"/>
    <s v="Rolling"/>
    <s v="IN302679-38296183"/>
    <s v="BSE"/>
    <n v="20"/>
    <n v="0.66"/>
    <n v="1.99"/>
    <n v="122.92"/>
    <n v="145.56530000000001"/>
  </r>
  <r>
    <d v="2015-02-18T00:00:00"/>
    <x v="108"/>
    <x v="0"/>
    <n v="2000"/>
    <n v="11.5"/>
    <n v="23000"/>
    <s v="20150218B100010899"/>
    <n v="201415217"/>
    <s v="Rolling"/>
    <s v="IN302679-38296183"/>
    <s v="BSE"/>
    <n v="23"/>
    <n v="0.76"/>
    <n v="2.2999999999999998"/>
    <n v="142.13999999999999"/>
    <n v="168.19900000000001"/>
  </r>
  <r>
    <d v="2015-01-15T00:00:00"/>
    <x v="86"/>
    <x v="0"/>
    <n v="1000"/>
    <n v="54.45"/>
    <n v="54450"/>
    <s v="20150115B100003762"/>
    <n v="201415195"/>
    <s v="Rolling"/>
    <s v="IN302679-38296183"/>
    <s v="BSE"/>
    <n v="54"/>
    <n v="1.8"/>
    <n v="5.45"/>
    <n v="336.49"/>
    <n v="397.73180000000002"/>
  </r>
  <r>
    <d v="2015-01-09T00:00:00"/>
    <x v="86"/>
    <x v="1"/>
    <n v="1000"/>
    <n v="53.3"/>
    <n v="53300"/>
    <s v="20150109B100000091"/>
    <n v="201415191"/>
    <s v="Rolling"/>
    <s v="IN302679-38296183"/>
    <s v="BSE"/>
    <n v="53"/>
    <n v="1.76"/>
    <n v="5.33"/>
    <n v="329.38"/>
    <n v="389.46890000000002"/>
  </r>
  <r>
    <d v="2014-12-22T00:00:00"/>
    <x v="86"/>
    <x v="0"/>
    <n v="200"/>
    <n v="40"/>
    <n v="8000"/>
    <s v="20141222B100001540"/>
    <n v="201415178"/>
    <s v="Rolling"/>
    <s v="IN302679-38296183"/>
    <s v="BSE"/>
    <n v="8"/>
    <n v="0.26"/>
    <n v="0.8"/>
    <n v="49.44"/>
    <n v="58.503900000000002"/>
  </r>
  <r>
    <d v="2014-12-11T00:00:00"/>
    <x v="22"/>
    <x v="1"/>
    <n v="25"/>
    <n v="79.2"/>
    <n v="1980"/>
    <s v="20141211B100005938"/>
    <n v="201415171"/>
    <s v="Rolling"/>
    <s v="IN302679-38296183"/>
    <s v="BSE"/>
    <n v="1.98"/>
    <n v="7.0000000000000007E-2"/>
    <n v="0"/>
    <n v="39.33"/>
    <n v="41.375300000000003"/>
  </r>
  <r>
    <d v="2014-12-11T00:00:00"/>
    <x v="18"/>
    <x v="1"/>
    <n v="200"/>
    <n v="50.2"/>
    <n v="10040"/>
    <s v="20141211B100005948"/>
    <n v="201415171"/>
    <s v="Rolling"/>
    <s v="IN302679-38296183"/>
    <s v="BSE"/>
    <n v="10.02"/>
    <n v="0.33"/>
    <n v="1.2"/>
    <n v="62.04"/>
    <n v="73.593299999999999"/>
  </r>
  <r>
    <d v="2014-12-09T00:00:00"/>
    <x v="86"/>
    <x v="0"/>
    <n v="800"/>
    <n v="45"/>
    <n v="36000"/>
    <s v="20141209B100003853"/>
    <n v="201415169"/>
    <s v="Rolling"/>
    <s v="IN302679-38296183"/>
    <s v="BSE"/>
    <n v="36"/>
    <n v="1.19"/>
    <n v="3.6"/>
    <n v="222.47"/>
    <n v="263.25790000000001"/>
  </r>
  <r>
    <d v="2014-12-05T00:00:00"/>
    <x v="18"/>
    <x v="0"/>
    <n v="200"/>
    <n v="54"/>
    <n v="10800"/>
    <s v="20141205B100002362"/>
    <n v="201415167"/>
    <s v="Rolling"/>
    <s v="IN302679-38296183"/>
    <s v="BSE"/>
    <n v="11.01"/>
    <n v="0.36"/>
    <n v="0"/>
    <n v="66.739999999999995"/>
    <n v="78.106300000000005"/>
  </r>
  <r>
    <d v="2014-12-05T00:00:00"/>
    <x v="22"/>
    <x v="0"/>
    <n v="25"/>
    <n v="79.5"/>
    <n v="1987.5"/>
    <s v="20141205B100002363"/>
    <n v="201415167"/>
    <s v="Rolling"/>
    <s v="IN302679-38296183"/>
    <s v="BSE"/>
    <n v="1.99"/>
    <n v="7.0000000000000007E-2"/>
    <n v="1.28"/>
    <n v="39.33"/>
    <n v="42.664400000000001"/>
  </r>
  <r>
    <d v="2014-12-04T00:00:00"/>
    <x v="109"/>
    <x v="1"/>
    <n v="575"/>
    <n v="66.099999999999994"/>
    <n v="38007.5"/>
    <s v="20141204N600007323"/>
    <n v="2014225"/>
    <s v="Rolling"/>
    <s v="IN302679-38296183"/>
    <s v="NSE"/>
    <n v="38.01"/>
    <n v="1.41"/>
    <n v="0"/>
    <n v="234.88"/>
    <n v="274.29629999999997"/>
  </r>
  <r>
    <d v="2014-12-04T00:00:00"/>
    <x v="108"/>
    <x v="1"/>
    <n v="1000"/>
    <n v="13.05"/>
    <n v="13050"/>
    <s v="20141204N700001366"/>
    <n v="2014225"/>
    <s v="Rolling"/>
    <s v="IN302679-38296183"/>
    <s v="NSE"/>
    <n v="12.99"/>
    <n v="0.48"/>
    <n v="5.1100000000000003"/>
    <n v="80.650000000000006"/>
    <n v="99.228700000000003"/>
  </r>
  <r>
    <d v="2014-07-03T00:00:00"/>
    <x v="69"/>
    <x v="1"/>
    <n v="20"/>
    <n v="870"/>
    <n v="17400"/>
    <s v="20140703N600012366"/>
    <n v="2014125"/>
    <s v="Rolling"/>
    <s v="IN302679-38296183"/>
    <s v="NSE"/>
    <n v="17.899999999999999"/>
    <n v="0.64"/>
    <n v="5.95"/>
    <n v="107.53"/>
    <n v="132.02379999999999"/>
  </r>
  <r>
    <d v="2014-07-03T00:00:00"/>
    <x v="109"/>
    <x v="0"/>
    <n v="175"/>
    <n v="108"/>
    <n v="18900"/>
    <s v="20140703N700007915"/>
    <n v="2014125"/>
    <s v="Rolling"/>
    <s v="IN302679-38296183"/>
    <s v="NSE"/>
    <n v="18.899999999999999"/>
    <n v="0.7"/>
    <n v="0"/>
    <n v="116.8"/>
    <n v="136.39930000000001"/>
  </r>
  <r>
    <d v="2014-07-03T00:00:00"/>
    <x v="108"/>
    <x v="0"/>
    <n v="1000"/>
    <n v="23.2"/>
    <n v="23200"/>
    <s v="20140703N700013905"/>
    <n v="2014125"/>
    <s v="Rolling"/>
    <s v="IN302679-38296183"/>
    <s v="NSE"/>
    <n v="23.2"/>
    <n v="0.86"/>
    <n v="0"/>
    <n v="143.37"/>
    <n v="167.42840000000001"/>
  </r>
  <r>
    <d v="2014-06-30T00:00:00"/>
    <x v="16"/>
    <x v="1"/>
    <n v="40"/>
    <n v="675"/>
    <n v="27000"/>
    <s v="20140630N600005926"/>
    <n v="2014122"/>
    <s v="Rolling"/>
    <s v="IN302679-38296183"/>
    <s v="NSE"/>
    <n v="27"/>
    <n v="1"/>
    <n v="2.7"/>
    <n v="166.85"/>
    <n v="197.54900000000001"/>
  </r>
  <r>
    <d v="2014-06-20T00:00:00"/>
    <x v="16"/>
    <x v="0"/>
    <n v="40"/>
    <n v="630"/>
    <n v="25200"/>
    <s v="20140620N700006832"/>
    <n v="2014116"/>
    <s v="Rolling"/>
    <s v="IN302679-38296183"/>
    <s v="NSE"/>
    <n v="25"/>
    <n v="0.93"/>
    <n v="2.52"/>
    <n v="155.72999999999999"/>
    <n v="184.1824"/>
  </r>
  <r>
    <d v="2014-06-18T00:00:00"/>
    <x v="22"/>
    <x v="1"/>
    <n v="324"/>
    <n v="80"/>
    <n v="25920"/>
    <s v="20140618B100001873"/>
    <n v="201415055"/>
    <s v="Rolling"/>
    <s v="IN302679-38296183"/>
    <s v="BSE"/>
    <n v="26"/>
    <n v="0.86"/>
    <n v="2.59"/>
    <n v="160.18"/>
    <n v="189.62729999999999"/>
  </r>
  <r>
    <d v="2014-06-05T00:00:00"/>
    <x v="110"/>
    <x v="1"/>
    <n v="500"/>
    <n v="83.5"/>
    <n v="41750"/>
    <s v="20140605B100004621"/>
    <n v="201415046"/>
    <s v="Rolling"/>
    <s v="IN302679-38296183"/>
    <s v="BSE"/>
    <n v="42"/>
    <n v="1.38"/>
    <n v="4.18"/>
    <n v="258.01"/>
    <n v="305.56270000000001"/>
  </r>
  <r>
    <d v="2014-06-05T00:00:00"/>
    <x v="109"/>
    <x v="0"/>
    <n v="400"/>
    <n v="104"/>
    <n v="41600"/>
    <s v="20140605N700012601"/>
    <n v="2014105"/>
    <s v="Rolling"/>
    <s v="IN302679-38296183"/>
    <s v="NSE"/>
    <n v="42"/>
    <n v="1.54"/>
    <n v="4.16"/>
    <n v="257.08"/>
    <n v="304.7792"/>
  </r>
  <r>
    <d v="2014-05-27T00:00:00"/>
    <x v="22"/>
    <x v="0"/>
    <n v="100"/>
    <n v="77"/>
    <n v="7700"/>
    <s v="20140527N600001150"/>
    <n v="2014098"/>
    <s v="Rolling"/>
    <s v="IN302679-38296183"/>
    <s v="NSE"/>
    <n v="8"/>
    <n v="0.28000000000000003"/>
    <n v="0.77"/>
    <n v="47.58"/>
    <n v="56.627200000000002"/>
  </r>
  <r>
    <d v="2014-05-16T00:00:00"/>
    <x v="111"/>
    <x v="1"/>
    <n v="500"/>
    <n v="81"/>
    <n v="40500"/>
    <s v="20140516N700016366"/>
    <n v="2014091"/>
    <s v="Rolling"/>
    <s v="IN302679-38296183"/>
    <s v="NSE"/>
    <n v="40.5"/>
    <n v="1.46"/>
    <n v="7.35"/>
    <n v="250.28"/>
    <n v="299.58800000000002"/>
  </r>
  <r>
    <d v="2014-05-16T00:00:00"/>
    <x v="110"/>
    <x v="0"/>
    <n v="500"/>
    <n v="66"/>
    <n v="33000"/>
    <s v="20140516N700025700"/>
    <n v="2014091"/>
    <s v="Rolling"/>
    <s v="IN302679-38296183"/>
    <s v="NSE"/>
    <n v="33.5"/>
    <n v="1.19"/>
    <n v="0"/>
    <n v="203.93"/>
    <n v="238.61799999999999"/>
  </r>
  <r>
    <d v="2014-05-15T00:00:00"/>
    <x v="112"/>
    <x v="1"/>
    <n v="700"/>
    <n v="20.399999999999999"/>
    <n v="14280"/>
    <s v="20140515N600005948"/>
    <n v="2014090"/>
    <s v="Rolling"/>
    <s v="IN302679-38296183"/>
    <s v="NSE"/>
    <n v="14.28"/>
    <n v="0.51"/>
    <n v="0"/>
    <n v="88.25"/>
    <n v="103.0441"/>
  </r>
  <r>
    <d v="2014-05-15T00:00:00"/>
    <x v="22"/>
    <x v="0"/>
    <n v="200"/>
    <n v="62"/>
    <n v="12400"/>
    <s v="20140515N700007835"/>
    <n v="2014090"/>
    <s v="Rolling"/>
    <s v="IN302679-38296183"/>
    <s v="NSE"/>
    <n v="12.72"/>
    <n v="0.45"/>
    <n v="2.67"/>
    <n v="76.63"/>
    <n v="92.464399999999998"/>
  </r>
  <r>
    <d v="2014-04-23T00:00:00"/>
    <x v="112"/>
    <x v="0"/>
    <n v="700"/>
    <n v="20"/>
    <n v="14000"/>
    <s v="20140423N600004115"/>
    <n v="2014076"/>
    <s v="Rolling"/>
    <s v="IN302679-38296183"/>
    <s v="NSE"/>
    <n v="14"/>
    <n v="0.5"/>
    <n v="1.4"/>
    <n v="86.52"/>
    <n v="102.42400000000001"/>
  </r>
  <r>
    <d v="2014-04-17T00:00:00"/>
    <x v="69"/>
    <x v="0"/>
    <n v="10"/>
    <n v="1428"/>
    <n v="14280"/>
    <s v="20140417N500012593"/>
    <n v="2014073"/>
    <s v="Rolling"/>
    <s v="IN302679-38296183"/>
    <s v="NSE"/>
    <n v="14"/>
    <n v="0.51"/>
    <n v="1.43"/>
    <n v="88.25"/>
    <n v="104.1921"/>
  </r>
  <r>
    <d v="2014-04-11T00:00:00"/>
    <x v="111"/>
    <x v="0"/>
    <n v="500"/>
    <n v="77"/>
    <n v="38500"/>
    <s v="20140411B100004925"/>
    <n v="201415011"/>
    <s v="Rolling"/>
    <s v="IN302679-38296183"/>
    <s v="BSE"/>
    <n v="39"/>
    <n v="1.23"/>
    <n v="3.85"/>
    <n v="237.92"/>
    <n v="282.00189999999998"/>
  </r>
  <r>
    <d v="2014-04-04T00:00:00"/>
    <x v="92"/>
    <x v="1"/>
    <n v="368"/>
    <n v="166.1"/>
    <n v="61124.800000000003"/>
    <s v="20140404N600002190"/>
    <n v="2014066"/>
    <s v="Rolling"/>
    <s v="IN302679-38296183"/>
    <s v="NSE"/>
    <n v="61"/>
    <n v="2.2000000000000002"/>
    <n v="6.11"/>
    <n v="377.74"/>
    <n v="447.053"/>
  </r>
  <r>
    <d v="2014-02-17T00:00:00"/>
    <x v="92"/>
    <x v="0"/>
    <n v="100"/>
    <n v="166.7"/>
    <n v="16670"/>
    <s v="20140217B100003970"/>
    <n v="201314224"/>
    <s v="Rolling"/>
    <s v="IN302679-38296183"/>
    <s v="BSE"/>
    <n v="17"/>
    <n v="0.53"/>
    <n v="1.67"/>
    <n v="103.02"/>
    <n v="122.2204"/>
  </r>
  <r>
    <d v="2014-02-17T00:00:00"/>
    <x v="113"/>
    <x v="1"/>
    <n v="2000"/>
    <n v="6.6"/>
    <n v="13200"/>
    <s v="20140217N500008838"/>
    <n v="2014034"/>
    <s v="Rolling"/>
    <s v="IN302679-38296183"/>
    <s v="NSE"/>
    <n v="13"/>
    <n v="0.48"/>
    <n v="1.32"/>
    <n v="112.36"/>
    <n v="127.15519999999999"/>
  </r>
  <r>
    <d v="2013-12-27T00:00:00"/>
    <x v="113"/>
    <x v="0"/>
    <n v="2000"/>
    <n v="7.75"/>
    <n v="15500"/>
    <s v="20131227N500016137"/>
    <n v="2013247"/>
    <s v="Rolling"/>
    <s v="IN302679-38296183"/>
    <s v="NSE"/>
    <n v="7.83"/>
    <n v="0.56000000000000005"/>
    <n v="0"/>
    <n v="56.18"/>
    <n v="64.567999999999998"/>
  </r>
  <r>
    <d v="2013-12-27T00:00:00"/>
    <x v="113"/>
    <x v="1"/>
    <n v="1000"/>
    <n v="8"/>
    <n v="8000"/>
    <s v="20131227N600007339"/>
    <n v="2013247"/>
    <s v="Rolling"/>
    <s v="IN302679-38296183"/>
    <s v="NSE"/>
    <n v="2.17"/>
    <n v="0.28999999999999998"/>
    <n v="2.35"/>
    <n v="56.18"/>
    <n v="60.988"/>
  </r>
  <r>
    <d v="2013-12-09T00:00:00"/>
    <x v="113"/>
    <x v="0"/>
    <n v="1000"/>
    <n v="6.75"/>
    <n v="6750"/>
    <s v="20131209N600006714"/>
    <n v="2013234"/>
    <s v="Rolling"/>
    <s v="IN302679-38296183"/>
    <s v="NSE"/>
    <n v="7"/>
    <n v="0.24"/>
    <n v="0.68"/>
    <n v="56.18"/>
    <n v="64.097999999999999"/>
  </r>
  <r>
    <d v="2013-11-03T00:00:00"/>
    <x v="85"/>
    <x v="1"/>
    <n v="250"/>
    <n v="23.15"/>
    <n v="5787.5"/>
    <s v="20131103N600000141"/>
    <n v="2013210"/>
    <s v="Rolling"/>
    <s v="IN302679-38296183"/>
    <s v="NSE"/>
    <n v="6"/>
    <n v="0.21"/>
    <n v="0.57999999999999996"/>
    <n v="39.33"/>
    <n v="46.117100000000001"/>
  </r>
  <r>
    <d v="2013-10-07T00:00:00"/>
    <x v="85"/>
    <x v="0"/>
    <n v="250"/>
    <n v="22.25"/>
    <n v="5562.5"/>
    <s v="20131007N600004759"/>
    <n v="2013191"/>
    <s v="Rolling"/>
    <s v="IN302679-38296183"/>
    <s v="NSE"/>
    <n v="6"/>
    <n v="0.2"/>
    <n v="0.56000000000000005"/>
    <n v="39.33"/>
    <n v="46.086599999999997"/>
  </r>
  <r>
    <d v="2013-09-16T00:00:00"/>
    <x v="114"/>
    <x v="0"/>
    <n v="475"/>
    <n v="11.15"/>
    <n v="5296.25"/>
    <s v="20130916B100006924"/>
    <n v="201314118"/>
    <s v="TT"/>
    <s v="IN302679-38296183"/>
    <s v="BSE"/>
    <n v="5"/>
    <n v="0.17"/>
    <n v="0.53"/>
    <n v="39.32"/>
    <n v="45.019100000000002"/>
  </r>
  <r>
    <d v="2013-09-11T00:00:00"/>
    <x v="92"/>
    <x v="0"/>
    <n v="50"/>
    <n v="120.9"/>
    <n v="6045"/>
    <s v="20130911B100005275"/>
    <n v="201314115"/>
    <s v="Rolling"/>
    <s v="IN302679-38296183"/>
    <s v="BSE"/>
    <n v="6"/>
    <n v="0.19"/>
    <n v="0.6"/>
    <n v="39.35"/>
    <n v="46.147500000000001"/>
  </r>
  <r>
    <d v="2013-07-22T00:00:00"/>
    <x v="92"/>
    <x v="0"/>
    <n v="100"/>
    <n v="97"/>
    <n v="9700"/>
    <s v="20130722N600000032"/>
    <n v="2013140"/>
    <s v="Rolling"/>
    <s v="IN302679-38296183"/>
    <s v="NSE"/>
    <n v="10"/>
    <n v="0.35"/>
    <n v="0.97"/>
    <n v="59.94"/>
    <n v="71.259200000000007"/>
  </r>
  <r>
    <d v="2013-07-15T00:00:00"/>
    <x v="92"/>
    <x v="1"/>
    <n v="50"/>
    <n v="100.1"/>
    <n v="5005"/>
    <s v="20130715N500012051"/>
    <n v="2013135"/>
    <s v="Rolling"/>
    <s v="IN302679-38296183"/>
    <s v="NSE"/>
    <n v="5"/>
    <n v="0.18"/>
    <n v="0.5"/>
    <n v="39.33"/>
    <n v="45.0107"/>
  </r>
  <r>
    <d v="2013-07-08T00:00:00"/>
    <x v="92"/>
    <x v="0"/>
    <n v="50"/>
    <n v="95.9"/>
    <n v="4795"/>
    <s v="20130708B100001936"/>
    <n v="201314071"/>
    <s v="Rolling"/>
    <s v="IN302679-38296183"/>
    <s v="BSE"/>
    <n v="5"/>
    <n v="0.15"/>
    <n v="0.48"/>
    <n v="39.33"/>
    <n v="44.962899999999998"/>
  </r>
  <r>
    <d v="2013-05-20T00:00:00"/>
    <x v="92"/>
    <x v="0"/>
    <n v="100"/>
    <n v="157.1"/>
    <n v="15710"/>
    <s v="20130520B100002658"/>
    <n v="201314036"/>
    <s v="Rolling"/>
    <s v="IN302679-38296183"/>
    <s v="BSE"/>
    <n v="16"/>
    <n v="0.5"/>
    <n v="1.57"/>
    <n v="97.08"/>
    <n v="115.1536"/>
  </r>
  <r>
    <d v="2013-03-19T00:00:00"/>
    <x v="85"/>
    <x v="1"/>
    <n v="75"/>
    <n v="21.5"/>
    <n v="1612.5"/>
    <s v="20130319N600003247"/>
    <n v="2013056"/>
    <s v="Rolling"/>
    <s v="IN302679-38296183"/>
    <s v="NSE"/>
    <n v="2"/>
    <n v="0.06"/>
    <n v="0.16"/>
    <n v="39.33"/>
    <n v="41.549399999999999"/>
  </r>
  <r>
    <d v="2013-01-08T00:00:00"/>
    <x v="85"/>
    <x v="0"/>
    <n v="75"/>
    <n v="20.149999999999999"/>
    <n v="1511.25"/>
    <s v="20130108N500013186"/>
    <n v="2013006"/>
    <s v="Rolling"/>
    <s v="IN302679-38296183"/>
    <s v="NSE"/>
    <n v="2"/>
    <n v="0.05"/>
    <n v="0.15"/>
    <n v="39.33"/>
    <n v="41.535499999999999"/>
  </r>
  <r>
    <d v="2012-12-31T00:00:00"/>
    <x v="22"/>
    <x v="0"/>
    <n v="12"/>
    <n v="84.1"/>
    <n v="1009.2"/>
    <s v="20121231N500007436"/>
    <n v="2012247"/>
    <s v="Rolling"/>
    <s v="IN302679-38296183"/>
    <s v="NSE"/>
    <n v="0.99"/>
    <n v="0.04"/>
    <n v="0"/>
    <n v="28.35"/>
    <n v="29.376300000000001"/>
  </r>
  <r>
    <d v="2012-12-31T00:00:00"/>
    <x v="22"/>
    <x v="0"/>
    <n v="12"/>
    <n v="83.9"/>
    <n v="1006.8"/>
    <s v="20121231N600001615"/>
    <n v="2012247"/>
    <s v="Rolling"/>
    <s v="IN302679-38296183"/>
    <s v="NSE"/>
    <n v="1.01"/>
    <n v="0.04"/>
    <n v="0.2"/>
    <n v="28.28"/>
    <n v="29.527799999999999"/>
  </r>
  <r>
    <d v="2012-12-26T00:00:00"/>
    <x v="92"/>
    <x v="0"/>
    <n v="7"/>
    <n v="196.3"/>
    <n v="1374.1"/>
    <s v="20121226N600000243"/>
    <n v="2012244"/>
    <s v="Rolling"/>
    <s v="IN302679-38296183"/>
    <s v="NSE"/>
    <n v="1"/>
    <n v="0.05"/>
    <n v="0.14000000000000001"/>
    <n v="38.6"/>
    <n v="39.786900000000003"/>
  </r>
  <r>
    <d v="2012-12-20T00:00:00"/>
    <x v="92"/>
    <x v="0"/>
    <n v="10"/>
    <n v="205.2"/>
    <n v="2052"/>
    <s v="20121220N600000154"/>
    <n v="2012241"/>
    <s v="Rolling"/>
    <s v="IN302679-38296183"/>
    <s v="NSE"/>
    <n v="2"/>
    <n v="7.0000000000000007E-2"/>
    <n v="0.21"/>
    <n v="39.33"/>
    <n v="41.609099999999998"/>
  </r>
  <r>
    <d v="2012-06-19T00:00:00"/>
    <x v="92"/>
    <x v="1"/>
    <n v="5"/>
    <n v="121.45"/>
    <n v="607.25"/>
    <s v="20120619N100000027"/>
    <n v="2012116"/>
    <s v="Rolling"/>
    <s v="IN302679-38296183"/>
    <s v="NSE"/>
    <n v="1"/>
    <n v="0.02"/>
    <n v="0.06"/>
    <n v="17.05"/>
    <n v="18.1325"/>
  </r>
  <r>
    <d v="2012-03-27T00:00:00"/>
    <x v="92"/>
    <x v="0"/>
    <n v="6"/>
    <n v="139.44999999999999"/>
    <n v="836.7"/>
    <s v="20120327N900002419"/>
    <n v="2012059"/>
    <s v="Rolling"/>
    <s v="IN302679-38296183"/>
    <s v="NSE"/>
    <n v="1"/>
    <n v="0.03"/>
    <n v="0.08"/>
    <n v="23.07"/>
    <n v="24.183"/>
  </r>
  <r>
    <m/>
    <x v="115"/>
    <x v="2"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2">
  <r>
    <x v="0"/>
    <x v="0"/>
    <x v="0"/>
    <n v="2500"/>
    <n v="257.5"/>
    <n v="643750"/>
    <s v="20191218N300015716"/>
    <n v="2019237"/>
    <s v="Rolling"/>
    <s v="IN302679-38296183"/>
    <s v="NSE"/>
    <n v="0"/>
    <n v="0"/>
    <n v="0"/>
    <n v="0"/>
    <n v="0"/>
  </r>
  <r>
    <x v="0"/>
    <x v="0"/>
    <x v="1"/>
    <n v="1036"/>
    <n v="260.93"/>
    <n v="270322.40000000002"/>
    <s v="20191218N300017034"/>
    <n v="2019237"/>
    <s v="Rolling"/>
    <s v="IN302679-38296183"/>
    <s v="NSE"/>
    <n v="0"/>
    <n v="0"/>
    <n v="0"/>
    <n v="0"/>
    <n v="0"/>
  </r>
  <r>
    <x v="0"/>
    <x v="0"/>
    <x v="0"/>
    <n v="1000"/>
    <n v="263"/>
    <n v="263000"/>
    <s v="20191218N300018267"/>
    <n v="2019237"/>
    <s v="Rolling"/>
    <s v="IN302679-38296183"/>
    <s v="NSE"/>
    <n v="0"/>
    <n v="0"/>
    <n v="0"/>
    <n v="0"/>
    <n v="0"/>
  </r>
  <r>
    <x v="0"/>
    <x v="0"/>
    <x v="0"/>
    <n v="1000"/>
    <n v="262.5"/>
    <n v="262500"/>
    <s v="20191218N300020799"/>
    <n v="2019237"/>
    <s v="Rolling"/>
    <s v="IN302679-38296183"/>
    <s v="NSE"/>
    <n v="0"/>
    <n v="0"/>
    <n v="0"/>
    <n v="0"/>
    <n v="0"/>
  </r>
  <r>
    <x v="0"/>
    <x v="0"/>
    <x v="1"/>
    <n v="1445"/>
    <n v="265.45"/>
    <n v="383575.25"/>
    <s v="20191218N300027081"/>
    <n v="2019237"/>
    <s v="Rolling"/>
    <s v="IN302679-38296183"/>
    <s v="NSE"/>
    <n v="0"/>
    <n v="0"/>
    <n v="0"/>
    <n v="0"/>
    <n v="0"/>
  </r>
  <r>
    <x v="0"/>
    <x v="0"/>
    <x v="1"/>
    <n v="2019"/>
    <n v="263.95"/>
    <n v="532915.05000000005"/>
    <s v="20191218N300032550"/>
    <n v="2019237"/>
    <s v="Rolling"/>
    <s v="IN302679-38296183"/>
    <s v="NSE"/>
    <n v="0"/>
    <n v="0"/>
    <n v="0"/>
    <n v="0"/>
    <n v="0"/>
  </r>
  <r>
    <x v="1"/>
    <x v="0"/>
    <x v="1"/>
    <n v="2500"/>
    <n v="261"/>
    <n v="652500"/>
    <s v="20191217N300021604"/>
    <n v="2019236"/>
    <s v="Rolling"/>
    <s v="IN302679-38296183"/>
    <s v="NSE"/>
    <n v="0"/>
    <n v="14.36"/>
    <n v="0"/>
    <n v="387.56"/>
    <n v="401.91500000000002"/>
  </r>
  <r>
    <x v="1"/>
    <x v="0"/>
    <x v="0"/>
    <n v="2500"/>
    <n v="258.89999999999998"/>
    <n v="647250"/>
    <s v="20191217N300028896"/>
    <n v="2019236"/>
    <s v="Rolling"/>
    <s v="IN302679-38296183"/>
    <s v="NSE"/>
    <n v="162"/>
    <n v="14.24"/>
    <n v="39"/>
    <n v="384.46"/>
    <n v="599.69939999999997"/>
  </r>
  <r>
    <x v="2"/>
    <x v="1"/>
    <x v="0"/>
    <n v="2500"/>
    <n v="317.8"/>
    <n v="794511.75"/>
    <s v="20191216N300015908"/>
    <n v="2019235"/>
    <s v="Rolling"/>
    <s v="IN302679-38296183"/>
    <s v="NSE"/>
    <n v="196"/>
    <n v="17.48"/>
    <n v="47.1"/>
    <n v="471.92"/>
    <n v="732.49950000000001"/>
  </r>
  <r>
    <x v="2"/>
    <x v="1"/>
    <x v="1"/>
    <n v="2500"/>
    <n v="309"/>
    <n v="772500"/>
    <s v="20191216N300016628"/>
    <n v="2019235"/>
    <s v="Rolling"/>
    <s v="IN302679-38296183"/>
    <s v="NSE"/>
    <n v="0"/>
    <n v="17"/>
    <n v="0"/>
    <n v="458.84"/>
    <n v="475.83569999999997"/>
  </r>
  <r>
    <x v="3"/>
    <x v="2"/>
    <x v="1"/>
    <n v="2500"/>
    <n v="56.29"/>
    <n v="140714.79999999999"/>
    <s v="20191213N300015089"/>
    <n v="2019234"/>
    <s v="Rolling"/>
    <s v="IN302679-38296183"/>
    <s v="NSE"/>
    <n v="0"/>
    <n v="3.1"/>
    <n v="0"/>
    <n v="83.57"/>
    <n v="86.665800000000004"/>
  </r>
  <r>
    <x v="3"/>
    <x v="1"/>
    <x v="1"/>
    <n v="500"/>
    <n v="297"/>
    <n v="148500"/>
    <s v="20191213N300016088"/>
    <n v="2019234"/>
    <s v="Rolling"/>
    <s v="IN302679-38296183"/>
    <s v="NSE"/>
    <n v="0"/>
    <n v="3.27"/>
    <n v="0"/>
    <n v="88.21"/>
    <n v="91.477000000000004"/>
  </r>
  <r>
    <x v="3"/>
    <x v="1"/>
    <x v="0"/>
    <n v="500"/>
    <n v="299.5"/>
    <n v="149750"/>
    <s v="20191213N300016517"/>
    <n v="2019234"/>
    <s v="Rolling"/>
    <s v="IN302679-38296183"/>
    <s v="NSE"/>
    <n v="38.020000000000003"/>
    <n v="3.29"/>
    <n v="0"/>
    <n v="88.95"/>
    <n v="130.2646"/>
  </r>
  <r>
    <x v="3"/>
    <x v="2"/>
    <x v="1"/>
    <n v="2500"/>
    <n v="56.3"/>
    <n v="140746.35"/>
    <s v="20191213N300017234"/>
    <n v="2019234"/>
    <s v="Rolling"/>
    <s v="IN302679-38296183"/>
    <s v="NSE"/>
    <n v="0"/>
    <n v="3.1"/>
    <n v="0"/>
    <n v="83.6"/>
    <n v="86.696299999999994"/>
  </r>
  <r>
    <x v="3"/>
    <x v="1"/>
    <x v="0"/>
    <n v="2500"/>
    <n v="298"/>
    <n v="745000"/>
    <s v="20191213N300018749"/>
    <n v="2019234"/>
    <s v="Rolling"/>
    <s v="IN302679-38296183"/>
    <s v="NSE"/>
    <n v="190.18"/>
    <n v="16.39"/>
    <n v="0"/>
    <n v="442.5"/>
    <n v="649.07000000000005"/>
  </r>
  <r>
    <x v="3"/>
    <x v="1"/>
    <x v="1"/>
    <n v="2500"/>
    <n v="304.5"/>
    <n v="761250"/>
    <s v="20191213N300021686"/>
    <n v="2019234"/>
    <s v="Rolling"/>
    <s v="IN302679-38296183"/>
    <s v="NSE"/>
    <n v="0"/>
    <n v="16.75"/>
    <n v="0"/>
    <n v="452.15"/>
    <n v="468.89769999999999"/>
  </r>
  <r>
    <x v="3"/>
    <x v="1"/>
    <x v="0"/>
    <n v="2500"/>
    <n v="303.81"/>
    <n v="759533"/>
    <s v="20191213N300021901"/>
    <n v="2019234"/>
    <s v="Rolling"/>
    <s v="IN302679-38296183"/>
    <s v="NSE"/>
    <n v="190.09"/>
    <n v="16.71"/>
    <n v="0"/>
    <n v="451.15"/>
    <n v="657.95"/>
  </r>
  <r>
    <x v="3"/>
    <x v="1"/>
    <x v="1"/>
    <n v="2500"/>
    <n v="306.26"/>
    <n v="765642.65"/>
    <s v="20191213N300022753"/>
    <n v="2019234"/>
    <s v="Rolling"/>
    <s v="IN302679-38296183"/>
    <s v="NSE"/>
    <n v="0"/>
    <n v="16.84"/>
    <n v="163.19999999999999"/>
    <n v="454.76"/>
    <n v="634.80409999999995"/>
  </r>
  <r>
    <x v="3"/>
    <x v="1"/>
    <x v="1"/>
    <n v="2500"/>
    <n v="305.64999999999998"/>
    <n v="764136.25"/>
    <s v="20191213N300022929"/>
    <n v="2019234"/>
    <s v="Rolling"/>
    <s v="IN302679-38296183"/>
    <s v="NSE"/>
    <n v="0"/>
    <n v="16.809999999999999"/>
    <n v="0"/>
    <n v="453.88"/>
    <n v="470.69110000000001"/>
  </r>
  <r>
    <x v="3"/>
    <x v="1"/>
    <x v="0"/>
    <n v="2500"/>
    <n v="309"/>
    <n v="772500"/>
    <s v="20191213N300022946"/>
    <n v="2019234"/>
    <s v="Rolling"/>
    <s v="IN302679-38296183"/>
    <s v="NSE"/>
    <n v="190.09"/>
    <n v="17"/>
    <n v="0"/>
    <n v="458.84"/>
    <n v="665.92520000000002"/>
  </r>
  <r>
    <x v="3"/>
    <x v="2"/>
    <x v="0"/>
    <n v="5000"/>
    <n v="56.7"/>
    <n v="283477.25"/>
    <s v="20191213N300033546"/>
    <n v="2019234"/>
    <s v="Rolling"/>
    <s v="IN302679-38296183"/>
    <s v="NSE"/>
    <n v="70.62"/>
    <n v="6.24"/>
    <n v="0"/>
    <n v="168.37"/>
    <n v="245.22659999999999"/>
  </r>
  <r>
    <x v="4"/>
    <x v="3"/>
    <x v="0"/>
    <n v="1000"/>
    <n v="320"/>
    <n v="320000"/>
    <s v="20180125N300022051"/>
    <n v="2018019"/>
    <s v="Rolling"/>
    <s v="IN302679-38296183"/>
    <s v="NSE"/>
    <n v="80.88"/>
    <n v="10.4"/>
    <n v="0"/>
    <n v="190.67"/>
    <n v="281.95"/>
  </r>
  <r>
    <x v="4"/>
    <x v="3"/>
    <x v="1"/>
    <n v="1000"/>
    <n v="327"/>
    <n v="327000"/>
    <s v="20180125N900017824"/>
    <n v="2018019"/>
    <s v="Rolling"/>
    <s v="IN302679-38296183"/>
    <s v="NSE"/>
    <n v="0"/>
    <n v="10.63"/>
    <n v="0"/>
    <n v="194.84"/>
    <n v="205.4675"/>
  </r>
  <r>
    <x v="5"/>
    <x v="2"/>
    <x v="0"/>
    <n v="1000"/>
    <n v="61.5"/>
    <n v="61500"/>
    <s v="20191209N300019686"/>
    <n v="2019230"/>
    <s v="Rolling"/>
    <s v="-"/>
    <s v="NSE"/>
    <n v="14.63"/>
    <n v="1.35"/>
    <n v="0"/>
    <n v="0.24"/>
    <n v="16.222999999999999"/>
  </r>
  <r>
    <x v="5"/>
    <x v="2"/>
    <x v="1"/>
    <n v="701"/>
    <n v="61"/>
    <n v="42761"/>
    <s v="20191209N300022409"/>
    <n v="2019230"/>
    <s v="Rolling"/>
    <s v="-"/>
    <s v="NSE"/>
    <n v="0"/>
    <n v="0.94"/>
    <n v="53.4"/>
    <n v="277.69"/>
    <n v="332.0308"/>
  </r>
  <r>
    <x v="5"/>
    <x v="2"/>
    <x v="1"/>
    <n v="699"/>
    <n v="58.94"/>
    <n v="41200.949999999997"/>
    <s v="20191209N300032504"/>
    <n v="2019230"/>
    <s v="Rolling"/>
    <s v="-"/>
    <s v="NSE"/>
    <n v="23.99"/>
    <n v="0.91"/>
    <n v="0"/>
    <n v="267.55"/>
    <n v="292.44630000000001"/>
  </r>
  <r>
    <x v="5"/>
    <x v="2"/>
    <x v="1"/>
    <n v="100"/>
    <n v="58.45"/>
    <n v="5845"/>
    <s v="20191209N300032992"/>
    <n v="2019230"/>
    <s v="Rolling"/>
    <s v="-"/>
    <s v="NSE"/>
    <n v="6"/>
    <n v="0.13"/>
    <n v="0"/>
    <n v="41.32"/>
    <n v="47.448599999999999"/>
  </r>
  <r>
    <x v="5"/>
    <x v="2"/>
    <x v="1"/>
    <n v="500"/>
    <n v="57.25"/>
    <n v="28625"/>
    <s v="20191209N300033105"/>
    <n v="2019230"/>
    <s v="Rolling"/>
    <s v="-"/>
    <s v="NSE"/>
    <n v="29.99"/>
    <n v="0.63"/>
    <n v="0"/>
    <n v="185.89"/>
    <n v="216.50970000000001"/>
  </r>
  <r>
    <x v="6"/>
    <x v="4"/>
    <x v="1"/>
    <n v="5000"/>
    <n v="1.2"/>
    <n v="6000"/>
    <s v="20191206N300025458"/>
    <n v="2019229"/>
    <s v="Rolling"/>
    <s v="IN302679-38296183"/>
    <s v="NSE"/>
    <n v="6"/>
    <n v="0.13"/>
    <n v="0.3"/>
    <n v="295.02"/>
    <n v="301.452"/>
  </r>
  <r>
    <x v="7"/>
    <x v="5"/>
    <x v="1"/>
    <n v="500"/>
    <n v="457.69"/>
    <n v="228843.25"/>
    <s v="20191205N300015893"/>
    <n v="2019228"/>
    <s v="Rolling"/>
    <s v="IN302679-38296183"/>
    <s v="NSE"/>
    <n v="0"/>
    <n v="5.03"/>
    <n v="0"/>
    <n v="135.94"/>
    <n v="140.97470000000001"/>
  </r>
  <r>
    <x v="7"/>
    <x v="5"/>
    <x v="1"/>
    <n v="500"/>
    <n v="453.45"/>
    <n v="226725"/>
    <s v="20191205N300016078"/>
    <n v="2019228"/>
    <s v="Rolling"/>
    <s v="IN302679-38296183"/>
    <s v="NSE"/>
    <n v="0"/>
    <n v="4.99"/>
    <n v="0"/>
    <n v="134.66999999999999"/>
    <n v="139.65790000000001"/>
  </r>
  <r>
    <x v="7"/>
    <x v="5"/>
    <x v="0"/>
    <n v="392"/>
    <n v="449.69"/>
    <n v="176276.55"/>
    <s v="20191205N300017667"/>
    <n v="2019228"/>
    <s v="Rolling"/>
    <s v="IN302679-38296183"/>
    <s v="NSE"/>
    <n v="44.17"/>
    <n v="3.88"/>
    <n v="0"/>
    <n v="104.71"/>
    <n v="152.75800000000001"/>
  </r>
  <r>
    <x v="7"/>
    <x v="5"/>
    <x v="1"/>
    <n v="500"/>
    <n v="450"/>
    <n v="225000"/>
    <s v="20191205N300017952"/>
    <n v="2019228"/>
    <s v="Rolling"/>
    <s v="IN302679-38296183"/>
    <s v="NSE"/>
    <n v="0"/>
    <n v="4.95"/>
    <n v="0"/>
    <n v="133.63999999999999"/>
    <n v="138.59"/>
  </r>
  <r>
    <x v="7"/>
    <x v="5"/>
    <x v="1"/>
    <n v="250"/>
    <n v="451.3"/>
    <n v="112825"/>
    <s v="20191205N300022185"/>
    <n v="2019228"/>
    <s v="Rolling"/>
    <s v="IN302679-38296183"/>
    <s v="NSE"/>
    <n v="0"/>
    <n v="2.48"/>
    <n v="0"/>
    <n v="67.010000000000005"/>
    <n v="69.492099999999994"/>
  </r>
  <r>
    <x v="7"/>
    <x v="5"/>
    <x v="0"/>
    <n v="1358"/>
    <n v="450.91"/>
    <n v="612335.6"/>
    <s v="20191205N300027835"/>
    <n v="2019228"/>
    <s v="Rolling"/>
    <s v="IN302679-38296183"/>
    <s v="NSE"/>
    <n v="153.46"/>
    <n v="13.47"/>
    <n v="101.7"/>
    <n v="363.7"/>
    <n v="632.33140000000003"/>
  </r>
  <r>
    <x v="7"/>
    <x v="5"/>
    <x v="0"/>
    <n v="2000"/>
    <n v="451.24"/>
    <n v="902482.9"/>
    <s v="20191205N300027876"/>
    <n v="2019228"/>
    <s v="Rolling"/>
    <s v="IN302679-38296183"/>
    <s v="NSE"/>
    <n v="225.37"/>
    <n v="19.850000000000001"/>
    <n v="0"/>
    <n v="536.04"/>
    <n v="781.26469999999995"/>
  </r>
  <r>
    <x v="7"/>
    <x v="5"/>
    <x v="1"/>
    <n v="2000"/>
    <n v="448"/>
    <n v="896000"/>
    <s v="20191205N300030394"/>
    <n v="2019228"/>
    <s v="Rolling"/>
    <s v="IN302679-38296183"/>
    <s v="NSE"/>
    <n v="0"/>
    <n v="19.71"/>
    <n v="0"/>
    <n v="532.19000000000005"/>
    <n v="551.90200000000004"/>
  </r>
  <r>
    <x v="8"/>
    <x v="3"/>
    <x v="1"/>
    <n v="500"/>
    <n v="257"/>
    <n v="128500"/>
    <s v="20191003N300015484"/>
    <n v="2019186"/>
    <s v="Rolling"/>
    <s v="IN302679-38296183"/>
    <s v="NSE"/>
    <n v="0"/>
    <n v="2.83"/>
    <n v="0"/>
    <n v="76.319999999999993"/>
    <n v="79.147000000000006"/>
  </r>
  <r>
    <x v="8"/>
    <x v="3"/>
    <x v="0"/>
    <n v="500"/>
    <n v="259.5"/>
    <n v="129750"/>
    <s v="20191003N300016016"/>
    <n v="2019186"/>
    <s v="Rolling"/>
    <s v="IN302679-38296183"/>
    <s v="NSE"/>
    <n v="31.94"/>
    <n v="2.85"/>
    <n v="0"/>
    <n v="77.069999999999993"/>
    <n v="111.86450000000001"/>
  </r>
  <r>
    <x v="9"/>
    <x v="6"/>
    <x v="0"/>
    <n v="250"/>
    <n v="378.11"/>
    <n v="94527.5"/>
    <s v="20191203N300015814"/>
    <n v="2019226"/>
    <s v="Rolling"/>
    <s v="IN302679-38296183"/>
    <s v="NSE"/>
    <n v="23.46"/>
    <n v="2.08"/>
    <n v="0"/>
    <n v="56.14"/>
    <n v="81.679699999999997"/>
  </r>
  <r>
    <x v="9"/>
    <x v="6"/>
    <x v="1"/>
    <n v="250"/>
    <n v="372.64"/>
    <n v="93161.2"/>
    <s v="20191203N300017223"/>
    <n v="2019226"/>
    <s v="Rolling"/>
    <s v="IN302679-38296183"/>
    <s v="NSE"/>
    <n v="0"/>
    <n v="2.0499999999999998"/>
    <n v="0"/>
    <n v="55.33"/>
    <n v="57.379399999999997"/>
  </r>
  <r>
    <x v="8"/>
    <x v="3"/>
    <x v="1"/>
    <n v="500"/>
    <n v="257"/>
    <n v="128500"/>
    <s v="20191003N300025326"/>
    <n v="2019186"/>
    <s v="Rolling"/>
    <s v="IN302679-38296183"/>
    <s v="NSE"/>
    <n v="0"/>
    <n v="2.83"/>
    <n v="0"/>
    <n v="76.319999999999993"/>
    <n v="79.147000000000006"/>
  </r>
  <r>
    <x v="8"/>
    <x v="3"/>
    <x v="1"/>
    <n v="500"/>
    <n v="252"/>
    <n v="126000"/>
    <s v="20191003N300029151"/>
    <n v="2019186"/>
    <s v="Rolling"/>
    <s v="IN302679-38296183"/>
    <s v="NSE"/>
    <n v="0"/>
    <n v="2.77"/>
    <n v="23.1"/>
    <n v="74.84"/>
    <n v="100.712"/>
  </r>
  <r>
    <x v="9"/>
    <x v="2"/>
    <x v="1"/>
    <n v="1000"/>
    <n v="60.14"/>
    <n v="60142.35"/>
    <s v="20191203N300030994"/>
    <n v="2019226"/>
    <s v="Rolling"/>
    <s v="-"/>
    <s v="NSE"/>
    <n v="60.35"/>
    <n v="1.32"/>
    <n v="12.6"/>
    <n v="390.56"/>
    <n v="464.8331"/>
  </r>
  <r>
    <x v="10"/>
    <x v="1"/>
    <x v="1"/>
    <n v="100"/>
    <n v="293.61"/>
    <n v="29361.45"/>
    <s v="20191202N300019964"/>
    <n v="2019225"/>
    <s v="Rolling"/>
    <s v="IN302679-38296183"/>
    <s v="NSE"/>
    <n v="0"/>
    <n v="0.65"/>
    <n v="0"/>
    <n v="29.61"/>
    <n v="30.2559"/>
  </r>
  <r>
    <x v="10"/>
    <x v="1"/>
    <x v="1"/>
    <n v="100"/>
    <n v="284.39999999999998"/>
    <n v="28440"/>
    <s v="20191202N300020734"/>
    <n v="2019225"/>
    <s v="Rolling"/>
    <s v="IN302679-38296183"/>
    <s v="NSE"/>
    <n v="0"/>
    <n v="0.63"/>
    <n v="8.6999999999999993"/>
    <n v="29.62"/>
    <n v="38.945599999999999"/>
  </r>
  <r>
    <x v="10"/>
    <x v="1"/>
    <x v="0"/>
    <n v="200"/>
    <n v="291.35000000000002"/>
    <n v="58270"/>
    <s v="20191202N300024158"/>
    <n v="2019225"/>
    <s v="Rolling"/>
    <s v="IN302679-38296183"/>
    <s v="NSE"/>
    <n v="14.88"/>
    <n v="1.28"/>
    <n v="0"/>
    <n v="34.61"/>
    <n v="50.771999999999998"/>
  </r>
  <r>
    <x v="8"/>
    <x v="3"/>
    <x v="0"/>
    <n v="1000"/>
    <n v="253.7"/>
    <n v="253700"/>
    <s v="20191003N300032421"/>
    <n v="2019186"/>
    <s v="Rolling"/>
    <s v="IN302679-38296183"/>
    <s v="NSE"/>
    <n v="64.06"/>
    <n v="5.58"/>
    <n v="0"/>
    <n v="150.69"/>
    <n v="220.3314"/>
  </r>
  <r>
    <x v="11"/>
    <x v="3"/>
    <x v="0"/>
    <n v="1000"/>
    <n v="259.10000000000002"/>
    <n v="259100"/>
    <s v="20191004N300020431"/>
    <n v="2019187"/>
    <s v="Rolling"/>
    <s v="IN302679-38296183"/>
    <s v="NSE"/>
    <n v="64"/>
    <n v="5.7"/>
    <n v="15.6"/>
    <n v="153.88999999999999"/>
    <n v="239.1902"/>
  </r>
  <r>
    <x v="12"/>
    <x v="7"/>
    <x v="0"/>
    <n v="1000"/>
    <n v="91.1"/>
    <n v="91100"/>
    <s v="20191129N300017369"/>
    <n v="2019224"/>
    <s v="Rolling"/>
    <s v="IN302679-38296183"/>
    <s v="NSE"/>
    <n v="22.79"/>
    <n v="2"/>
    <n v="0"/>
    <n v="54.11"/>
    <n v="78.904200000000003"/>
  </r>
  <r>
    <x v="12"/>
    <x v="1"/>
    <x v="1"/>
    <n v="200"/>
    <n v="364"/>
    <n v="72800"/>
    <s v="20191129N300025893"/>
    <n v="2019224"/>
    <s v="Rolling"/>
    <s v="IN302679-38296183"/>
    <s v="NSE"/>
    <n v="0"/>
    <n v="1.6"/>
    <n v="9.9"/>
    <n v="43.24"/>
    <n v="54.741599999999998"/>
  </r>
  <r>
    <x v="12"/>
    <x v="1"/>
    <x v="0"/>
    <n v="200"/>
    <n v="364.25"/>
    <n v="72850"/>
    <s v="20191129N300027762"/>
    <n v="2019224"/>
    <s v="Rolling"/>
    <s v="IN302679-38296183"/>
    <s v="NSE"/>
    <n v="18.21"/>
    <n v="1.6"/>
    <n v="0"/>
    <n v="43.27"/>
    <n v="63.082700000000003"/>
  </r>
  <r>
    <x v="12"/>
    <x v="7"/>
    <x v="1"/>
    <n v="1000"/>
    <n v="89"/>
    <n v="89000"/>
    <s v="20191129N300037610"/>
    <n v="2019224"/>
    <s v="Rolling"/>
    <s v="IN302679-38296183"/>
    <s v="NSE"/>
    <n v="0"/>
    <n v="1.96"/>
    <n v="0"/>
    <n v="52.86"/>
    <n v="54.817999999999998"/>
  </r>
  <r>
    <x v="13"/>
    <x v="1"/>
    <x v="0"/>
    <n v="500"/>
    <n v="305.12"/>
    <n v="152560.35"/>
    <s v="20191128N300027150"/>
    <n v="2019223"/>
    <s v="Rolling"/>
    <s v="IN302679-38296183"/>
    <s v="NSE"/>
    <n v="38"/>
    <n v="3.36"/>
    <n v="9.3000000000000007"/>
    <n v="90.63"/>
    <n v="141.28639999999999"/>
  </r>
  <r>
    <x v="13"/>
    <x v="1"/>
    <x v="1"/>
    <n v="500"/>
    <n v="298"/>
    <n v="149000"/>
    <s v="20191128N300032664"/>
    <n v="2019223"/>
    <s v="Rolling"/>
    <s v="IN302679-38296183"/>
    <s v="NSE"/>
    <n v="0"/>
    <n v="3.28"/>
    <n v="0"/>
    <n v="88.5"/>
    <n v="91.778000000000006"/>
  </r>
  <r>
    <x v="14"/>
    <x v="8"/>
    <x v="1"/>
    <n v="700"/>
    <n v="273.27999999999997"/>
    <n v="191292.5"/>
    <s v="20191127N300017347"/>
    <n v="2019222"/>
    <s v="Rolling"/>
    <s v="IN302679-38296183"/>
    <s v="NSE"/>
    <n v="0"/>
    <n v="4.21"/>
    <n v="11.7"/>
    <n v="113.62"/>
    <n v="129.52850000000001"/>
  </r>
  <r>
    <x v="14"/>
    <x v="8"/>
    <x v="0"/>
    <n v="700"/>
    <n v="276.89999999999998"/>
    <n v="193830"/>
    <s v="20191127N300022400"/>
    <n v="2019222"/>
    <s v="Rolling"/>
    <s v="IN302679-38296183"/>
    <s v="NSE"/>
    <n v="48"/>
    <n v="4.26"/>
    <n v="0"/>
    <n v="115.13"/>
    <n v="167.39420000000001"/>
  </r>
  <r>
    <x v="15"/>
    <x v="9"/>
    <x v="1"/>
    <n v="100"/>
    <n v="22.1"/>
    <n v="2210"/>
    <s v="20191126N300023404"/>
    <n v="2019221"/>
    <s v="Rolling"/>
    <s v="IN302679-38296183"/>
    <s v="NSE"/>
    <n v="2.1"/>
    <n v="0.05"/>
    <n v="16.2"/>
    <n v="41.31"/>
    <n v="59.6586"/>
  </r>
  <r>
    <x v="15"/>
    <x v="1"/>
    <x v="1"/>
    <n v="500"/>
    <n v="272.14999999999998"/>
    <n v="136075"/>
    <s v="20191126N300023852"/>
    <n v="2019221"/>
    <s v="Rolling"/>
    <s v="IN302679-38296183"/>
    <s v="NSE"/>
    <n v="0"/>
    <n v="2.99"/>
    <n v="0"/>
    <n v="80.819999999999993"/>
    <n v="83.813699999999997"/>
  </r>
  <r>
    <x v="15"/>
    <x v="1"/>
    <x v="0"/>
    <n v="253"/>
    <n v="263.64"/>
    <n v="66701.149999999994"/>
    <s v="20191126N300026667"/>
    <n v="2019221"/>
    <s v="Rolling"/>
    <s v="IN302679-38296183"/>
    <s v="NSE"/>
    <n v="16.93"/>
    <n v="1.47"/>
    <n v="0"/>
    <n v="39.619999999999997"/>
    <n v="58.017400000000002"/>
  </r>
  <r>
    <x v="15"/>
    <x v="1"/>
    <x v="0"/>
    <n v="247"/>
    <n v="265.45"/>
    <n v="65566.149999999994"/>
    <s v="20191126N300026812"/>
    <n v="2019221"/>
    <s v="Rolling"/>
    <s v="IN302679-38296183"/>
    <s v="NSE"/>
    <n v="16.52"/>
    <n v="1.44"/>
    <n v="0"/>
    <n v="38.94"/>
    <n v="56.9024"/>
  </r>
  <r>
    <x v="15"/>
    <x v="1"/>
    <x v="0"/>
    <n v="500"/>
    <n v="267"/>
    <n v="133500"/>
    <s v="20191126N300027118"/>
    <n v="2019221"/>
    <s v="Rolling"/>
    <s v="IN302679-38296183"/>
    <s v="NSE"/>
    <n v="33.450000000000003"/>
    <n v="2.94"/>
    <n v="0"/>
    <n v="79.290000000000006"/>
    <n v="115.67700000000001"/>
  </r>
  <r>
    <x v="15"/>
    <x v="1"/>
    <x v="1"/>
    <n v="500"/>
    <n v="266.7"/>
    <n v="133350"/>
    <s v="20191126N300028628"/>
    <n v="2019221"/>
    <s v="Rolling"/>
    <s v="IN302679-38296183"/>
    <s v="NSE"/>
    <n v="0"/>
    <n v="2.93"/>
    <n v="0"/>
    <n v="79.2"/>
    <n v="82.133799999999994"/>
  </r>
  <r>
    <x v="16"/>
    <x v="10"/>
    <x v="1"/>
    <n v="100"/>
    <n v="454.5"/>
    <n v="45450"/>
    <s v="20191125N300017509"/>
    <n v="2019220"/>
    <s v="Rolling"/>
    <s v="IN302679-38296183"/>
    <s v="NSE"/>
    <n v="0"/>
    <n v="1"/>
    <n v="0"/>
    <n v="29.68"/>
    <n v="30.68"/>
  </r>
  <r>
    <x v="16"/>
    <x v="10"/>
    <x v="0"/>
    <n v="100"/>
    <n v="460"/>
    <n v="46000"/>
    <s v="20191125N300017535"/>
    <n v="2019220"/>
    <s v="Rolling"/>
    <s v="IN302679-38296183"/>
    <s v="NSE"/>
    <n v="11.78"/>
    <n v="1.01"/>
    <n v="0"/>
    <n v="29.68"/>
    <n v="42.472000000000001"/>
  </r>
  <r>
    <x v="16"/>
    <x v="10"/>
    <x v="0"/>
    <n v="250"/>
    <n v="458.6"/>
    <n v="114650"/>
    <s v="20191125N300021335"/>
    <n v="2019220"/>
    <s v="Rolling"/>
    <s v="IN302679-38296183"/>
    <s v="NSE"/>
    <n v="28.6"/>
    <n v="2.52"/>
    <n v="0"/>
    <n v="68.099999999999994"/>
    <n v="99.222399999999993"/>
  </r>
  <r>
    <x v="16"/>
    <x v="10"/>
    <x v="1"/>
    <n v="250"/>
    <n v="457"/>
    <n v="114250"/>
    <s v="20191125N300021354"/>
    <n v="2019220"/>
    <s v="Rolling"/>
    <s v="IN302679-38296183"/>
    <s v="NSE"/>
    <n v="0"/>
    <n v="2.5099999999999998"/>
    <n v="0"/>
    <n v="67.86"/>
    <n v="70.373599999999996"/>
  </r>
  <r>
    <x v="16"/>
    <x v="1"/>
    <x v="0"/>
    <n v="500"/>
    <n v="240"/>
    <n v="120000"/>
    <s v="20191125N300021936"/>
    <n v="2019220"/>
    <s v="Rolling"/>
    <s v="IN302679-38296183"/>
    <s v="NSE"/>
    <n v="32.049999999999997"/>
    <n v="2.64"/>
    <n v="0"/>
    <n v="71.28"/>
    <n v="105.97"/>
  </r>
  <r>
    <x v="16"/>
    <x v="1"/>
    <x v="1"/>
    <n v="500"/>
    <n v="252.47"/>
    <n v="126234.3"/>
    <s v="20191125N300028042"/>
    <n v="2019220"/>
    <s v="Rolling"/>
    <s v="IN302679-38296183"/>
    <s v="NSE"/>
    <n v="0"/>
    <n v="2.78"/>
    <n v="102"/>
    <n v="74.98"/>
    <n v="179.75710000000001"/>
  </r>
  <r>
    <x v="16"/>
    <x v="1"/>
    <x v="1"/>
    <n v="500"/>
    <n v="253.3"/>
    <n v="126650"/>
    <s v="20191125N300032780"/>
    <n v="2019220"/>
    <s v="Rolling"/>
    <s v="IN302679-38296183"/>
    <s v="NSE"/>
    <n v="0"/>
    <n v="2.79"/>
    <n v="0"/>
    <n v="75.22"/>
    <n v="78.006299999999996"/>
  </r>
  <r>
    <x v="16"/>
    <x v="1"/>
    <x v="1"/>
    <n v="5000"/>
    <n v="255.91"/>
    <n v="1279537.8500000001"/>
    <s v="20191125N300034016"/>
    <n v="2019220"/>
    <s v="Rolling"/>
    <s v="IN302679-38296183"/>
    <s v="NSE"/>
    <n v="0"/>
    <n v="28.15"/>
    <n v="0"/>
    <n v="759.99"/>
    <n v="788.14"/>
  </r>
  <r>
    <x v="16"/>
    <x v="1"/>
    <x v="0"/>
    <n v="5500"/>
    <n v="259"/>
    <n v="1424500"/>
    <s v="20191125N300034244"/>
    <n v="2019220"/>
    <s v="Rolling"/>
    <s v="IN302679-38296183"/>
    <s v="NSE"/>
    <n v="352.56"/>
    <n v="31.34"/>
    <n v="0"/>
    <n v="846.09"/>
    <n v="1229.9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showCalcMbrs="0" useAutoFormatting="1" itemPrintTitles="1" createdVersion="3" indent="0" outline="1" outlineData="1" multipleFieldFilters="0">
  <location ref="A7:E124" firstHeaderRow="1" firstDataRow="2" firstDataCol="1" rowPageCount="1" colPageCount="1"/>
  <pivotFields count="16">
    <pivotField numFmtId="15" showAll="0"/>
    <pivotField axis="axisRow" showAll="0">
      <items count="117">
        <item x="106"/>
        <item x="18"/>
        <item x="22"/>
        <item x="78"/>
        <item x="85"/>
        <item x="111"/>
        <item x="21"/>
        <item x="110"/>
        <item x="108"/>
        <item x="49"/>
        <item x="103"/>
        <item x="113"/>
        <item x="6"/>
        <item x="104"/>
        <item x="69"/>
        <item x="92"/>
        <item x="112"/>
        <item x="47"/>
        <item x="86"/>
        <item x="109"/>
        <item x="73"/>
        <item x="16"/>
        <item x="107"/>
        <item x="105"/>
        <item x="114"/>
        <item x="115"/>
        <item x="96"/>
        <item x="33"/>
        <item x="101"/>
        <item x="76"/>
        <item x="102"/>
        <item x="100"/>
        <item x="43"/>
        <item x="98"/>
        <item x="99"/>
        <item x="1"/>
        <item x="97"/>
        <item x="54"/>
        <item x="11"/>
        <item x="93"/>
        <item x="27"/>
        <item x="95"/>
        <item x="20"/>
        <item x="9"/>
        <item x="19"/>
        <item x="94"/>
        <item x="44"/>
        <item x="5"/>
        <item x="2"/>
        <item x="35"/>
        <item x="91"/>
        <item x="41"/>
        <item x="90"/>
        <item x="8"/>
        <item x="88"/>
        <item x="89"/>
        <item x="70"/>
        <item x="77"/>
        <item x="13"/>
        <item x="87"/>
        <item x="15"/>
        <item x="82"/>
        <item x="83"/>
        <item x="84"/>
        <item x="4"/>
        <item x="36"/>
        <item x="71"/>
        <item x="79"/>
        <item x="80"/>
        <item x="81"/>
        <item x="28"/>
        <item x="74"/>
        <item x="50"/>
        <item x="68"/>
        <item x="3"/>
        <item x="75"/>
        <item x="72"/>
        <item x="24"/>
        <item x="48"/>
        <item x="39"/>
        <item x="26"/>
        <item x="51"/>
        <item x="52"/>
        <item x="53"/>
        <item x="55"/>
        <item x="56"/>
        <item x="29"/>
        <item x="57"/>
        <item x="58"/>
        <item x="59"/>
        <item x="60"/>
        <item x="40"/>
        <item x="61"/>
        <item x="62"/>
        <item x="63"/>
        <item x="34"/>
        <item x="38"/>
        <item x="64"/>
        <item x="65"/>
        <item x="32"/>
        <item x="66"/>
        <item x="30"/>
        <item x="67"/>
        <item x="46"/>
        <item x="31"/>
        <item x="37"/>
        <item x="42"/>
        <item x="14"/>
        <item x="45"/>
        <item x="7"/>
        <item x="23"/>
        <item x="25"/>
        <item x="12"/>
        <item x="0"/>
        <item x="17"/>
        <item x="10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0" hier="-1"/>
  </pageFields>
  <dataFields count="4">
    <dataField name="Sum of Qty" fld="3" baseField="0" baseItem="0"/>
    <dataField name="Sum of Price" fld="4" baseField="0" baseItem="0"/>
    <dataField name="Sum of Trade Value" fld="5" baseField="0" baseItem="0"/>
    <dataField name="Sum of Brokerage incl. taxes" fld="15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showCalcMbrs="0" useAutoFormatting="1" itemPrintTitles="1" createdVersion="3" indent="0" outline="1" outlineData="1" multipleFieldFilters="0">
  <location ref="A3:E119" firstHeaderRow="1" firstDataRow="2" firstDataCol="1" rowPageCount="1" colPageCount="1"/>
  <pivotFields count="16">
    <pivotField numFmtId="15" showAll="0"/>
    <pivotField axis="axisRow" showAll="0">
      <items count="117">
        <item x="106"/>
        <item x="18"/>
        <item x="22"/>
        <item x="78"/>
        <item x="85"/>
        <item x="111"/>
        <item x="21"/>
        <item x="110"/>
        <item x="108"/>
        <item x="49"/>
        <item x="103"/>
        <item x="113"/>
        <item x="6"/>
        <item x="104"/>
        <item x="69"/>
        <item x="92"/>
        <item x="112"/>
        <item x="47"/>
        <item x="86"/>
        <item x="109"/>
        <item x="73"/>
        <item x="16"/>
        <item x="107"/>
        <item x="105"/>
        <item x="114"/>
        <item x="96"/>
        <item x="33"/>
        <item x="101"/>
        <item x="76"/>
        <item x="102"/>
        <item x="100"/>
        <item x="115"/>
        <item x="43"/>
        <item x="98"/>
        <item x="99"/>
        <item x="1"/>
        <item x="97"/>
        <item x="54"/>
        <item x="11"/>
        <item x="93"/>
        <item x="27"/>
        <item x="95"/>
        <item x="20"/>
        <item x="9"/>
        <item x="19"/>
        <item x="94"/>
        <item x="44"/>
        <item x="5"/>
        <item x="2"/>
        <item x="35"/>
        <item x="91"/>
        <item x="41"/>
        <item x="90"/>
        <item x="8"/>
        <item x="88"/>
        <item x="89"/>
        <item x="70"/>
        <item x="77"/>
        <item x="13"/>
        <item x="87"/>
        <item x="15"/>
        <item x="82"/>
        <item x="83"/>
        <item x="84"/>
        <item x="4"/>
        <item x="36"/>
        <item x="71"/>
        <item x="79"/>
        <item x="80"/>
        <item x="81"/>
        <item x="28"/>
        <item x="74"/>
        <item x="50"/>
        <item x="68"/>
        <item x="3"/>
        <item x="75"/>
        <item x="72"/>
        <item x="24"/>
        <item x="48"/>
        <item x="39"/>
        <item x="26"/>
        <item x="51"/>
        <item x="52"/>
        <item x="53"/>
        <item x="55"/>
        <item x="56"/>
        <item x="29"/>
        <item x="57"/>
        <item x="58"/>
        <item x="59"/>
        <item x="60"/>
        <item x="40"/>
        <item x="61"/>
        <item x="62"/>
        <item x="63"/>
        <item x="34"/>
        <item x="38"/>
        <item x="64"/>
        <item x="65"/>
        <item x="32"/>
        <item x="66"/>
        <item x="30"/>
        <item x="67"/>
        <item x="46"/>
        <item x="31"/>
        <item x="37"/>
        <item x="42"/>
        <item x="14"/>
        <item x="45"/>
        <item x="7"/>
        <item x="23"/>
        <item x="25"/>
        <item x="12"/>
        <item x="0"/>
        <item x="17"/>
        <item x="10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1" hier="-1"/>
  </pageFields>
  <dataFields count="4">
    <dataField name="Sum of Qty" fld="3" baseField="0" baseItem="0"/>
    <dataField name="Sum of Price" fld="4" baseField="0" baseItem="0"/>
    <dataField name="Sum of Trade Value" fld="5" baseField="0" baseItem="0"/>
    <dataField name="Sum of Brokerage incl. taxes" fld="15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09" firstHeaderRow="1" firstDataRow="1" firstDataCol="1" rowPageCount="1" colPageCount="1"/>
  <pivotFields count="10">
    <pivotField numFmtId="2" showAll="0"/>
    <pivotField axis="axisRow" showAll="0">
      <items count="116">
        <item x="61"/>
        <item x="0"/>
        <item x="1"/>
        <item x="43"/>
        <item x="27"/>
        <item x="48"/>
        <item x="30"/>
        <item x="49"/>
        <item x="46"/>
        <item x="28"/>
        <item x="45"/>
        <item x="2"/>
        <item x="62"/>
        <item x="64"/>
        <item x="32"/>
        <item x="55"/>
        <item x="59"/>
        <item x="26"/>
        <item x="3"/>
        <item x="4"/>
        <item x="54"/>
        <item x="5"/>
        <item x="50"/>
        <item x="33"/>
        <item x="60"/>
        <item x="6"/>
        <item x="7"/>
        <item x="8"/>
        <item x="9"/>
        <item x="37"/>
        <item x="51"/>
        <item x="65"/>
        <item x="10"/>
        <item x="11"/>
        <item x="12"/>
        <item x="13"/>
        <item x="39"/>
        <item x="44"/>
        <item x="14"/>
        <item x="15"/>
        <item x="35"/>
        <item x="16"/>
        <item x="41"/>
        <item x="58"/>
        <item x="40"/>
        <item x="17"/>
        <item x="57"/>
        <item x="18"/>
        <item x="53"/>
        <item x="36"/>
        <item x="19"/>
        <item x="31"/>
        <item x="29"/>
        <item x="38"/>
        <item x="42"/>
        <item x="20"/>
        <item x="21"/>
        <item x="25"/>
        <item x="22"/>
        <item x="52"/>
        <item x="23"/>
        <item x="63"/>
        <item x="34"/>
        <item x="24"/>
        <item x="67"/>
        <item x="68"/>
        <item x="69"/>
        <item x="56"/>
        <item x="66"/>
        <item x="70"/>
        <item x="47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showAll="0"/>
    <pivotField numFmtId="2" showAll="0"/>
    <pivotField showAll="0"/>
    <pivotField numFmtId="2" showAll="0"/>
    <pivotField dataField="1" numFmtId="2" showAll="0"/>
    <pivotField numFmtId="2" showAll="0"/>
    <pivotField numFmtId="2"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1"/>
  </rowFields>
  <rowItems count="1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1"/>
    </i>
    <i>
      <x v="72"/>
    </i>
    <i>
      <x v="73"/>
    </i>
    <i>
      <x v="74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2"/>
    </i>
    <i>
      <x v="113"/>
    </i>
    <i>
      <x v="114"/>
    </i>
    <i t="grand">
      <x/>
    </i>
  </rowItems>
  <colItems count="1">
    <i/>
  </colItems>
  <pageFields count="1">
    <pageField fld="9" hier="-1"/>
  </pageFields>
  <dataFields count="1">
    <dataField name="Sum of P/L" fld="6" baseField="0" baseItem="0" numFmtId="2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G39" firstHeaderRow="1" firstDataRow="3" firstDataCol="1"/>
  <pivotFields count="16">
    <pivotField axis="axisRow" numFmtId="15" showAll="0">
      <items count="35">
        <item x="4"/>
        <item x="8"/>
        <item x="11"/>
        <item m="1" x="26"/>
        <item m="1" x="22"/>
        <item m="1" x="20"/>
        <item m="1" x="18"/>
        <item m="1" x="21"/>
        <item m="1" x="28"/>
        <item m="1" x="31"/>
        <item m="1" x="19"/>
        <item m="1" x="27"/>
        <item m="1" x="32"/>
        <item m="1" x="24"/>
        <item m="1" x="30"/>
        <item m="1" x="17"/>
        <item m="1" x="23"/>
        <item m="1" x="29"/>
        <item m="1" x="25"/>
        <item x="10"/>
        <item x="9"/>
        <item m="1" x="33"/>
        <item x="5"/>
        <item x="0"/>
        <item x="1"/>
        <item x="2"/>
        <item x="3"/>
        <item x="6"/>
        <item x="7"/>
        <item x="12"/>
        <item x="13"/>
        <item x="14"/>
        <item x="15"/>
        <item x="16"/>
        <item t="default"/>
      </items>
    </pivotField>
    <pivotField axis="axisRow" showAll="0">
      <items count="12">
        <item x="3"/>
        <item x="0"/>
        <item x="1"/>
        <item x="2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0"/>
  </rowFields>
  <rowItems count="34">
    <i>
      <x/>
    </i>
    <i r="1">
      <x/>
    </i>
    <i r="1">
      <x v="1"/>
    </i>
    <i r="1">
      <x v="2"/>
    </i>
    <i>
      <x v="1"/>
    </i>
    <i r="1">
      <x v="23"/>
    </i>
    <i r="1">
      <x v="24"/>
    </i>
    <i>
      <x v="2"/>
    </i>
    <i r="1">
      <x v="19"/>
    </i>
    <i r="1">
      <x v="25"/>
    </i>
    <i r="1">
      <x v="26"/>
    </i>
    <i r="1">
      <x v="29"/>
    </i>
    <i r="1">
      <x v="30"/>
    </i>
    <i r="1">
      <x v="32"/>
    </i>
    <i r="1">
      <x v="33"/>
    </i>
    <i>
      <x v="3"/>
    </i>
    <i r="1">
      <x v="20"/>
    </i>
    <i r="1">
      <x v="22"/>
    </i>
    <i r="1">
      <x v="26"/>
    </i>
    <i>
      <x v="4"/>
    </i>
    <i r="1">
      <x v="27"/>
    </i>
    <i>
      <x v="5"/>
    </i>
    <i r="1">
      <x v="28"/>
    </i>
    <i>
      <x v="6"/>
    </i>
    <i r="1">
      <x v="20"/>
    </i>
    <i>
      <x v="7"/>
    </i>
    <i r="1">
      <x v="29"/>
    </i>
    <i>
      <x v="8"/>
    </i>
    <i r="1">
      <x v="31"/>
    </i>
    <i>
      <x v="9"/>
    </i>
    <i r="1">
      <x v="32"/>
    </i>
    <i>
      <x v="10"/>
    </i>
    <i r="1">
      <x v="33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Trade Value" fld="5" baseField="0" baseItem="0"/>
    <dataField name="Sum of Brokerage incl. tax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29"/>
  <sheetViews>
    <sheetView workbookViewId="0">
      <selection activeCell="G19" sqref="G19"/>
    </sheetView>
  </sheetViews>
  <sheetFormatPr defaultRowHeight="15" x14ac:dyDescent="0.25"/>
  <cols>
    <col min="1" max="1" width="10.140625" style="25" bestFit="1" customWidth="1"/>
    <col min="2" max="15" width="9.140625" style="25"/>
    <col min="16" max="16" width="21.85546875" style="25" bestFit="1" customWidth="1"/>
    <col min="17" max="16384" width="9.140625" style="25"/>
  </cols>
  <sheetData>
    <row r="1" spans="1:16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</row>
    <row r="2" spans="1:16" x14ac:dyDescent="0.25">
      <c r="A2" s="26">
        <v>43823</v>
      </c>
      <c r="B2" s="25" t="s">
        <v>1666</v>
      </c>
      <c r="C2" s="25" t="s">
        <v>17</v>
      </c>
      <c r="D2" s="25">
        <v>1000</v>
      </c>
      <c r="E2" s="25">
        <v>455.4</v>
      </c>
      <c r="F2" s="25">
        <v>455400</v>
      </c>
      <c r="G2" s="25" t="s">
        <v>1761</v>
      </c>
      <c r="H2" s="25">
        <v>2019241</v>
      </c>
      <c r="I2" s="25" t="s">
        <v>19</v>
      </c>
      <c r="J2" s="25" t="s">
        <v>20</v>
      </c>
      <c r="K2" s="25" t="s">
        <v>25</v>
      </c>
      <c r="L2" s="25">
        <v>0</v>
      </c>
      <c r="M2" s="25">
        <v>0</v>
      </c>
      <c r="N2" s="25">
        <v>0</v>
      </c>
      <c r="O2" s="25">
        <v>0</v>
      </c>
      <c r="P2" s="25">
        <v>0</v>
      </c>
    </row>
    <row r="3" spans="1:16" x14ac:dyDescent="0.25">
      <c r="A3" s="26">
        <v>43823</v>
      </c>
      <c r="B3" s="25" t="s">
        <v>1666</v>
      </c>
      <c r="C3" s="25" t="s">
        <v>23</v>
      </c>
      <c r="D3" s="25">
        <v>2500</v>
      </c>
      <c r="E3" s="25">
        <v>454.68</v>
      </c>
      <c r="F3" s="25">
        <v>1136711.75</v>
      </c>
      <c r="G3" s="25" t="s">
        <v>1762</v>
      </c>
      <c r="H3" s="25">
        <v>2019241</v>
      </c>
      <c r="I3" s="25" t="s">
        <v>19</v>
      </c>
      <c r="J3" s="25" t="s">
        <v>20</v>
      </c>
      <c r="K3" s="25" t="s">
        <v>25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</row>
    <row r="4" spans="1:16" x14ac:dyDescent="0.25">
      <c r="A4" s="26">
        <v>43823</v>
      </c>
      <c r="B4" s="25" t="s">
        <v>1666</v>
      </c>
      <c r="C4" s="25" t="s">
        <v>23</v>
      </c>
      <c r="D4" s="25">
        <v>1000</v>
      </c>
      <c r="E4" s="25">
        <v>456</v>
      </c>
      <c r="F4" s="25">
        <v>456000</v>
      </c>
      <c r="G4" s="25" t="s">
        <v>1763</v>
      </c>
      <c r="H4" s="25">
        <v>2019241</v>
      </c>
      <c r="I4" s="25" t="s">
        <v>19</v>
      </c>
      <c r="J4" s="25" t="s">
        <v>20</v>
      </c>
      <c r="K4" s="25" t="s">
        <v>25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</row>
    <row r="5" spans="1:16" x14ac:dyDescent="0.25">
      <c r="A5" s="26">
        <v>43823</v>
      </c>
      <c r="B5" s="25" t="s">
        <v>226</v>
      </c>
      <c r="C5" s="25" t="s">
        <v>23</v>
      </c>
      <c r="D5" s="25">
        <v>1500</v>
      </c>
      <c r="E5" s="25">
        <v>299</v>
      </c>
      <c r="F5" s="25">
        <v>448500</v>
      </c>
      <c r="G5" s="25" t="s">
        <v>1764</v>
      </c>
      <c r="H5" s="25">
        <v>2019241</v>
      </c>
      <c r="I5" s="25" t="s">
        <v>19</v>
      </c>
      <c r="J5" s="25" t="s">
        <v>20</v>
      </c>
      <c r="K5" s="25" t="s">
        <v>25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</row>
    <row r="6" spans="1:16" x14ac:dyDescent="0.25">
      <c r="A6" s="26">
        <v>43823</v>
      </c>
      <c r="B6" s="25" t="s">
        <v>226</v>
      </c>
      <c r="C6" s="25" t="s">
        <v>17</v>
      </c>
      <c r="D6" s="25">
        <v>1500</v>
      </c>
      <c r="E6" s="25">
        <v>298.10000000000002</v>
      </c>
      <c r="F6" s="25">
        <v>447150</v>
      </c>
      <c r="G6" s="25" t="s">
        <v>1765</v>
      </c>
      <c r="H6" s="25">
        <v>2019241</v>
      </c>
      <c r="I6" s="25" t="s">
        <v>19</v>
      </c>
      <c r="J6" s="25" t="s">
        <v>20</v>
      </c>
      <c r="K6" s="25" t="s">
        <v>25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</row>
    <row r="7" spans="1:16" x14ac:dyDescent="0.25">
      <c r="A7" s="26">
        <v>43823</v>
      </c>
      <c r="B7" s="25" t="s">
        <v>1666</v>
      </c>
      <c r="C7" s="25" t="s">
        <v>23</v>
      </c>
      <c r="D7" s="25">
        <v>2500</v>
      </c>
      <c r="E7" s="25">
        <v>458.25</v>
      </c>
      <c r="F7" s="25">
        <v>1145625</v>
      </c>
      <c r="G7" s="25" t="s">
        <v>1766</v>
      </c>
      <c r="H7" s="25">
        <v>2019241</v>
      </c>
      <c r="I7" s="25" t="s">
        <v>19</v>
      </c>
      <c r="J7" s="25" t="s">
        <v>20</v>
      </c>
      <c r="K7" s="25" t="s">
        <v>25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</row>
    <row r="8" spans="1:16" x14ac:dyDescent="0.25">
      <c r="A8" s="26">
        <v>43823</v>
      </c>
      <c r="B8" s="25" t="s">
        <v>1666</v>
      </c>
      <c r="C8" s="25" t="s">
        <v>17</v>
      </c>
      <c r="D8" s="25">
        <v>5000</v>
      </c>
      <c r="E8" s="25">
        <v>457.53</v>
      </c>
      <c r="F8" s="25">
        <v>2287654.2999999998</v>
      </c>
      <c r="G8" s="25" t="s">
        <v>1767</v>
      </c>
      <c r="H8" s="25">
        <v>2019241</v>
      </c>
      <c r="I8" s="25" t="s">
        <v>19</v>
      </c>
      <c r="J8" s="25" t="s">
        <v>20</v>
      </c>
      <c r="K8" s="25" t="s">
        <v>25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</row>
    <row r="9" spans="1:16" x14ac:dyDescent="0.25">
      <c r="A9" s="26">
        <v>43823</v>
      </c>
      <c r="B9" s="25" t="s">
        <v>288</v>
      </c>
      <c r="C9" s="25" t="s">
        <v>17</v>
      </c>
      <c r="D9" s="25">
        <v>50</v>
      </c>
      <c r="E9" s="25">
        <v>41</v>
      </c>
      <c r="F9" s="25">
        <v>2050</v>
      </c>
      <c r="G9" s="25" t="s">
        <v>1768</v>
      </c>
      <c r="H9" s="25">
        <v>2019241</v>
      </c>
      <c r="I9" s="25" t="s">
        <v>19</v>
      </c>
      <c r="J9" s="25" t="s">
        <v>20</v>
      </c>
      <c r="K9" s="25" t="s">
        <v>25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</row>
    <row r="10" spans="1:16" x14ac:dyDescent="0.25">
      <c r="A10" s="26">
        <v>43822</v>
      </c>
      <c r="B10" s="25" t="s">
        <v>871</v>
      </c>
      <c r="C10" s="25" t="s">
        <v>23</v>
      </c>
      <c r="D10" s="25">
        <v>1000</v>
      </c>
      <c r="E10" s="25">
        <v>147.5</v>
      </c>
      <c r="F10" s="25">
        <v>147500</v>
      </c>
      <c r="G10" s="25" t="s">
        <v>1769</v>
      </c>
      <c r="H10" s="25">
        <v>2019240</v>
      </c>
      <c r="I10" s="25" t="s">
        <v>19</v>
      </c>
      <c r="J10" s="25" t="s">
        <v>20</v>
      </c>
      <c r="K10" s="25" t="s">
        <v>25</v>
      </c>
      <c r="L10" s="25">
        <v>36.83</v>
      </c>
      <c r="M10" s="25">
        <v>3.25</v>
      </c>
      <c r="N10" s="25">
        <v>0</v>
      </c>
      <c r="O10" s="25">
        <v>87.61</v>
      </c>
      <c r="P10" s="25">
        <v>127.685</v>
      </c>
    </row>
    <row r="11" spans="1:16" x14ac:dyDescent="0.25">
      <c r="A11" s="26">
        <v>43822</v>
      </c>
      <c r="B11" s="25" t="s">
        <v>659</v>
      </c>
      <c r="C11" s="25" t="s">
        <v>23</v>
      </c>
      <c r="D11" s="25">
        <v>5000</v>
      </c>
      <c r="E11" s="25">
        <v>51.85</v>
      </c>
      <c r="F11" s="25">
        <v>259250</v>
      </c>
      <c r="G11" s="25" t="s">
        <v>1770</v>
      </c>
      <c r="H11" s="25">
        <v>2019240</v>
      </c>
      <c r="I11" s="25" t="s">
        <v>19</v>
      </c>
      <c r="J11" s="25" t="s">
        <v>20</v>
      </c>
      <c r="K11" s="25" t="s">
        <v>25</v>
      </c>
      <c r="L11" s="25">
        <v>256</v>
      </c>
      <c r="M11" s="25">
        <v>5.7</v>
      </c>
      <c r="N11" s="25">
        <v>0</v>
      </c>
      <c r="O11" s="25">
        <v>153.97999999999999</v>
      </c>
      <c r="P11" s="25">
        <v>415.68360000000001</v>
      </c>
    </row>
    <row r="12" spans="1:16" x14ac:dyDescent="0.25">
      <c r="A12" s="26">
        <v>43822</v>
      </c>
      <c r="B12" s="25" t="s">
        <v>659</v>
      </c>
      <c r="C12" s="25" t="s">
        <v>17</v>
      </c>
      <c r="D12" s="25">
        <v>5000</v>
      </c>
      <c r="E12" s="25">
        <v>51.5</v>
      </c>
      <c r="F12" s="25">
        <v>257500</v>
      </c>
      <c r="G12" s="25" t="s">
        <v>1771</v>
      </c>
      <c r="H12" s="25">
        <v>2019240</v>
      </c>
      <c r="I12" s="25" t="s">
        <v>19</v>
      </c>
      <c r="J12" s="25" t="s">
        <v>20</v>
      </c>
      <c r="K12" s="25" t="s">
        <v>25</v>
      </c>
      <c r="L12" s="25">
        <v>0</v>
      </c>
      <c r="M12" s="25">
        <v>5.67</v>
      </c>
      <c r="N12" s="25">
        <v>0</v>
      </c>
      <c r="O12" s="25">
        <v>152.94</v>
      </c>
      <c r="P12" s="25">
        <v>158.60499999999999</v>
      </c>
    </row>
    <row r="13" spans="1:16" x14ac:dyDescent="0.25">
      <c r="A13" s="26">
        <v>43822</v>
      </c>
      <c r="B13" s="25" t="s">
        <v>871</v>
      </c>
      <c r="C13" s="25" t="s">
        <v>17</v>
      </c>
      <c r="D13" s="25">
        <v>1000</v>
      </c>
      <c r="E13" s="25">
        <v>146.97999999999999</v>
      </c>
      <c r="F13" s="25">
        <v>146979.35</v>
      </c>
      <c r="G13" s="25" t="s">
        <v>1772</v>
      </c>
      <c r="H13" s="25">
        <v>2019240</v>
      </c>
      <c r="I13" s="25" t="s">
        <v>19</v>
      </c>
      <c r="J13" s="25" t="s">
        <v>20</v>
      </c>
      <c r="K13" s="25" t="s">
        <v>25</v>
      </c>
      <c r="L13" s="25">
        <v>0</v>
      </c>
      <c r="M13" s="25">
        <v>3.23</v>
      </c>
      <c r="N13" s="25">
        <v>0</v>
      </c>
      <c r="O13" s="25">
        <v>87.3</v>
      </c>
      <c r="P13" s="25">
        <v>90.533799999999999</v>
      </c>
    </row>
    <row r="14" spans="1:16" x14ac:dyDescent="0.25">
      <c r="A14" s="26">
        <v>43822</v>
      </c>
      <c r="B14" s="25" t="s">
        <v>282</v>
      </c>
      <c r="C14" s="25" t="s">
        <v>23</v>
      </c>
      <c r="D14" s="25">
        <v>1000</v>
      </c>
      <c r="E14" s="25">
        <v>288.10000000000002</v>
      </c>
      <c r="F14" s="25">
        <v>288100</v>
      </c>
      <c r="G14" s="25" t="s">
        <v>1773</v>
      </c>
      <c r="H14" s="25">
        <v>2019240</v>
      </c>
      <c r="I14" s="25" t="s">
        <v>19</v>
      </c>
      <c r="J14" s="25" t="s">
        <v>20</v>
      </c>
      <c r="K14" s="25" t="s">
        <v>25</v>
      </c>
      <c r="L14" s="25">
        <v>71.760000000000005</v>
      </c>
      <c r="M14" s="25">
        <v>6.34</v>
      </c>
      <c r="N14" s="25">
        <v>0</v>
      </c>
      <c r="O14" s="25">
        <v>171.12</v>
      </c>
      <c r="P14" s="25">
        <v>249.2182</v>
      </c>
    </row>
    <row r="15" spans="1:16" x14ac:dyDescent="0.25">
      <c r="A15" s="26">
        <v>43822</v>
      </c>
      <c r="B15" s="25" t="s">
        <v>871</v>
      </c>
      <c r="C15" s="25" t="s">
        <v>23</v>
      </c>
      <c r="D15" s="25">
        <v>1000</v>
      </c>
      <c r="E15" s="25">
        <v>146.84</v>
      </c>
      <c r="F15" s="25">
        <v>146837.15</v>
      </c>
      <c r="G15" s="25" t="s">
        <v>1774</v>
      </c>
      <c r="H15" s="25">
        <v>2019240</v>
      </c>
      <c r="I15" s="25" t="s">
        <v>19</v>
      </c>
      <c r="J15" s="25" t="s">
        <v>20</v>
      </c>
      <c r="K15" s="25" t="s">
        <v>25</v>
      </c>
      <c r="L15" s="25">
        <v>36.83</v>
      </c>
      <c r="M15" s="25">
        <v>3.23</v>
      </c>
      <c r="N15" s="25">
        <v>0</v>
      </c>
      <c r="O15" s="25">
        <v>87.22</v>
      </c>
      <c r="P15" s="25">
        <v>127.2804</v>
      </c>
    </row>
    <row r="16" spans="1:16" x14ac:dyDescent="0.25">
      <c r="A16" s="26">
        <v>43822</v>
      </c>
      <c r="B16" s="25" t="s">
        <v>16</v>
      </c>
      <c r="C16" s="25" t="s">
        <v>17</v>
      </c>
      <c r="D16" s="25">
        <v>200</v>
      </c>
      <c r="E16" s="25">
        <v>20</v>
      </c>
      <c r="F16" s="25">
        <v>4000</v>
      </c>
      <c r="G16" s="25" t="s">
        <v>1775</v>
      </c>
      <c r="H16" s="25">
        <v>2019240</v>
      </c>
      <c r="I16" s="25" t="s">
        <v>19</v>
      </c>
      <c r="J16" s="25" t="s">
        <v>20</v>
      </c>
      <c r="K16" s="25" t="s">
        <v>25</v>
      </c>
      <c r="L16" s="25">
        <v>4</v>
      </c>
      <c r="M16" s="25">
        <v>0.09</v>
      </c>
      <c r="N16" s="25">
        <v>0</v>
      </c>
      <c r="O16" s="25">
        <v>41.32</v>
      </c>
      <c r="P16" s="25">
        <v>45.408000000000001</v>
      </c>
    </row>
    <row r="17" spans="1:16" x14ac:dyDescent="0.25">
      <c r="A17" s="26">
        <v>43822</v>
      </c>
      <c r="B17" s="25" t="s">
        <v>1476</v>
      </c>
      <c r="C17" s="25" t="s">
        <v>23</v>
      </c>
      <c r="D17" s="25">
        <v>1000</v>
      </c>
      <c r="E17" s="25">
        <v>298.55</v>
      </c>
      <c r="F17" s="25">
        <v>298550</v>
      </c>
      <c r="G17" s="25" t="s">
        <v>1776</v>
      </c>
      <c r="H17" s="25">
        <v>2019240</v>
      </c>
      <c r="I17" s="25" t="s">
        <v>19</v>
      </c>
      <c r="J17" s="25" t="s">
        <v>20</v>
      </c>
      <c r="K17" s="25" t="s">
        <v>25</v>
      </c>
      <c r="L17" s="25">
        <v>74.349999999999994</v>
      </c>
      <c r="M17" s="25">
        <v>6.57</v>
      </c>
      <c r="N17" s="25">
        <v>0</v>
      </c>
      <c r="O17" s="25">
        <v>177.32</v>
      </c>
      <c r="P17" s="25">
        <v>258.23820000000001</v>
      </c>
    </row>
    <row r="18" spans="1:16" x14ac:dyDescent="0.25">
      <c r="A18" s="26">
        <v>43822</v>
      </c>
      <c r="B18" s="25" t="s">
        <v>1476</v>
      </c>
      <c r="C18" s="25" t="s">
        <v>23</v>
      </c>
      <c r="D18" s="25">
        <v>1000</v>
      </c>
      <c r="E18" s="25">
        <v>299</v>
      </c>
      <c r="F18" s="25">
        <v>299000</v>
      </c>
      <c r="G18" s="25" t="s">
        <v>1777</v>
      </c>
      <c r="H18" s="25">
        <v>2019240</v>
      </c>
      <c r="I18" s="25" t="s">
        <v>19</v>
      </c>
      <c r="J18" s="25" t="s">
        <v>20</v>
      </c>
      <c r="K18" s="25" t="s">
        <v>25</v>
      </c>
      <c r="L18" s="25">
        <v>74.069999999999993</v>
      </c>
      <c r="M18" s="25">
        <v>6.58</v>
      </c>
      <c r="N18" s="25">
        <v>138</v>
      </c>
      <c r="O18" s="25">
        <v>177.59</v>
      </c>
      <c r="P18" s="25">
        <v>396.23809999999997</v>
      </c>
    </row>
    <row r="19" spans="1:16" x14ac:dyDescent="0.25">
      <c r="A19" s="26">
        <v>43822</v>
      </c>
      <c r="B19" s="25" t="s">
        <v>1476</v>
      </c>
      <c r="C19" s="25" t="s">
        <v>17</v>
      </c>
      <c r="D19" s="25">
        <v>2000</v>
      </c>
      <c r="E19" s="25">
        <v>296</v>
      </c>
      <c r="F19" s="25">
        <v>592000</v>
      </c>
      <c r="G19" s="25" t="s">
        <v>1778</v>
      </c>
      <c r="H19" s="25">
        <v>2019240</v>
      </c>
      <c r="I19" s="25" t="s">
        <v>19</v>
      </c>
      <c r="J19" s="25" t="s">
        <v>20</v>
      </c>
      <c r="K19" s="25" t="s">
        <v>25</v>
      </c>
      <c r="L19" s="25">
        <v>0</v>
      </c>
      <c r="M19" s="25">
        <v>13.02</v>
      </c>
      <c r="N19" s="25">
        <v>0</v>
      </c>
      <c r="O19" s="25">
        <v>351.62</v>
      </c>
      <c r="P19" s="25">
        <v>364.64400000000001</v>
      </c>
    </row>
    <row r="20" spans="1:16" x14ac:dyDescent="0.25">
      <c r="A20" s="26">
        <v>43822</v>
      </c>
      <c r="B20" s="25" t="s">
        <v>226</v>
      </c>
      <c r="C20" s="25" t="s">
        <v>17</v>
      </c>
      <c r="D20" s="25">
        <v>1000</v>
      </c>
      <c r="E20" s="25">
        <v>295.25</v>
      </c>
      <c r="F20" s="25">
        <v>295250</v>
      </c>
      <c r="G20" s="25" t="s">
        <v>1779</v>
      </c>
      <c r="H20" s="25">
        <v>2019240</v>
      </c>
      <c r="I20" s="25" t="s">
        <v>19</v>
      </c>
      <c r="J20" s="25" t="s">
        <v>20</v>
      </c>
      <c r="K20" s="25" t="s">
        <v>25</v>
      </c>
      <c r="L20" s="25">
        <v>0</v>
      </c>
      <c r="M20" s="25">
        <v>6.5</v>
      </c>
      <c r="N20" s="25">
        <v>0</v>
      </c>
      <c r="O20" s="25">
        <v>175.36</v>
      </c>
      <c r="P20" s="25">
        <v>181.85550000000001</v>
      </c>
    </row>
    <row r="21" spans="1:16" x14ac:dyDescent="0.25">
      <c r="A21" s="26">
        <v>43822</v>
      </c>
      <c r="B21" s="25" t="s">
        <v>282</v>
      </c>
      <c r="C21" s="25" t="s">
        <v>17</v>
      </c>
      <c r="D21" s="25">
        <v>1000</v>
      </c>
      <c r="E21" s="25">
        <v>286</v>
      </c>
      <c r="F21" s="25">
        <v>286000</v>
      </c>
      <c r="G21" s="25" t="s">
        <v>1780</v>
      </c>
      <c r="H21" s="25">
        <v>2019240</v>
      </c>
      <c r="I21" s="25" t="s">
        <v>19</v>
      </c>
      <c r="J21" s="25" t="s">
        <v>20</v>
      </c>
      <c r="K21" s="25" t="s">
        <v>25</v>
      </c>
      <c r="L21" s="25">
        <v>0</v>
      </c>
      <c r="M21" s="25">
        <v>6.29</v>
      </c>
      <c r="N21" s="25">
        <v>0</v>
      </c>
      <c r="O21" s="25">
        <v>169.87</v>
      </c>
      <c r="P21" s="25">
        <v>176.16200000000001</v>
      </c>
    </row>
    <row r="22" spans="1:16" x14ac:dyDescent="0.25">
      <c r="A22" s="26">
        <v>43822</v>
      </c>
      <c r="B22" s="25" t="s">
        <v>226</v>
      </c>
      <c r="C22" s="25" t="s">
        <v>17</v>
      </c>
      <c r="D22" s="25">
        <v>1500</v>
      </c>
      <c r="E22" s="25">
        <v>293.42</v>
      </c>
      <c r="F22" s="25">
        <v>440134.85</v>
      </c>
      <c r="G22" s="25" t="s">
        <v>1781</v>
      </c>
      <c r="H22" s="25">
        <v>2019240</v>
      </c>
      <c r="I22" s="25" t="s">
        <v>19</v>
      </c>
      <c r="J22" s="25" t="s">
        <v>20</v>
      </c>
      <c r="K22" s="25" t="s">
        <v>25</v>
      </c>
      <c r="L22" s="25">
        <v>0</v>
      </c>
      <c r="M22" s="25">
        <v>9.68</v>
      </c>
      <c r="N22" s="25">
        <v>0</v>
      </c>
      <c r="O22" s="25">
        <v>261.42</v>
      </c>
      <c r="P22" s="25">
        <v>271.10309999999998</v>
      </c>
    </row>
    <row r="23" spans="1:16" x14ac:dyDescent="0.25">
      <c r="A23" s="26">
        <v>43822</v>
      </c>
      <c r="B23" s="25" t="s">
        <v>226</v>
      </c>
      <c r="C23" s="25" t="s">
        <v>23</v>
      </c>
      <c r="D23" s="25">
        <v>2500</v>
      </c>
      <c r="E23" s="25">
        <v>295.17</v>
      </c>
      <c r="F23" s="25">
        <v>737924.15</v>
      </c>
      <c r="G23" s="25" t="s">
        <v>1782</v>
      </c>
      <c r="H23" s="25">
        <v>2019240</v>
      </c>
      <c r="I23" s="25" t="s">
        <v>19</v>
      </c>
      <c r="J23" s="25" t="s">
        <v>20</v>
      </c>
      <c r="K23" s="25" t="s">
        <v>25</v>
      </c>
      <c r="L23" s="25">
        <v>184.16</v>
      </c>
      <c r="M23" s="25">
        <v>16.23</v>
      </c>
      <c r="N23" s="25">
        <v>0</v>
      </c>
      <c r="O23" s="25">
        <v>438.3</v>
      </c>
      <c r="P23" s="25">
        <v>638.69439999999997</v>
      </c>
    </row>
    <row r="24" spans="1:16" x14ac:dyDescent="0.25">
      <c r="A24" s="26">
        <v>43822</v>
      </c>
      <c r="B24" s="25" t="s">
        <v>871</v>
      </c>
      <c r="C24" s="25" t="s">
        <v>17</v>
      </c>
      <c r="D24" s="25">
        <v>1000</v>
      </c>
      <c r="E24" s="25">
        <v>147.94999999999999</v>
      </c>
      <c r="F24" s="25">
        <v>147950</v>
      </c>
      <c r="G24" s="25" t="s">
        <v>1783</v>
      </c>
      <c r="H24" s="25">
        <v>2019240</v>
      </c>
      <c r="I24" s="25" t="s">
        <v>19</v>
      </c>
      <c r="J24" s="25" t="s">
        <v>20</v>
      </c>
      <c r="K24" s="25" t="s">
        <v>25</v>
      </c>
      <c r="L24" s="25">
        <v>0</v>
      </c>
      <c r="M24" s="25">
        <v>3.25</v>
      </c>
      <c r="N24" s="25">
        <v>0</v>
      </c>
      <c r="O24" s="25">
        <v>87.88</v>
      </c>
      <c r="P24" s="25">
        <v>91.134900000000002</v>
      </c>
    </row>
    <row r="25" spans="1:16" x14ac:dyDescent="0.25">
      <c r="A25" s="26">
        <v>43822</v>
      </c>
      <c r="B25" s="25" t="s">
        <v>659</v>
      </c>
      <c r="C25" s="25" t="s">
        <v>23</v>
      </c>
      <c r="D25" s="25">
        <v>5000</v>
      </c>
      <c r="E25" s="25">
        <v>50.25</v>
      </c>
      <c r="F25" s="25">
        <v>251250</v>
      </c>
      <c r="G25" s="25" t="s">
        <v>1784</v>
      </c>
      <c r="H25" s="25">
        <v>2019240</v>
      </c>
      <c r="I25" s="25" t="s">
        <v>19</v>
      </c>
      <c r="J25" s="25" t="s">
        <v>1660</v>
      </c>
      <c r="K25" s="25" t="s">
        <v>25</v>
      </c>
      <c r="L25" s="25">
        <v>64</v>
      </c>
      <c r="M25" s="25">
        <v>5.53</v>
      </c>
      <c r="N25" s="25">
        <v>0</v>
      </c>
      <c r="O25" s="25">
        <v>1631.6</v>
      </c>
      <c r="P25" s="25">
        <v>1701.1276</v>
      </c>
    </row>
    <row r="26" spans="1:16" x14ac:dyDescent="0.25">
      <c r="A26" s="26">
        <v>43818</v>
      </c>
      <c r="B26" s="25" t="s">
        <v>379</v>
      </c>
      <c r="C26" s="25" t="s">
        <v>23</v>
      </c>
      <c r="D26" s="25">
        <v>1000</v>
      </c>
      <c r="E26" s="25">
        <v>146.5</v>
      </c>
      <c r="F26" s="25">
        <v>146500</v>
      </c>
      <c r="G26" s="25" t="s">
        <v>1785</v>
      </c>
      <c r="H26" s="25">
        <v>2019238</v>
      </c>
      <c r="I26" s="25" t="s">
        <v>19</v>
      </c>
      <c r="J26" s="25" t="s">
        <v>20</v>
      </c>
      <c r="K26" s="25" t="s">
        <v>25</v>
      </c>
      <c r="L26" s="25">
        <v>36.31</v>
      </c>
      <c r="M26" s="25">
        <v>3.22</v>
      </c>
      <c r="N26" s="25">
        <v>0</v>
      </c>
      <c r="O26" s="25">
        <v>87.02</v>
      </c>
      <c r="P26" s="25">
        <v>126.5528</v>
      </c>
    </row>
    <row r="27" spans="1:16" x14ac:dyDescent="0.25">
      <c r="A27" s="26">
        <v>43818</v>
      </c>
      <c r="B27" s="25" t="s">
        <v>379</v>
      </c>
      <c r="C27" s="25" t="s">
        <v>17</v>
      </c>
      <c r="D27" s="25">
        <v>1000</v>
      </c>
      <c r="E27" s="25">
        <v>144</v>
      </c>
      <c r="F27" s="25">
        <v>144000</v>
      </c>
      <c r="G27" s="25" t="s">
        <v>1786</v>
      </c>
      <c r="H27" s="25">
        <v>2019238</v>
      </c>
      <c r="I27" s="25" t="s">
        <v>19</v>
      </c>
      <c r="J27" s="25" t="s">
        <v>20</v>
      </c>
      <c r="K27" s="25" t="s">
        <v>25</v>
      </c>
      <c r="L27" s="25">
        <v>0</v>
      </c>
      <c r="M27" s="25">
        <v>3.17</v>
      </c>
      <c r="N27" s="25">
        <v>0</v>
      </c>
      <c r="O27" s="25">
        <v>85.53</v>
      </c>
      <c r="P27" s="25">
        <v>88.697900000000004</v>
      </c>
    </row>
    <row r="28" spans="1:16" x14ac:dyDescent="0.25">
      <c r="A28" s="26">
        <v>43818</v>
      </c>
      <c r="B28" s="25" t="s">
        <v>268</v>
      </c>
      <c r="C28" s="25" t="s">
        <v>17</v>
      </c>
      <c r="D28" s="25">
        <v>1000</v>
      </c>
      <c r="E28" s="25">
        <v>327</v>
      </c>
      <c r="F28" s="25">
        <v>327000</v>
      </c>
      <c r="G28" s="25" t="s">
        <v>1787</v>
      </c>
      <c r="H28" s="25">
        <v>2019238</v>
      </c>
      <c r="I28" s="25" t="s">
        <v>19</v>
      </c>
      <c r="J28" s="25" t="s">
        <v>20</v>
      </c>
      <c r="K28" s="25" t="s">
        <v>25</v>
      </c>
      <c r="L28" s="25">
        <v>0</v>
      </c>
      <c r="M28" s="25">
        <v>7.19</v>
      </c>
      <c r="N28" s="25">
        <v>46.8</v>
      </c>
      <c r="O28" s="25">
        <v>194.22</v>
      </c>
      <c r="P28" s="25">
        <v>248.2141</v>
      </c>
    </row>
    <row r="29" spans="1:16" x14ac:dyDescent="0.25">
      <c r="A29" s="26">
        <v>43818</v>
      </c>
      <c r="B29" s="25" t="s">
        <v>268</v>
      </c>
      <c r="C29" s="25" t="s">
        <v>17</v>
      </c>
      <c r="D29" s="25">
        <v>500</v>
      </c>
      <c r="E29" s="25">
        <v>326.91000000000003</v>
      </c>
      <c r="F29" s="25">
        <v>163454.6</v>
      </c>
      <c r="G29" s="25" t="s">
        <v>1788</v>
      </c>
      <c r="H29" s="25">
        <v>2019238</v>
      </c>
      <c r="I29" s="25" t="s">
        <v>19</v>
      </c>
      <c r="J29" s="25" t="s">
        <v>20</v>
      </c>
      <c r="K29" s="25" t="s">
        <v>25</v>
      </c>
      <c r="L29" s="25">
        <v>0</v>
      </c>
      <c r="M29" s="25">
        <v>3.6</v>
      </c>
      <c r="N29" s="25">
        <v>0</v>
      </c>
      <c r="O29" s="25">
        <v>97.09</v>
      </c>
      <c r="P29" s="25">
        <v>100.6861</v>
      </c>
    </row>
    <row r="30" spans="1:16" x14ac:dyDescent="0.25">
      <c r="A30" s="26">
        <v>43818</v>
      </c>
      <c r="B30" s="25" t="s">
        <v>268</v>
      </c>
      <c r="C30" s="25" t="s">
        <v>23</v>
      </c>
      <c r="D30" s="25">
        <v>1500</v>
      </c>
      <c r="E30" s="25">
        <v>328.1</v>
      </c>
      <c r="F30" s="25">
        <v>492150</v>
      </c>
      <c r="G30" s="25" t="s">
        <v>1789</v>
      </c>
      <c r="H30" s="25">
        <v>2019238</v>
      </c>
      <c r="I30" s="25" t="s">
        <v>19</v>
      </c>
      <c r="J30" s="25" t="s">
        <v>20</v>
      </c>
      <c r="K30" s="25" t="s">
        <v>25</v>
      </c>
      <c r="L30" s="25">
        <v>122.83</v>
      </c>
      <c r="M30" s="25">
        <v>10.83</v>
      </c>
      <c r="N30" s="25">
        <v>0</v>
      </c>
      <c r="O30" s="25">
        <v>292.32</v>
      </c>
      <c r="P30" s="25">
        <v>425.97739999999999</v>
      </c>
    </row>
    <row r="31" spans="1:16" x14ac:dyDescent="0.25">
      <c r="A31" s="26">
        <v>43818</v>
      </c>
      <c r="B31" s="25" t="s">
        <v>1790</v>
      </c>
      <c r="C31" s="25" t="s">
        <v>17</v>
      </c>
      <c r="D31" s="25">
        <v>10</v>
      </c>
      <c r="E31" s="25">
        <v>2208.9499999999998</v>
      </c>
      <c r="F31" s="25">
        <v>22089.5</v>
      </c>
      <c r="G31" s="25" t="s">
        <v>1791</v>
      </c>
      <c r="H31" s="25">
        <v>2019238</v>
      </c>
      <c r="I31" s="25" t="s">
        <v>19</v>
      </c>
      <c r="J31" s="25" t="s">
        <v>20</v>
      </c>
      <c r="K31" s="25" t="s">
        <v>25</v>
      </c>
      <c r="L31" s="25">
        <v>0</v>
      </c>
      <c r="M31" s="25">
        <v>0.49</v>
      </c>
      <c r="N31" s="25">
        <v>0</v>
      </c>
      <c r="O31" s="25">
        <v>29.59</v>
      </c>
      <c r="P31" s="25">
        <v>30.076000000000001</v>
      </c>
    </row>
    <row r="32" spans="1:16" x14ac:dyDescent="0.25">
      <c r="A32" s="26">
        <v>43818</v>
      </c>
      <c r="B32" s="25" t="s">
        <v>659</v>
      </c>
      <c r="C32" s="25" t="s">
        <v>17</v>
      </c>
      <c r="D32" s="25">
        <v>5000</v>
      </c>
      <c r="E32" s="25">
        <v>48.45</v>
      </c>
      <c r="F32" s="25">
        <v>242250</v>
      </c>
      <c r="G32" s="25" t="s">
        <v>1792</v>
      </c>
      <c r="H32" s="25">
        <v>2019238</v>
      </c>
      <c r="I32" s="25" t="s">
        <v>19</v>
      </c>
      <c r="J32" s="25" t="s">
        <v>1660</v>
      </c>
      <c r="K32" s="25" t="s">
        <v>25</v>
      </c>
      <c r="L32" s="25">
        <v>242.32</v>
      </c>
      <c r="M32" s="25">
        <v>5.33</v>
      </c>
      <c r="N32" s="25">
        <v>0</v>
      </c>
      <c r="O32" s="25">
        <v>1573.15</v>
      </c>
      <c r="P32" s="25">
        <v>1820.7997</v>
      </c>
    </row>
    <row r="33" spans="1:16" x14ac:dyDescent="0.25">
      <c r="A33" s="26">
        <v>43818</v>
      </c>
      <c r="B33" s="25" t="s">
        <v>1790</v>
      </c>
      <c r="C33" s="25" t="s">
        <v>23</v>
      </c>
      <c r="D33" s="25">
        <v>10</v>
      </c>
      <c r="E33" s="25">
        <v>2227.15</v>
      </c>
      <c r="F33" s="25">
        <v>22271.5</v>
      </c>
      <c r="G33" s="25" t="s">
        <v>1793</v>
      </c>
      <c r="H33" s="25">
        <v>2019238</v>
      </c>
      <c r="I33" s="25" t="s">
        <v>19</v>
      </c>
      <c r="J33" s="25" t="s">
        <v>20</v>
      </c>
      <c r="K33" s="25" t="s">
        <v>25</v>
      </c>
      <c r="L33" s="25">
        <v>5.55</v>
      </c>
      <c r="M33" s="25">
        <v>0.49</v>
      </c>
      <c r="N33" s="25">
        <v>0</v>
      </c>
      <c r="O33" s="25">
        <v>29.59</v>
      </c>
      <c r="P33" s="25">
        <v>35.630000000000003</v>
      </c>
    </row>
    <row r="34" spans="1:16" x14ac:dyDescent="0.25">
      <c r="A34" s="26">
        <v>43817</v>
      </c>
      <c r="B34" s="25" t="s">
        <v>237</v>
      </c>
      <c r="C34" s="25" t="s">
        <v>23</v>
      </c>
      <c r="D34" s="25">
        <v>2500</v>
      </c>
      <c r="E34" s="25">
        <v>257.5</v>
      </c>
      <c r="F34" s="25">
        <v>643750</v>
      </c>
      <c r="G34" s="25" t="s">
        <v>1635</v>
      </c>
      <c r="H34" s="25">
        <v>2019237</v>
      </c>
      <c r="I34" s="25" t="s">
        <v>19</v>
      </c>
      <c r="J34" s="25" t="s">
        <v>20</v>
      </c>
      <c r="K34" s="25" t="s">
        <v>25</v>
      </c>
      <c r="L34" s="25">
        <v>163.62</v>
      </c>
      <c r="M34" s="25">
        <v>14.16</v>
      </c>
      <c r="N34" s="25">
        <v>0</v>
      </c>
      <c r="O34" s="25">
        <v>382.36</v>
      </c>
      <c r="P34" s="25">
        <v>560.14260000000002</v>
      </c>
    </row>
    <row r="35" spans="1:16" x14ac:dyDescent="0.25">
      <c r="A35" s="26">
        <v>43817</v>
      </c>
      <c r="B35" s="25" t="s">
        <v>237</v>
      </c>
      <c r="C35" s="25" t="s">
        <v>17</v>
      </c>
      <c r="D35" s="25">
        <v>1036</v>
      </c>
      <c r="E35" s="25">
        <v>260.93</v>
      </c>
      <c r="F35" s="25">
        <v>270322.40000000002</v>
      </c>
      <c r="G35" s="25" t="s">
        <v>1636</v>
      </c>
      <c r="H35" s="25">
        <v>2019237</v>
      </c>
      <c r="I35" s="25" t="s">
        <v>19</v>
      </c>
      <c r="J35" s="25" t="s">
        <v>20</v>
      </c>
      <c r="K35" s="25" t="s">
        <v>25</v>
      </c>
      <c r="L35" s="25">
        <v>0</v>
      </c>
      <c r="M35" s="25">
        <v>5.95</v>
      </c>
      <c r="N35" s="25">
        <v>70.8</v>
      </c>
      <c r="O35" s="25">
        <v>160.56</v>
      </c>
      <c r="P35" s="25">
        <v>237.30709999999999</v>
      </c>
    </row>
    <row r="36" spans="1:16" x14ac:dyDescent="0.25">
      <c r="A36" s="26">
        <v>43817</v>
      </c>
      <c r="B36" s="25" t="s">
        <v>237</v>
      </c>
      <c r="C36" s="25" t="s">
        <v>23</v>
      </c>
      <c r="D36" s="25">
        <v>1000</v>
      </c>
      <c r="E36" s="25">
        <v>263</v>
      </c>
      <c r="F36" s="25">
        <v>263000</v>
      </c>
      <c r="G36" s="25" t="s">
        <v>1637</v>
      </c>
      <c r="H36" s="25">
        <v>2019237</v>
      </c>
      <c r="I36" s="25" t="s">
        <v>19</v>
      </c>
      <c r="J36" s="25" t="s">
        <v>20</v>
      </c>
      <c r="K36" s="25" t="s">
        <v>25</v>
      </c>
      <c r="L36" s="25">
        <v>65.94</v>
      </c>
      <c r="M36" s="25">
        <v>5.79</v>
      </c>
      <c r="N36" s="25">
        <v>0</v>
      </c>
      <c r="O36" s="25">
        <v>156.21</v>
      </c>
      <c r="P36" s="25">
        <v>227.93600000000001</v>
      </c>
    </row>
    <row r="37" spans="1:16" x14ac:dyDescent="0.25">
      <c r="A37" s="26">
        <v>43817</v>
      </c>
      <c r="B37" s="25" t="s">
        <v>237</v>
      </c>
      <c r="C37" s="25" t="s">
        <v>23</v>
      </c>
      <c r="D37" s="25">
        <v>1000</v>
      </c>
      <c r="E37" s="25">
        <v>262.5</v>
      </c>
      <c r="F37" s="25">
        <v>262500</v>
      </c>
      <c r="G37" s="25" t="s">
        <v>1638</v>
      </c>
      <c r="H37" s="25">
        <v>2019237</v>
      </c>
      <c r="I37" s="25" t="s">
        <v>19</v>
      </c>
      <c r="J37" s="25" t="s">
        <v>20</v>
      </c>
      <c r="K37" s="25" t="s">
        <v>25</v>
      </c>
      <c r="L37" s="25">
        <v>65.45</v>
      </c>
      <c r="M37" s="25">
        <v>5.78</v>
      </c>
      <c r="N37" s="25">
        <v>0</v>
      </c>
      <c r="O37" s="25">
        <v>155.91</v>
      </c>
      <c r="P37" s="25">
        <v>227.13499999999999</v>
      </c>
    </row>
    <row r="38" spans="1:16" x14ac:dyDescent="0.25">
      <c r="A38" s="26">
        <v>43817</v>
      </c>
      <c r="B38" s="25" t="s">
        <v>237</v>
      </c>
      <c r="C38" s="25" t="s">
        <v>17</v>
      </c>
      <c r="D38" s="25">
        <v>1445</v>
      </c>
      <c r="E38" s="25">
        <v>265.45</v>
      </c>
      <c r="F38" s="25">
        <v>383575.25</v>
      </c>
      <c r="G38" s="25" t="s">
        <v>1639</v>
      </c>
      <c r="H38" s="25">
        <v>2019237</v>
      </c>
      <c r="I38" s="25" t="s">
        <v>19</v>
      </c>
      <c r="J38" s="25" t="s">
        <v>20</v>
      </c>
      <c r="K38" s="25" t="s">
        <v>25</v>
      </c>
      <c r="L38" s="25">
        <v>0</v>
      </c>
      <c r="M38" s="25">
        <v>8.44</v>
      </c>
      <c r="N38" s="25">
        <v>0</v>
      </c>
      <c r="O38" s="25">
        <v>227.82</v>
      </c>
      <c r="P38" s="25">
        <v>236.2586</v>
      </c>
    </row>
    <row r="39" spans="1:16" x14ac:dyDescent="0.25">
      <c r="A39" s="26">
        <v>43817</v>
      </c>
      <c r="B39" s="25" t="s">
        <v>237</v>
      </c>
      <c r="C39" s="25" t="s">
        <v>17</v>
      </c>
      <c r="D39" s="25">
        <v>2019</v>
      </c>
      <c r="E39" s="25">
        <v>263.95</v>
      </c>
      <c r="F39" s="25">
        <v>532915.05000000005</v>
      </c>
      <c r="G39" s="25" t="s">
        <v>1640</v>
      </c>
      <c r="H39" s="25">
        <v>2019237</v>
      </c>
      <c r="I39" s="25" t="s">
        <v>19</v>
      </c>
      <c r="J39" s="25" t="s">
        <v>20</v>
      </c>
      <c r="K39" s="25" t="s">
        <v>25</v>
      </c>
      <c r="L39" s="25">
        <v>0</v>
      </c>
      <c r="M39" s="25">
        <v>11.72</v>
      </c>
      <c r="N39" s="25">
        <v>0</v>
      </c>
      <c r="O39" s="25">
        <v>316.54000000000002</v>
      </c>
      <c r="P39" s="25">
        <v>328.26409999999998</v>
      </c>
    </row>
    <row r="40" spans="1:16" x14ac:dyDescent="0.25">
      <c r="A40" s="26">
        <v>43816</v>
      </c>
      <c r="B40" s="25" t="s">
        <v>237</v>
      </c>
      <c r="C40" s="25" t="s">
        <v>17</v>
      </c>
      <c r="D40" s="25">
        <v>2500</v>
      </c>
      <c r="E40" s="25">
        <v>261</v>
      </c>
      <c r="F40" s="25">
        <v>652500</v>
      </c>
      <c r="G40" s="25" t="s">
        <v>1641</v>
      </c>
      <c r="H40" s="25">
        <v>2019236</v>
      </c>
      <c r="I40" s="25" t="s">
        <v>19</v>
      </c>
      <c r="J40" s="25" t="s">
        <v>20</v>
      </c>
      <c r="K40" s="25" t="s">
        <v>25</v>
      </c>
      <c r="L40" s="25">
        <v>0</v>
      </c>
      <c r="M40" s="25">
        <v>14.36</v>
      </c>
      <c r="N40" s="25">
        <v>0</v>
      </c>
      <c r="O40" s="25">
        <v>387.56</v>
      </c>
      <c r="P40" s="25">
        <v>401.91500000000002</v>
      </c>
    </row>
    <row r="41" spans="1:16" x14ac:dyDescent="0.25">
      <c r="A41" s="26">
        <v>43816</v>
      </c>
      <c r="B41" s="25" t="s">
        <v>237</v>
      </c>
      <c r="C41" s="25" t="s">
        <v>23</v>
      </c>
      <c r="D41" s="25">
        <v>2500</v>
      </c>
      <c r="E41" s="25">
        <v>258.89999999999998</v>
      </c>
      <c r="F41" s="25">
        <v>647250</v>
      </c>
      <c r="G41" s="25" t="s">
        <v>1642</v>
      </c>
      <c r="H41" s="25">
        <v>2019236</v>
      </c>
      <c r="I41" s="25" t="s">
        <v>19</v>
      </c>
      <c r="J41" s="25" t="s">
        <v>20</v>
      </c>
      <c r="K41" s="25" t="s">
        <v>25</v>
      </c>
      <c r="L41" s="25">
        <v>162</v>
      </c>
      <c r="M41" s="25">
        <v>14.24</v>
      </c>
      <c r="N41" s="25">
        <v>39</v>
      </c>
      <c r="O41" s="25">
        <v>384.46</v>
      </c>
      <c r="P41" s="25">
        <v>599.69939999999997</v>
      </c>
    </row>
    <row r="42" spans="1:16" x14ac:dyDescent="0.25">
      <c r="A42" s="26">
        <v>43815</v>
      </c>
      <c r="B42" s="25" t="s">
        <v>1476</v>
      </c>
      <c r="C42" s="25" t="s">
        <v>23</v>
      </c>
      <c r="D42" s="25">
        <v>2500</v>
      </c>
      <c r="E42" s="25">
        <v>317.8</v>
      </c>
      <c r="F42" s="25">
        <v>794511.75</v>
      </c>
      <c r="G42" s="25" t="s">
        <v>1643</v>
      </c>
      <c r="H42" s="25">
        <v>2019235</v>
      </c>
      <c r="I42" s="25" t="s">
        <v>19</v>
      </c>
      <c r="J42" s="25" t="s">
        <v>20</v>
      </c>
      <c r="K42" s="25" t="s">
        <v>25</v>
      </c>
      <c r="L42" s="25">
        <v>196</v>
      </c>
      <c r="M42" s="25">
        <v>17.48</v>
      </c>
      <c r="N42" s="25">
        <v>47.1</v>
      </c>
      <c r="O42" s="25">
        <v>471.92</v>
      </c>
      <c r="P42" s="25">
        <v>732.49950000000001</v>
      </c>
    </row>
    <row r="43" spans="1:16" x14ac:dyDescent="0.25">
      <c r="A43" s="26">
        <v>43815</v>
      </c>
      <c r="B43" s="25" t="s">
        <v>1476</v>
      </c>
      <c r="C43" s="25" t="s">
        <v>17</v>
      </c>
      <c r="D43" s="25">
        <v>2500</v>
      </c>
      <c r="E43" s="25">
        <v>309</v>
      </c>
      <c r="F43" s="25">
        <v>772500</v>
      </c>
      <c r="G43" s="25" t="s">
        <v>1644</v>
      </c>
      <c r="H43" s="25">
        <v>2019235</v>
      </c>
      <c r="I43" s="25" t="s">
        <v>19</v>
      </c>
      <c r="J43" s="25" t="s">
        <v>20</v>
      </c>
      <c r="K43" s="25" t="s">
        <v>25</v>
      </c>
      <c r="L43" s="25">
        <v>0</v>
      </c>
      <c r="M43" s="25">
        <v>17</v>
      </c>
      <c r="N43" s="25">
        <v>0</v>
      </c>
      <c r="O43" s="25">
        <v>458.84</v>
      </c>
      <c r="P43" s="25">
        <v>475.83569999999997</v>
      </c>
    </row>
    <row r="44" spans="1:16" x14ac:dyDescent="0.25">
      <c r="A44" s="26">
        <v>43812</v>
      </c>
      <c r="B44" s="25" t="s">
        <v>1645</v>
      </c>
      <c r="C44" s="25" t="s">
        <v>17</v>
      </c>
      <c r="D44" s="25">
        <v>2500</v>
      </c>
      <c r="E44" s="25">
        <v>56.29</v>
      </c>
      <c r="F44" s="25">
        <v>140714.79999999999</v>
      </c>
      <c r="G44" s="25" t="s">
        <v>1646</v>
      </c>
      <c r="H44" s="25">
        <v>2019234</v>
      </c>
      <c r="I44" s="25" t="s">
        <v>19</v>
      </c>
      <c r="J44" s="25" t="s">
        <v>20</v>
      </c>
      <c r="K44" s="25" t="s">
        <v>25</v>
      </c>
      <c r="L44" s="25">
        <v>0</v>
      </c>
      <c r="M44" s="25">
        <v>3.1</v>
      </c>
      <c r="N44" s="25">
        <v>0</v>
      </c>
      <c r="O44" s="25">
        <v>83.57</v>
      </c>
      <c r="P44" s="25">
        <v>86.665800000000004</v>
      </c>
    </row>
    <row r="45" spans="1:16" x14ac:dyDescent="0.25">
      <c r="A45" s="26">
        <v>43812</v>
      </c>
      <c r="B45" s="25" t="s">
        <v>1476</v>
      </c>
      <c r="C45" s="25" t="s">
        <v>17</v>
      </c>
      <c r="D45" s="25">
        <v>500</v>
      </c>
      <c r="E45" s="25">
        <v>297</v>
      </c>
      <c r="F45" s="25">
        <v>148500</v>
      </c>
      <c r="G45" s="25" t="s">
        <v>1647</v>
      </c>
      <c r="H45" s="25">
        <v>2019234</v>
      </c>
      <c r="I45" s="25" t="s">
        <v>19</v>
      </c>
      <c r="J45" s="25" t="s">
        <v>20</v>
      </c>
      <c r="K45" s="25" t="s">
        <v>25</v>
      </c>
      <c r="L45" s="25">
        <v>0</v>
      </c>
      <c r="M45" s="25">
        <v>3.27</v>
      </c>
      <c r="N45" s="25">
        <v>0</v>
      </c>
      <c r="O45" s="25">
        <v>88.21</v>
      </c>
      <c r="P45" s="25">
        <v>91.477000000000004</v>
      </c>
    </row>
    <row r="46" spans="1:16" x14ac:dyDescent="0.25">
      <c r="A46" s="26">
        <v>43812</v>
      </c>
      <c r="B46" s="25" t="s">
        <v>1476</v>
      </c>
      <c r="C46" s="25" t="s">
        <v>23</v>
      </c>
      <c r="D46" s="25">
        <v>500</v>
      </c>
      <c r="E46" s="25">
        <v>299.5</v>
      </c>
      <c r="F46" s="25">
        <v>149750</v>
      </c>
      <c r="G46" s="25" t="s">
        <v>1648</v>
      </c>
      <c r="H46" s="25">
        <v>2019234</v>
      </c>
      <c r="I46" s="25" t="s">
        <v>19</v>
      </c>
      <c r="J46" s="25" t="s">
        <v>20</v>
      </c>
      <c r="K46" s="25" t="s">
        <v>25</v>
      </c>
      <c r="L46" s="25">
        <v>38.020000000000003</v>
      </c>
      <c r="M46" s="25">
        <v>3.29</v>
      </c>
      <c r="N46" s="25">
        <v>0</v>
      </c>
      <c r="O46" s="25">
        <v>88.95</v>
      </c>
      <c r="P46" s="25">
        <v>130.2646</v>
      </c>
    </row>
    <row r="47" spans="1:16" x14ac:dyDescent="0.25">
      <c r="A47" s="26">
        <v>43812</v>
      </c>
      <c r="B47" s="25" t="s">
        <v>1645</v>
      </c>
      <c r="C47" s="25" t="s">
        <v>17</v>
      </c>
      <c r="D47" s="25">
        <v>2500</v>
      </c>
      <c r="E47" s="25">
        <v>56.3</v>
      </c>
      <c r="F47" s="25">
        <v>140746.35</v>
      </c>
      <c r="G47" s="25" t="s">
        <v>1649</v>
      </c>
      <c r="H47" s="25">
        <v>2019234</v>
      </c>
      <c r="I47" s="25" t="s">
        <v>19</v>
      </c>
      <c r="J47" s="25" t="s">
        <v>20</v>
      </c>
      <c r="K47" s="25" t="s">
        <v>25</v>
      </c>
      <c r="L47" s="25">
        <v>0</v>
      </c>
      <c r="M47" s="25">
        <v>3.1</v>
      </c>
      <c r="N47" s="25">
        <v>0</v>
      </c>
      <c r="O47" s="25">
        <v>83.6</v>
      </c>
      <c r="P47" s="25">
        <v>86.696299999999994</v>
      </c>
    </row>
    <row r="48" spans="1:16" x14ac:dyDescent="0.25">
      <c r="A48" s="26">
        <v>43812</v>
      </c>
      <c r="B48" s="25" t="s">
        <v>1476</v>
      </c>
      <c r="C48" s="25" t="s">
        <v>23</v>
      </c>
      <c r="D48" s="25">
        <v>2500</v>
      </c>
      <c r="E48" s="25">
        <v>298</v>
      </c>
      <c r="F48" s="25">
        <v>745000</v>
      </c>
      <c r="G48" s="25" t="s">
        <v>1650</v>
      </c>
      <c r="H48" s="25">
        <v>2019234</v>
      </c>
      <c r="I48" s="25" t="s">
        <v>19</v>
      </c>
      <c r="J48" s="25" t="s">
        <v>20</v>
      </c>
      <c r="K48" s="25" t="s">
        <v>25</v>
      </c>
      <c r="L48" s="25">
        <v>190.18</v>
      </c>
      <c r="M48" s="25">
        <v>16.39</v>
      </c>
      <c r="N48" s="25">
        <v>0</v>
      </c>
      <c r="O48" s="25">
        <v>442.5</v>
      </c>
      <c r="P48" s="25">
        <v>649.07000000000005</v>
      </c>
    </row>
    <row r="49" spans="1:16" x14ac:dyDescent="0.25">
      <c r="A49" s="26">
        <v>43812</v>
      </c>
      <c r="B49" s="25" t="s">
        <v>1476</v>
      </c>
      <c r="C49" s="25" t="s">
        <v>17</v>
      </c>
      <c r="D49" s="25">
        <v>2500</v>
      </c>
      <c r="E49" s="25">
        <v>304.5</v>
      </c>
      <c r="F49" s="25">
        <v>761250</v>
      </c>
      <c r="G49" s="25" t="s">
        <v>1651</v>
      </c>
      <c r="H49" s="25">
        <v>2019234</v>
      </c>
      <c r="I49" s="25" t="s">
        <v>19</v>
      </c>
      <c r="J49" s="25" t="s">
        <v>20</v>
      </c>
      <c r="K49" s="25" t="s">
        <v>25</v>
      </c>
      <c r="L49" s="25">
        <v>0</v>
      </c>
      <c r="M49" s="25">
        <v>16.75</v>
      </c>
      <c r="N49" s="25">
        <v>0</v>
      </c>
      <c r="O49" s="25">
        <v>452.15</v>
      </c>
      <c r="P49" s="25">
        <v>468.89769999999999</v>
      </c>
    </row>
    <row r="50" spans="1:16" x14ac:dyDescent="0.25">
      <c r="A50" s="26">
        <v>43812</v>
      </c>
      <c r="B50" s="25" t="s">
        <v>1476</v>
      </c>
      <c r="C50" s="25" t="s">
        <v>23</v>
      </c>
      <c r="D50" s="25">
        <v>2500</v>
      </c>
      <c r="E50" s="25">
        <v>303.81</v>
      </c>
      <c r="F50" s="25">
        <v>759533</v>
      </c>
      <c r="G50" s="25" t="s">
        <v>1652</v>
      </c>
      <c r="H50" s="25">
        <v>2019234</v>
      </c>
      <c r="I50" s="25" t="s">
        <v>19</v>
      </c>
      <c r="J50" s="25" t="s">
        <v>20</v>
      </c>
      <c r="K50" s="25" t="s">
        <v>25</v>
      </c>
      <c r="L50" s="25">
        <v>190.09</v>
      </c>
      <c r="M50" s="25">
        <v>16.71</v>
      </c>
      <c r="N50" s="25">
        <v>0</v>
      </c>
      <c r="O50" s="25">
        <v>451.15</v>
      </c>
      <c r="P50" s="25">
        <v>657.95</v>
      </c>
    </row>
    <row r="51" spans="1:16" x14ac:dyDescent="0.25">
      <c r="A51" s="26">
        <v>43812</v>
      </c>
      <c r="B51" s="25" t="s">
        <v>1476</v>
      </c>
      <c r="C51" s="25" t="s">
        <v>17</v>
      </c>
      <c r="D51" s="25">
        <v>2500</v>
      </c>
      <c r="E51" s="25">
        <v>306.26</v>
      </c>
      <c r="F51" s="25">
        <v>765642.65</v>
      </c>
      <c r="G51" s="25" t="s">
        <v>1653</v>
      </c>
      <c r="H51" s="25">
        <v>2019234</v>
      </c>
      <c r="I51" s="25" t="s">
        <v>19</v>
      </c>
      <c r="J51" s="25" t="s">
        <v>20</v>
      </c>
      <c r="K51" s="25" t="s">
        <v>25</v>
      </c>
      <c r="L51" s="25">
        <v>0</v>
      </c>
      <c r="M51" s="25">
        <v>16.84</v>
      </c>
      <c r="N51" s="25">
        <v>163.19999999999999</v>
      </c>
      <c r="O51" s="25">
        <v>454.76</v>
      </c>
      <c r="P51" s="25">
        <v>634.80409999999995</v>
      </c>
    </row>
    <row r="52" spans="1:16" x14ac:dyDescent="0.25">
      <c r="A52" s="26">
        <v>43812</v>
      </c>
      <c r="B52" s="25" t="s">
        <v>1476</v>
      </c>
      <c r="C52" s="25" t="s">
        <v>17</v>
      </c>
      <c r="D52" s="25">
        <v>2500</v>
      </c>
      <c r="E52" s="25">
        <v>305.64999999999998</v>
      </c>
      <c r="F52" s="25">
        <v>764136.25</v>
      </c>
      <c r="G52" s="25" t="s">
        <v>1654</v>
      </c>
      <c r="H52" s="25">
        <v>2019234</v>
      </c>
      <c r="I52" s="25" t="s">
        <v>19</v>
      </c>
      <c r="J52" s="25" t="s">
        <v>20</v>
      </c>
      <c r="K52" s="25" t="s">
        <v>25</v>
      </c>
      <c r="L52" s="25">
        <v>0</v>
      </c>
      <c r="M52" s="25">
        <v>16.809999999999999</v>
      </c>
      <c r="N52" s="25">
        <v>0</v>
      </c>
      <c r="O52" s="25">
        <v>453.88</v>
      </c>
      <c r="P52" s="25">
        <v>470.69110000000001</v>
      </c>
    </row>
    <row r="53" spans="1:16" x14ac:dyDescent="0.25">
      <c r="A53" s="26">
        <v>43812</v>
      </c>
      <c r="B53" s="25" t="s">
        <v>1476</v>
      </c>
      <c r="C53" s="25" t="s">
        <v>23</v>
      </c>
      <c r="D53" s="25">
        <v>2500</v>
      </c>
      <c r="E53" s="25">
        <v>309</v>
      </c>
      <c r="F53" s="25">
        <v>772500</v>
      </c>
      <c r="G53" s="25" t="s">
        <v>1655</v>
      </c>
      <c r="H53" s="25">
        <v>2019234</v>
      </c>
      <c r="I53" s="25" t="s">
        <v>19</v>
      </c>
      <c r="J53" s="25" t="s">
        <v>20</v>
      </c>
      <c r="K53" s="25" t="s">
        <v>25</v>
      </c>
      <c r="L53" s="25">
        <v>190.09</v>
      </c>
      <c r="M53" s="25">
        <v>17</v>
      </c>
      <c r="N53" s="25">
        <v>0</v>
      </c>
      <c r="O53" s="25">
        <v>458.84</v>
      </c>
      <c r="P53" s="25">
        <v>665.92520000000002</v>
      </c>
    </row>
    <row r="54" spans="1:16" x14ac:dyDescent="0.25">
      <c r="A54" s="26">
        <v>43812</v>
      </c>
      <c r="B54" s="25" t="s">
        <v>1645</v>
      </c>
      <c r="C54" s="25" t="s">
        <v>23</v>
      </c>
      <c r="D54" s="25">
        <v>5000</v>
      </c>
      <c r="E54" s="25">
        <v>56.7</v>
      </c>
      <c r="F54" s="25">
        <v>283477.25</v>
      </c>
      <c r="G54" s="25" t="s">
        <v>1656</v>
      </c>
      <c r="H54" s="25">
        <v>2019234</v>
      </c>
      <c r="I54" s="25" t="s">
        <v>19</v>
      </c>
      <c r="J54" s="25" t="s">
        <v>20</v>
      </c>
      <c r="K54" s="25" t="s">
        <v>25</v>
      </c>
      <c r="L54" s="25">
        <v>70.62</v>
      </c>
      <c r="M54" s="25">
        <v>6.24</v>
      </c>
      <c r="N54" s="25">
        <v>0</v>
      </c>
      <c r="O54" s="25">
        <v>168.37</v>
      </c>
      <c r="P54" s="25">
        <v>245.22659999999999</v>
      </c>
    </row>
    <row r="55" spans="1:16" x14ac:dyDescent="0.25">
      <c r="A55" s="26">
        <v>43808</v>
      </c>
      <c r="B55" s="25" t="s">
        <v>268</v>
      </c>
      <c r="C55" s="25" t="s">
        <v>17</v>
      </c>
      <c r="D55" s="25">
        <v>2500</v>
      </c>
      <c r="E55" s="25">
        <v>318.05</v>
      </c>
      <c r="F55" s="25">
        <v>795125</v>
      </c>
      <c r="G55" s="25" t="s">
        <v>1657</v>
      </c>
      <c r="H55" s="25">
        <v>2019230</v>
      </c>
      <c r="I55" s="25" t="s">
        <v>19</v>
      </c>
      <c r="J55" s="25" t="s">
        <v>20</v>
      </c>
      <c r="K55" s="25" t="s">
        <v>25</v>
      </c>
      <c r="L55" s="25">
        <v>0</v>
      </c>
      <c r="M55" s="25">
        <v>17.489999999999998</v>
      </c>
      <c r="N55" s="25">
        <v>0</v>
      </c>
      <c r="O55" s="25">
        <v>472.28</v>
      </c>
      <c r="P55" s="25">
        <v>489.77269999999999</v>
      </c>
    </row>
    <row r="56" spans="1:16" x14ac:dyDescent="0.25">
      <c r="A56" s="26">
        <v>43808</v>
      </c>
      <c r="B56" s="25" t="s">
        <v>268</v>
      </c>
      <c r="C56" s="25" t="s">
        <v>23</v>
      </c>
      <c r="D56" s="25">
        <v>2500</v>
      </c>
      <c r="E56" s="25">
        <v>320</v>
      </c>
      <c r="F56" s="25">
        <v>800000</v>
      </c>
      <c r="G56" s="25" t="s">
        <v>1658</v>
      </c>
      <c r="H56" s="25">
        <v>2019230</v>
      </c>
      <c r="I56" s="25" t="s">
        <v>19</v>
      </c>
      <c r="J56" s="25" t="s">
        <v>20</v>
      </c>
      <c r="K56" s="25" t="s">
        <v>25</v>
      </c>
      <c r="L56" s="25">
        <v>199.39</v>
      </c>
      <c r="M56" s="25">
        <v>17.600000000000001</v>
      </c>
      <c r="N56" s="25">
        <v>0</v>
      </c>
      <c r="O56" s="25">
        <v>475.17</v>
      </c>
      <c r="P56" s="25">
        <v>692.15980000000002</v>
      </c>
    </row>
    <row r="57" spans="1:16" x14ac:dyDescent="0.25">
      <c r="A57" s="26">
        <v>43808</v>
      </c>
      <c r="B57" s="25" t="s">
        <v>1645</v>
      </c>
      <c r="C57" s="25" t="s">
        <v>23</v>
      </c>
      <c r="D57" s="25">
        <v>1000</v>
      </c>
      <c r="E57" s="25">
        <v>61.5</v>
      </c>
      <c r="F57" s="25">
        <v>61500</v>
      </c>
      <c r="G57" s="25" t="s">
        <v>1659</v>
      </c>
      <c r="H57" s="25">
        <v>2019230</v>
      </c>
      <c r="I57" s="25" t="s">
        <v>19</v>
      </c>
      <c r="J57" s="25" t="s">
        <v>1660</v>
      </c>
      <c r="K57" s="25" t="s">
        <v>25</v>
      </c>
      <c r="L57" s="25">
        <v>14.63</v>
      </c>
      <c r="M57" s="25">
        <v>1.35</v>
      </c>
      <c r="N57" s="25">
        <v>0</v>
      </c>
      <c r="O57" s="25">
        <v>0.24</v>
      </c>
      <c r="P57" s="25">
        <v>16.222999999999999</v>
      </c>
    </row>
    <row r="58" spans="1:16" x14ac:dyDescent="0.25">
      <c r="A58" s="26">
        <v>43808</v>
      </c>
      <c r="B58" s="25" t="s">
        <v>1645</v>
      </c>
      <c r="C58" s="25" t="s">
        <v>17</v>
      </c>
      <c r="D58" s="25">
        <v>701</v>
      </c>
      <c r="E58" s="25">
        <v>61</v>
      </c>
      <c r="F58" s="25">
        <v>42761</v>
      </c>
      <c r="G58" s="25" t="s">
        <v>1661</v>
      </c>
      <c r="H58" s="25">
        <v>2019230</v>
      </c>
      <c r="I58" s="25" t="s">
        <v>19</v>
      </c>
      <c r="J58" s="25" t="s">
        <v>1660</v>
      </c>
      <c r="K58" s="25" t="s">
        <v>25</v>
      </c>
      <c r="L58" s="25">
        <v>0</v>
      </c>
      <c r="M58" s="25">
        <v>0.94</v>
      </c>
      <c r="N58" s="25">
        <v>53.4</v>
      </c>
      <c r="O58" s="25">
        <v>277.69</v>
      </c>
      <c r="P58" s="25">
        <v>332.0308</v>
      </c>
    </row>
    <row r="59" spans="1:16" x14ac:dyDescent="0.25">
      <c r="A59" s="26">
        <v>43808</v>
      </c>
      <c r="B59" s="25" t="s">
        <v>1645</v>
      </c>
      <c r="C59" s="25" t="s">
        <v>17</v>
      </c>
      <c r="D59" s="25">
        <v>699</v>
      </c>
      <c r="E59" s="25">
        <v>58.94</v>
      </c>
      <c r="F59" s="25">
        <v>41200.949999999997</v>
      </c>
      <c r="G59" s="25" t="s">
        <v>1662</v>
      </c>
      <c r="H59" s="25">
        <v>2019230</v>
      </c>
      <c r="I59" s="25" t="s">
        <v>19</v>
      </c>
      <c r="J59" s="25" t="s">
        <v>1660</v>
      </c>
      <c r="K59" s="25" t="s">
        <v>25</v>
      </c>
      <c r="L59" s="25">
        <v>23.99</v>
      </c>
      <c r="M59" s="25">
        <v>0.91</v>
      </c>
      <c r="N59" s="25">
        <v>0</v>
      </c>
      <c r="O59" s="25">
        <v>267.55</v>
      </c>
      <c r="P59" s="25">
        <v>292.44630000000001</v>
      </c>
    </row>
    <row r="60" spans="1:16" x14ac:dyDescent="0.25">
      <c r="A60" s="26">
        <v>43808</v>
      </c>
      <c r="B60" s="25" t="s">
        <v>1645</v>
      </c>
      <c r="C60" s="25" t="s">
        <v>17</v>
      </c>
      <c r="D60" s="25">
        <v>100</v>
      </c>
      <c r="E60" s="25">
        <v>58.45</v>
      </c>
      <c r="F60" s="25">
        <v>5845</v>
      </c>
      <c r="G60" s="25" t="s">
        <v>1663</v>
      </c>
      <c r="H60" s="25">
        <v>2019230</v>
      </c>
      <c r="I60" s="25" t="s">
        <v>19</v>
      </c>
      <c r="J60" s="25" t="s">
        <v>1660</v>
      </c>
      <c r="K60" s="25" t="s">
        <v>25</v>
      </c>
      <c r="L60" s="25">
        <v>6</v>
      </c>
      <c r="M60" s="25">
        <v>0.13</v>
      </c>
      <c r="N60" s="25">
        <v>0</v>
      </c>
      <c r="O60" s="25">
        <v>41.32</v>
      </c>
      <c r="P60" s="25">
        <v>47.448599999999999</v>
      </c>
    </row>
    <row r="61" spans="1:16" x14ac:dyDescent="0.25">
      <c r="A61" s="26">
        <v>43808</v>
      </c>
      <c r="B61" s="25" t="s">
        <v>1645</v>
      </c>
      <c r="C61" s="25" t="s">
        <v>17</v>
      </c>
      <c r="D61" s="25">
        <v>500</v>
      </c>
      <c r="E61" s="25">
        <v>57.25</v>
      </c>
      <c r="F61" s="25">
        <v>28625</v>
      </c>
      <c r="G61" s="25" t="s">
        <v>1664</v>
      </c>
      <c r="H61" s="25">
        <v>2019230</v>
      </c>
      <c r="I61" s="25" t="s">
        <v>19</v>
      </c>
      <c r="J61" s="25" t="s">
        <v>1660</v>
      </c>
      <c r="K61" s="25" t="s">
        <v>25</v>
      </c>
      <c r="L61" s="25">
        <v>29.99</v>
      </c>
      <c r="M61" s="25">
        <v>0.63</v>
      </c>
      <c r="N61" s="25">
        <v>0</v>
      </c>
      <c r="O61" s="25">
        <v>185.89</v>
      </c>
      <c r="P61" s="25">
        <v>216.50970000000001</v>
      </c>
    </row>
    <row r="62" spans="1:16" x14ac:dyDescent="0.25">
      <c r="A62" s="26">
        <v>43805</v>
      </c>
      <c r="B62" s="25" t="s">
        <v>433</v>
      </c>
      <c r="C62" s="25" t="s">
        <v>17</v>
      </c>
      <c r="D62" s="25">
        <v>5000</v>
      </c>
      <c r="E62" s="25">
        <v>1.2</v>
      </c>
      <c r="F62" s="25">
        <v>6000</v>
      </c>
      <c r="G62" s="25" t="s">
        <v>1665</v>
      </c>
      <c r="H62" s="25">
        <v>2019229</v>
      </c>
      <c r="I62" s="25" t="s">
        <v>19</v>
      </c>
      <c r="J62" s="25" t="s">
        <v>20</v>
      </c>
      <c r="K62" s="25" t="s">
        <v>25</v>
      </c>
      <c r="L62" s="25">
        <v>6</v>
      </c>
      <c r="M62" s="25">
        <v>0.13</v>
      </c>
      <c r="N62" s="25">
        <v>0.3</v>
      </c>
      <c r="O62" s="25">
        <v>295.02</v>
      </c>
      <c r="P62" s="25">
        <v>301.452</v>
      </c>
    </row>
    <row r="63" spans="1:16" x14ac:dyDescent="0.25">
      <c r="A63" s="26">
        <v>43804</v>
      </c>
      <c r="B63" s="25" t="s">
        <v>1666</v>
      </c>
      <c r="C63" s="25" t="s">
        <v>17</v>
      </c>
      <c r="D63" s="25">
        <v>500</v>
      </c>
      <c r="E63" s="25">
        <v>457.69</v>
      </c>
      <c r="F63" s="25">
        <v>228843.25</v>
      </c>
      <c r="G63" s="25" t="s">
        <v>1667</v>
      </c>
      <c r="H63" s="25">
        <v>2019228</v>
      </c>
      <c r="I63" s="25" t="s">
        <v>19</v>
      </c>
      <c r="J63" s="25" t="s">
        <v>20</v>
      </c>
      <c r="K63" s="25" t="s">
        <v>25</v>
      </c>
      <c r="L63" s="25">
        <v>0</v>
      </c>
      <c r="M63" s="25">
        <v>5.03</v>
      </c>
      <c r="N63" s="25">
        <v>0</v>
      </c>
      <c r="O63" s="25">
        <v>135.94</v>
      </c>
      <c r="P63" s="25">
        <v>140.97470000000001</v>
      </c>
    </row>
    <row r="64" spans="1:16" x14ac:dyDescent="0.25">
      <c r="A64" s="26">
        <v>43804</v>
      </c>
      <c r="B64" s="25" t="s">
        <v>1666</v>
      </c>
      <c r="C64" s="25" t="s">
        <v>17</v>
      </c>
      <c r="D64" s="25">
        <v>500</v>
      </c>
      <c r="E64" s="25">
        <v>453.45</v>
      </c>
      <c r="F64" s="25">
        <v>226725</v>
      </c>
      <c r="G64" s="25" t="s">
        <v>1668</v>
      </c>
      <c r="H64" s="25">
        <v>2019228</v>
      </c>
      <c r="I64" s="25" t="s">
        <v>19</v>
      </c>
      <c r="J64" s="25" t="s">
        <v>20</v>
      </c>
      <c r="K64" s="25" t="s">
        <v>25</v>
      </c>
      <c r="L64" s="25">
        <v>0</v>
      </c>
      <c r="M64" s="25">
        <v>4.99</v>
      </c>
      <c r="N64" s="25">
        <v>0</v>
      </c>
      <c r="O64" s="25">
        <v>134.66999999999999</v>
      </c>
      <c r="P64" s="25">
        <v>139.65790000000001</v>
      </c>
    </row>
    <row r="65" spans="1:16" x14ac:dyDescent="0.25">
      <c r="A65" s="26">
        <v>43804</v>
      </c>
      <c r="B65" s="25" t="s">
        <v>1666</v>
      </c>
      <c r="C65" s="25" t="s">
        <v>23</v>
      </c>
      <c r="D65" s="25">
        <v>392</v>
      </c>
      <c r="E65" s="25">
        <v>449.69</v>
      </c>
      <c r="F65" s="25">
        <v>176276.55</v>
      </c>
      <c r="G65" s="25" t="s">
        <v>1669</v>
      </c>
      <c r="H65" s="25">
        <v>2019228</v>
      </c>
      <c r="I65" s="25" t="s">
        <v>19</v>
      </c>
      <c r="J65" s="25" t="s">
        <v>20</v>
      </c>
      <c r="K65" s="25" t="s">
        <v>25</v>
      </c>
      <c r="L65" s="25">
        <v>44.17</v>
      </c>
      <c r="M65" s="25">
        <v>3.88</v>
      </c>
      <c r="N65" s="25">
        <v>0</v>
      </c>
      <c r="O65" s="25">
        <v>104.71</v>
      </c>
      <c r="P65" s="25">
        <v>152.75800000000001</v>
      </c>
    </row>
    <row r="66" spans="1:16" x14ac:dyDescent="0.25">
      <c r="A66" s="26">
        <v>43804</v>
      </c>
      <c r="B66" s="25" t="s">
        <v>1666</v>
      </c>
      <c r="C66" s="25" t="s">
        <v>17</v>
      </c>
      <c r="D66" s="25">
        <v>500</v>
      </c>
      <c r="E66" s="25">
        <v>450</v>
      </c>
      <c r="F66" s="25">
        <v>225000</v>
      </c>
      <c r="G66" s="25" t="s">
        <v>1670</v>
      </c>
      <c r="H66" s="25">
        <v>2019228</v>
      </c>
      <c r="I66" s="25" t="s">
        <v>19</v>
      </c>
      <c r="J66" s="25" t="s">
        <v>20</v>
      </c>
      <c r="K66" s="25" t="s">
        <v>25</v>
      </c>
      <c r="L66" s="25">
        <v>0</v>
      </c>
      <c r="M66" s="25">
        <v>4.95</v>
      </c>
      <c r="N66" s="25">
        <v>0</v>
      </c>
      <c r="O66" s="25">
        <v>133.63999999999999</v>
      </c>
      <c r="P66" s="25">
        <v>138.59</v>
      </c>
    </row>
    <row r="67" spans="1:16" x14ac:dyDescent="0.25">
      <c r="A67" s="26">
        <v>43804</v>
      </c>
      <c r="B67" s="25" t="s">
        <v>1666</v>
      </c>
      <c r="C67" s="25" t="s">
        <v>17</v>
      </c>
      <c r="D67" s="25">
        <v>250</v>
      </c>
      <c r="E67" s="25">
        <v>451.3</v>
      </c>
      <c r="F67" s="25">
        <v>112825</v>
      </c>
      <c r="G67" s="25" t="s">
        <v>1671</v>
      </c>
      <c r="H67" s="25">
        <v>2019228</v>
      </c>
      <c r="I67" s="25" t="s">
        <v>19</v>
      </c>
      <c r="J67" s="25" t="s">
        <v>20</v>
      </c>
      <c r="K67" s="25" t="s">
        <v>25</v>
      </c>
      <c r="L67" s="25">
        <v>0</v>
      </c>
      <c r="M67" s="25">
        <v>2.48</v>
      </c>
      <c r="N67" s="25">
        <v>0</v>
      </c>
      <c r="O67" s="25">
        <v>67.010000000000005</v>
      </c>
      <c r="P67" s="25">
        <v>69.492099999999994</v>
      </c>
    </row>
    <row r="68" spans="1:16" x14ac:dyDescent="0.25">
      <c r="A68" s="26">
        <v>43804</v>
      </c>
      <c r="B68" s="25" t="s">
        <v>1666</v>
      </c>
      <c r="C68" s="25" t="s">
        <v>23</v>
      </c>
      <c r="D68" s="25">
        <v>1358</v>
      </c>
      <c r="E68" s="25">
        <v>450.91</v>
      </c>
      <c r="F68" s="25">
        <v>612335.6</v>
      </c>
      <c r="G68" s="25" t="s">
        <v>1672</v>
      </c>
      <c r="H68" s="25">
        <v>2019228</v>
      </c>
      <c r="I68" s="25" t="s">
        <v>19</v>
      </c>
      <c r="J68" s="25" t="s">
        <v>20</v>
      </c>
      <c r="K68" s="25" t="s">
        <v>25</v>
      </c>
      <c r="L68" s="25">
        <v>153.46</v>
      </c>
      <c r="M68" s="25">
        <v>13.47</v>
      </c>
      <c r="N68" s="25">
        <v>101.7</v>
      </c>
      <c r="O68" s="25">
        <v>363.7</v>
      </c>
      <c r="P68" s="25">
        <v>632.33140000000003</v>
      </c>
    </row>
    <row r="69" spans="1:16" x14ac:dyDescent="0.25">
      <c r="A69" s="26">
        <v>43804</v>
      </c>
      <c r="B69" s="25" t="s">
        <v>1666</v>
      </c>
      <c r="C69" s="25" t="s">
        <v>23</v>
      </c>
      <c r="D69" s="25">
        <v>2000</v>
      </c>
      <c r="E69" s="25">
        <v>451.24</v>
      </c>
      <c r="F69" s="25">
        <v>902482.9</v>
      </c>
      <c r="G69" s="25" t="s">
        <v>1673</v>
      </c>
      <c r="H69" s="25">
        <v>2019228</v>
      </c>
      <c r="I69" s="25" t="s">
        <v>19</v>
      </c>
      <c r="J69" s="25" t="s">
        <v>20</v>
      </c>
      <c r="K69" s="25" t="s">
        <v>25</v>
      </c>
      <c r="L69" s="25">
        <v>225.37</v>
      </c>
      <c r="M69" s="25">
        <v>19.850000000000001</v>
      </c>
      <c r="N69" s="25">
        <v>0</v>
      </c>
      <c r="O69" s="25">
        <v>536.04</v>
      </c>
      <c r="P69" s="25">
        <v>781.26469999999995</v>
      </c>
    </row>
    <row r="70" spans="1:16" x14ac:dyDescent="0.25">
      <c r="A70" s="26">
        <v>43804</v>
      </c>
      <c r="B70" s="25" t="s">
        <v>1666</v>
      </c>
      <c r="C70" s="25" t="s">
        <v>17</v>
      </c>
      <c r="D70" s="25">
        <v>2000</v>
      </c>
      <c r="E70" s="25">
        <v>448</v>
      </c>
      <c r="F70" s="25">
        <v>896000</v>
      </c>
      <c r="G70" s="25" t="s">
        <v>1674</v>
      </c>
      <c r="H70" s="25">
        <v>2019228</v>
      </c>
      <c r="I70" s="25" t="s">
        <v>19</v>
      </c>
      <c r="J70" s="25" t="s">
        <v>20</v>
      </c>
      <c r="K70" s="25" t="s">
        <v>25</v>
      </c>
      <c r="L70" s="25">
        <v>0</v>
      </c>
      <c r="M70" s="25">
        <v>19.71</v>
      </c>
      <c r="N70" s="25">
        <v>0</v>
      </c>
      <c r="O70" s="25">
        <v>532.19000000000005</v>
      </c>
      <c r="P70" s="25">
        <v>551.90200000000004</v>
      </c>
    </row>
    <row r="71" spans="1:16" x14ac:dyDescent="0.25">
      <c r="A71" s="26">
        <v>43803</v>
      </c>
      <c r="B71" s="25" t="s">
        <v>268</v>
      </c>
      <c r="C71" s="25" t="s">
        <v>17</v>
      </c>
      <c r="D71" s="25">
        <v>250</v>
      </c>
      <c r="E71" s="25">
        <v>337</v>
      </c>
      <c r="F71" s="25">
        <v>84250</v>
      </c>
      <c r="G71" s="25" t="s">
        <v>1675</v>
      </c>
      <c r="H71" s="25">
        <v>2019227</v>
      </c>
      <c r="I71" s="25" t="s">
        <v>19</v>
      </c>
      <c r="J71" s="25" t="s">
        <v>20</v>
      </c>
      <c r="K71" s="25" t="s">
        <v>25</v>
      </c>
      <c r="L71" s="25">
        <v>0</v>
      </c>
      <c r="M71" s="25">
        <v>1.85</v>
      </c>
      <c r="N71" s="25">
        <v>5.0999999999999996</v>
      </c>
      <c r="O71" s="25">
        <v>50.05</v>
      </c>
      <c r="P71" s="25">
        <v>57.003399999999999</v>
      </c>
    </row>
    <row r="72" spans="1:16" x14ac:dyDescent="0.25">
      <c r="A72" s="26">
        <v>43803</v>
      </c>
      <c r="B72" s="25" t="s">
        <v>268</v>
      </c>
      <c r="C72" s="25" t="s">
        <v>23</v>
      </c>
      <c r="D72" s="25">
        <v>250</v>
      </c>
      <c r="E72" s="25">
        <v>339.5</v>
      </c>
      <c r="F72" s="25">
        <v>84875</v>
      </c>
      <c r="G72" s="25" t="s">
        <v>1676</v>
      </c>
      <c r="H72" s="25">
        <v>2019227</v>
      </c>
      <c r="I72" s="25" t="s">
        <v>19</v>
      </c>
      <c r="J72" s="25" t="s">
        <v>20</v>
      </c>
      <c r="K72" s="25" t="s">
        <v>25</v>
      </c>
      <c r="L72" s="25">
        <v>21</v>
      </c>
      <c r="M72" s="25">
        <v>1.87</v>
      </c>
      <c r="N72" s="25">
        <v>0</v>
      </c>
      <c r="O72" s="25">
        <v>50.41</v>
      </c>
      <c r="P72" s="25">
        <v>73.277299999999997</v>
      </c>
    </row>
    <row r="73" spans="1:16" x14ac:dyDescent="0.25">
      <c r="A73" s="26">
        <v>43802</v>
      </c>
      <c r="B73" s="25" t="s">
        <v>1407</v>
      </c>
      <c r="C73" s="25" t="s">
        <v>23</v>
      </c>
      <c r="D73" s="25">
        <v>250</v>
      </c>
      <c r="E73" s="25">
        <v>378.11</v>
      </c>
      <c r="F73" s="25">
        <v>94527.5</v>
      </c>
      <c r="G73" s="25" t="s">
        <v>1677</v>
      </c>
      <c r="H73" s="25">
        <v>2019226</v>
      </c>
      <c r="I73" s="25" t="s">
        <v>19</v>
      </c>
      <c r="J73" s="25" t="s">
        <v>20</v>
      </c>
      <c r="K73" s="25" t="s">
        <v>25</v>
      </c>
      <c r="L73" s="25">
        <v>23.46</v>
      </c>
      <c r="M73" s="25">
        <v>2.08</v>
      </c>
      <c r="N73" s="25">
        <v>0</v>
      </c>
      <c r="O73" s="25">
        <v>56.14</v>
      </c>
      <c r="P73" s="25">
        <v>81.679699999999997</v>
      </c>
    </row>
    <row r="74" spans="1:16" x14ac:dyDescent="0.25">
      <c r="A74" s="26">
        <v>43802</v>
      </c>
      <c r="B74" s="25" t="s">
        <v>1407</v>
      </c>
      <c r="C74" s="25" t="s">
        <v>17</v>
      </c>
      <c r="D74" s="25">
        <v>250</v>
      </c>
      <c r="E74" s="25">
        <v>372.64</v>
      </c>
      <c r="F74" s="25">
        <v>93161.2</v>
      </c>
      <c r="G74" s="25" t="s">
        <v>1678</v>
      </c>
      <c r="H74" s="25">
        <v>2019226</v>
      </c>
      <c r="I74" s="25" t="s">
        <v>19</v>
      </c>
      <c r="J74" s="25" t="s">
        <v>20</v>
      </c>
      <c r="K74" s="25" t="s">
        <v>25</v>
      </c>
      <c r="L74" s="25">
        <v>0</v>
      </c>
      <c r="M74" s="25">
        <v>2.0499999999999998</v>
      </c>
      <c r="N74" s="25">
        <v>0</v>
      </c>
      <c r="O74" s="25">
        <v>55.33</v>
      </c>
      <c r="P74" s="25">
        <v>57.379399999999997</v>
      </c>
    </row>
    <row r="75" spans="1:16" x14ac:dyDescent="0.25">
      <c r="A75" s="26">
        <v>43802</v>
      </c>
      <c r="B75" s="25" t="s">
        <v>268</v>
      </c>
      <c r="C75" s="25" t="s">
        <v>23</v>
      </c>
      <c r="D75" s="25">
        <v>250</v>
      </c>
      <c r="E75" s="25">
        <v>342</v>
      </c>
      <c r="F75" s="25">
        <v>85500</v>
      </c>
      <c r="G75" s="25" t="s">
        <v>1679</v>
      </c>
      <c r="H75" s="25">
        <v>2019226</v>
      </c>
      <c r="I75" s="25" t="s">
        <v>19</v>
      </c>
      <c r="J75" s="25" t="s">
        <v>20</v>
      </c>
      <c r="K75" s="25" t="s">
        <v>25</v>
      </c>
      <c r="L75" s="25">
        <v>21.19</v>
      </c>
      <c r="M75" s="25">
        <v>1.88</v>
      </c>
      <c r="N75" s="25">
        <v>0</v>
      </c>
      <c r="O75" s="25">
        <v>50.78</v>
      </c>
      <c r="P75" s="25">
        <v>73.850999999999999</v>
      </c>
    </row>
    <row r="76" spans="1:16" x14ac:dyDescent="0.25">
      <c r="A76" s="26">
        <v>43802</v>
      </c>
      <c r="B76" s="25" t="s">
        <v>268</v>
      </c>
      <c r="C76" s="25" t="s">
        <v>17</v>
      </c>
      <c r="D76" s="25">
        <v>250</v>
      </c>
      <c r="E76" s="25">
        <v>336</v>
      </c>
      <c r="F76" s="25">
        <v>84000</v>
      </c>
      <c r="G76" s="25" t="s">
        <v>1680</v>
      </c>
      <c r="H76" s="25">
        <v>2019226</v>
      </c>
      <c r="I76" s="25" t="s">
        <v>19</v>
      </c>
      <c r="J76" s="25" t="s">
        <v>20</v>
      </c>
      <c r="K76" s="25" t="s">
        <v>25</v>
      </c>
      <c r="L76" s="25">
        <v>0</v>
      </c>
      <c r="M76" s="25">
        <v>1.85</v>
      </c>
      <c r="N76" s="25">
        <v>0</v>
      </c>
      <c r="O76" s="25">
        <v>49.89</v>
      </c>
      <c r="P76" s="25">
        <v>51.738</v>
      </c>
    </row>
    <row r="77" spans="1:16" x14ac:dyDescent="0.25">
      <c r="A77" s="26">
        <v>43802</v>
      </c>
      <c r="B77" s="25" t="s">
        <v>1645</v>
      </c>
      <c r="C77" s="25" t="s">
        <v>17</v>
      </c>
      <c r="D77" s="25">
        <v>1000</v>
      </c>
      <c r="E77" s="25">
        <v>60.14</v>
      </c>
      <c r="F77" s="25">
        <v>60142.35</v>
      </c>
      <c r="G77" s="25" t="s">
        <v>1681</v>
      </c>
      <c r="H77" s="25">
        <v>2019226</v>
      </c>
      <c r="I77" s="25" t="s">
        <v>19</v>
      </c>
      <c r="J77" s="25" t="s">
        <v>1660</v>
      </c>
      <c r="K77" s="25" t="s">
        <v>25</v>
      </c>
      <c r="L77" s="25">
        <v>60.35</v>
      </c>
      <c r="M77" s="25">
        <v>1.32</v>
      </c>
      <c r="N77" s="25">
        <v>12.6</v>
      </c>
      <c r="O77" s="25">
        <v>390.56</v>
      </c>
      <c r="P77" s="25">
        <v>464.8331</v>
      </c>
    </row>
    <row r="78" spans="1:16" x14ac:dyDescent="0.25">
      <c r="A78" s="26">
        <v>43801</v>
      </c>
      <c r="B78" s="25" t="s">
        <v>1476</v>
      </c>
      <c r="C78" s="25" t="s">
        <v>17</v>
      </c>
      <c r="D78" s="25">
        <v>100</v>
      </c>
      <c r="E78" s="25">
        <v>293.61</v>
      </c>
      <c r="F78" s="25">
        <v>29361.45</v>
      </c>
      <c r="G78" s="25" t="s">
        <v>1682</v>
      </c>
      <c r="H78" s="25">
        <v>2019225</v>
      </c>
      <c r="I78" s="25" t="s">
        <v>19</v>
      </c>
      <c r="J78" s="25" t="s">
        <v>20</v>
      </c>
      <c r="K78" s="25" t="s">
        <v>25</v>
      </c>
      <c r="L78" s="25">
        <v>0</v>
      </c>
      <c r="M78" s="25">
        <v>0.65</v>
      </c>
      <c r="N78" s="25">
        <v>0</v>
      </c>
      <c r="O78" s="25">
        <v>29.61</v>
      </c>
      <c r="P78" s="25">
        <v>30.2559</v>
      </c>
    </row>
    <row r="79" spans="1:16" x14ac:dyDescent="0.25">
      <c r="A79" s="26">
        <v>43801</v>
      </c>
      <c r="B79" s="25" t="s">
        <v>1476</v>
      </c>
      <c r="C79" s="25" t="s">
        <v>17</v>
      </c>
      <c r="D79" s="25">
        <v>100</v>
      </c>
      <c r="E79" s="25">
        <v>284.39999999999998</v>
      </c>
      <c r="F79" s="25">
        <v>28440</v>
      </c>
      <c r="G79" s="25" t="s">
        <v>1683</v>
      </c>
      <c r="H79" s="25">
        <v>2019225</v>
      </c>
      <c r="I79" s="25" t="s">
        <v>19</v>
      </c>
      <c r="J79" s="25" t="s">
        <v>20</v>
      </c>
      <c r="K79" s="25" t="s">
        <v>25</v>
      </c>
      <c r="L79" s="25">
        <v>0</v>
      </c>
      <c r="M79" s="25">
        <v>0.63</v>
      </c>
      <c r="N79" s="25">
        <v>8.6999999999999993</v>
      </c>
      <c r="O79" s="25">
        <v>29.62</v>
      </c>
      <c r="P79" s="25">
        <v>38.945599999999999</v>
      </c>
    </row>
    <row r="80" spans="1:16" x14ac:dyDescent="0.25">
      <c r="A80" s="26">
        <v>43801</v>
      </c>
      <c r="B80" s="25" t="s">
        <v>1476</v>
      </c>
      <c r="C80" s="25" t="s">
        <v>23</v>
      </c>
      <c r="D80" s="25">
        <v>200</v>
      </c>
      <c r="E80" s="25">
        <v>291.35000000000002</v>
      </c>
      <c r="F80" s="25">
        <v>58270</v>
      </c>
      <c r="G80" s="25" t="s">
        <v>1684</v>
      </c>
      <c r="H80" s="25">
        <v>2019225</v>
      </c>
      <c r="I80" s="25" t="s">
        <v>19</v>
      </c>
      <c r="J80" s="25" t="s">
        <v>20</v>
      </c>
      <c r="K80" s="25" t="s">
        <v>25</v>
      </c>
      <c r="L80" s="25">
        <v>14.88</v>
      </c>
      <c r="M80" s="25">
        <v>1.28</v>
      </c>
      <c r="N80" s="25">
        <v>0</v>
      </c>
      <c r="O80" s="25">
        <v>34.61</v>
      </c>
      <c r="P80" s="25">
        <v>50.771999999999998</v>
      </c>
    </row>
    <row r="81" spans="1:16" x14ac:dyDescent="0.25">
      <c r="A81" s="26">
        <v>43801</v>
      </c>
      <c r="B81" s="25" t="s">
        <v>268</v>
      </c>
      <c r="C81" s="25" t="s">
        <v>23</v>
      </c>
      <c r="D81" s="25">
        <v>250</v>
      </c>
      <c r="E81" s="25">
        <v>339</v>
      </c>
      <c r="F81" s="25">
        <v>84750</v>
      </c>
      <c r="G81" s="25" t="s">
        <v>1685</v>
      </c>
      <c r="H81" s="25">
        <v>2019225</v>
      </c>
      <c r="I81" s="25" t="s">
        <v>19</v>
      </c>
      <c r="J81" s="25" t="s">
        <v>20</v>
      </c>
      <c r="K81" s="25" t="s">
        <v>25</v>
      </c>
      <c r="L81" s="25">
        <v>21.13</v>
      </c>
      <c r="M81" s="25">
        <v>1.86</v>
      </c>
      <c r="N81" s="25">
        <v>0</v>
      </c>
      <c r="O81" s="25">
        <v>50.34</v>
      </c>
      <c r="P81" s="25">
        <v>73.334599999999995</v>
      </c>
    </row>
    <row r="82" spans="1:16" x14ac:dyDescent="0.25">
      <c r="A82" s="26">
        <v>43801</v>
      </c>
      <c r="B82" s="25" t="s">
        <v>268</v>
      </c>
      <c r="C82" s="25" t="s">
        <v>17</v>
      </c>
      <c r="D82" s="25">
        <v>250</v>
      </c>
      <c r="E82" s="25">
        <v>337</v>
      </c>
      <c r="F82" s="25">
        <v>84250</v>
      </c>
      <c r="G82" s="25" t="s">
        <v>1686</v>
      </c>
      <c r="H82" s="25">
        <v>2019225</v>
      </c>
      <c r="I82" s="25" t="s">
        <v>19</v>
      </c>
      <c r="J82" s="25" t="s">
        <v>20</v>
      </c>
      <c r="K82" s="25" t="s">
        <v>25</v>
      </c>
      <c r="L82" s="25">
        <v>0</v>
      </c>
      <c r="M82" s="25">
        <v>1.85</v>
      </c>
      <c r="N82" s="25">
        <v>0</v>
      </c>
      <c r="O82" s="25">
        <v>50.04</v>
      </c>
      <c r="P82" s="25">
        <v>51.893599999999999</v>
      </c>
    </row>
    <row r="83" spans="1:16" x14ac:dyDescent="0.25">
      <c r="A83" s="26">
        <v>43798</v>
      </c>
      <c r="B83" s="25" t="s">
        <v>480</v>
      </c>
      <c r="C83" s="25" t="s">
        <v>23</v>
      </c>
      <c r="D83" s="25">
        <v>1000</v>
      </c>
      <c r="E83" s="25">
        <v>91.1</v>
      </c>
      <c r="F83" s="25">
        <v>91100</v>
      </c>
      <c r="G83" s="25" t="s">
        <v>1687</v>
      </c>
      <c r="H83" s="25">
        <v>2019224</v>
      </c>
      <c r="I83" s="25" t="s">
        <v>19</v>
      </c>
      <c r="J83" s="25" t="s">
        <v>20</v>
      </c>
      <c r="K83" s="25" t="s">
        <v>25</v>
      </c>
      <c r="L83" s="25">
        <v>22.79</v>
      </c>
      <c r="M83" s="25">
        <v>2</v>
      </c>
      <c r="N83" s="25">
        <v>0</v>
      </c>
      <c r="O83" s="25">
        <v>54.11</v>
      </c>
      <c r="P83" s="25">
        <v>78.904200000000003</v>
      </c>
    </row>
    <row r="84" spans="1:16" x14ac:dyDescent="0.25">
      <c r="A84" s="26">
        <v>43798</v>
      </c>
      <c r="B84" s="25" t="s">
        <v>1476</v>
      </c>
      <c r="C84" s="25" t="s">
        <v>17</v>
      </c>
      <c r="D84" s="25">
        <v>200</v>
      </c>
      <c r="E84" s="25">
        <v>364</v>
      </c>
      <c r="F84" s="25">
        <v>72800</v>
      </c>
      <c r="G84" s="25" t="s">
        <v>1688</v>
      </c>
      <c r="H84" s="25">
        <v>2019224</v>
      </c>
      <c r="I84" s="25" t="s">
        <v>19</v>
      </c>
      <c r="J84" s="25" t="s">
        <v>20</v>
      </c>
      <c r="K84" s="25" t="s">
        <v>25</v>
      </c>
      <c r="L84" s="25">
        <v>0</v>
      </c>
      <c r="M84" s="25">
        <v>1.6</v>
      </c>
      <c r="N84" s="25">
        <v>9.9</v>
      </c>
      <c r="O84" s="25">
        <v>43.24</v>
      </c>
      <c r="P84" s="25">
        <v>54.741599999999998</v>
      </c>
    </row>
    <row r="85" spans="1:16" x14ac:dyDescent="0.25">
      <c r="A85" s="26">
        <v>43798</v>
      </c>
      <c r="B85" s="25" t="s">
        <v>1476</v>
      </c>
      <c r="C85" s="25" t="s">
        <v>23</v>
      </c>
      <c r="D85" s="25">
        <v>200</v>
      </c>
      <c r="E85" s="25">
        <v>364.25</v>
      </c>
      <c r="F85" s="25">
        <v>72850</v>
      </c>
      <c r="G85" s="25" t="s">
        <v>1689</v>
      </c>
      <c r="H85" s="25">
        <v>2019224</v>
      </c>
      <c r="I85" s="25" t="s">
        <v>19</v>
      </c>
      <c r="J85" s="25" t="s">
        <v>20</v>
      </c>
      <c r="K85" s="25" t="s">
        <v>25</v>
      </c>
      <c r="L85" s="25">
        <v>18.21</v>
      </c>
      <c r="M85" s="25">
        <v>1.6</v>
      </c>
      <c r="N85" s="25">
        <v>0</v>
      </c>
      <c r="O85" s="25">
        <v>43.27</v>
      </c>
      <c r="P85" s="25">
        <v>63.082700000000003</v>
      </c>
    </row>
    <row r="86" spans="1:16" x14ac:dyDescent="0.25">
      <c r="A86" s="26">
        <v>43798</v>
      </c>
      <c r="B86" s="25" t="s">
        <v>480</v>
      </c>
      <c r="C86" s="25" t="s">
        <v>17</v>
      </c>
      <c r="D86" s="25">
        <v>1000</v>
      </c>
      <c r="E86" s="25">
        <v>89</v>
      </c>
      <c r="F86" s="25">
        <v>89000</v>
      </c>
      <c r="G86" s="25" t="s">
        <v>1690</v>
      </c>
      <c r="H86" s="25">
        <v>2019224</v>
      </c>
      <c r="I86" s="25" t="s">
        <v>19</v>
      </c>
      <c r="J86" s="25" t="s">
        <v>20</v>
      </c>
      <c r="K86" s="25" t="s">
        <v>25</v>
      </c>
      <c r="L86" s="25">
        <v>0</v>
      </c>
      <c r="M86" s="25">
        <v>1.96</v>
      </c>
      <c r="N86" s="25">
        <v>0</v>
      </c>
      <c r="O86" s="25">
        <v>52.86</v>
      </c>
      <c r="P86" s="25">
        <v>54.817999999999998</v>
      </c>
    </row>
    <row r="87" spans="1:16" x14ac:dyDescent="0.25">
      <c r="A87" s="26">
        <v>43797</v>
      </c>
      <c r="B87" s="25" t="s">
        <v>1476</v>
      </c>
      <c r="C87" s="25" t="s">
        <v>23</v>
      </c>
      <c r="D87" s="25">
        <v>500</v>
      </c>
      <c r="E87" s="25">
        <v>305.12</v>
      </c>
      <c r="F87" s="25">
        <v>152560.35</v>
      </c>
      <c r="G87" s="25" t="s">
        <v>1691</v>
      </c>
      <c r="H87" s="25">
        <v>2019223</v>
      </c>
      <c r="I87" s="25" t="s">
        <v>19</v>
      </c>
      <c r="J87" s="25" t="s">
        <v>20</v>
      </c>
      <c r="K87" s="25" t="s">
        <v>25</v>
      </c>
      <c r="L87" s="25">
        <v>38</v>
      </c>
      <c r="M87" s="25">
        <v>3.36</v>
      </c>
      <c r="N87" s="25">
        <v>9.3000000000000007</v>
      </c>
      <c r="O87" s="25">
        <v>90.63</v>
      </c>
      <c r="P87" s="25">
        <v>141.28639999999999</v>
      </c>
    </row>
    <row r="88" spans="1:16" x14ac:dyDescent="0.25">
      <c r="A88" s="26">
        <v>43797</v>
      </c>
      <c r="B88" s="25" t="s">
        <v>1476</v>
      </c>
      <c r="C88" s="25" t="s">
        <v>17</v>
      </c>
      <c r="D88" s="25">
        <v>500</v>
      </c>
      <c r="E88" s="25">
        <v>298</v>
      </c>
      <c r="F88" s="25">
        <v>149000</v>
      </c>
      <c r="G88" s="25" t="s">
        <v>1692</v>
      </c>
      <c r="H88" s="25">
        <v>2019223</v>
      </c>
      <c r="I88" s="25" t="s">
        <v>19</v>
      </c>
      <c r="J88" s="25" t="s">
        <v>20</v>
      </c>
      <c r="K88" s="25" t="s">
        <v>25</v>
      </c>
      <c r="L88" s="25">
        <v>0</v>
      </c>
      <c r="M88" s="25">
        <v>3.28</v>
      </c>
      <c r="N88" s="25">
        <v>0</v>
      </c>
      <c r="O88" s="25">
        <v>88.5</v>
      </c>
      <c r="P88" s="25">
        <v>91.778000000000006</v>
      </c>
    </row>
    <row r="89" spans="1:16" x14ac:dyDescent="0.25">
      <c r="A89" s="26">
        <v>43796</v>
      </c>
      <c r="B89" s="25" t="s">
        <v>282</v>
      </c>
      <c r="C89" s="25" t="s">
        <v>17</v>
      </c>
      <c r="D89" s="25">
        <v>700</v>
      </c>
      <c r="E89" s="25">
        <v>273.27999999999997</v>
      </c>
      <c r="F89" s="25">
        <v>191292.5</v>
      </c>
      <c r="G89" s="25" t="s">
        <v>1693</v>
      </c>
      <c r="H89" s="25">
        <v>2019222</v>
      </c>
      <c r="I89" s="25" t="s">
        <v>19</v>
      </c>
      <c r="J89" s="25" t="s">
        <v>20</v>
      </c>
      <c r="K89" s="25" t="s">
        <v>25</v>
      </c>
      <c r="L89" s="25">
        <v>0</v>
      </c>
      <c r="M89" s="25">
        <v>4.21</v>
      </c>
      <c r="N89" s="25">
        <v>11.7</v>
      </c>
      <c r="O89" s="25">
        <v>113.62</v>
      </c>
      <c r="P89" s="25">
        <v>129.52850000000001</v>
      </c>
    </row>
    <row r="90" spans="1:16" x14ac:dyDescent="0.25">
      <c r="A90" s="26">
        <v>43796</v>
      </c>
      <c r="B90" s="25" t="s">
        <v>282</v>
      </c>
      <c r="C90" s="25" t="s">
        <v>23</v>
      </c>
      <c r="D90" s="25">
        <v>700</v>
      </c>
      <c r="E90" s="25">
        <v>276.89999999999998</v>
      </c>
      <c r="F90" s="25">
        <v>193830</v>
      </c>
      <c r="G90" s="25" t="s">
        <v>1694</v>
      </c>
      <c r="H90" s="25">
        <v>2019222</v>
      </c>
      <c r="I90" s="25" t="s">
        <v>19</v>
      </c>
      <c r="J90" s="25" t="s">
        <v>20</v>
      </c>
      <c r="K90" s="25" t="s">
        <v>25</v>
      </c>
      <c r="L90" s="25">
        <v>48</v>
      </c>
      <c r="M90" s="25">
        <v>4.26</v>
      </c>
      <c r="N90" s="25">
        <v>0</v>
      </c>
      <c r="O90" s="25">
        <v>115.13</v>
      </c>
      <c r="P90" s="25">
        <v>167.39420000000001</v>
      </c>
    </row>
    <row r="91" spans="1:16" x14ac:dyDescent="0.25">
      <c r="A91" s="26">
        <v>43795</v>
      </c>
      <c r="B91" s="25" t="s">
        <v>16</v>
      </c>
      <c r="C91" s="25" t="s">
        <v>17</v>
      </c>
      <c r="D91" s="25">
        <v>100</v>
      </c>
      <c r="E91" s="25">
        <v>22.1</v>
      </c>
      <c r="F91" s="25">
        <v>2210</v>
      </c>
      <c r="G91" s="25" t="s">
        <v>1695</v>
      </c>
      <c r="H91" s="25">
        <v>2019221</v>
      </c>
      <c r="I91" s="25" t="s">
        <v>19</v>
      </c>
      <c r="J91" s="25" t="s">
        <v>20</v>
      </c>
      <c r="K91" s="25" t="s">
        <v>25</v>
      </c>
      <c r="L91" s="25">
        <v>2.1</v>
      </c>
      <c r="M91" s="25">
        <v>0.05</v>
      </c>
      <c r="N91" s="25">
        <v>16.2</v>
      </c>
      <c r="O91" s="25">
        <v>41.31</v>
      </c>
      <c r="P91" s="25">
        <v>59.6586</v>
      </c>
    </row>
    <row r="92" spans="1:16" x14ac:dyDescent="0.25">
      <c r="A92" s="26">
        <v>43795</v>
      </c>
      <c r="B92" s="25" t="s">
        <v>1476</v>
      </c>
      <c r="C92" s="25" t="s">
        <v>17</v>
      </c>
      <c r="D92" s="25">
        <v>500</v>
      </c>
      <c r="E92" s="25">
        <v>272.14999999999998</v>
      </c>
      <c r="F92" s="25">
        <v>136075</v>
      </c>
      <c r="G92" s="25" t="s">
        <v>1696</v>
      </c>
      <c r="H92" s="25">
        <v>2019221</v>
      </c>
      <c r="I92" s="25" t="s">
        <v>19</v>
      </c>
      <c r="J92" s="25" t="s">
        <v>20</v>
      </c>
      <c r="K92" s="25" t="s">
        <v>25</v>
      </c>
      <c r="L92" s="25">
        <v>0</v>
      </c>
      <c r="M92" s="25">
        <v>2.99</v>
      </c>
      <c r="N92" s="25">
        <v>0</v>
      </c>
      <c r="O92" s="25">
        <v>80.819999999999993</v>
      </c>
      <c r="P92" s="25">
        <v>83.813699999999997</v>
      </c>
    </row>
    <row r="93" spans="1:16" x14ac:dyDescent="0.25">
      <c r="A93" s="26">
        <v>43795</v>
      </c>
      <c r="B93" s="25" t="s">
        <v>1476</v>
      </c>
      <c r="C93" s="25" t="s">
        <v>23</v>
      </c>
      <c r="D93" s="25">
        <v>253</v>
      </c>
      <c r="E93" s="25">
        <v>263.64</v>
      </c>
      <c r="F93" s="25">
        <v>66701.149999999994</v>
      </c>
      <c r="G93" s="25" t="s">
        <v>1697</v>
      </c>
      <c r="H93" s="25">
        <v>2019221</v>
      </c>
      <c r="I93" s="25" t="s">
        <v>19</v>
      </c>
      <c r="J93" s="25" t="s">
        <v>20</v>
      </c>
      <c r="K93" s="25" t="s">
        <v>25</v>
      </c>
      <c r="L93" s="25">
        <v>16.93</v>
      </c>
      <c r="M93" s="25">
        <v>1.47</v>
      </c>
      <c r="N93" s="25">
        <v>0</v>
      </c>
      <c r="O93" s="25">
        <v>39.619999999999997</v>
      </c>
      <c r="P93" s="25">
        <v>58.017400000000002</v>
      </c>
    </row>
    <row r="94" spans="1:16" x14ac:dyDescent="0.25">
      <c r="A94" s="26">
        <v>43795</v>
      </c>
      <c r="B94" s="25" t="s">
        <v>1476</v>
      </c>
      <c r="C94" s="25" t="s">
        <v>23</v>
      </c>
      <c r="D94" s="25">
        <v>247</v>
      </c>
      <c r="E94" s="25">
        <v>265.45</v>
      </c>
      <c r="F94" s="25">
        <v>65566.149999999994</v>
      </c>
      <c r="G94" s="25" t="s">
        <v>1698</v>
      </c>
      <c r="H94" s="25">
        <v>2019221</v>
      </c>
      <c r="I94" s="25" t="s">
        <v>19</v>
      </c>
      <c r="J94" s="25" t="s">
        <v>20</v>
      </c>
      <c r="K94" s="25" t="s">
        <v>25</v>
      </c>
      <c r="L94" s="25">
        <v>16.52</v>
      </c>
      <c r="M94" s="25">
        <v>1.44</v>
      </c>
      <c r="N94" s="25">
        <v>0</v>
      </c>
      <c r="O94" s="25">
        <v>38.94</v>
      </c>
      <c r="P94" s="25">
        <v>56.9024</v>
      </c>
    </row>
    <row r="95" spans="1:16" x14ac:dyDescent="0.25">
      <c r="A95" s="26">
        <v>43795</v>
      </c>
      <c r="B95" s="25" t="s">
        <v>1476</v>
      </c>
      <c r="C95" s="25" t="s">
        <v>23</v>
      </c>
      <c r="D95" s="25">
        <v>500</v>
      </c>
      <c r="E95" s="25">
        <v>267</v>
      </c>
      <c r="F95" s="25">
        <v>133500</v>
      </c>
      <c r="G95" s="25" t="s">
        <v>1699</v>
      </c>
      <c r="H95" s="25">
        <v>2019221</v>
      </c>
      <c r="I95" s="25" t="s">
        <v>19</v>
      </c>
      <c r="J95" s="25" t="s">
        <v>20</v>
      </c>
      <c r="K95" s="25" t="s">
        <v>25</v>
      </c>
      <c r="L95" s="25">
        <v>33.450000000000003</v>
      </c>
      <c r="M95" s="25">
        <v>2.94</v>
      </c>
      <c r="N95" s="25">
        <v>0</v>
      </c>
      <c r="O95" s="25">
        <v>79.290000000000006</v>
      </c>
      <c r="P95" s="25">
        <v>115.67700000000001</v>
      </c>
    </row>
    <row r="96" spans="1:16" x14ac:dyDescent="0.25">
      <c r="A96" s="26">
        <v>43795</v>
      </c>
      <c r="B96" s="25" t="s">
        <v>1476</v>
      </c>
      <c r="C96" s="25" t="s">
        <v>17</v>
      </c>
      <c r="D96" s="25">
        <v>500</v>
      </c>
      <c r="E96" s="25">
        <v>266.7</v>
      </c>
      <c r="F96" s="25">
        <v>133350</v>
      </c>
      <c r="G96" s="25" t="s">
        <v>1700</v>
      </c>
      <c r="H96" s="25">
        <v>2019221</v>
      </c>
      <c r="I96" s="25" t="s">
        <v>19</v>
      </c>
      <c r="J96" s="25" t="s">
        <v>20</v>
      </c>
      <c r="K96" s="25" t="s">
        <v>25</v>
      </c>
      <c r="L96" s="25">
        <v>0</v>
      </c>
      <c r="M96" s="25">
        <v>2.93</v>
      </c>
      <c r="N96" s="25">
        <v>0</v>
      </c>
      <c r="O96" s="25">
        <v>79.2</v>
      </c>
      <c r="P96" s="25">
        <v>82.133799999999994</v>
      </c>
    </row>
    <row r="97" spans="1:16" x14ac:dyDescent="0.25">
      <c r="A97" s="26">
        <v>43794</v>
      </c>
      <c r="B97" s="25" t="s">
        <v>111</v>
      </c>
      <c r="C97" s="25" t="s">
        <v>17</v>
      </c>
      <c r="D97" s="25">
        <v>100</v>
      </c>
      <c r="E97" s="25">
        <v>454.5</v>
      </c>
      <c r="F97" s="25">
        <v>45450</v>
      </c>
      <c r="G97" s="25" t="s">
        <v>1701</v>
      </c>
      <c r="H97" s="25">
        <v>2019220</v>
      </c>
      <c r="I97" s="25" t="s">
        <v>19</v>
      </c>
      <c r="J97" s="25" t="s">
        <v>20</v>
      </c>
      <c r="K97" s="25" t="s">
        <v>25</v>
      </c>
      <c r="L97" s="25">
        <v>0</v>
      </c>
      <c r="M97" s="25">
        <v>1</v>
      </c>
      <c r="N97" s="25">
        <v>0</v>
      </c>
      <c r="O97" s="25">
        <v>29.68</v>
      </c>
      <c r="P97" s="25">
        <v>30.68</v>
      </c>
    </row>
    <row r="98" spans="1:16" x14ac:dyDescent="0.25">
      <c r="A98" s="26">
        <v>43794</v>
      </c>
      <c r="B98" s="25" t="s">
        <v>111</v>
      </c>
      <c r="C98" s="25" t="s">
        <v>23</v>
      </c>
      <c r="D98" s="25">
        <v>100</v>
      </c>
      <c r="E98" s="25">
        <v>460</v>
      </c>
      <c r="F98" s="25">
        <v>46000</v>
      </c>
      <c r="G98" s="25" t="s">
        <v>1702</v>
      </c>
      <c r="H98" s="25">
        <v>2019220</v>
      </c>
      <c r="I98" s="25" t="s">
        <v>19</v>
      </c>
      <c r="J98" s="25" t="s">
        <v>20</v>
      </c>
      <c r="K98" s="25" t="s">
        <v>25</v>
      </c>
      <c r="L98" s="25">
        <v>11.78</v>
      </c>
      <c r="M98" s="25">
        <v>1.01</v>
      </c>
      <c r="N98" s="25">
        <v>0</v>
      </c>
      <c r="O98" s="25">
        <v>29.68</v>
      </c>
      <c r="P98" s="25">
        <v>42.472000000000001</v>
      </c>
    </row>
    <row r="99" spans="1:16" x14ac:dyDescent="0.25">
      <c r="A99" s="26">
        <v>43794</v>
      </c>
      <c r="B99" s="25" t="s">
        <v>111</v>
      </c>
      <c r="C99" s="25" t="s">
        <v>23</v>
      </c>
      <c r="D99" s="25">
        <v>250</v>
      </c>
      <c r="E99" s="25">
        <v>458.6</v>
      </c>
      <c r="F99" s="25">
        <v>114650</v>
      </c>
      <c r="G99" s="25" t="s">
        <v>1703</v>
      </c>
      <c r="H99" s="25">
        <v>2019220</v>
      </c>
      <c r="I99" s="25" t="s">
        <v>19</v>
      </c>
      <c r="J99" s="25" t="s">
        <v>20</v>
      </c>
      <c r="K99" s="25" t="s">
        <v>25</v>
      </c>
      <c r="L99" s="25">
        <v>28.6</v>
      </c>
      <c r="M99" s="25">
        <v>2.52</v>
      </c>
      <c r="N99" s="25">
        <v>0</v>
      </c>
      <c r="O99" s="25">
        <v>68.099999999999994</v>
      </c>
      <c r="P99" s="25">
        <v>99.222399999999993</v>
      </c>
    </row>
    <row r="100" spans="1:16" x14ac:dyDescent="0.25">
      <c r="A100" s="26">
        <v>43794</v>
      </c>
      <c r="B100" s="25" t="s">
        <v>111</v>
      </c>
      <c r="C100" s="25" t="s">
        <v>17</v>
      </c>
      <c r="D100" s="25">
        <v>250</v>
      </c>
      <c r="E100" s="25">
        <v>457</v>
      </c>
      <c r="F100" s="25">
        <v>114250</v>
      </c>
      <c r="G100" s="25" t="s">
        <v>1704</v>
      </c>
      <c r="H100" s="25">
        <v>2019220</v>
      </c>
      <c r="I100" s="25" t="s">
        <v>19</v>
      </c>
      <c r="J100" s="25" t="s">
        <v>20</v>
      </c>
      <c r="K100" s="25" t="s">
        <v>25</v>
      </c>
      <c r="L100" s="25">
        <v>0</v>
      </c>
      <c r="M100" s="25">
        <v>2.5099999999999998</v>
      </c>
      <c r="N100" s="25">
        <v>0</v>
      </c>
      <c r="O100" s="25">
        <v>67.86</v>
      </c>
      <c r="P100" s="25">
        <v>70.373599999999996</v>
      </c>
    </row>
    <row r="101" spans="1:16" x14ac:dyDescent="0.25">
      <c r="A101" s="26">
        <v>43794</v>
      </c>
      <c r="B101" s="25" t="s">
        <v>1476</v>
      </c>
      <c r="C101" s="25" t="s">
        <v>23</v>
      </c>
      <c r="D101" s="25">
        <v>500</v>
      </c>
      <c r="E101" s="25">
        <v>240</v>
      </c>
      <c r="F101" s="25">
        <v>120000</v>
      </c>
      <c r="G101" s="25" t="s">
        <v>1705</v>
      </c>
      <c r="H101" s="25">
        <v>2019220</v>
      </c>
      <c r="I101" s="25" t="s">
        <v>19</v>
      </c>
      <c r="J101" s="25" t="s">
        <v>20</v>
      </c>
      <c r="K101" s="25" t="s">
        <v>25</v>
      </c>
      <c r="L101" s="25">
        <v>32.049999999999997</v>
      </c>
      <c r="M101" s="25">
        <v>2.64</v>
      </c>
      <c r="N101" s="25">
        <v>0</v>
      </c>
      <c r="O101" s="25">
        <v>71.28</v>
      </c>
      <c r="P101" s="25">
        <v>105.97</v>
      </c>
    </row>
    <row r="102" spans="1:16" x14ac:dyDescent="0.25">
      <c r="A102" s="26">
        <v>43794</v>
      </c>
      <c r="B102" s="25" t="s">
        <v>1476</v>
      </c>
      <c r="C102" s="25" t="s">
        <v>17</v>
      </c>
      <c r="D102" s="25">
        <v>500</v>
      </c>
      <c r="E102" s="25">
        <v>252.47</v>
      </c>
      <c r="F102" s="25">
        <v>126234.3</v>
      </c>
      <c r="G102" s="25" t="s">
        <v>1706</v>
      </c>
      <c r="H102" s="25">
        <v>2019220</v>
      </c>
      <c r="I102" s="25" t="s">
        <v>19</v>
      </c>
      <c r="J102" s="25" t="s">
        <v>20</v>
      </c>
      <c r="K102" s="25" t="s">
        <v>25</v>
      </c>
      <c r="L102" s="25">
        <v>0</v>
      </c>
      <c r="M102" s="25">
        <v>2.78</v>
      </c>
      <c r="N102" s="25">
        <v>102</v>
      </c>
      <c r="O102" s="25">
        <v>74.98</v>
      </c>
      <c r="P102" s="25">
        <v>179.75710000000001</v>
      </c>
    </row>
    <row r="103" spans="1:16" x14ac:dyDescent="0.25">
      <c r="A103" s="26">
        <v>43794</v>
      </c>
      <c r="B103" s="25" t="s">
        <v>1476</v>
      </c>
      <c r="C103" s="25" t="s">
        <v>17</v>
      </c>
      <c r="D103" s="25">
        <v>500</v>
      </c>
      <c r="E103" s="25">
        <v>253.3</v>
      </c>
      <c r="F103" s="25">
        <v>126650</v>
      </c>
      <c r="G103" s="25" t="s">
        <v>1707</v>
      </c>
      <c r="H103" s="25">
        <v>2019220</v>
      </c>
      <c r="I103" s="25" t="s">
        <v>19</v>
      </c>
      <c r="J103" s="25" t="s">
        <v>20</v>
      </c>
      <c r="K103" s="25" t="s">
        <v>25</v>
      </c>
      <c r="L103" s="25">
        <v>0</v>
      </c>
      <c r="M103" s="25">
        <v>2.79</v>
      </c>
      <c r="N103" s="25">
        <v>0</v>
      </c>
      <c r="O103" s="25">
        <v>75.22</v>
      </c>
      <c r="P103" s="25">
        <v>78.006299999999996</v>
      </c>
    </row>
    <row r="104" spans="1:16" x14ac:dyDescent="0.25">
      <c r="A104" s="26">
        <v>43794</v>
      </c>
      <c r="B104" s="25" t="s">
        <v>1476</v>
      </c>
      <c r="C104" s="25" t="s">
        <v>17</v>
      </c>
      <c r="D104" s="25">
        <v>5000</v>
      </c>
      <c r="E104" s="25">
        <v>255.91</v>
      </c>
      <c r="F104" s="25">
        <v>1279537.8500000001</v>
      </c>
      <c r="G104" s="25" t="s">
        <v>1708</v>
      </c>
      <c r="H104" s="25">
        <v>2019220</v>
      </c>
      <c r="I104" s="25" t="s">
        <v>19</v>
      </c>
      <c r="J104" s="25" t="s">
        <v>20</v>
      </c>
      <c r="K104" s="25" t="s">
        <v>25</v>
      </c>
      <c r="L104" s="25">
        <v>0</v>
      </c>
      <c r="M104" s="25">
        <v>28.15</v>
      </c>
      <c r="N104" s="25">
        <v>0</v>
      </c>
      <c r="O104" s="25">
        <v>759.99</v>
      </c>
      <c r="P104" s="25">
        <v>788.14</v>
      </c>
    </row>
    <row r="105" spans="1:16" x14ac:dyDescent="0.25">
      <c r="A105" s="26">
        <v>43794</v>
      </c>
      <c r="B105" s="25" t="s">
        <v>1476</v>
      </c>
      <c r="C105" s="25" t="s">
        <v>23</v>
      </c>
      <c r="D105" s="25">
        <v>5500</v>
      </c>
      <c r="E105" s="25">
        <v>259</v>
      </c>
      <c r="F105" s="25">
        <v>1424500</v>
      </c>
      <c r="G105" s="25" t="s">
        <v>1709</v>
      </c>
      <c r="H105" s="25">
        <v>2019220</v>
      </c>
      <c r="I105" s="25" t="s">
        <v>19</v>
      </c>
      <c r="J105" s="25" t="s">
        <v>20</v>
      </c>
      <c r="K105" s="25" t="s">
        <v>25</v>
      </c>
      <c r="L105" s="25">
        <v>352.56</v>
      </c>
      <c r="M105" s="25">
        <v>31.34</v>
      </c>
      <c r="N105" s="25">
        <v>0</v>
      </c>
      <c r="O105" s="25">
        <v>846.09</v>
      </c>
      <c r="P105" s="25">
        <v>1229.989</v>
      </c>
    </row>
    <row r="106" spans="1:16" x14ac:dyDescent="0.25">
      <c r="A106" s="26">
        <v>43791</v>
      </c>
      <c r="B106" s="25" t="s">
        <v>111</v>
      </c>
      <c r="C106" s="25" t="s">
        <v>17</v>
      </c>
      <c r="D106" s="25">
        <v>500</v>
      </c>
      <c r="E106" s="25">
        <v>456.5</v>
      </c>
      <c r="F106" s="25">
        <v>228250</v>
      </c>
      <c r="G106" s="25" t="s">
        <v>1710</v>
      </c>
      <c r="H106" s="25">
        <v>2019219</v>
      </c>
      <c r="I106" s="25" t="s">
        <v>19</v>
      </c>
      <c r="J106" s="25" t="s">
        <v>20</v>
      </c>
      <c r="K106" s="25" t="s">
        <v>25</v>
      </c>
      <c r="L106" s="25">
        <v>0</v>
      </c>
      <c r="M106" s="25">
        <v>5.0199999999999996</v>
      </c>
      <c r="N106" s="25">
        <v>0</v>
      </c>
      <c r="O106" s="25">
        <v>135.57</v>
      </c>
      <c r="P106" s="25">
        <v>140.5916</v>
      </c>
    </row>
    <row r="107" spans="1:16" x14ac:dyDescent="0.25">
      <c r="A107" s="26">
        <v>43791</v>
      </c>
      <c r="B107" s="25" t="s">
        <v>111</v>
      </c>
      <c r="C107" s="25" t="s">
        <v>23</v>
      </c>
      <c r="D107" s="25">
        <v>500</v>
      </c>
      <c r="E107" s="25">
        <v>461</v>
      </c>
      <c r="F107" s="25">
        <v>230500</v>
      </c>
      <c r="G107" s="25" t="s">
        <v>1711</v>
      </c>
      <c r="H107" s="25">
        <v>2019219</v>
      </c>
      <c r="I107" s="25" t="s">
        <v>19</v>
      </c>
      <c r="J107" s="25" t="s">
        <v>20</v>
      </c>
      <c r="K107" s="25" t="s">
        <v>25</v>
      </c>
      <c r="L107" s="25">
        <v>56.92</v>
      </c>
      <c r="M107" s="25">
        <v>5.07</v>
      </c>
      <c r="N107" s="25">
        <v>0</v>
      </c>
      <c r="O107" s="25">
        <v>136.91</v>
      </c>
      <c r="P107" s="25">
        <v>198.90100000000001</v>
      </c>
    </row>
    <row r="108" spans="1:16" x14ac:dyDescent="0.25">
      <c r="A108" s="26">
        <v>43791</v>
      </c>
      <c r="B108" s="25" t="s">
        <v>111</v>
      </c>
      <c r="C108" s="25" t="s">
        <v>17</v>
      </c>
      <c r="D108" s="25">
        <v>100</v>
      </c>
      <c r="E108" s="25">
        <v>455.99</v>
      </c>
      <c r="F108" s="25">
        <v>45599.3</v>
      </c>
      <c r="G108" s="25" t="s">
        <v>1712</v>
      </c>
      <c r="H108" s="25">
        <v>2019219</v>
      </c>
      <c r="I108" s="25" t="s">
        <v>19</v>
      </c>
      <c r="J108" s="25" t="s">
        <v>20</v>
      </c>
      <c r="K108" s="25" t="s">
        <v>25</v>
      </c>
      <c r="L108" s="25">
        <v>0</v>
      </c>
      <c r="M108" s="25">
        <v>1</v>
      </c>
      <c r="N108" s="25">
        <v>0</v>
      </c>
      <c r="O108" s="25">
        <v>29.67</v>
      </c>
      <c r="P108" s="25">
        <v>30.673300000000001</v>
      </c>
    </row>
    <row r="109" spans="1:16" x14ac:dyDescent="0.25">
      <c r="A109" s="26">
        <v>43791</v>
      </c>
      <c r="B109" s="25" t="s">
        <v>282</v>
      </c>
      <c r="C109" s="25" t="s">
        <v>17</v>
      </c>
      <c r="D109" s="25">
        <v>250</v>
      </c>
      <c r="E109" s="25">
        <v>256</v>
      </c>
      <c r="F109" s="25">
        <v>64000</v>
      </c>
      <c r="G109" s="25" t="s">
        <v>1713</v>
      </c>
      <c r="H109" s="25">
        <v>2019219</v>
      </c>
      <c r="I109" s="25" t="s">
        <v>19</v>
      </c>
      <c r="J109" s="25" t="s">
        <v>20</v>
      </c>
      <c r="K109" s="25" t="s">
        <v>25</v>
      </c>
      <c r="L109" s="25">
        <v>0</v>
      </c>
      <c r="M109" s="25">
        <v>1.41</v>
      </c>
      <c r="N109" s="25">
        <v>0</v>
      </c>
      <c r="O109" s="25">
        <v>38.020000000000003</v>
      </c>
      <c r="P109" s="25">
        <v>39.427999999999997</v>
      </c>
    </row>
    <row r="110" spans="1:16" x14ac:dyDescent="0.25">
      <c r="A110" s="26">
        <v>43791</v>
      </c>
      <c r="B110" s="25" t="s">
        <v>282</v>
      </c>
      <c r="C110" s="25" t="s">
        <v>23</v>
      </c>
      <c r="D110" s="25">
        <v>250</v>
      </c>
      <c r="E110" s="25">
        <v>257</v>
      </c>
      <c r="F110" s="25">
        <v>64250</v>
      </c>
      <c r="G110" s="25" t="s">
        <v>1714</v>
      </c>
      <c r="H110" s="25">
        <v>2019219</v>
      </c>
      <c r="I110" s="25" t="s">
        <v>19</v>
      </c>
      <c r="J110" s="25" t="s">
        <v>20</v>
      </c>
      <c r="K110" s="25" t="s">
        <v>25</v>
      </c>
      <c r="L110" s="25">
        <v>16.170000000000002</v>
      </c>
      <c r="M110" s="25">
        <v>1.41</v>
      </c>
      <c r="N110" s="25">
        <v>31.2</v>
      </c>
      <c r="O110" s="25">
        <v>38.159999999999997</v>
      </c>
      <c r="P110" s="25">
        <v>86.9435</v>
      </c>
    </row>
    <row r="111" spans="1:16" x14ac:dyDescent="0.25">
      <c r="A111" s="26">
        <v>43791</v>
      </c>
      <c r="B111" s="25" t="s">
        <v>111</v>
      </c>
      <c r="C111" s="25" t="s">
        <v>17</v>
      </c>
      <c r="D111" s="25">
        <v>100</v>
      </c>
      <c r="E111" s="25">
        <v>453</v>
      </c>
      <c r="F111" s="25">
        <v>45300</v>
      </c>
      <c r="G111" s="25" t="s">
        <v>1715</v>
      </c>
      <c r="H111" s="25">
        <v>2019219</v>
      </c>
      <c r="I111" s="25" t="s">
        <v>19</v>
      </c>
      <c r="J111" s="25" t="s">
        <v>20</v>
      </c>
      <c r="K111" s="25" t="s">
        <v>25</v>
      </c>
      <c r="L111" s="25">
        <v>0</v>
      </c>
      <c r="M111" s="25">
        <v>1</v>
      </c>
      <c r="N111" s="25">
        <v>0</v>
      </c>
      <c r="O111" s="25">
        <v>29.68</v>
      </c>
      <c r="P111" s="25">
        <v>30.676600000000001</v>
      </c>
    </row>
    <row r="112" spans="1:16" x14ac:dyDescent="0.25">
      <c r="A112" s="26">
        <v>43791</v>
      </c>
      <c r="B112" s="25" t="s">
        <v>111</v>
      </c>
      <c r="C112" s="25" t="s">
        <v>17</v>
      </c>
      <c r="D112" s="25">
        <v>100</v>
      </c>
      <c r="E112" s="25">
        <v>452</v>
      </c>
      <c r="F112" s="25">
        <v>45200</v>
      </c>
      <c r="G112" s="25" t="s">
        <v>1716</v>
      </c>
      <c r="H112" s="25">
        <v>2019219</v>
      </c>
      <c r="I112" s="25" t="s">
        <v>19</v>
      </c>
      <c r="J112" s="25" t="s">
        <v>20</v>
      </c>
      <c r="K112" s="25" t="s">
        <v>25</v>
      </c>
      <c r="L112" s="25">
        <v>0</v>
      </c>
      <c r="M112" s="25">
        <v>0.99</v>
      </c>
      <c r="N112" s="25">
        <v>0</v>
      </c>
      <c r="O112" s="25">
        <v>29.68</v>
      </c>
      <c r="P112" s="25">
        <v>30.674399999999999</v>
      </c>
    </row>
    <row r="113" spans="1:16" x14ac:dyDescent="0.25">
      <c r="A113" s="26">
        <v>43791</v>
      </c>
      <c r="B113" s="25" t="s">
        <v>111</v>
      </c>
      <c r="C113" s="25" t="s">
        <v>17</v>
      </c>
      <c r="D113" s="25">
        <v>200</v>
      </c>
      <c r="E113" s="25">
        <v>448</v>
      </c>
      <c r="F113" s="25">
        <v>89600</v>
      </c>
      <c r="G113" s="25" t="s">
        <v>1717</v>
      </c>
      <c r="H113" s="25">
        <v>2019219</v>
      </c>
      <c r="I113" s="25" t="s">
        <v>19</v>
      </c>
      <c r="J113" s="25" t="s">
        <v>20</v>
      </c>
      <c r="K113" s="25" t="s">
        <v>25</v>
      </c>
      <c r="L113" s="25">
        <v>0</v>
      </c>
      <c r="M113" s="25">
        <v>1.97</v>
      </c>
      <c r="N113" s="25">
        <v>0</v>
      </c>
      <c r="O113" s="25">
        <v>53.22</v>
      </c>
      <c r="P113" s="25">
        <v>55.191200000000002</v>
      </c>
    </row>
    <row r="114" spans="1:16" x14ac:dyDescent="0.25">
      <c r="A114" s="26">
        <v>43791</v>
      </c>
      <c r="B114" s="25" t="s">
        <v>111</v>
      </c>
      <c r="C114" s="25" t="s">
        <v>23</v>
      </c>
      <c r="D114" s="25">
        <v>500</v>
      </c>
      <c r="E114" s="25">
        <v>452.4</v>
      </c>
      <c r="F114" s="25">
        <v>226200</v>
      </c>
      <c r="G114" s="25" t="s">
        <v>1718</v>
      </c>
      <c r="H114" s="25">
        <v>2019219</v>
      </c>
      <c r="I114" s="25" t="s">
        <v>19</v>
      </c>
      <c r="J114" s="25" t="s">
        <v>20</v>
      </c>
      <c r="K114" s="25" t="s">
        <v>25</v>
      </c>
      <c r="L114" s="25">
        <v>56.92</v>
      </c>
      <c r="M114" s="25">
        <v>4.9800000000000004</v>
      </c>
      <c r="N114" s="25">
        <v>0</v>
      </c>
      <c r="O114" s="25">
        <v>134.36000000000001</v>
      </c>
      <c r="P114" s="25">
        <v>196.25649999999999</v>
      </c>
    </row>
    <row r="115" spans="1:16" x14ac:dyDescent="0.25">
      <c r="A115" s="26">
        <v>43790</v>
      </c>
      <c r="B115" s="25" t="s">
        <v>1407</v>
      </c>
      <c r="C115" s="25" t="s">
        <v>17</v>
      </c>
      <c r="D115" s="25">
        <v>250</v>
      </c>
      <c r="E115" s="25">
        <v>340.7</v>
      </c>
      <c r="F115" s="25">
        <v>85175</v>
      </c>
      <c r="G115" s="25" t="s">
        <v>1719</v>
      </c>
      <c r="H115" s="25">
        <v>2019218</v>
      </c>
      <c r="I115" s="25" t="s">
        <v>19</v>
      </c>
      <c r="J115" s="25" t="s">
        <v>20</v>
      </c>
      <c r="K115" s="25" t="s">
        <v>25</v>
      </c>
      <c r="L115" s="25">
        <v>0</v>
      </c>
      <c r="M115" s="25">
        <v>1.87</v>
      </c>
      <c r="N115" s="25">
        <v>0</v>
      </c>
      <c r="O115" s="25">
        <v>50.58</v>
      </c>
      <c r="P115" s="25">
        <v>52.453899999999997</v>
      </c>
    </row>
    <row r="116" spans="1:16" x14ac:dyDescent="0.25">
      <c r="A116" s="26">
        <v>43790</v>
      </c>
      <c r="B116" s="25" t="s">
        <v>1407</v>
      </c>
      <c r="C116" s="25" t="s">
        <v>23</v>
      </c>
      <c r="D116" s="25">
        <v>250</v>
      </c>
      <c r="E116" s="25">
        <v>342</v>
      </c>
      <c r="F116" s="25">
        <v>85500</v>
      </c>
      <c r="G116" s="25" t="s">
        <v>1720</v>
      </c>
      <c r="H116" s="25">
        <v>2019218</v>
      </c>
      <c r="I116" s="25" t="s">
        <v>19</v>
      </c>
      <c r="J116" s="25" t="s">
        <v>20</v>
      </c>
      <c r="K116" s="25" t="s">
        <v>25</v>
      </c>
      <c r="L116" s="25">
        <v>21</v>
      </c>
      <c r="M116" s="25">
        <v>1.88</v>
      </c>
      <c r="N116" s="25">
        <v>5.4</v>
      </c>
      <c r="O116" s="25">
        <v>50.78</v>
      </c>
      <c r="P116" s="25">
        <v>79.061000000000007</v>
      </c>
    </row>
    <row r="117" spans="1:16" x14ac:dyDescent="0.25">
      <c r="A117" s="26">
        <v>43789</v>
      </c>
      <c r="B117" s="25" t="s">
        <v>1721</v>
      </c>
      <c r="C117" s="25" t="s">
        <v>23</v>
      </c>
      <c r="D117" s="25">
        <v>1000</v>
      </c>
      <c r="E117" s="25">
        <v>7.5</v>
      </c>
      <c r="F117" s="25">
        <v>7500</v>
      </c>
      <c r="G117" s="25" t="s">
        <v>1722</v>
      </c>
      <c r="H117" s="25">
        <v>2019217</v>
      </c>
      <c r="I117" s="25" t="s">
        <v>19</v>
      </c>
      <c r="J117" s="25" t="s">
        <v>20</v>
      </c>
      <c r="K117" s="25" t="s">
        <v>25</v>
      </c>
      <c r="L117" s="25">
        <v>8</v>
      </c>
      <c r="M117" s="25">
        <v>0.17</v>
      </c>
      <c r="N117" s="25">
        <v>0.3</v>
      </c>
      <c r="O117" s="25">
        <v>59.03</v>
      </c>
      <c r="P117" s="25">
        <v>67.495000000000005</v>
      </c>
    </row>
    <row r="118" spans="1:16" x14ac:dyDescent="0.25">
      <c r="A118" s="26">
        <v>43788</v>
      </c>
      <c r="B118" s="25" t="s">
        <v>480</v>
      </c>
      <c r="C118" s="25" t="s">
        <v>23</v>
      </c>
      <c r="D118" s="25">
        <v>1000</v>
      </c>
      <c r="E118" s="25">
        <v>86.5</v>
      </c>
      <c r="F118" s="25">
        <v>86500</v>
      </c>
      <c r="G118" s="25" t="s">
        <v>1723</v>
      </c>
      <c r="H118" s="25">
        <v>2019216</v>
      </c>
      <c r="I118" s="25" t="s">
        <v>19</v>
      </c>
      <c r="J118" s="25" t="s">
        <v>20</v>
      </c>
      <c r="K118" s="25" t="s">
        <v>25</v>
      </c>
      <c r="L118" s="25">
        <v>21.57</v>
      </c>
      <c r="M118" s="25">
        <v>1.9</v>
      </c>
      <c r="N118" s="25">
        <v>0</v>
      </c>
      <c r="O118" s="25">
        <v>51.38</v>
      </c>
      <c r="P118" s="25">
        <v>74.852999999999994</v>
      </c>
    </row>
    <row r="119" spans="1:16" x14ac:dyDescent="0.25">
      <c r="A119" s="26">
        <v>43788</v>
      </c>
      <c r="B119" s="25" t="s">
        <v>268</v>
      </c>
      <c r="C119" s="25" t="s">
        <v>23</v>
      </c>
      <c r="D119" s="25">
        <v>250</v>
      </c>
      <c r="E119" s="25">
        <v>323</v>
      </c>
      <c r="F119" s="25">
        <v>80750</v>
      </c>
      <c r="G119" s="25" t="s">
        <v>1724</v>
      </c>
      <c r="H119" s="25">
        <v>2019216</v>
      </c>
      <c r="I119" s="25" t="s">
        <v>19</v>
      </c>
      <c r="J119" s="25" t="s">
        <v>20</v>
      </c>
      <c r="K119" s="25" t="s">
        <v>25</v>
      </c>
      <c r="L119" s="25">
        <v>20.43</v>
      </c>
      <c r="M119" s="25">
        <v>1.78</v>
      </c>
      <c r="N119" s="25">
        <v>0</v>
      </c>
      <c r="O119" s="25">
        <v>47.96</v>
      </c>
      <c r="P119" s="25">
        <v>70.166600000000003</v>
      </c>
    </row>
    <row r="120" spans="1:16" x14ac:dyDescent="0.25">
      <c r="A120" s="26">
        <v>43788</v>
      </c>
      <c r="B120" s="25" t="s">
        <v>480</v>
      </c>
      <c r="C120" s="25" t="s">
        <v>17</v>
      </c>
      <c r="D120" s="25">
        <v>1000</v>
      </c>
      <c r="E120" s="25">
        <v>88</v>
      </c>
      <c r="F120" s="25">
        <v>88000</v>
      </c>
      <c r="G120" s="25" t="s">
        <v>1725</v>
      </c>
      <c r="H120" s="25">
        <v>2019216</v>
      </c>
      <c r="I120" s="25" t="s">
        <v>19</v>
      </c>
      <c r="J120" s="25" t="s">
        <v>20</v>
      </c>
      <c r="K120" s="25" t="s">
        <v>25</v>
      </c>
      <c r="L120" s="25">
        <v>0</v>
      </c>
      <c r="M120" s="25">
        <v>1.94</v>
      </c>
      <c r="N120" s="25">
        <v>10.199999999999999</v>
      </c>
      <c r="O120" s="25">
        <v>52.27</v>
      </c>
      <c r="P120" s="25">
        <v>64.406000000000006</v>
      </c>
    </row>
    <row r="121" spans="1:16" x14ac:dyDescent="0.25">
      <c r="A121" s="26">
        <v>43788</v>
      </c>
      <c r="B121" s="25" t="s">
        <v>268</v>
      </c>
      <c r="C121" s="25" t="s">
        <v>17</v>
      </c>
      <c r="D121" s="25">
        <v>250</v>
      </c>
      <c r="E121" s="25">
        <v>330.65</v>
      </c>
      <c r="F121" s="25">
        <v>82661.600000000006</v>
      </c>
      <c r="G121" s="25" t="s">
        <v>1726</v>
      </c>
      <c r="H121" s="25">
        <v>2019216</v>
      </c>
      <c r="I121" s="25" t="s">
        <v>19</v>
      </c>
      <c r="J121" s="25" t="s">
        <v>20</v>
      </c>
      <c r="K121" s="25" t="s">
        <v>25</v>
      </c>
      <c r="L121" s="25">
        <v>0</v>
      </c>
      <c r="M121" s="25">
        <v>1.82</v>
      </c>
      <c r="N121" s="25">
        <v>0</v>
      </c>
      <c r="O121" s="25">
        <v>49.09</v>
      </c>
      <c r="P121" s="25">
        <v>50.9086</v>
      </c>
    </row>
    <row r="122" spans="1:16" x14ac:dyDescent="0.25">
      <c r="A122" s="26">
        <v>43784</v>
      </c>
      <c r="B122" s="25" t="s">
        <v>268</v>
      </c>
      <c r="C122" s="25" t="s">
        <v>23</v>
      </c>
      <c r="D122" s="25">
        <v>250</v>
      </c>
      <c r="E122" s="25">
        <v>312</v>
      </c>
      <c r="F122" s="25">
        <v>78000</v>
      </c>
      <c r="G122" s="25" t="s">
        <v>1727</v>
      </c>
      <c r="H122" s="25">
        <v>2019214</v>
      </c>
      <c r="I122" s="25" t="s">
        <v>19</v>
      </c>
      <c r="J122" s="25" t="s">
        <v>20</v>
      </c>
      <c r="K122" s="25" t="s">
        <v>25</v>
      </c>
      <c r="L122" s="25">
        <v>19.809999999999999</v>
      </c>
      <c r="M122" s="25">
        <v>1.72</v>
      </c>
      <c r="N122" s="25">
        <v>0</v>
      </c>
      <c r="O122" s="25">
        <v>46.33</v>
      </c>
      <c r="P122" s="25">
        <v>67.855999999999995</v>
      </c>
    </row>
    <row r="123" spans="1:16" x14ac:dyDescent="0.25">
      <c r="A123" s="26">
        <v>43784</v>
      </c>
      <c r="B123" s="25" t="s">
        <v>268</v>
      </c>
      <c r="C123" s="25" t="s">
        <v>23</v>
      </c>
      <c r="D123" s="25">
        <v>250</v>
      </c>
      <c r="E123" s="25">
        <v>315</v>
      </c>
      <c r="F123" s="25">
        <v>78750</v>
      </c>
      <c r="G123" s="25" t="s">
        <v>1728</v>
      </c>
      <c r="H123" s="25">
        <v>2019214</v>
      </c>
      <c r="I123" s="25" t="s">
        <v>19</v>
      </c>
      <c r="J123" s="25" t="s">
        <v>20</v>
      </c>
      <c r="K123" s="25" t="s">
        <v>25</v>
      </c>
      <c r="L123" s="25">
        <v>19.809999999999999</v>
      </c>
      <c r="M123" s="25">
        <v>1.73</v>
      </c>
      <c r="N123" s="25">
        <v>0</v>
      </c>
      <c r="O123" s="25">
        <v>46.77</v>
      </c>
      <c r="P123" s="25">
        <v>68.312600000000003</v>
      </c>
    </row>
    <row r="124" spans="1:16" x14ac:dyDescent="0.25">
      <c r="A124" s="26">
        <v>43784</v>
      </c>
      <c r="B124" s="25" t="s">
        <v>268</v>
      </c>
      <c r="C124" s="25" t="s">
        <v>17</v>
      </c>
      <c r="D124" s="25">
        <v>500</v>
      </c>
      <c r="E124" s="25">
        <v>314.7</v>
      </c>
      <c r="F124" s="25">
        <v>157350</v>
      </c>
      <c r="G124" s="25" t="s">
        <v>1729</v>
      </c>
      <c r="H124" s="25">
        <v>2019214</v>
      </c>
      <c r="I124" s="25" t="s">
        <v>19</v>
      </c>
      <c r="J124" s="25" t="s">
        <v>20</v>
      </c>
      <c r="K124" s="25" t="s">
        <v>25</v>
      </c>
      <c r="L124" s="25">
        <v>0</v>
      </c>
      <c r="M124" s="25">
        <v>3.46</v>
      </c>
      <c r="N124" s="25">
        <v>0</v>
      </c>
      <c r="O124" s="25">
        <v>93.46</v>
      </c>
      <c r="P124" s="25">
        <v>96.921800000000005</v>
      </c>
    </row>
    <row r="125" spans="1:16" x14ac:dyDescent="0.25">
      <c r="A125" s="26">
        <v>43784</v>
      </c>
      <c r="B125" s="25" t="s">
        <v>268</v>
      </c>
      <c r="C125" s="25" t="s">
        <v>17</v>
      </c>
      <c r="D125" s="25">
        <v>500</v>
      </c>
      <c r="E125" s="25">
        <v>314.5</v>
      </c>
      <c r="F125" s="25">
        <v>157250</v>
      </c>
      <c r="G125" s="25" t="s">
        <v>1730</v>
      </c>
      <c r="H125" s="25">
        <v>2019214</v>
      </c>
      <c r="I125" s="25" t="s">
        <v>19</v>
      </c>
      <c r="J125" s="25" t="s">
        <v>20</v>
      </c>
      <c r="K125" s="25" t="s">
        <v>25</v>
      </c>
      <c r="L125" s="25">
        <v>0</v>
      </c>
      <c r="M125" s="25">
        <v>3.46</v>
      </c>
      <c r="N125" s="25">
        <v>28.8</v>
      </c>
      <c r="O125" s="25">
        <v>93.4</v>
      </c>
      <c r="P125" s="25">
        <v>125.6596</v>
      </c>
    </row>
    <row r="126" spans="1:16" x14ac:dyDescent="0.25">
      <c r="A126" s="26">
        <v>43784</v>
      </c>
      <c r="B126" s="25" t="s">
        <v>268</v>
      </c>
      <c r="C126" s="25" t="s">
        <v>23</v>
      </c>
      <c r="D126" s="25">
        <v>500</v>
      </c>
      <c r="E126" s="25">
        <v>317.5</v>
      </c>
      <c r="F126" s="25">
        <v>158750</v>
      </c>
      <c r="G126" s="25" t="s">
        <v>1731</v>
      </c>
      <c r="H126" s="25">
        <v>2019214</v>
      </c>
      <c r="I126" s="25" t="s">
        <v>19</v>
      </c>
      <c r="J126" s="25" t="s">
        <v>20</v>
      </c>
      <c r="K126" s="25" t="s">
        <v>25</v>
      </c>
      <c r="L126" s="25">
        <v>40.020000000000003</v>
      </c>
      <c r="M126" s="25">
        <v>3.49</v>
      </c>
      <c r="N126" s="25">
        <v>0</v>
      </c>
      <c r="O126" s="25">
        <v>94.29</v>
      </c>
      <c r="P126" s="25">
        <v>137.80250000000001</v>
      </c>
    </row>
    <row r="127" spans="1:16" x14ac:dyDescent="0.25">
      <c r="A127" s="26">
        <v>43784</v>
      </c>
      <c r="B127" s="25" t="s">
        <v>268</v>
      </c>
      <c r="C127" s="25" t="s">
        <v>23</v>
      </c>
      <c r="D127" s="25">
        <v>250</v>
      </c>
      <c r="E127" s="25">
        <v>317.5</v>
      </c>
      <c r="F127" s="25">
        <v>79375</v>
      </c>
      <c r="G127" s="25" t="s">
        <v>1732</v>
      </c>
      <c r="H127" s="25">
        <v>2019214</v>
      </c>
      <c r="I127" s="25" t="s">
        <v>19</v>
      </c>
      <c r="J127" s="25" t="s">
        <v>20</v>
      </c>
      <c r="K127" s="25" t="s">
        <v>25</v>
      </c>
      <c r="L127" s="25">
        <v>19.809999999999999</v>
      </c>
      <c r="M127" s="25">
        <v>1.75</v>
      </c>
      <c r="N127" s="25">
        <v>0</v>
      </c>
      <c r="O127" s="25">
        <v>47.15</v>
      </c>
      <c r="P127" s="25">
        <v>68.706299999999999</v>
      </c>
    </row>
    <row r="128" spans="1:16" x14ac:dyDescent="0.25">
      <c r="A128" s="26">
        <v>43784</v>
      </c>
      <c r="B128" s="25" t="s">
        <v>268</v>
      </c>
      <c r="C128" s="25" t="s">
        <v>23</v>
      </c>
      <c r="D128" s="25">
        <v>250</v>
      </c>
      <c r="E128" s="25">
        <v>320.5</v>
      </c>
      <c r="F128" s="25">
        <v>80125</v>
      </c>
      <c r="G128" s="25" t="s">
        <v>1733</v>
      </c>
      <c r="H128" s="25">
        <v>2019214</v>
      </c>
      <c r="I128" s="25" t="s">
        <v>19</v>
      </c>
      <c r="J128" s="25" t="s">
        <v>20</v>
      </c>
      <c r="K128" s="25" t="s">
        <v>25</v>
      </c>
      <c r="L128" s="25">
        <v>19.809999999999999</v>
      </c>
      <c r="M128" s="25">
        <v>1.76</v>
      </c>
      <c r="N128" s="25">
        <v>0</v>
      </c>
      <c r="O128" s="25">
        <v>47.59</v>
      </c>
      <c r="P128" s="25">
        <v>69.162700000000001</v>
      </c>
    </row>
    <row r="129" spans="1:16" x14ac:dyDescent="0.25">
      <c r="A129" s="26">
        <v>43784</v>
      </c>
      <c r="B129" s="25" t="s">
        <v>268</v>
      </c>
      <c r="C129" s="25" t="s">
        <v>17</v>
      </c>
      <c r="D129" s="25">
        <v>500</v>
      </c>
      <c r="E129" s="25">
        <v>322.2</v>
      </c>
      <c r="F129" s="25">
        <v>161100</v>
      </c>
      <c r="G129" s="25" t="s">
        <v>1734</v>
      </c>
      <c r="H129" s="25">
        <v>2019214</v>
      </c>
      <c r="I129" s="25" t="s">
        <v>19</v>
      </c>
      <c r="J129" s="25" t="s">
        <v>20</v>
      </c>
      <c r="K129" s="25" t="s">
        <v>25</v>
      </c>
      <c r="L129" s="25">
        <v>0</v>
      </c>
      <c r="M129" s="25">
        <v>3.54</v>
      </c>
      <c r="N129" s="25">
        <v>0</v>
      </c>
      <c r="O129" s="25">
        <v>95.69</v>
      </c>
      <c r="P129" s="25">
        <v>99.234200000000001</v>
      </c>
    </row>
    <row r="130" spans="1:16" x14ac:dyDescent="0.25">
      <c r="A130" s="26">
        <v>43784</v>
      </c>
      <c r="B130" s="25" t="s">
        <v>1721</v>
      </c>
      <c r="C130" s="25" t="s">
        <v>17</v>
      </c>
      <c r="D130" s="25">
        <v>1000</v>
      </c>
      <c r="E130" s="25">
        <v>3.75</v>
      </c>
      <c r="F130" s="25">
        <v>3750</v>
      </c>
      <c r="G130" s="25" t="s">
        <v>1735</v>
      </c>
      <c r="H130" s="25">
        <v>2019214</v>
      </c>
      <c r="I130" s="25" t="s">
        <v>19</v>
      </c>
      <c r="J130" s="25" t="s">
        <v>20</v>
      </c>
      <c r="K130" s="25" t="s">
        <v>25</v>
      </c>
      <c r="L130" s="25">
        <v>3.75</v>
      </c>
      <c r="M130" s="25">
        <v>0.08</v>
      </c>
      <c r="N130" s="25">
        <v>0</v>
      </c>
      <c r="O130" s="25">
        <v>59.01</v>
      </c>
      <c r="P130" s="25">
        <v>62.842599999999997</v>
      </c>
    </row>
    <row r="131" spans="1:16" x14ac:dyDescent="0.25">
      <c r="A131" s="26">
        <v>43783</v>
      </c>
      <c r="B131" s="25" t="s">
        <v>268</v>
      </c>
      <c r="C131" s="25" t="s">
        <v>17</v>
      </c>
      <c r="D131" s="25">
        <v>250</v>
      </c>
      <c r="E131" s="25">
        <v>303</v>
      </c>
      <c r="F131" s="25">
        <v>75750</v>
      </c>
      <c r="G131" s="25" t="s">
        <v>1736</v>
      </c>
      <c r="H131" s="25">
        <v>2019213</v>
      </c>
      <c r="I131" s="25" t="s">
        <v>19</v>
      </c>
      <c r="J131" s="25" t="s">
        <v>20</v>
      </c>
      <c r="K131" s="25" t="s">
        <v>25</v>
      </c>
      <c r="L131" s="25">
        <v>0</v>
      </c>
      <c r="M131" s="25">
        <v>1.67</v>
      </c>
      <c r="N131" s="25">
        <v>0</v>
      </c>
      <c r="O131" s="25">
        <v>45</v>
      </c>
      <c r="P131" s="25">
        <v>46.666400000000003</v>
      </c>
    </row>
    <row r="132" spans="1:16" x14ac:dyDescent="0.25">
      <c r="A132" s="26">
        <v>43783</v>
      </c>
      <c r="B132" s="25" t="s">
        <v>268</v>
      </c>
      <c r="C132" s="25" t="s">
        <v>23</v>
      </c>
      <c r="D132" s="25">
        <v>250</v>
      </c>
      <c r="E132" s="25">
        <v>304.5</v>
      </c>
      <c r="F132" s="25">
        <v>76125</v>
      </c>
      <c r="G132" s="25" t="s">
        <v>1737</v>
      </c>
      <c r="H132" s="25">
        <v>2019213</v>
      </c>
      <c r="I132" s="25" t="s">
        <v>19</v>
      </c>
      <c r="J132" s="25" t="s">
        <v>20</v>
      </c>
      <c r="K132" s="25" t="s">
        <v>25</v>
      </c>
      <c r="L132" s="25">
        <v>19</v>
      </c>
      <c r="M132" s="25">
        <v>1.67</v>
      </c>
      <c r="N132" s="25">
        <v>4.8</v>
      </c>
      <c r="O132" s="25">
        <v>45.22</v>
      </c>
      <c r="P132" s="25">
        <v>70.694699999999997</v>
      </c>
    </row>
    <row r="133" spans="1:16" x14ac:dyDescent="0.25">
      <c r="A133" s="26">
        <v>43782</v>
      </c>
      <c r="B133" s="25" t="s">
        <v>100</v>
      </c>
      <c r="C133" s="25" t="s">
        <v>23</v>
      </c>
      <c r="D133" s="25">
        <v>2500</v>
      </c>
      <c r="E133" s="25">
        <v>78.25</v>
      </c>
      <c r="F133" s="25">
        <v>195625</v>
      </c>
      <c r="G133" s="25" t="s">
        <v>1738</v>
      </c>
      <c r="H133" s="25">
        <v>2019212</v>
      </c>
      <c r="I133" s="25" t="s">
        <v>19</v>
      </c>
      <c r="J133" s="25" t="s">
        <v>20</v>
      </c>
      <c r="K133" s="25" t="s">
        <v>25</v>
      </c>
      <c r="L133" s="25">
        <v>50.4</v>
      </c>
      <c r="M133" s="25">
        <v>4.3</v>
      </c>
      <c r="N133" s="25">
        <v>0</v>
      </c>
      <c r="O133" s="25">
        <v>116.19</v>
      </c>
      <c r="P133" s="25">
        <v>170.8937</v>
      </c>
    </row>
    <row r="134" spans="1:16" x14ac:dyDescent="0.25">
      <c r="A134" s="26">
        <v>43782</v>
      </c>
      <c r="B134" s="25" t="s">
        <v>480</v>
      </c>
      <c r="C134" s="25" t="s">
        <v>23</v>
      </c>
      <c r="D134" s="25">
        <v>5000</v>
      </c>
      <c r="E134" s="25">
        <v>83.4</v>
      </c>
      <c r="F134" s="25">
        <v>417000</v>
      </c>
      <c r="G134" s="25" t="s">
        <v>1739</v>
      </c>
      <c r="H134" s="25">
        <v>2019212</v>
      </c>
      <c r="I134" s="25" t="s">
        <v>19</v>
      </c>
      <c r="J134" s="25" t="s">
        <v>20</v>
      </c>
      <c r="K134" s="25" t="s">
        <v>25</v>
      </c>
      <c r="L134" s="25">
        <v>103.84</v>
      </c>
      <c r="M134" s="25">
        <v>9.17</v>
      </c>
      <c r="N134" s="25">
        <v>0</v>
      </c>
      <c r="O134" s="25">
        <v>247.68</v>
      </c>
      <c r="P134" s="25">
        <v>360.69400000000002</v>
      </c>
    </row>
    <row r="135" spans="1:16" x14ac:dyDescent="0.25">
      <c r="A135" s="26">
        <v>43782</v>
      </c>
      <c r="B135" s="25" t="s">
        <v>100</v>
      </c>
      <c r="C135" s="25" t="s">
        <v>23</v>
      </c>
      <c r="D135" s="25">
        <v>2500</v>
      </c>
      <c r="E135" s="25">
        <v>79.400000000000006</v>
      </c>
      <c r="F135" s="25">
        <v>198500</v>
      </c>
      <c r="G135" s="25" t="s">
        <v>1740</v>
      </c>
      <c r="H135" s="25">
        <v>2019212</v>
      </c>
      <c r="I135" s="25" t="s">
        <v>19</v>
      </c>
      <c r="J135" s="25" t="s">
        <v>20</v>
      </c>
      <c r="K135" s="25" t="s">
        <v>25</v>
      </c>
      <c r="L135" s="25">
        <v>50.54</v>
      </c>
      <c r="M135" s="25">
        <v>4.37</v>
      </c>
      <c r="N135" s="25">
        <v>85.5</v>
      </c>
      <c r="O135" s="25">
        <v>117.9</v>
      </c>
      <c r="P135" s="25">
        <v>258.30700000000002</v>
      </c>
    </row>
    <row r="136" spans="1:16" x14ac:dyDescent="0.25">
      <c r="A136" s="26">
        <v>43782</v>
      </c>
      <c r="B136" s="25" t="s">
        <v>100</v>
      </c>
      <c r="C136" s="25" t="s">
        <v>23</v>
      </c>
      <c r="D136" s="25">
        <v>2500</v>
      </c>
      <c r="E136" s="25">
        <v>80.349999999999994</v>
      </c>
      <c r="F136" s="25">
        <v>200875</v>
      </c>
      <c r="G136" s="25" t="s">
        <v>1741</v>
      </c>
      <c r="H136" s="25">
        <v>2019212</v>
      </c>
      <c r="I136" s="25" t="s">
        <v>19</v>
      </c>
      <c r="J136" s="25" t="s">
        <v>20</v>
      </c>
      <c r="K136" s="25" t="s">
        <v>25</v>
      </c>
      <c r="L136" s="25">
        <v>50.4</v>
      </c>
      <c r="M136" s="25">
        <v>4.42</v>
      </c>
      <c r="N136" s="25">
        <v>0</v>
      </c>
      <c r="O136" s="25">
        <v>119.3</v>
      </c>
      <c r="P136" s="25">
        <v>174.1191</v>
      </c>
    </row>
    <row r="137" spans="1:16" x14ac:dyDescent="0.25">
      <c r="A137" s="26">
        <v>43782</v>
      </c>
      <c r="B137" s="25" t="s">
        <v>100</v>
      </c>
      <c r="C137" s="25" t="s">
        <v>17</v>
      </c>
      <c r="D137" s="25">
        <v>3920</v>
      </c>
      <c r="E137" s="25">
        <v>81.75</v>
      </c>
      <c r="F137" s="25">
        <v>320460</v>
      </c>
      <c r="G137" s="25" t="s">
        <v>1742</v>
      </c>
      <c r="H137" s="25">
        <v>2019212</v>
      </c>
      <c r="I137" s="25" t="s">
        <v>19</v>
      </c>
      <c r="J137" s="25" t="s">
        <v>20</v>
      </c>
      <c r="K137" s="25" t="s">
        <v>25</v>
      </c>
      <c r="L137" s="25">
        <v>0</v>
      </c>
      <c r="M137" s="25">
        <v>7.05</v>
      </c>
      <c r="N137" s="25">
        <v>0</v>
      </c>
      <c r="O137" s="25">
        <v>190.34</v>
      </c>
      <c r="P137" s="25">
        <v>197.39019999999999</v>
      </c>
    </row>
    <row r="138" spans="1:16" x14ac:dyDescent="0.25">
      <c r="A138" s="26">
        <v>43782</v>
      </c>
      <c r="B138" s="25" t="s">
        <v>100</v>
      </c>
      <c r="C138" s="25" t="s">
        <v>23</v>
      </c>
      <c r="D138" s="25">
        <v>5000</v>
      </c>
      <c r="E138" s="25">
        <v>82</v>
      </c>
      <c r="F138" s="25">
        <v>410000</v>
      </c>
      <c r="G138" s="25" t="s">
        <v>1743</v>
      </c>
      <c r="H138" s="25">
        <v>2019212</v>
      </c>
      <c r="I138" s="25" t="s">
        <v>19</v>
      </c>
      <c r="J138" s="25" t="s">
        <v>20</v>
      </c>
      <c r="K138" s="25" t="s">
        <v>25</v>
      </c>
      <c r="L138" s="25">
        <v>100.81</v>
      </c>
      <c r="M138" s="25">
        <v>9.02</v>
      </c>
      <c r="N138" s="25">
        <v>0</v>
      </c>
      <c r="O138" s="25">
        <v>243.52</v>
      </c>
      <c r="P138" s="25">
        <v>353.35</v>
      </c>
    </row>
    <row r="139" spans="1:16" x14ac:dyDescent="0.25">
      <c r="A139" s="26">
        <v>43782</v>
      </c>
      <c r="B139" s="25" t="s">
        <v>480</v>
      </c>
      <c r="C139" s="25" t="s">
        <v>17</v>
      </c>
      <c r="D139" s="25">
        <v>5000</v>
      </c>
      <c r="E139" s="25">
        <v>82.75</v>
      </c>
      <c r="F139" s="25">
        <v>413750</v>
      </c>
      <c r="G139" s="25" t="s">
        <v>1744</v>
      </c>
      <c r="H139" s="25">
        <v>2019212</v>
      </c>
      <c r="I139" s="25" t="s">
        <v>19</v>
      </c>
      <c r="J139" s="25" t="s">
        <v>20</v>
      </c>
      <c r="K139" s="25" t="s">
        <v>25</v>
      </c>
      <c r="L139" s="25">
        <v>0</v>
      </c>
      <c r="M139" s="25">
        <v>9.1</v>
      </c>
      <c r="N139" s="25">
        <v>0</v>
      </c>
      <c r="O139" s="25">
        <v>245.75</v>
      </c>
      <c r="P139" s="25">
        <v>254.8526</v>
      </c>
    </row>
    <row r="140" spans="1:16" x14ac:dyDescent="0.25">
      <c r="A140" s="26">
        <v>43782</v>
      </c>
      <c r="B140" s="25" t="s">
        <v>100</v>
      </c>
      <c r="C140" s="25" t="s">
        <v>17</v>
      </c>
      <c r="D140" s="25">
        <v>8580</v>
      </c>
      <c r="E140" s="25">
        <v>80.5</v>
      </c>
      <c r="F140" s="25">
        <v>690690</v>
      </c>
      <c r="G140" s="25" t="s">
        <v>1745</v>
      </c>
      <c r="H140" s="25">
        <v>2019212</v>
      </c>
      <c r="I140" s="25" t="s">
        <v>19</v>
      </c>
      <c r="J140" s="25" t="s">
        <v>20</v>
      </c>
      <c r="K140" s="25" t="s">
        <v>25</v>
      </c>
      <c r="L140" s="25">
        <v>0</v>
      </c>
      <c r="M140" s="25">
        <v>15.2</v>
      </c>
      <c r="N140" s="25">
        <v>0</v>
      </c>
      <c r="O140" s="25">
        <v>410.24</v>
      </c>
      <c r="P140" s="25">
        <v>425.43520000000001</v>
      </c>
    </row>
    <row r="141" spans="1:16" x14ac:dyDescent="0.25">
      <c r="A141" s="26">
        <v>43780</v>
      </c>
      <c r="B141" s="25" t="s">
        <v>1476</v>
      </c>
      <c r="C141" s="25" t="s">
        <v>17</v>
      </c>
      <c r="D141" s="25">
        <v>500</v>
      </c>
      <c r="E141" s="25">
        <v>253.5</v>
      </c>
      <c r="F141" s="25">
        <v>126750</v>
      </c>
      <c r="G141" s="25" t="s">
        <v>1746</v>
      </c>
      <c r="H141" s="25">
        <v>2019211</v>
      </c>
      <c r="I141" s="25" t="s">
        <v>19</v>
      </c>
      <c r="J141" s="25" t="s">
        <v>20</v>
      </c>
      <c r="K141" s="25" t="s">
        <v>25</v>
      </c>
      <c r="L141" s="25">
        <v>0</v>
      </c>
      <c r="M141" s="25">
        <v>2.79</v>
      </c>
      <c r="N141" s="25">
        <v>0</v>
      </c>
      <c r="O141" s="25">
        <v>75.290000000000006</v>
      </c>
      <c r="P141" s="25">
        <v>78.078599999999994</v>
      </c>
    </row>
    <row r="142" spans="1:16" x14ac:dyDescent="0.25">
      <c r="A142" s="26">
        <v>43780</v>
      </c>
      <c r="B142" s="25" t="s">
        <v>1476</v>
      </c>
      <c r="C142" s="25" t="s">
        <v>23</v>
      </c>
      <c r="D142" s="25">
        <v>1000</v>
      </c>
      <c r="E142" s="25">
        <v>249</v>
      </c>
      <c r="F142" s="25">
        <v>249000</v>
      </c>
      <c r="G142" s="25" t="s">
        <v>1747</v>
      </c>
      <c r="H142" s="25">
        <v>2019211</v>
      </c>
      <c r="I142" s="25" t="s">
        <v>19</v>
      </c>
      <c r="J142" s="25" t="s">
        <v>20</v>
      </c>
      <c r="K142" s="25" t="s">
        <v>25</v>
      </c>
      <c r="L142" s="25">
        <v>62.03</v>
      </c>
      <c r="M142" s="25">
        <v>5.48</v>
      </c>
      <c r="N142" s="25">
        <v>0</v>
      </c>
      <c r="O142" s="25">
        <v>147.9</v>
      </c>
      <c r="P142" s="25">
        <v>215.4083</v>
      </c>
    </row>
    <row r="143" spans="1:16" x14ac:dyDescent="0.25">
      <c r="A143" s="26">
        <v>43780</v>
      </c>
      <c r="B143" s="25" t="s">
        <v>1476</v>
      </c>
      <c r="C143" s="25" t="s">
        <v>17</v>
      </c>
      <c r="D143" s="25">
        <v>500</v>
      </c>
      <c r="E143" s="25">
        <v>251.5</v>
      </c>
      <c r="F143" s="25">
        <v>125750</v>
      </c>
      <c r="G143" s="25" t="s">
        <v>1748</v>
      </c>
      <c r="H143" s="25">
        <v>2019211</v>
      </c>
      <c r="I143" s="25" t="s">
        <v>19</v>
      </c>
      <c r="J143" s="25" t="s">
        <v>20</v>
      </c>
      <c r="K143" s="25" t="s">
        <v>25</v>
      </c>
      <c r="L143" s="25">
        <v>0</v>
      </c>
      <c r="M143" s="25">
        <v>2.77</v>
      </c>
      <c r="N143" s="25">
        <v>0</v>
      </c>
      <c r="O143" s="25">
        <v>74.69</v>
      </c>
      <c r="P143" s="25">
        <v>77.456599999999995</v>
      </c>
    </row>
    <row r="144" spans="1:16" x14ac:dyDescent="0.25">
      <c r="A144" s="26">
        <v>43780</v>
      </c>
      <c r="B144" s="25" t="s">
        <v>1476</v>
      </c>
      <c r="C144" s="25" t="s">
        <v>23</v>
      </c>
      <c r="D144" s="25">
        <v>1000</v>
      </c>
      <c r="E144" s="25">
        <v>249</v>
      </c>
      <c r="F144" s="25">
        <v>249000</v>
      </c>
      <c r="G144" s="25" t="s">
        <v>1749</v>
      </c>
      <c r="H144" s="25">
        <v>2019211</v>
      </c>
      <c r="I144" s="25" t="s">
        <v>19</v>
      </c>
      <c r="J144" s="25" t="s">
        <v>20</v>
      </c>
      <c r="K144" s="25" t="s">
        <v>25</v>
      </c>
      <c r="L144" s="25">
        <v>62.46</v>
      </c>
      <c r="M144" s="25">
        <v>5.48</v>
      </c>
      <c r="N144" s="25">
        <v>78.900000000000006</v>
      </c>
      <c r="O144" s="25">
        <v>147.9</v>
      </c>
      <c r="P144" s="25">
        <v>294.738</v>
      </c>
    </row>
    <row r="145" spans="1:16" x14ac:dyDescent="0.25">
      <c r="A145" s="26">
        <v>43780</v>
      </c>
      <c r="B145" s="25" t="s">
        <v>1476</v>
      </c>
      <c r="C145" s="25" t="s">
        <v>17</v>
      </c>
      <c r="D145" s="25">
        <v>1000</v>
      </c>
      <c r="E145" s="25">
        <v>248.5</v>
      </c>
      <c r="F145" s="25">
        <v>248500</v>
      </c>
      <c r="G145" s="25" t="s">
        <v>1750</v>
      </c>
      <c r="H145" s="25">
        <v>2019211</v>
      </c>
      <c r="I145" s="25" t="s">
        <v>19</v>
      </c>
      <c r="J145" s="25" t="s">
        <v>20</v>
      </c>
      <c r="K145" s="25" t="s">
        <v>25</v>
      </c>
      <c r="L145" s="25">
        <v>0</v>
      </c>
      <c r="M145" s="25">
        <v>5.47</v>
      </c>
      <c r="N145" s="25">
        <v>0</v>
      </c>
      <c r="O145" s="25">
        <v>147.6</v>
      </c>
      <c r="P145" s="25">
        <v>153.06729999999999</v>
      </c>
    </row>
    <row r="146" spans="1:16" x14ac:dyDescent="0.25">
      <c r="A146" s="26">
        <v>43780</v>
      </c>
      <c r="B146" s="25" t="s">
        <v>1476</v>
      </c>
      <c r="C146" s="25" t="s">
        <v>17</v>
      </c>
      <c r="D146" s="25">
        <v>1000</v>
      </c>
      <c r="E146" s="25">
        <v>248.95</v>
      </c>
      <c r="F146" s="25">
        <v>248950</v>
      </c>
      <c r="G146" s="25" t="s">
        <v>1751</v>
      </c>
      <c r="H146" s="25">
        <v>2019211</v>
      </c>
      <c r="I146" s="25" t="s">
        <v>19</v>
      </c>
      <c r="J146" s="25" t="s">
        <v>20</v>
      </c>
      <c r="K146" s="25" t="s">
        <v>25</v>
      </c>
      <c r="L146" s="25">
        <v>0</v>
      </c>
      <c r="M146" s="25">
        <v>5.48</v>
      </c>
      <c r="N146" s="25">
        <v>0</v>
      </c>
      <c r="O146" s="25">
        <v>147.86000000000001</v>
      </c>
      <c r="P146" s="25">
        <v>153.33690000000001</v>
      </c>
    </row>
    <row r="147" spans="1:16" x14ac:dyDescent="0.25">
      <c r="A147" s="26">
        <v>43780</v>
      </c>
      <c r="B147" s="25" t="s">
        <v>1476</v>
      </c>
      <c r="C147" s="25" t="s">
        <v>23</v>
      </c>
      <c r="D147" s="25">
        <v>1000</v>
      </c>
      <c r="E147" s="25">
        <v>245.8</v>
      </c>
      <c r="F147" s="25">
        <v>245800</v>
      </c>
      <c r="G147" s="25" t="s">
        <v>1752</v>
      </c>
      <c r="H147" s="25">
        <v>2019211</v>
      </c>
      <c r="I147" s="25" t="s">
        <v>19</v>
      </c>
      <c r="J147" s="25" t="s">
        <v>20</v>
      </c>
      <c r="K147" s="25" t="s">
        <v>25</v>
      </c>
      <c r="L147" s="25">
        <v>62.03</v>
      </c>
      <c r="M147" s="25">
        <v>5.41</v>
      </c>
      <c r="N147" s="25">
        <v>0</v>
      </c>
      <c r="O147" s="25">
        <v>146</v>
      </c>
      <c r="P147" s="25">
        <v>213.4376</v>
      </c>
    </row>
    <row r="148" spans="1:16" x14ac:dyDescent="0.25">
      <c r="A148" s="26">
        <v>43780</v>
      </c>
      <c r="B148" s="25" t="s">
        <v>1476</v>
      </c>
      <c r="C148" s="25" t="s">
        <v>23</v>
      </c>
      <c r="D148" s="25">
        <v>1000</v>
      </c>
      <c r="E148" s="25">
        <v>245.8</v>
      </c>
      <c r="F148" s="25">
        <v>245800</v>
      </c>
      <c r="G148" s="25" t="s">
        <v>1753</v>
      </c>
      <c r="H148" s="25">
        <v>2019211</v>
      </c>
      <c r="I148" s="25" t="s">
        <v>19</v>
      </c>
      <c r="J148" s="25" t="s">
        <v>20</v>
      </c>
      <c r="K148" s="25" t="s">
        <v>25</v>
      </c>
      <c r="L148" s="25">
        <v>62.03</v>
      </c>
      <c r="M148" s="25">
        <v>5.41</v>
      </c>
      <c r="N148" s="25">
        <v>0</v>
      </c>
      <c r="O148" s="25">
        <v>146</v>
      </c>
      <c r="P148" s="25">
        <v>213.43770000000001</v>
      </c>
    </row>
    <row r="149" spans="1:16" x14ac:dyDescent="0.25">
      <c r="A149" s="26">
        <v>43780</v>
      </c>
      <c r="B149" s="25" t="s">
        <v>1476</v>
      </c>
      <c r="C149" s="25" t="s">
        <v>17</v>
      </c>
      <c r="D149" s="25">
        <v>1000</v>
      </c>
      <c r="E149" s="25">
        <v>245.5</v>
      </c>
      <c r="F149" s="25">
        <v>245500</v>
      </c>
      <c r="G149" s="25" t="s">
        <v>1754</v>
      </c>
      <c r="H149" s="25">
        <v>2019211</v>
      </c>
      <c r="I149" s="25" t="s">
        <v>19</v>
      </c>
      <c r="J149" s="25" t="s">
        <v>20</v>
      </c>
      <c r="K149" s="25" t="s">
        <v>25</v>
      </c>
      <c r="L149" s="25">
        <v>0</v>
      </c>
      <c r="M149" s="25">
        <v>5.4</v>
      </c>
      <c r="N149" s="25">
        <v>0</v>
      </c>
      <c r="O149" s="25">
        <v>145.82</v>
      </c>
      <c r="P149" s="25">
        <v>151.221</v>
      </c>
    </row>
    <row r="150" spans="1:16" x14ac:dyDescent="0.25">
      <c r="A150" s="26">
        <v>43780</v>
      </c>
      <c r="B150" s="25" t="s">
        <v>268</v>
      </c>
      <c r="C150" s="25" t="s">
        <v>17</v>
      </c>
      <c r="D150" s="25">
        <v>1000</v>
      </c>
      <c r="E150" s="25">
        <v>318</v>
      </c>
      <c r="F150" s="25">
        <v>318000</v>
      </c>
      <c r="G150" s="25" t="s">
        <v>1755</v>
      </c>
      <c r="H150" s="25">
        <v>2019211</v>
      </c>
      <c r="I150" s="25" t="s">
        <v>19</v>
      </c>
      <c r="J150" s="25" t="s">
        <v>20</v>
      </c>
      <c r="K150" s="25" t="s">
        <v>25</v>
      </c>
      <c r="L150" s="25">
        <v>0</v>
      </c>
      <c r="M150" s="25">
        <v>7</v>
      </c>
      <c r="N150" s="25">
        <v>0</v>
      </c>
      <c r="O150" s="25">
        <v>188.88</v>
      </c>
      <c r="P150" s="25">
        <v>195.876</v>
      </c>
    </row>
    <row r="151" spans="1:16" x14ac:dyDescent="0.25">
      <c r="A151" s="26">
        <v>43780</v>
      </c>
      <c r="B151" s="25" t="s">
        <v>268</v>
      </c>
      <c r="C151" s="25" t="s">
        <v>23</v>
      </c>
      <c r="D151" s="25">
        <v>1000</v>
      </c>
      <c r="E151" s="25">
        <v>317.5</v>
      </c>
      <c r="F151" s="25">
        <v>317500</v>
      </c>
      <c r="G151" s="25" t="s">
        <v>1756</v>
      </c>
      <c r="H151" s="25">
        <v>2019211</v>
      </c>
      <c r="I151" s="25" t="s">
        <v>19</v>
      </c>
      <c r="J151" s="25" t="s">
        <v>20</v>
      </c>
      <c r="K151" s="25" t="s">
        <v>25</v>
      </c>
      <c r="L151" s="25">
        <v>79.44</v>
      </c>
      <c r="M151" s="25">
        <v>6.99</v>
      </c>
      <c r="N151" s="25">
        <v>0</v>
      </c>
      <c r="O151" s="25">
        <v>188.58</v>
      </c>
      <c r="P151" s="25">
        <v>275.005</v>
      </c>
    </row>
    <row r="152" spans="1:16" x14ac:dyDescent="0.25">
      <c r="A152" s="26">
        <v>43777</v>
      </c>
      <c r="B152" s="25" t="s">
        <v>1476</v>
      </c>
      <c r="C152" s="25" t="s">
        <v>23</v>
      </c>
      <c r="D152" s="25">
        <v>250</v>
      </c>
      <c r="E152" s="25">
        <v>240</v>
      </c>
      <c r="F152" s="25">
        <v>60000</v>
      </c>
      <c r="G152" s="25" t="s">
        <v>1477</v>
      </c>
      <c r="H152" s="25">
        <v>2019210</v>
      </c>
      <c r="I152" s="25" t="s">
        <v>19</v>
      </c>
      <c r="J152" s="25" t="s">
        <v>20</v>
      </c>
      <c r="K152" s="25" t="s">
        <v>25</v>
      </c>
      <c r="L152" s="25">
        <v>15.45</v>
      </c>
      <c r="M152" s="25">
        <v>1.32</v>
      </c>
      <c r="N152" s="25">
        <v>0</v>
      </c>
      <c r="O152" s="25">
        <v>35.64</v>
      </c>
      <c r="P152" s="25">
        <v>52.41</v>
      </c>
    </row>
    <row r="153" spans="1:16" x14ac:dyDescent="0.25">
      <c r="A153" s="26">
        <v>43777</v>
      </c>
      <c r="B153" s="25" t="s">
        <v>1476</v>
      </c>
      <c r="C153" s="25" t="s">
        <v>23</v>
      </c>
      <c r="D153" s="25">
        <v>250</v>
      </c>
      <c r="E153" s="25">
        <v>234.15</v>
      </c>
      <c r="F153" s="25">
        <v>58537.5</v>
      </c>
      <c r="G153" s="25" t="s">
        <v>1478</v>
      </c>
      <c r="H153" s="25">
        <v>2019210</v>
      </c>
      <c r="I153" s="25" t="s">
        <v>19</v>
      </c>
      <c r="J153" s="25" t="s">
        <v>20</v>
      </c>
      <c r="K153" s="25" t="s">
        <v>25</v>
      </c>
      <c r="L153" s="25">
        <v>15.45</v>
      </c>
      <c r="M153" s="25">
        <v>1.29</v>
      </c>
      <c r="N153" s="25">
        <v>0</v>
      </c>
      <c r="O153" s="25">
        <v>34.770000000000003</v>
      </c>
      <c r="P153" s="25">
        <v>51.507800000000003</v>
      </c>
    </row>
    <row r="154" spans="1:16" x14ac:dyDescent="0.25">
      <c r="A154" s="26">
        <v>43777</v>
      </c>
      <c r="B154" s="25" t="s">
        <v>268</v>
      </c>
      <c r="C154" s="25" t="s">
        <v>17</v>
      </c>
      <c r="D154" s="25">
        <v>2500</v>
      </c>
      <c r="E154" s="25">
        <v>316.5</v>
      </c>
      <c r="F154" s="25">
        <v>791250</v>
      </c>
      <c r="G154" s="25" t="s">
        <v>1479</v>
      </c>
      <c r="H154" s="25">
        <v>2019210</v>
      </c>
      <c r="I154" s="25" t="s">
        <v>19</v>
      </c>
      <c r="J154" s="25" t="s">
        <v>20</v>
      </c>
      <c r="K154" s="25" t="s">
        <v>25</v>
      </c>
      <c r="L154" s="25">
        <v>0</v>
      </c>
      <c r="M154" s="25">
        <v>17.41</v>
      </c>
      <c r="N154" s="25">
        <v>0</v>
      </c>
      <c r="O154" s="25">
        <v>469.97</v>
      </c>
      <c r="P154" s="25">
        <v>487.37759999999997</v>
      </c>
    </row>
    <row r="155" spans="1:16" x14ac:dyDescent="0.25">
      <c r="A155" s="26">
        <v>43777</v>
      </c>
      <c r="B155" s="25" t="s">
        <v>1476</v>
      </c>
      <c r="C155" s="25" t="s">
        <v>17</v>
      </c>
      <c r="D155" s="25">
        <v>500</v>
      </c>
      <c r="E155" s="25">
        <v>240</v>
      </c>
      <c r="F155" s="25">
        <v>120000</v>
      </c>
      <c r="G155" s="25" t="s">
        <v>1480</v>
      </c>
      <c r="H155" s="25">
        <v>2019210</v>
      </c>
      <c r="I155" s="25" t="s">
        <v>19</v>
      </c>
      <c r="J155" s="25" t="s">
        <v>20</v>
      </c>
      <c r="K155" s="25" t="s">
        <v>25</v>
      </c>
      <c r="L155" s="25">
        <v>0</v>
      </c>
      <c r="M155" s="25">
        <v>2.64</v>
      </c>
      <c r="N155" s="25">
        <v>0</v>
      </c>
      <c r="O155" s="25">
        <v>71.28</v>
      </c>
      <c r="P155" s="25">
        <v>73.92</v>
      </c>
    </row>
    <row r="156" spans="1:16" x14ac:dyDescent="0.25">
      <c r="A156" s="26">
        <v>43777</v>
      </c>
      <c r="B156" s="25" t="s">
        <v>1476</v>
      </c>
      <c r="C156" s="25" t="s">
        <v>17</v>
      </c>
      <c r="D156" s="25">
        <v>1000</v>
      </c>
      <c r="E156" s="25">
        <v>248</v>
      </c>
      <c r="F156" s="25">
        <v>248000</v>
      </c>
      <c r="G156" s="25" t="s">
        <v>1481</v>
      </c>
      <c r="H156" s="25">
        <v>2019210</v>
      </c>
      <c r="I156" s="25" t="s">
        <v>19</v>
      </c>
      <c r="J156" s="25" t="s">
        <v>20</v>
      </c>
      <c r="K156" s="25" t="s">
        <v>25</v>
      </c>
      <c r="L156" s="25">
        <v>0</v>
      </c>
      <c r="M156" s="25">
        <v>5.46</v>
      </c>
      <c r="N156" s="25">
        <v>70.2</v>
      </c>
      <c r="O156" s="25">
        <v>147.30000000000001</v>
      </c>
      <c r="P156" s="25">
        <v>222.95590000000001</v>
      </c>
    </row>
    <row r="157" spans="1:16" x14ac:dyDescent="0.25">
      <c r="A157" s="26">
        <v>43777</v>
      </c>
      <c r="B157" s="25" t="s">
        <v>1476</v>
      </c>
      <c r="C157" s="25" t="s">
        <v>23</v>
      </c>
      <c r="D157" s="25">
        <v>1000</v>
      </c>
      <c r="E157" s="25">
        <v>255</v>
      </c>
      <c r="F157" s="25">
        <v>255000</v>
      </c>
      <c r="G157" s="25" t="s">
        <v>1482</v>
      </c>
      <c r="H157" s="25">
        <v>2019210</v>
      </c>
      <c r="I157" s="25" t="s">
        <v>19</v>
      </c>
      <c r="J157" s="25" t="s">
        <v>20</v>
      </c>
      <c r="K157" s="25" t="s">
        <v>25</v>
      </c>
      <c r="L157" s="25">
        <v>61.79</v>
      </c>
      <c r="M157" s="25">
        <v>5.61</v>
      </c>
      <c r="N157" s="25">
        <v>0</v>
      </c>
      <c r="O157" s="25">
        <v>151.46</v>
      </c>
      <c r="P157" s="25">
        <v>218.86</v>
      </c>
    </row>
    <row r="158" spans="1:16" x14ac:dyDescent="0.25">
      <c r="A158" s="26">
        <v>43777</v>
      </c>
      <c r="B158" s="25" t="s">
        <v>268</v>
      </c>
      <c r="C158" s="25" t="s">
        <v>23</v>
      </c>
      <c r="D158" s="25">
        <v>2500</v>
      </c>
      <c r="E158" s="25">
        <v>319.5</v>
      </c>
      <c r="F158" s="25">
        <v>798750</v>
      </c>
      <c r="G158" s="25" t="s">
        <v>1483</v>
      </c>
      <c r="H158" s="25">
        <v>2019210</v>
      </c>
      <c r="I158" s="25" t="s">
        <v>19</v>
      </c>
      <c r="J158" s="25" t="s">
        <v>20</v>
      </c>
      <c r="K158" s="25" t="s">
        <v>25</v>
      </c>
      <c r="L158" s="25">
        <v>198.31</v>
      </c>
      <c r="M158" s="25">
        <v>17.57</v>
      </c>
      <c r="N158" s="25">
        <v>0</v>
      </c>
      <c r="O158" s="25">
        <v>474.42</v>
      </c>
      <c r="P158" s="25">
        <v>690.30250000000001</v>
      </c>
    </row>
    <row r="159" spans="1:16" x14ac:dyDescent="0.25">
      <c r="A159" s="26">
        <v>43776</v>
      </c>
      <c r="B159" s="25" t="s">
        <v>16</v>
      </c>
      <c r="C159" s="25" t="s">
        <v>17</v>
      </c>
      <c r="D159" s="25">
        <v>10000</v>
      </c>
      <c r="E159" s="25">
        <v>25</v>
      </c>
      <c r="F159" s="25">
        <v>250000</v>
      </c>
      <c r="G159" s="25" t="s">
        <v>1484</v>
      </c>
      <c r="H159" s="25">
        <v>2019209</v>
      </c>
      <c r="I159" s="25" t="s">
        <v>19</v>
      </c>
      <c r="J159" s="25" t="s">
        <v>20</v>
      </c>
      <c r="K159" s="25" t="s">
        <v>25</v>
      </c>
      <c r="L159" s="25">
        <v>0</v>
      </c>
      <c r="M159" s="25">
        <v>5.5</v>
      </c>
      <c r="N159" s="25">
        <v>0</v>
      </c>
      <c r="O159" s="25">
        <v>148.47999999999999</v>
      </c>
      <c r="P159" s="25">
        <v>153.97980000000001</v>
      </c>
    </row>
    <row r="160" spans="1:16" x14ac:dyDescent="0.25">
      <c r="A160" s="26">
        <v>43776</v>
      </c>
      <c r="B160" s="25" t="s">
        <v>270</v>
      </c>
      <c r="C160" s="25" t="s">
        <v>23</v>
      </c>
      <c r="D160" s="25">
        <v>1000</v>
      </c>
      <c r="E160" s="25">
        <v>98.6</v>
      </c>
      <c r="F160" s="25">
        <v>98600</v>
      </c>
      <c r="G160" s="25" t="s">
        <v>1485</v>
      </c>
      <c r="H160" s="25">
        <v>2019209</v>
      </c>
      <c r="I160" s="25" t="s">
        <v>19</v>
      </c>
      <c r="J160" s="25" t="s">
        <v>20</v>
      </c>
      <c r="K160" s="25" t="s">
        <v>25</v>
      </c>
      <c r="L160" s="25">
        <v>24.48</v>
      </c>
      <c r="M160" s="25">
        <v>2.17</v>
      </c>
      <c r="N160" s="25">
        <v>0</v>
      </c>
      <c r="O160" s="25">
        <v>58.56</v>
      </c>
      <c r="P160" s="25">
        <v>85.209199999999996</v>
      </c>
    </row>
    <row r="161" spans="1:16" x14ac:dyDescent="0.25">
      <c r="A161" s="26">
        <v>43776</v>
      </c>
      <c r="B161" s="25" t="s">
        <v>268</v>
      </c>
      <c r="C161" s="25" t="s">
        <v>23</v>
      </c>
      <c r="D161" s="25">
        <v>1000</v>
      </c>
      <c r="E161" s="25">
        <v>320</v>
      </c>
      <c r="F161" s="25">
        <v>320000</v>
      </c>
      <c r="G161" s="25" t="s">
        <v>1486</v>
      </c>
      <c r="H161" s="25">
        <v>2019209</v>
      </c>
      <c r="I161" s="25" t="s">
        <v>19</v>
      </c>
      <c r="J161" s="25" t="s">
        <v>20</v>
      </c>
      <c r="K161" s="25" t="s">
        <v>25</v>
      </c>
      <c r="L161" s="25">
        <v>79.72</v>
      </c>
      <c r="M161" s="25">
        <v>7.04</v>
      </c>
      <c r="N161" s="25">
        <v>0</v>
      </c>
      <c r="O161" s="25">
        <v>190.07</v>
      </c>
      <c r="P161" s="25">
        <v>276.83</v>
      </c>
    </row>
    <row r="162" spans="1:16" x14ac:dyDescent="0.25">
      <c r="A162" s="26">
        <v>43776</v>
      </c>
      <c r="B162" s="25" t="s">
        <v>268</v>
      </c>
      <c r="C162" s="25" t="s">
        <v>17</v>
      </c>
      <c r="D162" s="25">
        <v>1000</v>
      </c>
      <c r="E162" s="25">
        <v>318</v>
      </c>
      <c r="F162" s="25">
        <v>318000</v>
      </c>
      <c r="G162" s="25" t="s">
        <v>1487</v>
      </c>
      <c r="H162" s="25">
        <v>2019209</v>
      </c>
      <c r="I162" s="25" t="s">
        <v>19</v>
      </c>
      <c r="J162" s="25" t="s">
        <v>20</v>
      </c>
      <c r="K162" s="25" t="s">
        <v>25</v>
      </c>
      <c r="L162" s="25">
        <v>0</v>
      </c>
      <c r="M162" s="25">
        <v>7</v>
      </c>
      <c r="N162" s="25">
        <v>0</v>
      </c>
      <c r="O162" s="25">
        <v>188.88</v>
      </c>
      <c r="P162" s="25">
        <v>195.876</v>
      </c>
    </row>
    <row r="163" spans="1:16" x14ac:dyDescent="0.25">
      <c r="A163" s="26">
        <v>43776</v>
      </c>
      <c r="B163" s="25" t="s">
        <v>270</v>
      </c>
      <c r="C163" s="25" t="s">
        <v>17</v>
      </c>
      <c r="D163" s="25">
        <v>1000</v>
      </c>
      <c r="E163" s="25">
        <v>97.25</v>
      </c>
      <c r="F163" s="25">
        <v>97250</v>
      </c>
      <c r="G163" s="25" t="s">
        <v>1488</v>
      </c>
      <c r="H163" s="25">
        <v>2019209</v>
      </c>
      <c r="I163" s="25" t="s">
        <v>19</v>
      </c>
      <c r="J163" s="25" t="s">
        <v>20</v>
      </c>
      <c r="K163" s="25" t="s">
        <v>25</v>
      </c>
      <c r="L163" s="25">
        <v>0</v>
      </c>
      <c r="M163" s="25">
        <v>2.14</v>
      </c>
      <c r="N163" s="25">
        <v>0</v>
      </c>
      <c r="O163" s="25">
        <v>57.76</v>
      </c>
      <c r="P163" s="25">
        <v>59.8996</v>
      </c>
    </row>
    <row r="164" spans="1:16" x14ac:dyDescent="0.25">
      <c r="A164" s="26">
        <v>43776</v>
      </c>
      <c r="B164" s="25" t="s">
        <v>268</v>
      </c>
      <c r="C164" s="25" t="s">
        <v>23</v>
      </c>
      <c r="D164" s="25">
        <v>1000</v>
      </c>
      <c r="E164" s="25">
        <v>318.5</v>
      </c>
      <c r="F164" s="25">
        <v>318500</v>
      </c>
      <c r="G164" s="25" t="s">
        <v>1489</v>
      </c>
      <c r="H164" s="25">
        <v>2019209</v>
      </c>
      <c r="I164" s="25" t="s">
        <v>19</v>
      </c>
      <c r="J164" s="25" t="s">
        <v>20</v>
      </c>
      <c r="K164" s="25" t="s">
        <v>25</v>
      </c>
      <c r="L164" s="25">
        <v>79.72</v>
      </c>
      <c r="M164" s="25">
        <v>7.01</v>
      </c>
      <c r="N164" s="25">
        <v>0</v>
      </c>
      <c r="O164" s="25">
        <v>189.18</v>
      </c>
      <c r="P164" s="25">
        <v>275.90699999999998</v>
      </c>
    </row>
    <row r="165" spans="1:16" x14ac:dyDescent="0.25">
      <c r="A165" s="26">
        <v>43776</v>
      </c>
      <c r="B165" s="25" t="s">
        <v>268</v>
      </c>
      <c r="C165" s="25" t="s">
        <v>17</v>
      </c>
      <c r="D165" s="25">
        <v>1000</v>
      </c>
      <c r="E165" s="25">
        <v>319</v>
      </c>
      <c r="F165" s="25">
        <v>319000</v>
      </c>
      <c r="G165" s="25" t="s">
        <v>1490</v>
      </c>
      <c r="H165" s="25">
        <v>2019209</v>
      </c>
      <c r="I165" s="25" t="s">
        <v>19</v>
      </c>
      <c r="J165" s="25" t="s">
        <v>20</v>
      </c>
      <c r="K165" s="25" t="s">
        <v>25</v>
      </c>
      <c r="L165" s="25">
        <v>0</v>
      </c>
      <c r="M165" s="25">
        <v>7.02</v>
      </c>
      <c r="N165" s="25">
        <v>0</v>
      </c>
      <c r="O165" s="25">
        <v>189.47</v>
      </c>
      <c r="P165" s="25">
        <v>196.488</v>
      </c>
    </row>
    <row r="166" spans="1:16" x14ac:dyDescent="0.25">
      <c r="A166" s="26">
        <v>43776</v>
      </c>
      <c r="B166" s="25" t="s">
        <v>16</v>
      </c>
      <c r="C166" s="25" t="s">
        <v>23</v>
      </c>
      <c r="D166" s="25">
        <v>10000</v>
      </c>
      <c r="E166" s="25">
        <v>24.79</v>
      </c>
      <c r="F166" s="25">
        <v>247921.7</v>
      </c>
      <c r="G166" s="25" t="s">
        <v>1491</v>
      </c>
      <c r="H166" s="25">
        <v>2019209</v>
      </c>
      <c r="I166" s="25" t="s">
        <v>19</v>
      </c>
      <c r="J166" s="25" t="s">
        <v>20</v>
      </c>
      <c r="K166" s="25" t="s">
        <v>25</v>
      </c>
      <c r="L166" s="25">
        <v>62.08</v>
      </c>
      <c r="M166" s="25">
        <v>5.45</v>
      </c>
      <c r="N166" s="25">
        <v>59.1</v>
      </c>
      <c r="O166" s="25">
        <v>147.26</v>
      </c>
      <c r="P166" s="25">
        <v>273.89429999999999</v>
      </c>
    </row>
    <row r="167" spans="1:16" x14ac:dyDescent="0.25">
      <c r="A167" s="26">
        <v>43775</v>
      </c>
      <c r="B167" s="25" t="s">
        <v>268</v>
      </c>
      <c r="C167" s="25" t="s">
        <v>23</v>
      </c>
      <c r="D167" s="25">
        <v>2500</v>
      </c>
      <c r="E167" s="25">
        <v>318.5</v>
      </c>
      <c r="F167" s="25">
        <v>796250</v>
      </c>
      <c r="G167" s="25" t="s">
        <v>1492</v>
      </c>
      <c r="H167" s="25">
        <v>2019208</v>
      </c>
      <c r="I167" s="25" t="s">
        <v>19</v>
      </c>
      <c r="J167" s="25" t="s">
        <v>20</v>
      </c>
      <c r="K167" s="25" t="s">
        <v>25</v>
      </c>
      <c r="L167" s="25">
        <v>198.05</v>
      </c>
      <c r="M167" s="25">
        <v>17.52</v>
      </c>
      <c r="N167" s="25">
        <v>0</v>
      </c>
      <c r="O167" s="25">
        <v>472.94</v>
      </c>
      <c r="P167" s="25">
        <v>688.50800000000004</v>
      </c>
    </row>
    <row r="168" spans="1:16" x14ac:dyDescent="0.25">
      <c r="A168" s="26">
        <v>43775</v>
      </c>
      <c r="B168" s="25" t="s">
        <v>268</v>
      </c>
      <c r="C168" s="25" t="s">
        <v>17</v>
      </c>
      <c r="D168" s="25">
        <v>2500</v>
      </c>
      <c r="E168" s="25">
        <v>315.39999999999998</v>
      </c>
      <c r="F168" s="25">
        <v>788500</v>
      </c>
      <c r="G168" s="25" t="s">
        <v>1493</v>
      </c>
      <c r="H168" s="25">
        <v>2019208</v>
      </c>
      <c r="I168" s="25" t="s">
        <v>19</v>
      </c>
      <c r="J168" s="25" t="s">
        <v>20</v>
      </c>
      <c r="K168" s="25" t="s">
        <v>25</v>
      </c>
      <c r="L168" s="25">
        <v>0</v>
      </c>
      <c r="M168" s="25">
        <v>17.350000000000001</v>
      </c>
      <c r="N168" s="25">
        <v>0</v>
      </c>
      <c r="O168" s="25">
        <v>468.34</v>
      </c>
      <c r="P168" s="25">
        <v>485.68700000000001</v>
      </c>
    </row>
    <row r="169" spans="1:16" x14ac:dyDescent="0.25">
      <c r="A169" s="26">
        <v>43775</v>
      </c>
      <c r="B169" s="25" t="s">
        <v>268</v>
      </c>
      <c r="C169" s="25" t="s">
        <v>17</v>
      </c>
      <c r="D169" s="25">
        <v>500</v>
      </c>
      <c r="E169" s="25">
        <v>315.5</v>
      </c>
      <c r="F169" s="25">
        <v>157750</v>
      </c>
      <c r="G169" s="25" t="s">
        <v>1494</v>
      </c>
      <c r="H169" s="25">
        <v>2019208</v>
      </c>
      <c r="I169" s="25" t="s">
        <v>19</v>
      </c>
      <c r="J169" s="25" t="s">
        <v>20</v>
      </c>
      <c r="K169" s="25" t="s">
        <v>25</v>
      </c>
      <c r="L169" s="25">
        <v>0</v>
      </c>
      <c r="M169" s="25">
        <v>3.47</v>
      </c>
      <c r="N169" s="25">
        <v>0</v>
      </c>
      <c r="O169" s="25">
        <v>93.7</v>
      </c>
      <c r="P169" s="25">
        <v>97.170599999999993</v>
      </c>
    </row>
    <row r="170" spans="1:16" x14ac:dyDescent="0.25">
      <c r="A170" s="26">
        <v>43775</v>
      </c>
      <c r="B170" s="25" t="s">
        <v>268</v>
      </c>
      <c r="C170" s="25" t="s">
        <v>23</v>
      </c>
      <c r="D170" s="25">
        <v>500</v>
      </c>
      <c r="E170" s="25">
        <v>317.5</v>
      </c>
      <c r="F170" s="25">
        <v>158750</v>
      </c>
      <c r="G170" s="25" t="s">
        <v>1495</v>
      </c>
      <c r="H170" s="25">
        <v>2019208</v>
      </c>
      <c r="I170" s="25" t="s">
        <v>19</v>
      </c>
      <c r="J170" s="25" t="s">
        <v>20</v>
      </c>
      <c r="K170" s="25" t="s">
        <v>25</v>
      </c>
      <c r="L170" s="25">
        <v>39.61</v>
      </c>
      <c r="M170" s="25">
        <v>3.49</v>
      </c>
      <c r="N170" s="25">
        <v>0</v>
      </c>
      <c r="O170" s="25">
        <v>94.29</v>
      </c>
      <c r="P170" s="25">
        <v>137.39259999999999</v>
      </c>
    </row>
    <row r="171" spans="1:16" x14ac:dyDescent="0.25">
      <c r="A171" s="26">
        <v>43775</v>
      </c>
      <c r="B171" s="25" t="s">
        <v>16</v>
      </c>
      <c r="C171" s="25" t="s">
        <v>17</v>
      </c>
      <c r="D171" s="25">
        <v>10000</v>
      </c>
      <c r="E171" s="25">
        <v>25</v>
      </c>
      <c r="F171" s="25">
        <v>250000</v>
      </c>
      <c r="G171" s="25" t="s">
        <v>1496</v>
      </c>
      <c r="H171" s="25">
        <v>2019208</v>
      </c>
      <c r="I171" s="25" t="s">
        <v>19</v>
      </c>
      <c r="J171" s="25" t="s">
        <v>20</v>
      </c>
      <c r="K171" s="25" t="s">
        <v>25</v>
      </c>
      <c r="L171" s="25">
        <v>0</v>
      </c>
      <c r="M171" s="25">
        <v>5.5</v>
      </c>
      <c r="N171" s="25">
        <v>72.3</v>
      </c>
      <c r="O171" s="25">
        <v>148.47</v>
      </c>
      <c r="P171" s="25">
        <v>226.2698</v>
      </c>
    </row>
    <row r="172" spans="1:16" x14ac:dyDescent="0.25">
      <c r="A172" s="26">
        <v>43775</v>
      </c>
      <c r="B172" s="25" t="s">
        <v>256</v>
      </c>
      <c r="C172" s="25" t="s">
        <v>17</v>
      </c>
      <c r="D172" s="25">
        <v>100</v>
      </c>
      <c r="E172" s="25">
        <v>35.700000000000003</v>
      </c>
      <c r="F172" s="25">
        <v>3570</v>
      </c>
      <c r="G172" s="25" t="s">
        <v>1497</v>
      </c>
      <c r="H172" s="25">
        <v>2019208</v>
      </c>
      <c r="I172" s="25" t="s">
        <v>19</v>
      </c>
      <c r="J172" s="25" t="s">
        <v>20</v>
      </c>
      <c r="K172" s="25" t="s">
        <v>25</v>
      </c>
      <c r="L172" s="25">
        <v>3.57</v>
      </c>
      <c r="M172" s="25">
        <v>0.08</v>
      </c>
      <c r="N172" s="25">
        <v>0</v>
      </c>
      <c r="O172" s="25">
        <v>41.31</v>
      </c>
      <c r="P172" s="25">
        <v>44.958599999999997</v>
      </c>
    </row>
    <row r="173" spans="1:16" x14ac:dyDescent="0.25">
      <c r="A173" s="26">
        <v>43775</v>
      </c>
      <c r="B173" s="25" t="s">
        <v>16</v>
      </c>
      <c r="C173" s="25" t="s">
        <v>23</v>
      </c>
      <c r="D173" s="25">
        <v>2074</v>
      </c>
      <c r="E173" s="25">
        <v>24.9</v>
      </c>
      <c r="F173" s="25">
        <v>51642.6</v>
      </c>
      <c r="G173" s="25" t="s">
        <v>1498</v>
      </c>
      <c r="H173" s="25">
        <v>2019208</v>
      </c>
      <c r="I173" s="25" t="s">
        <v>19</v>
      </c>
      <c r="J173" s="25" t="s">
        <v>20</v>
      </c>
      <c r="K173" s="25" t="s">
        <v>25</v>
      </c>
      <c r="L173" s="25">
        <v>12.91</v>
      </c>
      <c r="M173" s="25">
        <v>1.1399999999999999</v>
      </c>
      <c r="N173" s="25">
        <v>0</v>
      </c>
      <c r="O173" s="25">
        <v>30.67</v>
      </c>
      <c r="P173" s="25">
        <v>44.716099999999997</v>
      </c>
    </row>
    <row r="174" spans="1:16" x14ac:dyDescent="0.25">
      <c r="A174" s="26">
        <v>43775</v>
      </c>
      <c r="B174" s="25" t="s">
        <v>16</v>
      </c>
      <c r="C174" s="25" t="s">
        <v>23</v>
      </c>
      <c r="D174" s="25">
        <v>2417</v>
      </c>
      <c r="E174" s="25">
        <v>24.85</v>
      </c>
      <c r="F174" s="25">
        <v>60062.45</v>
      </c>
      <c r="G174" s="25" t="s">
        <v>1499</v>
      </c>
      <c r="H174" s="25">
        <v>2019208</v>
      </c>
      <c r="I174" s="25" t="s">
        <v>19</v>
      </c>
      <c r="J174" s="25" t="s">
        <v>20</v>
      </c>
      <c r="K174" s="25" t="s">
        <v>25</v>
      </c>
      <c r="L174" s="25">
        <v>14.57</v>
      </c>
      <c r="M174" s="25">
        <v>1.32</v>
      </c>
      <c r="N174" s="25">
        <v>0</v>
      </c>
      <c r="O174" s="25">
        <v>35.67</v>
      </c>
      <c r="P174" s="25">
        <v>51.561500000000002</v>
      </c>
    </row>
    <row r="175" spans="1:16" x14ac:dyDescent="0.25">
      <c r="A175" s="26">
        <v>43775</v>
      </c>
      <c r="B175" s="25" t="s">
        <v>16</v>
      </c>
      <c r="C175" s="25" t="s">
        <v>23</v>
      </c>
      <c r="D175" s="25">
        <v>5509</v>
      </c>
      <c r="E175" s="25">
        <v>24.74</v>
      </c>
      <c r="F175" s="25">
        <v>136318.85</v>
      </c>
      <c r="G175" s="25" t="s">
        <v>1500</v>
      </c>
      <c r="H175" s="25">
        <v>2019208</v>
      </c>
      <c r="I175" s="25" t="s">
        <v>19</v>
      </c>
      <c r="J175" s="25" t="s">
        <v>20</v>
      </c>
      <c r="K175" s="25" t="s">
        <v>25</v>
      </c>
      <c r="L175" s="25">
        <v>34.299999999999997</v>
      </c>
      <c r="M175" s="25">
        <v>3</v>
      </c>
      <c r="N175" s="25">
        <v>0</v>
      </c>
      <c r="O175" s="25">
        <v>80.95</v>
      </c>
      <c r="P175" s="25">
        <v>118.2491</v>
      </c>
    </row>
    <row r="176" spans="1:16" x14ac:dyDescent="0.25">
      <c r="A176" s="26">
        <v>43774</v>
      </c>
      <c r="B176" s="25" t="s">
        <v>16</v>
      </c>
      <c r="C176" s="25" t="s">
        <v>17</v>
      </c>
      <c r="D176" s="25">
        <v>5000</v>
      </c>
      <c r="E176" s="25">
        <v>25.25</v>
      </c>
      <c r="F176" s="25">
        <v>126250</v>
      </c>
      <c r="G176" s="25" t="s">
        <v>1501</v>
      </c>
      <c r="H176" s="25">
        <v>2019207</v>
      </c>
      <c r="I176" s="25" t="s">
        <v>19</v>
      </c>
      <c r="J176" s="25" t="s">
        <v>20</v>
      </c>
      <c r="K176" s="25" t="s">
        <v>25</v>
      </c>
      <c r="L176" s="25">
        <v>0</v>
      </c>
      <c r="M176" s="25">
        <v>2.78</v>
      </c>
      <c r="N176" s="25">
        <v>84</v>
      </c>
      <c r="O176" s="25">
        <v>74.989999999999995</v>
      </c>
      <c r="P176" s="25">
        <v>161.76750000000001</v>
      </c>
    </row>
    <row r="177" spans="1:16" x14ac:dyDescent="0.25">
      <c r="A177" s="26">
        <v>43774</v>
      </c>
      <c r="B177" s="25" t="s">
        <v>268</v>
      </c>
      <c r="C177" s="25" t="s">
        <v>23</v>
      </c>
      <c r="D177" s="25">
        <v>2500</v>
      </c>
      <c r="E177" s="25">
        <v>314</v>
      </c>
      <c r="F177" s="25">
        <v>785000</v>
      </c>
      <c r="G177" s="25" t="s">
        <v>1502</v>
      </c>
      <c r="H177" s="25">
        <v>2019207</v>
      </c>
      <c r="I177" s="25" t="s">
        <v>19</v>
      </c>
      <c r="J177" s="25" t="s">
        <v>20</v>
      </c>
      <c r="K177" s="25" t="s">
        <v>25</v>
      </c>
      <c r="L177" s="25">
        <v>198.52</v>
      </c>
      <c r="M177" s="25">
        <v>17.27</v>
      </c>
      <c r="N177" s="25">
        <v>0</v>
      </c>
      <c r="O177" s="25">
        <v>466.26</v>
      </c>
      <c r="P177" s="25">
        <v>682.05</v>
      </c>
    </row>
    <row r="178" spans="1:16" x14ac:dyDescent="0.25">
      <c r="A178" s="26">
        <v>43774</v>
      </c>
      <c r="B178" s="25" t="s">
        <v>268</v>
      </c>
      <c r="C178" s="25" t="s">
        <v>17</v>
      </c>
      <c r="D178" s="25">
        <v>1412</v>
      </c>
      <c r="E178" s="25">
        <v>317.93</v>
      </c>
      <c r="F178" s="25">
        <v>448920.4</v>
      </c>
      <c r="G178" s="25" t="s">
        <v>1503</v>
      </c>
      <c r="H178" s="25">
        <v>2019207</v>
      </c>
      <c r="I178" s="25" t="s">
        <v>19</v>
      </c>
      <c r="J178" s="25" t="s">
        <v>20</v>
      </c>
      <c r="K178" s="25" t="s">
        <v>25</v>
      </c>
      <c r="L178" s="25">
        <v>0</v>
      </c>
      <c r="M178" s="25">
        <v>9.8800000000000008</v>
      </c>
      <c r="N178" s="25">
        <v>0</v>
      </c>
      <c r="O178" s="25">
        <v>266.64</v>
      </c>
      <c r="P178" s="25">
        <v>276.51639999999998</v>
      </c>
    </row>
    <row r="179" spans="1:16" x14ac:dyDescent="0.25">
      <c r="A179" s="26">
        <v>43774</v>
      </c>
      <c r="B179" s="25" t="s">
        <v>268</v>
      </c>
      <c r="C179" s="25" t="s">
        <v>23</v>
      </c>
      <c r="D179" s="25">
        <v>1500</v>
      </c>
      <c r="E179" s="25">
        <v>321</v>
      </c>
      <c r="F179" s="25">
        <v>481500</v>
      </c>
      <c r="G179" s="25" t="s">
        <v>1504</v>
      </c>
      <c r="H179" s="25">
        <v>2019207</v>
      </c>
      <c r="I179" s="25" t="s">
        <v>19</v>
      </c>
      <c r="J179" s="25" t="s">
        <v>20</v>
      </c>
      <c r="K179" s="25" t="s">
        <v>25</v>
      </c>
      <c r="L179" s="25">
        <v>119.31</v>
      </c>
      <c r="M179" s="25">
        <v>10.59</v>
      </c>
      <c r="N179" s="25">
        <v>0</v>
      </c>
      <c r="O179" s="25">
        <v>285.99</v>
      </c>
      <c r="P179" s="25">
        <v>415.89299999999997</v>
      </c>
    </row>
    <row r="180" spans="1:16" x14ac:dyDescent="0.25">
      <c r="A180" s="26">
        <v>43774</v>
      </c>
      <c r="B180" s="25" t="s">
        <v>268</v>
      </c>
      <c r="C180" s="25" t="s">
        <v>17</v>
      </c>
      <c r="D180" s="25">
        <v>2588</v>
      </c>
      <c r="E180" s="25">
        <v>319</v>
      </c>
      <c r="F180" s="25">
        <v>825572</v>
      </c>
      <c r="G180" s="25" t="s">
        <v>1505</v>
      </c>
      <c r="H180" s="25">
        <v>2019207</v>
      </c>
      <c r="I180" s="25" t="s">
        <v>19</v>
      </c>
      <c r="J180" s="25" t="s">
        <v>20</v>
      </c>
      <c r="K180" s="25" t="s">
        <v>25</v>
      </c>
      <c r="L180" s="25">
        <v>0</v>
      </c>
      <c r="M180" s="25">
        <v>18.16</v>
      </c>
      <c r="N180" s="25">
        <v>0</v>
      </c>
      <c r="O180" s="25">
        <v>490.36</v>
      </c>
      <c r="P180" s="25">
        <v>508.52260000000001</v>
      </c>
    </row>
    <row r="181" spans="1:16" x14ac:dyDescent="0.25">
      <c r="A181" s="26">
        <v>43774</v>
      </c>
      <c r="B181" s="25" t="s">
        <v>16</v>
      </c>
      <c r="C181" s="25" t="s">
        <v>23</v>
      </c>
      <c r="D181" s="25">
        <v>5000</v>
      </c>
      <c r="E181" s="25">
        <v>24.62</v>
      </c>
      <c r="F181" s="25">
        <v>123116.2</v>
      </c>
      <c r="G181" s="25" t="s">
        <v>1506</v>
      </c>
      <c r="H181" s="25">
        <v>2019207</v>
      </c>
      <c r="I181" s="25" t="s">
        <v>19</v>
      </c>
      <c r="J181" s="25" t="s">
        <v>20</v>
      </c>
      <c r="K181" s="25" t="s">
        <v>25</v>
      </c>
      <c r="L181" s="25">
        <v>31.17</v>
      </c>
      <c r="M181" s="25">
        <v>2.71</v>
      </c>
      <c r="N181" s="25">
        <v>0</v>
      </c>
      <c r="O181" s="25">
        <v>73.09</v>
      </c>
      <c r="P181" s="25">
        <v>106.968</v>
      </c>
    </row>
    <row r="182" spans="1:16" x14ac:dyDescent="0.25">
      <c r="A182" s="26">
        <v>43773</v>
      </c>
      <c r="B182" s="25" t="s">
        <v>268</v>
      </c>
      <c r="C182" s="25" t="s">
        <v>17</v>
      </c>
      <c r="D182" s="25">
        <v>1000</v>
      </c>
      <c r="E182" s="25">
        <v>316.3</v>
      </c>
      <c r="F182" s="25">
        <v>316300</v>
      </c>
      <c r="G182" s="25" t="s">
        <v>1507</v>
      </c>
      <c r="H182" s="25">
        <v>2019206</v>
      </c>
      <c r="I182" s="25" t="s">
        <v>19</v>
      </c>
      <c r="J182" s="25" t="s">
        <v>20</v>
      </c>
      <c r="K182" s="25" t="s">
        <v>25</v>
      </c>
      <c r="L182" s="25">
        <v>0</v>
      </c>
      <c r="M182" s="25">
        <v>6.96</v>
      </c>
      <c r="N182" s="25">
        <v>113.4</v>
      </c>
      <c r="O182" s="25">
        <v>187.88</v>
      </c>
      <c r="P182" s="25">
        <v>308.23840000000001</v>
      </c>
    </row>
    <row r="183" spans="1:16" x14ac:dyDescent="0.25">
      <c r="A183" s="26">
        <v>43773</v>
      </c>
      <c r="B183" s="25" t="s">
        <v>268</v>
      </c>
      <c r="C183" s="25" t="s">
        <v>23</v>
      </c>
      <c r="D183" s="25">
        <v>1000</v>
      </c>
      <c r="E183" s="25">
        <v>313</v>
      </c>
      <c r="F183" s="25">
        <v>313000</v>
      </c>
      <c r="G183" s="25" t="s">
        <v>1508</v>
      </c>
      <c r="H183" s="25">
        <v>2019206</v>
      </c>
      <c r="I183" s="25" t="s">
        <v>19</v>
      </c>
      <c r="J183" s="25" t="s">
        <v>20</v>
      </c>
      <c r="K183" s="25" t="s">
        <v>25</v>
      </c>
      <c r="L183" s="25">
        <v>78.739999999999995</v>
      </c>
      <c r="M183" s="25">
        <v>6.89</v>
      </c>
      <c r="N183" s="25">
        <v>0</v>
      </c>
      <c r="O183" s="25">
        <v>185.91</v>
      </c>
      <c r="P183" s="25">
        <v>271.536</v>
      </c>
    </row>
    <row r="184" spans="1:16" x14ac:dyDescent="0.25">
      <c r="A184" s="26">
        <v>43773</v>
      </c>
      <c r="B184" s="25" t="s">
        <v>268</v>
      </c>
      <c r="C184" s="25" t="s">
        <v>23</v>
      </c>
      <c r="D184" s="25">
        <v>2500</v>
      </c>
      <c r="E184" s="25">
        <v>313.26</v>
      </c>
      <c r="F184" s="25">
        <v>783153</v>
      </c>
      <c r="G184" s="25" t="s">
        <v>1509</v>
      </c>
      <c r="H184" s="25">
        <v>2019206</v>
      </c>
      <c r="I184" s="25" t="s">
        <v>19</v>
      </c>
      <c r="J184" s="25" t="s">
        <v>20</v>
      </c>
      <c r="K184" s="25" t="s">
        <v>25</v>
      </c>
      <c r="L184" s="25">
        <v>196.35</v>
      </c>
      <c r="M184" s="25">
        <v>17.23</v>
      </c>
      <c r="N184" s="25">
        <v>0</v>
      </c>
      <c r="O184" s="25">
        <v>465.16</v>
      </c>
      <c r="P184" s="25">
        <v>678.73950000000002</v>
      </c>
    </row>
    <row r="185" spans="1:16" x14ac:dyDescent="0.25">
      <c r="A185" s="26">
        <v>43773</v>
      </c>
      <c r="B185" s="25" t="s">
        <v>268</v>
      </c>
      <c r="C185" s="25" t="s">
        <v>17</v>
      </c>
      <c r="D185" s="25">
        <v>5000</v>
      </c>
      <c r="E185" s="25">
        <v>314</v>
      </c>
      <c r="F185" s="25">
        <v>1570000</v>
      </c>
      <c r="G185" s="25" t="s">
        <v>1510</v>
      </c>
      <c r="H185" s="25">
        <v>2019206</v>
      </c>
      <c r="I185" s="25" t="s">
        <v>19</v>
      </c>
      <c r="J185" s="25" t="s">
        <v>20</v>
      </c>
      <c r="K185" s="25" t="s">
        <v>25</v>
      </c>
      <c r="L185" s="25">
        <v>0</v>
      </c>
      <c r="M185" s="25">
        <v>34.54</v>
      </c>
      <c r="N185" s="25">
        <v>0</v>
      </c>
      <c r="O185" s="25">
        <v>932.52</v>
      </c>
      <c r="P185" s="25">
        <v>967.06</v>
      </c>
    </row>
    <row r="186" spans="1:16" x14ac:dyDescent="0.25">
      <c r="A186" s="26">
        <v>43773</v>
      </c>
      <c r="B186" s="25" t="s">
        <v>268</v>
      </c>
      <c r="C186" s="25" t="s">
        <v>23</v>
      </c>
      <c r="D186" s="25">
        <v>2500</v>
      </c>
      <c r="E186" s="25">
        <v>315</v>
      </c>
      <c r="F186" s="25">
        <v>787500</v>
      </c>
      <c r="G186" s="25" t="s">
        <v>1511</v>
      </c>
      <c r="H186" s="25">
        <v>2019206</v>
      </c>
      <c r="I186" s="25" t="s">
        <v>19</v>
      </c>
      <c r="J186" s="25" t="s">
        <v>20</v>
      </c>
      <c r="K186" s="25" t="s">
        <v>25</v>
      </c>
      <c r="L186" s="25">
        <v>196.35</v>
      </c>
      <c r="M186" s="25">
        <v>17.329999999999998</v>
      </c>
      <c r="N186" s="25">
        <v>0</v>
      </c>
      <c r="O186" s="25">
        <v>467.74</v>
      </c>
      <c r="P186" s="25">
        <v>681.41499999999996</v>
      </c>
    </row>
    <row r="187" spans="1:16" x14ac:dyDescent="0.25">
      <c r="A187" s="26">
        <v>43773</v>
      </c>
      <c r="B187" s="25" t="s">
        <v>74</v>
      </c>
      <c r="C187" s="25" t="s">
        <v>17</v>
      </c>
      <c r="D187" s="25">
        <v>5</v>
      </c>
      <c r="E187" s="25">
        <v>710.55</v>
      </c>
      <c r="F187" s="25">
        <v>3552.75</v>
      </c>
      <c r="G187" s="25" t="s">
        <v>1512</v>
      </c>
      <c r="H187" s="25">
        <v>2019206</v>
      </c>
      <c r="I187" s="25" t="s">
        <v>19</v>
      </c>
      <c r="J187" s="25" t="s">
        <v>20</v>
      </c>
      <c r="K187" s="25" t="s">
        <v>25</v>
      </c>
      <c r="L187" s="25">
        <v>3.55</v>
      </c>
      <c r="M187" s="25">
        <v>0.08</v>
      </c>
      <c r="N187" s="25">
        <v>0</v>
      </c>
      <c r="O187" s="25">
        <v>41.31</v>
      </c>
      <c r="P187" s="25">
        <v>44.938200000000002</v>
      </c>
    </row>
    <row r="188" spans="1:16" x14ac:dyDescent="0.25">
      <c r="A188" s="26">
        <v>43770</v>
      </c>
      <c r="B188" s="25" t="s">
        <v>268</v>
      </c>
      <c r="C188" s="25" t="s">
        <v>23</v>
      </c>
      <c r="D188" s="25">
        <v>500</v>
      </c>
      <c r="E188" s="25">
        <v>313.5</v>
      </c>
      <c r="F188" s="25">
        <v>156750</v>
      </c>
      <c r="G188" s="25" t="s">
        <v>1513</v>
      </c>
      <c r="H188" s="25">
        <v>2019205</v>
      </c>
      <c r="I188" s="25" t="s">
        <v>19</v>
      </c>
      <c r="J188" s="25" t="s">
        <v>20</v>
      </c>
      <c r="K188" s="25" t="s">
        <v>25</v>
      </c>
      <c r="L188" s="25">
        <v>38.78</v>
      </c>
      <c r="M188" s="25">
        <v>3.45</v>
      </c>
      <c r="N188" s="25">
        <v>0</v>
      </c>
      <c r="O188" s="25">
        <v>93.1</v>
      </c>
      <c r="P188" s="25">
        <v>135.32859999999999</v>
      </c>
    </row>
    <row r="189" spans="1:16" x14ac:dyDescent="0.25">
      <c r="A189" s="26">
        <v>43770</v>
      </c>
      <c r="B189" s="25" t="s">
        <v>268</v>
      </c>
      <c r="C189" s="25" t="s">
        <v>17</v>
      </c>
      <c r="D189" s="25">
        <v>1000</v>
      </c>
      <c r="E189" s="25">
        <v>313.98</v>
      </c>
      <c r="F189" s="25">
        <v>313983.59999999998</v>
      </c>
      <c r="G189" s="25" t="s">
        <v>1514</v>
      </c>
      <c r="H189" s="25">
        <v>2019205</v>
      </c>
      <c r="I189" s="25" t="s">
        <v>19</v>
      </c>
      <c r="J189" s="25" t="s">
        <v>20</v>
      </c>
      <c r="K189" s="25" t="s">
        <v>25</v>
      </c>
      <c r="L189" s="25">
        <v>0</v>
      </c>
      <c r="M189" s="25">
        <v>6.91</v>
      </c>
      <c r="N189" s="25">
        <v>18.899999999999999</v>
      </c>
      <c r="O189" s="25">
        <v>186.49</v>
      </c>
      <c r="P189" s="25">
        <v>212.29769999999999</v>
      </c>
    </row>
    <row r="190" spans="1:16" x14ac:dyDescent="0.25">
      <c r="A190" s="26">
        <v>43770</v>
      </c>
      <c r="B190" s="25" t="s">
        <v>268</v>
      </c>
      <c r="C190" s="25" t="s">
        <v>23</v>
      </c>
      <c r="D190" s="25">
        <v>500</v>
      </c>
      <c r="E190" s="25">
        <v>313.5</v>
      </c>
      <c r="F190" s="25">
        <v>156750</v>
      </c>
      <c r="G190" s="25" t="s">
        <v>1515</v>
      </c>
      <c r="H190" s="25">
        <v>2019205</v>
      </c>
      <c r="I190" s="25" t="s">
        <v>19</v>
      </c>
      <c r="J190" s="25" t="s">
        <v>20</v>
      </c>
      <c r="K190" s="25" t="s">
        <v>25</v>
      </c>
      <c r="L190" s="25">
        <v>39.22</v>
      </c>
      <c r="M190" s="25">
        <v>3.45</v>
      </c>
      <c r="N190" s="25">
        <v>0</v>
      </c>
      <c r="O190" s="25">
        <v>93.1</v>
      </c>
      <c r="P190" s="25">
        <v>135.76859999999999</v>
      </c>
    </row>
    <row r="191" spans="1:16" x14ac:dyDescent="0.25">
      <c r="A191" s="26">
        <v>43769</v>
      </c>
      <c r="B191" s="25" t="s">
        <v>98</v>
      </c>
      <c r="C191" s="25" t="s">
        <v>17</v>
      </c>
      <c r="D191" s="25">
        <v>5000</v>
      </c>
      <c r="E191" s="25">
        <v>22</v>
      </c>
      <c r="F191" s="25">
        <v>110000</v>
      </c>
      <c r="G191" s="25" t="s">
        <v>1516</v>
      </c>
      <c r="H191" s="25">
        <v>2019204</v>
      </c>
      <c r="I191" s="25" t="s">
        <v>19</v>
      </c>
      <c r="J191" s="25" t="s">
        <v>20</v>
      </c>
      <c r="K191" s="25" t="s">
        <v>25</v>
      </c>
      <c r="L191" s="25">
        <v>0</v>
      </c>
      <c r="M191" s="25">
        <v>2.42</v>
      </c>
      <c r="N191" s="25">
        <v>16.2</v>
      </c>
      <c r="O191" s="25">
        <v>65.33</v>
      </c>
      <c r="P191" s="25">
        <v>83.95</v>
      </c>
    </row>
    <row r="192" spans="1:16" x14ac:dyDescent="0.25">
      <c r="A192" s="26">
        <v>43769</v>
      </c>
      <c r="B192" s="25" t="s">
        <v>98</v>
      </c>
      <c r="C192" s="25" t="s">
        <v>23</v>
      </c>
      <c r="D192" s="25">
        <v>5000</v>
      </c>
      <c r="E192" s="25">
        <v>23.61</v>
      </c>
      <c r="F192" s="25">
        <v>118072.75</v>
      </c>
      <c r="G192" s="25" t="s">
        <v>1517</v>
      </c>
      <c r="H192" s="25">
        <v>2019204</v>
      </c>
      <c r="I192" s="25" t="s">
        <v>19</v>
      </c>
      <c r="J192" s="25" t="s">
        <v>20</v>
      </c>
      <c r="K192" s="25" t="s">
        <v>25</v>
      </c>
      <c r="L192" s="25">
        <v>28.51</v>
      </c>
      <c r="M192" s="25">
        <v>2.6</v>
      </c>
      <c r="N192" s="25">
        <v>0</v>
      </c>
      <c r="O192" s="25">
        <v>70.14</v>
      </c>
      <c r="P192" s="25">
        <v>101.2475</v>
      </c>
    </row>
    <row r="193" spans="1:16" x14ac:dyDescent="0.25">
      <c r="A193" s="26">
        <v>43769</v>
      </c>
      <c r="B193" s="25" t="s">
        <v>659</v>
      </c>
      <c r="C193" s="25" t="s">
        <v>17</v>
      </c>
      <c r="D193" s="25">
        <v>25</v>
      </c>
      <c r="E193" s="25">
        <v>56.5</v>
      </c>
      <c r="F193" s="25">
        <v>1412.5</v>
      </c>
      <c r="G193" s="25" t="s">
        <v>1518</v>
      </c>
      <c r="H193" s="25">
        <v>2019204</v>
      </c>
      <c r="I193" s="25" t="s">
        <v>19</v>
      </c>
      <c r="J193" s="25" t="s">
        <v>20</v>
      </c>
      <c r="K193" s="25" t="s">
        <v>25</v>
      </c>
      <c r="L193" s="25">
        <v>1.41</v>
      </c>
      <c r="M193" s="25">
        <v>0.03</v>
      </c>
      <c r="N193" s="25">
        <v>0</v>
      </c>
      <c r="O193" s="25">
        <v>41.31</v>
      </c>
      <c r="P193" s="25">
        <v>42.751100000000001</v>
      </c>
    </row>
    <row r="194" spans="1:16" x14ac:dyDescent="0.25">
      <c r="A194" s="26">
        <v>43769</v>
      </c>
      <c r="B194" s="25" t="s">
        <v>268</v>
      </c>
      <c r="C194" s="25" t="s">
        <v>23</v>
      </c>
      <c r="D194" s="25">
        <v>500</v>
      </c>
      <c r="E194" s="25">
        <v>302</v>
      </c>
      <c r="F194" s="25">
        <v>151000</v>
      </c>
      <c r="G194" s="25" t="s">
        <v>1519</v>
      </c>
      <c r="H194" s="25">
        <v>2019204</v>
      </c>
      <c r="I194" s="25" t="s">
        <v>19</v>
      </c>
      <c r="J194" s="25" t="s">
        <v>20</v>
      </c>
      <c r="K194" s="25" t="s">
        <v>25</v>
      </c>
      <c r="L194" s="25">
        <v>38.08</v>
      </c>
      <c r="M194" s="25">
        <v>3.32</v>
      </c>
      <c r="N194" s="25">
        <v>0</v>
      </c>
      <c r="O194" s="25">
        <v>89.68</v>
      </c>
      <c r="P194" s="25">
        <v>131.08199999999999</v>
      </c>
    </row>
    <row r="195" spans="1:16" x14ac:dyDescent="0.25">
      <c r="A195" s="26">
        <v>43769</v>
      </c>
      <c r="B195" s="25" t="s">
        <v>268</v>
      </c>
      <c r="C195" s="25" t="s">
        <v>17</v>
      </c>
      <c r="D195" s="25">
        <v>500</v>
      </c>
      <c r="E195" s="25">
        <v>304.88</v>
      </c>
      <c r="F195" s="25">
        <v>152440.20000000001</v>
      </c>
      <c r="G195" s="25" t="s">
        <v>1520</v>
      </c>
      <c r="H195" s="25">
        <v>2019204</v>
      </c>
      <c r="I195" s="25" t="s">
        <v>19</v>
      </c>
      <c r="J195" s="25" t="s">
        <v>20</v>
      </c>
      <c r="K195" s="25" t="s">
        <v>25</v>
      </c>
      <c r="L195" s="25">
        <v>0</v>
      </c>
      <c r="M195" s="25">
        <v>3.35</v>
      </c>
      <c r="N195" s="25">
        <v>0</v>
      </c>
      <c r="O195" s="25">
        <v>90.54</v>
      </c>
      <c r="P195" s="25">
        <v>93.893600000000006</v>
      </c>
    </row>
    <row r="196" spans="1:16" x14ac:dyDescent="0.25">
      <c r="A196" s="26">
        <v>43768</v>
      </c>
      <c r="B196" s="25" t="s">
        <v>268</v>
      </c>
      <c r="C196" s="25" t="s">
        <v>23</v>
      </c>
      <c r="D196" s="25">
        <v>100</v>
      </c>
      <c r="E196" s="25">
        <v>283</v>
      </c>
      <c r="F196" s="25">
        <v>28300</v>
      </c>
      <c r="G196" s="25" t="s">
        <v>1521</v>
      </c>
      <c r="H196" s="25">
        <v>2019203</v>
      </c>
      <c r="I196" s="25" t="s">
        <v>19</v>
      </c>
      <c r="J196" s="25" t="s">
        <v>20</v>
      </c>
      <c r="K196" s="25" t="s">
        <v>25</v>
      </c>
      <c r="L196" s="25">
        <v>7.21</v>
      </c>
      <c r="M196" s="25">
        <v>0.62</v>
      </c>
      <c r="N196" s="25">
        <v>0</v>
      </c>
      <c r="O196" s="25">
        <v>29.61</v>
      </c>
      <c r="P196" s="25">
        <v>37.442599999999999</v>
      </c>
    </row>
    <row r="197" spans="1:16" x14ac:dyDescent="0.25">
      <c r="A197" s="26">
        <v>43768</v>
      </c>
      <c r="B197" s="25" t="s">
        <v>1522</v>
      </c>
      <c r="C197" s="25" t="s">
        <v>23</v>
      </c>
      <c r="D197" s="25">
        <v>50</v>
      </c>
      <c r="E197" s="25">
        <v>895</v>
      </c>
      <c r="F197" s="25">
        <v>44750</v>
      </c>
      <c r="G197" s="25" t="s">
        <v>1523</v>
      </c>
      <c r="H197" s="25">
        <v>2019203</v>
      </c>
      <c r="I197" s="25" t="s">
        <v>19</v>
      </c>
      <c r="J197" s="25" t="s">
        <v>20</v>
      </c>
      <c r="K197" s="25" t="s">
        <v>25</v>
      </c>
      <c r="L197" s="25">
        <v>11.7</v>
      </c>
      <c r="M197" s="25">
        <v>0.98</v>
      </c>
      <c r="N197" s="25">
        <v>14.1</v>
      </c>
      <c r="O197" s="25">
        <v>29.68</v>
      </c>
      <c r="P197" s="25">
        <v>56.464599999999997</v>
      </c>
    </row>
    <row r="198" spans="1:16" x14ac:dyDescent="0.25">
      <c r="A198" s="26">
        <v>43768</v>
      </c>
      <c r="B198" s="25" t="s">
        <v>1522</v>
      </c>
      <c r="C198" s="25" t="s">
        <v>23</v>
      </c>
      <c r="D198" s="25">
        <v>50</v>
      </c>
      <c r="E198" s="25">
        <v>915</v>
      </c>
      <c r="F198" s="25">
        <v>45750</v>
      </c>
      <c r="G198" s="25" t="s">
        <v>1524</v>
      </c>
      <c r="H198" s="25">
        <v>2019203</v>
      </c>
      <c r="I198" s="25" t="s">
        <v>19</v>
      </c>
      <c r="J198" s="25" t="s">
        <v>20</v>
      </c>
      <c r="K198" s="25" t="s">
        <v>25</v>
      </c>
      <c r="L198" s="25">
        <v>11.25</v>
      </c>
      <c r="M198" s="25">
        <v>1.01</v>
      </c>
      <c r="N198" s="25">
        <v>0</v>
      </c>
      <c r="O198" s="25">
        <v>29.68</v>
      </c>
      <c r="P198" s="25">
        <v>41.936599999999999</v>
      </c>
    </row>
    <row r="199" spans="1:16" x14ac:dyDescent="0.25">
      <c r="A199" s="26">
        <v>43768</v>
      </c>
      <c r="B199" s="25" t="s">
        <v>268</v>
      </c>
      <c r="C199" s="25" t="s">
        <v>23</v>
      </c>
      <c r="D199" s="25">
        <v>100</v>
      </c>
      <c r="E199" s="25">
        <v>285</v>
      </c>
      <c r="F199" s="25">
        <v>28500</v>
      </c>
      <c r="G199" s="25" t="s">
        <v>1525</v>
      </c>
      <c r="H199" s="25">
        <v>2019203</v>
      </c>
      <c r="I199" s="25" t="s">
        <v>19</v>
      </c>
      <c r="J199" s="25" t="s">
        <v>20</v>
      </c>
      <c r="K199" s="25" t="s">
        <v>25</v>
      </c>
      <c r="L199" s="25">
        <v>7.21</v>
      </c>
      <c r="M199" s="25">
        <v>0.63</v>
      </c>
      <c r="N199" s="25">
        <v>0</v>
      </c>
      <c r="O199" s="25">
        <v>29.61</v>
      </c>
      <c r="P199" s="25">
        <v>37.447000000000003</v>
      </c>
    </row>
    <row r="200" spans="1:16" x14ac:dyDescent="0.25">
      <c r="A200" s="26">
        <v>43768</v>
      </c>
      <c r="B200" s="25" t="s">
        <v>1522</v>
      </c>
      <c r="C200" s="25" t="s">
        <v>17</v>
      </c>
      <c r="D200" s="25">
        <v>100</v>
      </c>
      <c r="E200" s="25">
        <v>895</v>
      </c>
      <c r="F200" s="25">
        <v>89500</v>
      </c>
      <c r="G200" s="25" t="s">
        <v>1526</v>
      </c>
      <c r="H200" s="25">
        <v>2019203</v>
      </c>
      <c r="I200" s="25" t="s">
        <v>19</v>
      </c>
      <c r="J200" s="25" t="s">
        <v>20</v>
      </c>
      <c r="K200" s="25" t="s">
        <v>25</v>
      </c>
      <c r="L200" s="25">
        <v>0</v>
      </c>
      <c r="M200" s="25">
        <v>1.97</v>
      </c>
      <c r="N200" s="25">
        <v>0</v>
      </c>
      <c r="O200" s="25">
        <v>53.16</v>
      </c>
      <c r="P200" s="25">
        <v>55.128999999999998</v>
      </c>
    </row>
    <row r="201" spans="1:16" x14ac:dyDescent="0.25">
      <c r="A201" s="26">
        <v>43768</v>
      </c>
      <c r="B201" s="25" t="s">
        <v>268</v>
      </c>
      <c r="C201" s="25" t="s">
        <v>23</v>
      </c>
      <c r="D201" s="25">
        <v>100</v>
      </c>
      <c r="E201" s="25">
        <v>288</v>
      </c>
      <c r="F201" s="25">
        <v>28800</v>
      </c>
      <c r="G201" s="25" t="s">
        <v>1527</v>
      </c>
      <c r="H201" s="25">
        <v>2019203</v>
      </c>
      <c r="I201" s="25" t="s">
        <v>19</v>
      </c>
      <c r="J201" s="25" t="s">
        <v>20</v>
      </c>
      <c r="K201" s="25" t="s">
        <v>25</v>
      </c>
      <c r="L201" s="25">
        <v>7.21</v>
      </c>
      <c r="M201" s="25">
        <v>0.63</v>
      </c>
      <c r="N201" s="25">
        <v>0</v>
      </c>
      <c r="O201" s="25">
        <v>29.61</v>
      </c>
      <c r="P201" s="25">
        <v>37.453600000000002</v>
      </c>
    </row>
    <row r="202" spans="1:16" x14ac:dyDescent="0.25">
      <c r="A202" s="26">
        <v>43768</v>
      </c>
      <c r="B202" s="25" t="s">
        <v>268</v>
      </c>
      <c r="C202" s="25" t="s">
        <v>23</v>
      </c>
      <c r="D202" s="25">
        <v>200</v>
      </c>
      <c r="E202" s="25">
        <v>288.5</v>
      </c>
      <c r="F202" s="25">
        <v>57700</v>
      </c>
      <c r="G202" s="25" t="s">
        <v>1528</v>
      </c>
      <c r="H202" s="25">
        <v>2019203</v>
      </c>
      <c r="I202" s="25" t="s">
        <v>19</v>
      </c>
      <c r="J202" s="25" t="s">
        <v>20</v>
      </c>
      <c r="K202" s="25" t="s">
        <v>25</v>
      </c>
      <c r="L202" s="25">
        <v>14.42</v>
      </c>
      <c r="M202" s="25">
        <v>1.27</v>
      </c>
      <c r="N202" s="25">
        <v>0</v>
      </c>
      <c r="O202" s="25">
        <v>34.28</v>
      </c>
      <c r="P202" s="25">
        <v>49.9694</v>
      </c>
    </row>
    <row r="203" spans="1:16" x14ac:dyDescent="0.25">
      <c r="A203" s="26">
        <v>43768</v>
      </c>
      <c r="B203" s="25" t="s">
        <v>268</v>
      </c>
      <c r="C203" s="25" t="s">
        <v>17</v>
      </c>
      <c r="D203" s="25">
        <v>500</v>
      </c>
      <c r="E203" s="25">
        <v>290.2</v>
      </c>
      <c r="F203" s="25">
        <v>145100</v>
      </c>
      <c r="G203" s="25" t="s">
        <v>1529</v>
      </c>
      <c r="H203" s="25">
        <v>2019203</v>
      </c>
      <c r="I203" s="25" t="s">
        <v>19</v>
      </c>
      <c r="J203" s="25" t="s">
        <v>20</v>
      </c>
      <c r="K203" s="25" t="s">
        <v>25</v>
      </c>
      <c r="L203" s="25">
        <v>0</v>
      </c>
      <c r="M203" s="25">
        <v>3.19</v>
      </c>
      <c r="N203" s="25">
        <v>0</v>
      </c>
      <c r="O203" s="25">
        <v>86.18</v>
      </c>
      <c r="P203" s="25">
        <v>89.372200000000007</v>
      </c>
    </row>
    <row r="204" spans="1:16" x14ac:dyDescent="0.25">
      <c r="A204" s="26">
        <v>43767</v>
      </c>
      <c r="B204" s="25" t="s">
        <v>282</v>
      </c>
      <c r="C204" s="25" t="s">
        <v>17</v>
      </c>
      <c r="D204" s="25">
        <v>250</v>
      </c>
      <c r="E204" s="25">
        <v>242</v>
      </c>
      <c r="F204" s="25">
        <v>60500</v>
      </c>
      <c r="G204" s="25" t="s">
        <v>1530</v>
      </c>
      <c r="H204" s="25">
        <v>2019202</v>
      </c>
      <c r="I204" s="25" t="s">
        <v>19</v>
      </c>
      <c r="J204" s="25" t="s">
        <v>20</v>
      </c>
      <c r="K204" s="25" t="s">
        <v>25</v>
      </c>
      <c r="L204" s="25">
        <v>0</v>
      </c>
      <c r="M204" s="25">
        <v>1.33</v>
      </c>
      <c r="N204" s="25">
        <v>0</v>
      </c>
      <c r="O204" s="25">
        <v>35.93</v>
      </c>
      <c r="P204" s="25">
        <v>37.261000000000003</v>
      </c>
    </row>
    <row r="205" spans="1:16" x14ac:dyDescent="0.25">
      <c r="A205" s="26">
        <v>43767</v>
      </c>
      <c r="B205" s="25" t="s">
        <v>282</v>
      </c>
      <c r="C205" s="25" t="s">
        <v>23</v>
      </c>
      <c r="D205" s="25">
        <v>250</v>
      </c>
      <c r="E205" s="25">
        <v>246</v>
      </c>
      <c r="F205" s="25">
        <v>61500</v>
      </c>
      <c r="G205" s="25" t="s">
        <v>1531</v>
      </c>
      <c r="H205" s="25">
        <v>2019202</v>
      </c>
      <c r="I205" s="25" t="s">
        <v>19</v>
      </c>
      <c r="J205" s="25" t="s">
        <v>20</v>
      </c>
      <c r="K205" s="25" t="s">
        <v>25</v>
      </c>
      <c r="L205" s="25">
        <v>15</v>
      </c>
      <c r="M205" s="25">
        <v>1.35</v>
      </c>
      <c r="N205" s="25">
        <v>3.9</v>
      </c>
      <c r="O205" s="25">
        <v>36.53</v>
      </c>
      <c r="P205" s="25">
        <v>56.783000000000001</v>
      </c>
    </row>
    <row r="206" spans="1:16" x14ac:dyDescent="0.25">
      <c r="A206" s="26">
        <v>43765</v>
      </c>
      <c r="B206" s="25" t="s">
        <v>480</v>
      </c>
      <c r="C206" s="25" t="s">
        <v>17</v>
      </c>
      <c r="D206" s="25">
        <v>2500</v>
      </c>
      <c r="E206" s="25">
        <v>81.400000000000006</v>
      </c>
      <c r="F206" s="25">
        <v>203500</v>
      </c>
      <c r="G206" s="25" t="s">
        <v>1532</v>
      </c>
      <c r="H206" s="25">
        <v>2019201</v>
      </c>
      <c r="I206" s="25" t="s">
        <v>19</v>
      </c>
      <c r="J206" s="25" t="s">
        <v>20</v>
      </c>
      <c r="K206" s="25" t="s">
        <v>25</v>
      </c>
      <c r="L206" s="25">
        <v>0</v>
      </c>
      <c r="M206" s="25">
        <v>4.4800000000000004</v>
      </c>
      <c r="N206" s="25">
        <v>17.100000000000001</v>
      </c>
      <c r="O206" s="25">
        <v>120.87</v>
      </c>
      <c r="P206" s="25">
        <v>142.447</v>
      </c>
    </row>
    <row r="207" spans="1:16" x14ac:dyDescent="0.25">
      <c r="A207" s="26">
        <v>43765</v>
      </c>
      <c r="B207" s="25" t="s">
        <v>480</v>
      </c>
      <c r="C207" s="25" t="s">
        <v>17</v>
      </c>
      <c r="D207" s="25">
        <v>1000</v>
      </c>
      <c r="E207" s="25">
        <v>81</v>
      </c>
      <c r="F207" s="25">
        <v>81000</v>
      </c>
      <c r="G207" s="25" t="s">
        <v>1533</v>
      </c>
      <c r="H207" s="25">
        <v>2019201</v>
      </c>
      <c r="I207" s="25" t="s">
        <v>19</v>
      </c>
      <c r="J207" s="25" t="s">
        <v>20</v>
      </c>
      <c r="K207" s="25" t="s">
        <v>25</v>
      </c>
      <c r="L207" s="25">
        <v>0</v>
      </c>
      <c r="M207" s="25">
        <v>1.78</v>
      </c>
      <c r="N207" s="25">
        <v>0</v>
      </c>
      <c r="O207" s="25">
        <v>48.11</v>
      </c>
      <c r="P207" s="25">
        <v>49.892000000000003</v>
      </c>
    </row>
    <row r="208" spans="1:16" x14ac:dyDescent="0.25">
      <c r="A208" s="26">
        <v>43765</v>
      </c>
      <c r="B208" s="25" t="s">
        <v>480</v>
      </c>
      <c r="C208" s="25" t="s">
        <v>23</v>
      </c>
      <c r="D208" s="25">
        <v>3500</v>
      </c>
      <c r="E208" s="25">
        <v>80.849999999999994</v>
      </c>
      <c r="F208" s="25">
        <v>282975</v>
      </c>
      <c r="G208" s="25" t="s">
        <v>1534</v>
      </c>
      <c r="H208" s="25">
        <v>2019201</v>
      </c>
      <c r="I208" s="25" t="s">
        <v>19</v>
      </c>
      <c r="J208" s="25" t="s">
        <v>20</v>
      </c>
      <c r="K208" s="25" t="s">
        <v>25</v>
      </c>
      <c r="L208" s="25">
        <v>70.930000000000007</v>
      </c>
      <c r="M208" s="25">
        <v>6.23</v>
      </c>
      <c r="N208" s="25">
        <v>0</v>
      </c>
      <c r="O208" s="25">
        <v>168.08</v>
      </c>
      <c r="P208" s="25">
        <v>245.23560000000001</v>
      </c>
    </row>
    <row r="209" spans="1:16" x14ac:dyDescent="0.25">
      <c r="A209" s="26">
        <v>43765</v>
      </c>
      <c r="B209" s="25" t="s">
        <v>282</v>
      </c>
      <c r="C209" s="25" t="s">
        <v>17</v>
      </c>
      <c r="D209" s="25">
        <v>5</v>
      </c>
      <c r="E209" s="25">
        <v>242.5</v>
      </c>
      <c r="F209" s="25">
        <v>1212.5</v>
      </c>
      <c r="G209" s="25" t="s">
        <v>1535</v>
      </c>
      <c r="H209" s="25">
        <v>2019201</v>
      </c>
      <c r="I209" s="25" t="s">
        <v>19</v>
      </c>
      <c r="J209" s="25" t="s">
        <v>20</v>
      </c>
      <c r="K209" s="25" t="s">
        <v>25</v>
      </c>
      <c r="L209" s="25">
        <v>1.07</v>
      </c>
      <c r="M209" s="25">
        <v>0.03</v>
      </c>
      <c r="N209" s="25">
        <v>0</v>
      </c>
      <c r="O209" s="25">
        <v>35.770000000000003</v>
      </c>
      <c r="P209" s="25">
        <v>36.866700000000002</v>
      </c>
    </row>
    <row r="210" spans="1:16" x14ac:dyDescent="0.25">
      <c r="A210" s="26">
        <v>43763</v>
      </c>
      <c r="B210" s="25" t="s">
        <v>981</v>
      </c>
      <c r="C210" s="25" t="s">
        <v>17</v>
      </c>
      <c r="D210" s="25">
        <v>500</v>
      </c>
      <c r="E210" s="25">
        <v>141.5</v>
      </c>
      <c r="F210" s="25">
        <v>70750</v>
      </c>
      <c r="G210" s="25" t="s">
        <v>1536</v>
      </c>
      <c r="H210" s="25">
        <v>2019200</v>
      </c>
      <c r="I210" s="25" t="s">
        <v>19</v>
      </c>
      <c r="J210" s="25" t="s">
        <v>20</v>
      </c>
      <c r="K210" s="25" t="s">
        <v>25</v>
      </c>
      <c r="L210" s="25">
        <v>0</v>
      </c>
      <c r="M210" s="25">
        <v>1.56</v>
      </c>
      <c r="N210" s="25">
        <v>0</v>
      </c>
      <c r="O210" s="25">
        <v>42.02</v>
      </c>
      <c r="P210" s="25">
        <v>43.576599999999999</v>
      </c>
    </row>
    <row r="211" spans="1:16" x14ac:dyDescent="0.25">
      <c r="A211" s="26">
        <v>43763</v>
      </c>
      <c r="B211" s="25" t="s">
        <v>981</v>
      </c>
      <c r="C211" s="25" t="s">
        <v>23</v>
      </c>
      <c r="D211" s="25">
        <v>500</v>
      </c>
      <c r="E211" s="25">
        <v>144</v>
      </c>
      <c r="F211" s="25">
        <v>72000</v>
      </c>
      <c r="G211" s="25" t="s">
        <v>1537</v>
      </c>
      <c r="H211" s="25">
        <v>2019200</v>
      </c>
      <c r="I211" s="25" t="s">
        <v>19</v>
      </c>
      <c r="J211" s="25" t="s">
        <v>20</v>
      </c>
      <c r="K211" s="25" t="s">
        <v>25</v>
      </c>
      <c r="L211" s="25">
        <v>17.84</v>
      </c>
      <c r="M211" s="25">
        <v>1.58</v>
      </c>
      <c r="N211" s="25">
        <v>0</v>
      </c>
      <c r="O211" s="25">
        <v>42.77</v>
      </c>
      <c r="P211" s="25">
        <v>62.194000000000003</v>
      </c>
    </row>
    <row r="212" spans="1:16" x14ac:dyDescent="0.25">
      <c r="A212" s="26">
        <v>43763</v>
      </c>
      <c r="B212" s="25" t="s">
        <v>268</v>
      </c>
      <c r="C212" s="25" t="s">
        <v>23</v>
      </c>
      <c r="D212" s="25">
        <v>100</v>
      </c>
      <c r="E212" s="25">
        <v>271</v>
      </c>
      <c r="F212" s="25">
        <v>27100</v>
      </c>
      <c r="G212" s="25" t="s">
        <v>1538</v>
      </c>
      <c r="H212" s="25">
        <v>2019200</v>
      </c>
      <c r="I212" s="25" t="s">
        <v>19</v>
      </c>
      <c r="J212" s="25" t="s">
        <v>20</v>
      </c>
      <c r="K212" s="25" t="s">
        <v>25</v>
      </c>
      <c r="L212" s="25">
        <v>6.65</v>
      </c>
      <c r="M212" s="25">
        <v>0.6</v>
      </c>
      <c r="N212" s="25">
        <v>0</v>
      </c>
      <c r="O212" s="25">
        <v>29.61</v>
      </c>
      <c r="P212" s="25">
        <v>36.856200000000001</v>
      </c>
    </row>
    <row r="213" spans="1:16" x14ac:dyDescent="0.25">
      <c r="A213" s="26">
        <v>43763</v>
      </c>
      <c r="B213" s="25" t="s">
        <v>1539</v>
      </c>
      <c r="C213" s="25" t="s">
        <v>17</v>
      </c>
      <c r="D213" s="25">
        <v>25</v>
      </c>
      <c r="E213" s="25">
        <v>1471.34</v>
      </c>
      <c r="F213" s="25">
        <v>36783.449999999997</v>
      </c>
      <c r="G213" s="25" t="s">
        <v>1540</v>
      </c>
      <c r="H213" s="25">
        <v>2019200</v>
      </c>
      <c r="I213" s="25" t="s">
        <v>19</v>
      </c>
      <c r="J213" s="25" t="s">
        <v>20</v>
      </c>
      <c r="K213" s="25" t="s">
        <v>25</v>
      </c>
      <c r="L213" s="25">
        <v>0</v>
      </c>
      <c r="M213" s="25">
        <v>0.81</v>
      </c>
      <c r="N213" s="25">
        <v>15</v>
      </c>
      <c r="O213" s="25">
        <v>29.66</v>
      </c>
      <c r="P213" s="25">
        <v>45.469299999999997</v>
      </c>
    </row>
    <row r="214" spans="1:16" x14ac:dyDescent="0.25">
      <c r="A214" s="26">
        <v>43763</v>
      </c>
      <c r="B214" s="25" t="s">
        <v>1539</v>
      </c>
      <c r="C214" s="25" t="s">
        <v>23</v>
      </c>
      <c r="D214" s="25">
        <v>25</v>
      </c>
      <c r="E214" s="25">
        <v>1552.8</v>
      </c>
      <c r="F214" s="25">
        <v>38820</v>
      </c>
      <c r="G214" s="25" t="s">
        <v>1541</v>
      </c>
      <c r="H214" s="25">
        <v>2019200</v>
      </c>
      <c r="I214" s="25" t="s">
        <v>19</v>
      </c>
      <c r="J214" s="25" t="s">
        <v>20</v>
      </c>
      <c r="K214" s="25" t="s">
        <v>25</v>
      </c>
      <c r="L214" s="25">
        <v>9.4499999999999993</v>
      </c>
      <c r="M214" s="25">
        <v>0.85</v>
      </c>
      <c r="N214" s="25">
        <v>0</v>
      </c>
      <c r="O214" s="25">
        <v>29.65</v>
      </c>
      <c r="P214" s="25">
        <v>39.954000000000001</v>
      </c>
    </row>
    <row r="215" spans="1:16" x14ac:dyDescent="0.25">
      <c r="A215" s="26">
        <v>43763</v>
      </c>
      <c r="B215" s="25" t="s">
        <v>268</v>
      </c>
      <c r="C215" s="25" t="s">
        <v>23</v>
      </c>
      <c r="D215" s="25">
        <v>150</v>
      </c>
      <c r="E215" s="25">
        <v>278</v>
      </c>
      <c r="F215" s="25">
        <v>41700</v>
      </c>
      <c r="G215" s="25" t="s">
        <v>1542</v>
      </c>
      <c r="H215" s="25">
        <v>2019200</v>
      </c>
      <c r="I215" s="25" t="s">
        <v>19</v>
      </c>
      <c r="J215" s="25" t="s">
        <v>20</v>
      </c>
      <c r="K215" s="25" t="s">
        <v>25</v>
      </c>
      <c r="L215" s="25">
        <v>10.52</v>
      </c>
      <c r="M215" s="25">
        <v>0.92</v>
      </c>
      <c r="N215" s="25">
        <v>0</v>
      </c>
      <c r="O215" s="25">
        <v>29.66</v>
      </c>
      <c r="P215" s="25">
        <v>41.0976</v>
      </c>
    </row>
    <row r="216" spans="1:16" x14ac:dyDescent="0.25">
      <c r="A216" s="26">
        <v>43763</v>
      </c>
      <c r="B216" s="25" t="s">
        <v>268</v>
      </c>
      <c r="C216" s="25" t="s">
        <v>23</v>
      </c>
      <c r="D216" s="25">
        <v>250</v>
      </c>
      <c r="E216" s="25">
        <v>284</v>
      </c>
      <c r="F216" s="25">
        <v>71000</v>
      </c>
      <c r="G216" s="25" t="s">
        <v>1543</v>
      </c>
      <c r="H216" s="25">
        <v>2019200</v>
      </c>
      <c r="I216" s="25" t="s">
        <v>19</v>
      </c>
      <c r="J216" s="25" t="s">
        <v>20</v>
      </c>
      <c r="K216" s="25" t="s">
        <v>25</v>
      </c>
      <c r="L216" s="25">
        <v>17.53</v>
      </c>
      <c r="M216" s="25">
        <v>1.56</v>
      </c>
      <c r="N216" s="25">
        <v>0</v>
      </c>
      <c r="O216" s="25">
        <v>42.17</v>
      </c>
      <c r="P216" s="25">
        <v>61.262</v>
      </c>
    </row>
    <row r="217" spans="1:16" x14ac:dyDescent="0.25">
      <c r="A217" s="26">
        <v>43763</v>
      </c>
      <c r="B217" s="25" t="s">
        <v>268</v>
      </c>
      <c r="C217" s="25" t="s">
        <v>17</v>
      </c>
      <c r="D217" s="25">
        <v>500</v>
      </c>
      <c r="E217" s="25">
        <v>281.5</v>
      </c>
      <c r="F217" s="25">
        <v>140750</v>
      </c>
      <c r="G217" s="25" t="s">
        <v>1544</v>
      </c>
      <c r="H217" s="25">
        <v>2019200</v>
      </c>
      <c r="I217" s="25" t="s">
        <v>19</v>
      </c>
      <c r="J217" s="25" t="s">
        <v>20</v>
      </c>
      <c r="K217" s="25" t="s">
        <v>25</v>
      </c>
      <c r="L217" s="25">
        <v>0</v>
      </c>
      <c r="M217" s="25">
        <v>3.1</v>
      </c>
      <c r="N217" s="25">
        <v>0</v>
      </c>
      <c r="O217" s="25">
        <v>83.6</v>
      </c>
      <c r="P217" s="25">
        <v>86.696399999999997</v>
      </c>
    </row>
    <row r="218" spans="1:16" x14ac:dyDescent="0.25">
      <c r="A218" s="26">
        <v>43762</v>
      </c>
      <c r="B218" s="25" t="s">
        <v>74</v>
      </c>
      <c r="C218" s="25" t="s">
        <v>17</v>
      </c>
      <c r="D218" s="25">
        <v>5</v>
      </c>
      <c r="E218" s="25">
        <v>640</v>
      </c>
      <c r="F218" s="25">
        <v>3200</v>
      </c>
      <c r="G218" s="25" t="s">
        <v>1545</v>
      </c>
      <c r="H218" s="25">
        <v>2019199</v>
      </c>
      <c r="I218" s="25" t="s">
        <v>19</v>
      </c>
      <c r="J218" s="25" t="s">
        <v>20</v>
      </c>
      <c r="K218" s="25" t="s">
        <v>25</v>
      </c>
      <c r="L218" s="25">
        <v>3.2</v>
      </c>
      <c r="M218" s="25">
        <v>7.0000000000000007E-2</v>
      </c>
      <c r="N218" s="25">
        <v>0</v>
      </c>
      <c r="O218" s="25">
        <v>41.31</v>
      </c>
      <c r="P218" s="25">
        <v>44.580399999999997</v>
      </c>
    </row>
    <row r="219" spans="1:16" x14ac:dyDescent="0.25">
      <c r="A219" s="26">
        <v>43762</v>
      </c>
      <c r="B219" s="25" t="s">
        <v>282</v>
      </c>
      <c r="C219" s="25" t="s">
        <v>17</v>
      </c>
      <c r="D219" s="25">
        <v>250</v>
      </c>
      <c r="E219" s="25">
        <v>246</v>
      </c>
      <c r="F219" s="25">
        <v>61500</v>
      </c>
      <c r="G219" s="25" t="s">
        <v>1546</v>
      </c>
      <c r="H219" s="25">
        <v>2019199</v>
      </c>
      <c r="I219" s="25" t="s">
        <v>19</v>
      </c>
      <c r="J219" s="25" t="s">
        <v>20</v>
      </c>
      <c r="K219" s="25" t="s">
        <v>25</v>
      </c>
      <c r="L219" s="25">
        <v>0</v>
      </c>
      <c r="M219" s="25">
        <v>1.35</v>
      </c>
      <c r="N219" s="25">
        <v>0</v>
      </c>
      <c r="O219" s="25">
        <v>36.53</v>
      </c>
      <c r="P219" s="25">
        <v>37.883000000000003</v>
      </c>
    </row>
    <row r="220" spans="1:16" x14ac:dyDescent="0.25">
      <c r="A220" s="26">
        <v>43762</v>
      </c>
      <c r="B220" s="25" t="s">
        <v>282</v>
      </c>
      <c r="C220" s="25" t="s">
        <v>17</v>
      </c>
      <c r="D220" s="25">
        <v>250</v>
      </c>
      <c r="E220" s="25">
        <v>243</v>
      </c>
      <c r="F220" s="25">
        <v>60750</v>
      </c>
      <c r="G220" s="25" t="s">
        <v>1547</v>
      </c>
      <c r="H220" s="25">
        <v>2019199</v>
      </c>
      <c r="I220" s="25" t="s">
        <v>19</v>
      </c>
      <c r="J220" s="25" t="s">
        <v>20</v>
      </c>
      <c r="K220" s="25" t="s">
        <v>25</v>
      </c>
      <c r="L220" s="25">
        <v>0</v>
      </c>
      <c r="M220" s="25">
        <v>1.34</v>
      </c>
      <c r="N220" s="25">
        <v>0</v>
      </c>
      <c r="O220" s="25">
        <v>36.08</v>
      </c>
      <c r="P220" s="25">
        <v>37.416600000000003</v>
      </c>
    </row>
    <row r="221" spans="1:16" x14ac:dyDescent="0.25">
      <c r="A221" s="26">
        <v>43762</v>
      </c>
      <c r="B221" s="25" t="s">
        <v>1037</v>
      </c>
      <c r="C221" s="25" t="s">
        <v>17</v>
      </c>
      <c r="D221" s="25">
        <v>100</v>
      </c>
      <c r="E221" s="25">
        <v>469</v>
      </c>
      <c r="F221" s="25">
        <v>46900</v>
      </c>
      <c r="G221" s="25" t="s">
        <v>1548</v>
      </c>
      <c r="H221" s="25">
        <v>2019199</v>
      </c>
      <c r="I221" s="25" t="s">
        <v>19</v>
      </c>
      <c r="J221" s="25" t="s">
        <v>20</v>
      </c>
      <c r="K221" s="25" t="s">
        <v>25</v>
      </c>
      <c r="L221" s="25">
        <v>0</v>
      </c>
      <c r="M221" s="25">
        <v>1.03</v>
      </c>
      <c r="N221" s="25">
        <v>0</v>
      </c>
      <c r="O221" s="25">
        <v>29.69</v>
      </c>
      <c r="P221" s="25">
        <v>30.721800000000002</v>
      </c>
    </row>
    <row r="222" spans="1:16" x14ac:dyDescent="0.25">
      <c r="A222" s="26">
        <v>43762</v>
      </c>
      <c r="B222" s="25" t="s">
        <v>1037</v>
      </c>
      <c r="C222" s="25" t="s">
        <v>23</v>
      </c>
      <c r="D222" s="25">
        <v>100</v>
      </c>
      <c r="E222" s="25">
        <v>472</v>
      </c>
      <c r="F222" s="25">
        <v>47200</v>
      </c>
      <c r="G222" s="25" t="s">
        <v>1549</v>
      </c>
      <c r="H222" s="25">
        <v>2019199</v>
      </c>
      <c r="I222" s="25" t="s">
        <v>19</v>
      </c>
      <c r="J222" s="25" t="s">
        <v>20</v>
      </c>
      <c r="K222" s="25" t="s">
        <v>25</v>
      </c>
      <c r="L222" s="25">
        <v>11.43</v>
      </c>
      <c r="M222" s="25">
        <v>1.04</v>
      </c>
      <c r="N222" s="25">
        <v>19.2</v>
      </c>
      <c r="O222" s="25">
        <v>29.69</v>
      </c>
      <c r="P222" s="25">
        <v>61.358400000000003</v>
      </c>
    </row>
    <row r="223" spans="1:16" x14ac:dyDescent="0.25">
      <c r="A223" s="26">
        <v>43762</v>
      </c>
      <c r="B223" s="25" t="s">
        <v>282</v>
      </c>
      <c r="C223" s="25" t="s">
        <v>23</v>
      </c>
      <c r="D223" s="25">
        <v>500</v>
      </c>
      <c r="E223" s="25">
        <v>246.88</v>
      </c>
      <c r="F223" s="25">
        <v>123441.4</v>
      </c>
      <c r="G223" s="25" t="s">
        <v>1550</v>
      </c>
      <c r="H223" s="25">
        <v>2019199</v>
      </c>
      <c r="I223" s="25" t="s">
        <v>19</v>
      </c>
      <c r="J223" s="25" t="s">
        <v>20</v>
      </c>
      <c r="K223" s="25" t="s">
        <v>25</v>
      </c>
      <c r="L223" s="25">
        <v>30.71</v>
      </c>
      <c r="M223" s="25">
        <v>2.72</v>
      </c>
      <c r="N223" s="25">
        <v>0</v>
      </c>
      <c r="O223" s="25">
        <v>73.319999999999993</v>
      </c>
      <c r="P223" s="25">
        <v>106.74550000000001</v>
      </c>
    </row>
    <row r="224" spans="1:16" x14ac:dyDescent="0.25">
      <c r="A224" s="26">
        <v>43762</v>
      </c>
      <c r="B224" s="25" t="s">
        <v>871</v>
      </c>
      <c r="C224" s="25" t="s">
        <v>23</v>
      </c>
      <c r="D224" s="25">
        <v>1000</v>
      </c>
      <c r="E224" s="25">
        <v>147.03</v>
      </c>
      <c r="F224" s="25">
        <v>147025</v>
      </c>
      <c r="G224" s="25" t="s">
        <v>1551</v>
      </c>
      <c r="H224" s="25">
        <v>2019199</v>
      </c>
      <c r="I224" s="25" t="s">
        <v>19</v>
      </c>
      <c r="J224" s="25" t="s">
        <v>20</v>
      </c>
      <c r="K224" s="25" t="s">
        <v>25</v>
      </c>
      <c r="L224" s="25">
        <v>36.659999999999997</v>
      </c>
      <c r="M224" s="25">
        <v>3.23</v>
      </c>
      <c r="N224" s="25">
        <v>0</v>
      </c>
      <c r="O224" s="25">
        <v>87.33</v>
      </c>
      <c r="P224" s="25">
        <v>127.2244</v>
      </c>
    </row>
    <row r="225" spans="1:16" x14ac:dyDescent="0.25">
      <c r="A225" s="26">
        <v>43762</v>
      </c>
      <c r="B225" s="25" t="s">
        <v>871</v>
      </c>
      <c r="C225" s="25" t="s">
        <v>17</v>
      </c>
      <c r="D225" s="25">
        <v>1000</v>
      </c>
      <c r="E225" s="25">
        <v>146.25</v>
      </c>
      <c r="F225" s="25">
        <v>146250</v>
      </c>
      <c r="G225" s="25" t="s">
        <v>1552</v>
      </c>
      <c r="H225" s="25">
        <v>2019199</v>
      </c>
      <c r="I225" s="25" t="s">
        <v>19</v>
      </c>
      <c r="J225" s="25" t="s">
        <v>20</v>
      </c>
      <c r="K225" s="25" t="s">
        <v>25</v>
      </c>
      <c r="L225" s="25">
        <v>0</v>
      </c>
      <c r="M225" s="25">
        <v>3.22</v>
      </c>
      <c r="N225" s="25">
        <v>0</v>
      </c>
      <c r="O225" s="25">
        <v>86.86</v>
      </c>
      <c r="P225" s="25">
        <v>90.077500000000001</v>
      </c>
    </row>
    <row r="226" spans="1:16" x14ac:dyDescent="0.25">
      <c r="A226" s="26">
        <v>43761</v>
      </c>
      <c r="B226" s="25" t="s">
        <v>16</v>
      </c>
      <c r="C226" s="25" t="s">
        <v>17</v>
      </c>
      <c r="D226" s="25">
        <v>50</v>
      </c>
      <c r="E226" s="25">
        <v>23.5</v>
      </c>
      <c r="F226" s="25">
        <v>1175</v>
      </c>
      <c r="G226" s="25" t="s">
        <v>1553</v>
      </c>
      <c r="H226" s="25">
        <v>2019198</v>
      </c>
      <c r="I226" s="25" t="s">
        <v>19</v>
      </c>
      <c r="J226" s="25" t="s">
        <v>20</v>
      </c>
      <c r="K226" s="25" t="s">
        <v>25</v>
      </c>
      <c r="L226" s="25">
        <v>1</v>
      </c>
      <c r="M226" s="25">
        <v>0.03</v>
      </c>
      <c r="N226" s="25">
        <v>0.3</v>
      </c>
      <c r="O226" s="25">
        <v>34.67</v>
      </c>
      <c r="P226" s="25">
        <v>35.995899999999999</v>
      </c>
    </row>
    <row r="227" spans="1:16" x14ac:dyDescent="0.25">
      <c r="A227" s="26">
        <v>43760</v>
      </c>
      <c r="B227" s="25" t="s">
        <v>1407</v>
      </c>
      <c r="C227" s="25" t="s">
        <v>17</v>
      </c>
      <c r="D227" s="25">
        <v>100</v>
      </c>
      <c r="E227" s="25">
        <v>290</v>
      </c>
      <c r="F227" s="25">
        <v>29000</v>
      </c>
      <c r="G227" s="25" t="s">
        <v>1554</v>
      </c>
      <c r="H227" s="25">
        <v>2019197</v>
      </c>
      <c r="I227" s="25" t="s">
        <v>19</v>
      </c>
      <c r="J227" s="25" t="s">
        <v>20</v>
      </c>
      <c r="K227" s="25" t="s">
        <v>25</v>
      </c>
      <c r="L227" s="25">
        <v>0</v>
      </c>
      <c r="M227" s="25">
        <v>0.64</v>
      </c>
      <c r="N227" s="25">
        <v>0</v>
      </c>
      <c r="O227" s="25">
        <v>29.61</v>
      </c>
      <c r="P227" s="25">
        <v>30.248000000000001</v>
      </c>
    </row>
    <row r="228" spans="1:16" x14ac:dyDescent="0.25">
      <c r="A228" s="26">
        <v>43760</v>
      </c>
      <c r="B228" s="25" t="s">
        <v>1407</v>
      </c>
      <c r="C228" s="25" t="s">
        <v>23</v>
      </c>
      <c r="D228" s="25">
        <v>100</v>
      </c>
      <c r="E228" s="25">
        <v>286.3</v>
      </c>
      <c r="F228" s="25">
        <v>28629.8</v>
      </c>
      <c r="G228" s="25" t="s">
        <v>1555</v>
      </c>
      <c r="H228" s="25">
        <v>2019197</v>
      </c>
      <c r="I228" s="25" t="s">
        <v>19</v>
      </c>
      <c r="J228" s="25" t="s">
        <v>20</v>
      </c>
      <c r="K228" s="25" t="s">
        <v>25</v>
      </c>
      <c r="L228" s="25">
        <v>7</v>
      </c>
      <c r="M228" s="25">
        <v>0.63</v>
      </c>
      <c r="N228" s="25">
        <v>1.8</v>
      </c>
      <c r="O228" s="25">
        <v>29.61</v>
      </c>
      <c r="P228" s="25">
        <v>39.0398</v>
      </c>
    </row>
    <row r="229" spans="1:16" x14ac:dyDescent="0.25">
      <c r="A229" s="26">
        <v>43756</v>
      </c>
      <c r="B229" s="25" t="s">
        <v>247</v>
      </c>
      <c r="C229" s="25" t="s">
        <v>23</v>
      </c>
      <c r="D229" s="25">
        <v>50</v>
      </c>
      <c r="E229" s="25">
        <v>346.25</v>
      </c>
      <c r="F229" s="25">
        <v>17312.5</v>
      </c>
      <c r="G229" s="25" t="s">
        <v>1556</v>
      </c>
      <c r="H229" s="25">
        <v>2019196</v>
      </c>
      <c r="I229" s="25" t="s">
        <v>19</v>
      </c>
      <c r="J229" s="25" t="s">
        <v>20</v>
      </c>
      <c r="K229" s="25" t="s">
        <v>25</v>
      </c>
      <c r="L229" s="25">
        <v>4.43</v>
      </c>
      <c r="M229" s="25">
        <v>0.38</v>
      </c>
      <c r="N229" s="25">
        <v>12.6</v>
      </c>
      <c r="O229" s="25">
        <v>29.56</v>
      </c>
      <c r="P229" s="25">
        <v>46.970999999999997</v>
      </c>
    </row>
    <row r="230" spans="1:16" x14ac:dyDescent="0.25">
      <c r="A230" s="26">
        <v>43756</v>
      </c>
      <c r="B230" s="25" t="s">
        <v>1522</v>
      </c>
      <c r="C230" s="25" t="s">
        <v>23</v>
      </c>
      <c r="D230" s="25">
        <v>50</v>
      </c>
      <c r="E230" s="25">
        <v>730</v>
      </c>
      <c r="F230" s="25">
        <v>36500</v>
      </c>
      <c r="G230" s="25" t="s">
        <v>1557</v>
      </c>
      <c r="H230" s="25">
        <v>2019196</v>
      </c>
      <c r="I230" s="25" t="s">
        <v>19</v>
      </c>
      <c r="J230" s="25" t="s">
        <v>20</v>
      </c>
      <c r="K230" s="25" t="s">
        <v>25</v>
      </c>
      <c r="L230" s="25">
        <v>9.51</v>
      </c>
      <c r="M230" s="25">
        <v>0.8</v>
      </c>
      <c r="N230" s="25">
        <v>0</v>
      </c>
      <c r="O230" s="25">
        <v>29.64</v>
      </c>
      <c r="P230" s="25">
        <v>39.953000000000003</v>
      </c>
    </row>
    <row r="231" spans="1:16" x14ac:dyDescent="0.25">
      <c r="A231" s="26">
        <v>43756</v>
      </c>
      <c r="B231" s="25" t="s">
        <v>1522</v>
      </c>
      <c r="C231" s="25" t="s">
        <v>17</v>
      </c>
      <c r="D231" s="25">
        <v>50</v>
      </c>
      <c r="E231" s="25">
        <v>725</v>
      </c>
      <c r="F231" s="25">
        <v>36250</v>
      </c>
      <c r="G231" s="25" t="s">
        <v>1558</v>
      </c>
      <c r="H231" s="25">
        <v>2019196</v>
      </c>
      <c r="I231" s="25" t="s">
        <v>19</v>
      </c>
      <c r="J231" s="25" t="s">
        <v>20</v>
      </c>
      <c r="K231" s="25" t="s">
        <v>25</v>
      </c>
      <c r="L231" s="25">
        <v>0</v>
      </c>
      <c r="M231" s="25">
        <v>0.8</v>
      </c>
      <c r="N231" s="25">
        <v>0</v>
      </c>
      <c r="O231" s="25">
        <v>29.64</v>
      </c>
      <c r="P231" s="25">
        <v>30.4376</v>
      </c>
    </row>
    <row r="232" spans="1:16" x14ac:dyDescent="0.25">
      <c r="A232" s="26">
        <v>43756</v>
      </c>
      <c r="B232" s="25" t="s">
        <v>1522</v>
      </c>
      <c r="C232" s="25" t="s">
        <v>23</v>
      </c>
      <c r="D232" s="25">
        <v>100</v>
      </c>
      <c r="E232" s="25">
        <v>742</v>
      </c>
      <c r="F232" s="25">
        <v>74200</v>
      </c>
      <c r="G232" s="25" t="s">
        <v>1559</v>
      </c>
      <c r="H232" s="25">
        <v>2019196</v>
      </c>
      <c r="I232" s="25" t="s">
        <v>19</v>
      </c>
      <c r="J232" s="25" t="s">
        <v>20</v>
      </c>
      <c r="K232" s="25" t="s">
        <v>25</v>
      </c>
      <c r="L232" s="25">
        <v>19.03</v>
      </c>
      <c r="M232" s="25">
        <v>1.63</v>
      </c>
      <c r="N232" s="25">
        <v>0</v>
      </c>
      <c r="O232" s="25">
        <v>44.07</v>
      </c>
      <c r="P232" s="25">
        <v>64.732399999999998</v>
      </c>
    </row>
    <row r="233" spans="1:16" x14ac:dyDescent="0.25">
      <c r="A233" s="26">
        <v>43756</v>
      </c>
      <c r="B233" s="25" t="s">
        <v>1522</v>
      </c>
      <c r="C233" s="25" t="s">
        <v>23</v>
      </c>
      <c r="D233" s="25">
        <v>50</v>
      </c>
      <c r="E233" s="25">
        <v>772.85</v>
      </c>
      <c r="F233" s="25">
        <v>38642.5</v>
      </c>
      <c r="G233" s="25" t="s">
        <v>1560</v>
      </c>
      <c r="H233" s="25">
        <v>2019196</v>
      </c>
      <c r="I233" s="25" t="s">
        <v>19</v>
      </c>
      <c r="J233" s="25" t="s">
        <v>20</v>
      </c>
      <c r="K233" s="25" t="s">
        <v>25</v>
      </c>
      <c r="L233" s="25">
        <v>9.51</v>
      </c>
      <c r="M233" s="25">
        <v>0.85</v>
      </c>
      <c r="N233" s="25">
        <v>0</v>
      </c>
      <c r="O233" s="25">
        <v>29.65</v>
      </c>
      <c r="P233" s="25">
        <v>40.010100000000001</v>
      </c>
    </row>
    <row r="234" spans="1:16" x14ac:dyDescent="0.25">
      <c r="A234" s="26">
        <v>43756</v>
      </c>
      <c r="B234" s="25" t="s">
        <v>1522</v>
      </c>
      <c r="C234" s="25" t="s">
        <v>23</v>
      </c>
      <c r="D234" s="25">
        <v>50</v>
      </c>
      <c r="E234" s="25">
        <v>779.1</v>
      </c>
      <c r="F234" s="25">
        <v>38955</v>
      </c>
      <c r="G234" s="25" t="s">
        <v>1561</v>
      </c>
      <c r="H234" s="25">
        <v>2019196</v>
      </c>
      <c r="I234" s="25" t="s">
        <v>19</v>
      </c>
      <c r="J234" s="25" t="s">
        <v>20</v>
      </c>
      <c r="K234" s="25" t="s">
        <v>25</v>
      </c>
      <c r="L234" s="25">
        <v>9.51</v>
      </c>
      <c r="M234" s="25">
        <v>0.86</v>
      </c>
      <c r="N234" s="25">
        <v>0</v>
      </c>
      <c r="O234" s="25">
        <v>29.65</v>
      </c>
      <c r="P234" s="25">
        <v>40.017099999999999</v>
      </c>
    </row>
    <row r="235" spans="1:16" x14ac:dyDescent="0.25">
      <c r="A235" s="26">
        <v>43756</v>
      </c>
      <c r="B235" s="25" t="s">
        <v>247</v>
      </c>
      <c r="C235" s="25" t="s">
        <v>17</v>
      </c>
      <c r="D235" s="25">
        <v>50</v>
      </c>
      <c r="E235" s="25">
        <v>338.88</v>
      </c>
      <c r="F235" s="25">
        <v>16943.849999999999</v>
      </c>
      <c r="G235" s="25" t="s">
        <v>1562</v>
      </c>
      <c r="H235" s="25">
        <v>2019196</v>
      </c>
      <c r="I235" s="25" t="s">
        <v>19</v>
      </c>
      <c r="J235" s="25" t="s">
        <v>20</v>
      </c>
      <c r="K235" s="25" t="s">
        <v>25</v>
      </c>
      <c r="L235" s="25">
        <v>0</v>
      </c>
      <c r="M235" s="25">
        <v>0.37</v>
      </c>
      <c r="N235" s="25">
        <v>0</v>
      </c>
      <c r="O235" s="25">
        <v>29.57</v>
      </c>
      <c r="P235" s="25">
        <v>29.942900000000002</v>
      </c>
    </row>
    <row r="236" spans="1:16" x14ac:dyDescent="0.25">
      <c r="A236" s="26">
        <v>43756</v>
      </c>
      <c r="B236" s="25" t="s">
        <v>1522</v>
      </c>
      <c r="C236" s="25" t="s">
        <v>17</v>
      </c>
      <c r="D236" s="25">
        <v>200</v>
      </c>
      <c r="E236" s="25">
        <v>779.9</v>
      </c>
      <c r="F236" s="25">
        <v>155980</v>
      </c>
      <c r="G236" s="25" t="s">
        <v>1563</v>
      </c>
      <c r="H236" s="25">
        <v>2019196</v>
      </c>
      <c r="I236" s="25" t="s">
        <v>19</v>
      </c>
      <c r="J236" s="25" t="s">
        <v>20</v>
      </c>
      <c r="K236" s="25" t="s">
        <v>25</v>
      </c>
      <c r="L236" s="25">
        <v>0</v>
      </c>
      <c r="M236" s="25">
        <v>3.43</v>
      </c>
      <c r="N236" s="25">
        <v>0</v>
      </c>
      <c r="O236" s="25">
        <v>92.65</v>
      </c>
      <c r="P236" s="25">
        <v>96.081599999999995</v>
      </c>
    </row>
    <row r="237" spans="1:16" x14ac:dyDescent="0.25">
      <c r="A237" s="26">
        <v>43755</v>
      </c>
      <c r="B237" s="25" t="s">
        <v>247</v>
      </c>
      <c r="C237" s="25" t="s">
        <v>23</v>
      </c>
      <c r="D237" s="25">
        <v>100</v>
      </c>
      <c r="E237" s="25">
        <v>324</v>
      </c>
      <c r="F237" s="25">
        <v>32400</v>
      </c>
      <c r="G237" s="25" t="s">
        <v>1564</v>
      </c>
      <c r="H237" s="25">
        <v>2019195</v>
      </c>
      <c r="I237" s="25" t="s">
        <v>19</v>
      </c>
      <c r="J237" s="25" t="s">
        <v>20</v>
      </c>
      <c r="K237" s="25" t="s">
        <v>25</v>
      </c>
      <c r="L237" s="25">
        <v>7.68</v>
      </c>
      <c r="M237" s="25">
        <v>0.71</v>
      </c>
      <c r="N237" s="25">
        <v>0</v>
      </c>
      <c r="O237" s="25">
        <v>29.63</v>
      </c>
      <c r="P237" s="25">
        <v>38.022799999999997</v>
      </c>
    </row>
    <row r="238" spans="1:16" x14ac:dyDescent="0.25">
      <c r="A238" s="26">
        <v>43755</v>
      </c>
      <c r="B238" s="25" t="s">
        <v>247</v>
      </c>
      <c r="C238" s="25" t="s">
        <v>23</v>
      </c>
      <c r="D238" s="25">
        <v>102</v>
      </c>
      <c r="E238" s="25">
        <v>326</v>
      </c>
      <c r="F238" s="25">
        <v>33252</v>
      </c>
      <c r="G238" s="25" t="s">
        <v>1565</v>
      </c>
      <c r="H238" s="25">
        <v>2019195</v>
      </c>
      <c r="I238" s="25" t="s">
        <v>19</v>
      </c>
      <c r="J238" s="25" t="s">
        <v>20</v>
      </c>
      <c r="K238" s="25" t="s">
        <v>25</v>
      </c>
      <c r="L238" s="25">
        <v>7.88</v>
      </c>
      <c r="M238" s="25">
        <v>0.73</v>
      </c>
      <c r="N238" s="25">
        <v>9.6</v>
      </c>
      <c r="O238" s="25">
        <v>29.63</v>
      </c>
      <c r="P238" s="25">
        <v>47.8414</v>
      </c>
    </row>
    <row r="239" spans="1:16" x14ac:dyDescent="0.25">
      <c r="A239" s="26">
        <v>43755</v>
      </c>
      <c r="B239" s="25" t="s">
        <v>480</v>
      </c>
      <c r="C239" s="25" t="s">
        <v>23</v>
      </c>
      <c r="D239" s="25">
        <v>250</v>
      </c>
      <c r="E239" s="25">
        <v>83.55</v>
      </c>
      <c r="F239" s="25">
        <v>20887.5</v>
      </c>
      <c r="G239" s="25" t="s">
        <v>1566</v>
      </c>
      <c r="H239" s="25">
        <v>2019195</v>
      </c>
      <c r="I239" s="25" t="s">
        <v>19</v>
      </c>
      <c r="J239" s="25" t="s">
        <v>20</v>
      </c>
      <c r="K239" s="25" t="s">
        <v>25</v>
      </c>
      <c r="L239" s="25">
        <v>5.24</v>
      </c>
      <c r="M239" s="25">
        <v>0.46</v>
      </c>
      <c r="N239" s="25">
        <v>0</v>
      </c>
      <c r="O239" s="25">
        <v>29.58</v>
      </c>
      <c r="P239" s="25">
        <v>35.279499999999999</v>
      </c>
    </row>
    <row r="240" spans="1:16" x14ac:dyDescent="0.25">
      <c r="A240" s="26">
        <v>43755</v>
      </c>
      <c r="B240" s="25" t="s">
        <v>480</v>
      </c>
      <c r="C240" s="25" t="s">
        <v>17</v>
      </c>
      <c r="D240" s="25">
        <v>250</v>
      </c>
      <c r="E240" s="25">
        <v>84.2</v>
      </c>
      <c r="F240" s="25">
        <v>21050</v>
      </c>
      <c r="G240" s="25" t="s">
        <v>1567</v>
      </c>
      <c r="H240" s="25">
        <v>2019195</v>
      </c>
      <c r="I240" s="25" t="s">
        <v>19</v>
      </c>
      <c r="J240" s="25" t="s">
        <v>20</v>
      </c>
      <c r="K240" s="25" t="s">
        <v>25</v>
      </c>
      <c r="L240" s="25">
        <v>0</v>
      </c>
      <c r="M240" s="25">
        <v>0.46</v>
      </c>
      <c r="N240" s="25">
        <v>0</v>
      </c>
      <c r="O240" s="25">
        <v>29.58</v>
      </c>
      <c r="P240" s="25">
        <v>30.043199999999999</v>
      </c>
    </row>
    <row r="241" spans="1:16" x14ac:dyDescent="0.25">
      <c r="A241" s="26">
        <v>43755</v>
      </c>
      <c r="B241" s="25" t="s">
        <v>247</v>
      </c>
      <c r="C241" s="25" t="s">
        <v>17</v>
      </c>
      <c r="D241" s="25">
        <v>202</v>
      </c>
      <c r="E241" s="25">
        <v>301</v>
      </c>
      <c r="F241" s="25">
        <v>60802</v>
      </c>
      <c r="G241" s="25" t="s">
        <v>1568</v>
      </c>
      <c r="H241" s="25">
        <v>2019195</v>
      </c>
      <c r="I241" s="25" t="s">
        <v>19</v>
      </c>
      <c r="J241" s="25" t="s">
        <v>20</v>
      </c>
      <c r="K241" s="25" t="s">
        <v>25</v>
      </c>
      <c r="L241" s="25">
        <v>0</v>
      </c>
      <c r="M241" s="25">
        <v>1.34</v>
      </c>
      <c r="N241" s="25">
        <v>0</v>
      </c>
      <c r="O241" s="25">
        <v>36.11</v>
      </c>
      <c r="P241" s="25">
        <v>37.447600000000001</v>
      </c>
    </row>
    <row r="242" spans="1:16" x14ac:dyDescent="0.25">
      <c r="A242" s="26">
        <v>43755</v>
      </c>
      <c r="B242" s="25" t="s">
        <v>247</v>
      </c>
      <c r="C242" s="25" t="s">
        <v>17</v>
      </c>
      <c r="D242" s="25">
        <v>250</v>
      </c>
      <c r="E242" s="25">
        <v>298.99</v>
      </c>
      <c r="F242" s="25">
        <v>74746.45</v>
      </c>
      <c r="G242" s="25" t="s">
        <v>1569</v>
      </c>
      <c r="H242" s="25">
        <v>2019195</v>
      </c>
      <c r="I242" s="25" t="s">
        <v>19</v>
      </c>
      <c r="J242" s="25" t="s">
        <v>20</v>
      </c>
      <c r="K242" s="25" t="s">
        <v>25</v>
      </c>
      <c r="L242" s="25">
        <v>0</v>
      </c>
      <c r="M242" s="25">
        <v>1.64</v>
      </c>
      <c r="N242" s="25">
        <v>0</v>
      </c>
      <c r="O242" s="25">
        <v>44.39</v>
      </c>
      <c r="P242" s="25">
        <v>46.034399999999998</v>
      </c>
    </row>
    <row r="243" spans="1:16" x14ac:dyDescent="0.25">
      <c r="A243" s="26">
        <v>43755</v>
      </c>
      <c r="B243" s="25" t="s">
        <v>247</v>
      </c>
      <c r="C243" s="25" t="s">
        <v>23</v>
      </c>
      <c r="D243" s="25">
        <v>250</v>
      </c>
      <c r="E243" s="25">
        <v>306</v>
      </c>
      <c r="F243" s="25">
        <v>76500</v>
      </c>
      <c r="G243" s="25" t="s">
        <v>1570</v>
      </c>
      <c r="H243" s="25">
        <v>2019195</v>
      </c>
      <c r="I243" s="25" t="s">
        <v>19</v>
      </c>
      <c r="J243" s="25" t="s">
        <v>20</v>
      </c>
      <c r="K243" s="25" t="s">
        <v>25</v>
      </c>
      <c r="L243" s="25">
        <v>19.2</v>
      </c>
      <c r="M243" s="25">
        <v>1.68</v>
      </c>
      <c r="N243" s="25">
        <v>0</v>
      </c>
      <c r="O243" s="25">
        <v>45.44</v>
      </c>
      <c r="P243" s="25">
        <v>66.322999999999993</v>
      </c>
    </row>
    <row r="244" spans="1:16" x14ac:dyDescent="0.25">
      <c r="A244" s="26">
        <v>43754</v>
      </c>
      <c r="B244" s="25" t="s">
        <v>1522</v>
      </c>
      <c r="C244" s="25" t="s">
        <v>23</v>
      </c>
      <c r="D244" s="25">
        <v>100</v>
      </c>
      <c r="E244" s="25">
        <v>710</v>
      </c>
      <c r="F244" s="25">
        <v>71000</v>
      </c>
      <c r="G244" s="25" t="s">
        <v>1571</v>
      </c>
      <c r="H244" s="25">
        <v>2019194</v>
      </c>
      <c r="I244" s="25" t="s">
        <v>19</v>
      </c>
      <c r="J244" s="25" t="s">
        <v>20</v>
      </c>
      <c r="K244" s="25" t="s">
        <v>25</v>
      </c>
      <c r="L244" s="25">
        <v>17.75</v>
      </c>
      <c r="M244" s="25">
        <v>1.56</v>
      </c>
      <c r="N244" s="25">
        <v>6.9</v>
      </c>
      <c r="O244" s="25">
        <v>42.17</v>
      </c>
      <c r="P244" s="25">
        <v>68.382199999999997</v>
      </c>
    </row>
    <row r="245" spans="1:16" x14ac:dyDescent="0.25">
      <c r="A245" s="26">
        <v>43754</v>
      </c>
      <c r="B245" s="25" t="s">
        <v>1522</v>
      </c>
      <c r="C245" s="25" t="s">
        <v>17</v>
      </c>
      <c r="D245" s="25">
        <v>100</v>
      </c>
      <c r="E245" s="25">
        <v>704</v>
      </c>
      <c r="F245" s="25">
        <v>70400</v>
      </c>
      <c r="G245" s="25" t="s">
        <v>1572</v>
      </c>
      <c r="H245" s="25">
        <v>2019194</v>
      </c>
      <c r="I245" s="25" t="s">
        <v>19</v>
      </c>
      <c r="J245" s="25" t="s">
        <v>20</v>
      </c>
      <c r="K245" s="25" t="s">
        <v>25</v>
      </c>
      <c r="L245" s="25">
        <v>0</v>
      </c>
      <c r="M245" s="25">
        <v>1.55</v>
      </c>
      <c r="N245" s="25">
        <v>0</v>
      </c>
      <c r="O245" s="25">
        <v>41.81</v>
      </c>
      <c r="P245" s="25">
        <v>43.358800000000002</v>
      </c>
    </row>
    <row r="246" spans="1:16" x14ac:dyDescent="0.25">
      <c r="A246" s="26">
        <v>43754</v>
      </c>
      <c r="B246" s="25" t="s">
        <v>480</v>
      </c>
      <c r="C246" s="25" t="s">
        <v>23</v>
      </c>
      <c r="D246" s="25">
        <v>500</v>
      </c>
      <c r="E246" s="25">
        <v>81.5</v>
      </c>
      <c r="F246" s="25">
        <v>40750</v>
      </c>
      <c r="G246" s="25" t="s">
        <v>1573</v>
      </c>
      <c r="H246" s="25">
        <v>2019194</v>
      </c>
      <c r="I246" s="25" t="s">
        <v>19</v>
      </c>
      <c r="J246" s="25" t="s">
        <v>20</v>
      </c>
      <c r="K246" s="25" t="s">
        <v>25</v>
      </c>
      <c r="L246" s="25">
        <v>10.25</v>
      </c>
      <c r="M246" s="25">
        <v>0.9</v>
      </c>
      <c r="N246" s="25">
        <v>0</v>
      </c>
      <c r="O246" s="25">
        <v>29.66</v>
      </c>
      <c r="P246" s="25">
        <v>40.806600000000003</v>
      </c>
    </row>
    <row r="247" spans="1:16" x14ac:dyDescent="0.25">
      <c r="A247" s="26">
        <v>43754</v>
      </c>
      <c r="B247" s="25" t="s">
        <v>480</v>
      </c>
      <c r="C247" s="25" t="s">
        <v>17</v>
      </c>
      <c r="D247" s="25">
        <v>500</v>
      </c>
      <c r="E247" s="25">
        <v>82.5</v>
      </c>
      <c r="F247" s="25">
        <v>41250</v>
      </c>
      <c r="G247" s="25" t="s">
        <v>1574</v>
      </c>
      <c r="H247" s="25">
        <v>2019194</v>
      </c>
      <c r="I247" s="25" t="s">
        <v>19</v>
      </c>
      <c r="J247" s="25" t="s">
        <v>20</v>
      </c>
      <c r="K247" s="25" t="s">
        <v>25</v>
      </c>
      <c r="L247" s="25">
        <v>0</v>
      </c>
      <c r="M247" s="25">
        <v>0.91</v>
      </c>
      <c r="N247" s="25">
        <v>0</v>
      </c>
      <c r="O247" s="25">
        <v>29.66</v>
      </c>
      <c r="P247" s="25">
        <v>30.567599999999999</v>
      </c>
    </row>
    <row r="248" spans="1:16" x14ac:dyDescent="0.25">
      <c r="A248" s="26">
        <v>43753</v>
      </c>
      <c r="B248" s="25" t="s">
        <v>247</v>
      </c>
      <c r="C248" s="25" t="s">
        <v>23</v>
      </c>
      <c r="D248" s="25">
        <v>250</v>
      </c>
      <c r="E248" s="25">
        <v>320.01</v>
      </c>
      <c r="F248" s="25">
        <v>80002.100000000006</v>
      </c>
      <c r="G248" s="25" t="s">
        <v>1575</v>
      </c>
      <c r="H248" s="25">
        <v>2019193</v>
      </c>
      <c r="I248" s="25" t="s">
        <v>19</v>
      </c>
      <c r="J248" s="25" t="s">
        <v>20</v>
      </c>
      <c r="K248" s="25" t="s">
        <v>25</v>
      </c>
      <c r="L248" s="25">
        <v>20</v>
      </c>
      <c r="M248" s="25">
        <v>1.76</v>
      </c>
      <c r="N248" s="25">
        <v>4.8</v>
      </c>
      <c r="O248" s="25">
        <v>47.51</v>
      </c>
      <c r="P248" s="25">
        <v>74.070099999999996</v>
      </c>
    </row>
    <row r="249" spans="1:16" x14ac:dyDescent="0.25">
      <c r="A249" s="26">
        <v>43753</v>
      </c>
      <c r="B249" s="25" t="s">
        <v>247</v>
      </c>
      <c r="C249" s="25" t="s">
        <v>17</v>
      </c>
      <c r="D249" s="25">
        <v>250</v>
      </c>
      <c r="E249" s="25">
        <v>319.26</v>
      </c>
      <c r="F249" s="25">
        <v>79814.5</v>
      </c>
      <c r="G249" s="25" t="s">
        <v>1576</v>
      </c>
      <c r="H249" s="25">
        <v>2019193</v>
      </c>
      <c r="I249" s="25" t="s">
        <v>19</v>
      </c>
      <c r="J249" s="25" t="s">
        <v>20</v>
      </c>
      <c r="K249" s="25" t="s">
        <v>25</v>
      </c>
      <c r="L249" s="25">
        <v>0</v>
      </c>
      <c r="M249" s="25">
        <v>1.76</v>
      </c>
      <c r="N249" s="25">
        <v>0</v>
      </c>
      <c r="O249" s="25">
        <v>47.4</v>
      </c>
      <c r="P249" s="25">
        <v>49.155900000000003</v>
      </c>
    </row>
    <row r="250" spans="1:16" x14ac:dyDescent="0.25">
      <c r="A250" s="26">
        <v>43752</v>
      </c>
      <c r="B250" s="25" t="s">
        <v>738</v>
      </c>
      <c r="C250" s="25" t="s">
        <v>23</v>
      </c>
      <c r="D250" s="25">
        <v>250</v>
      </c>
      <c r="E250" s="25">
        <v>430</v>
      </c>
      <c r="F250" s="25">
        <v>107500</v>
      </c>
      <c r="G250" s="25" t="s">
        <v>1577</v>
      </c>
      <c r="H250" s="25">
        <v>2019192</v>
      </c>
      <c r="I250" s="25" t="s">
        <v>19</v>
      </c>
      <c r="J250" s="25" t="s">
        <v>20</v>
      </c>
      <c r="K250" s="25" t="s">
        <v>25</v>
      </c>
      <c r="L250" s="25">
        <v>27.13</v>
      </c>
      <c r="M250" s="25">
        <v>2.37</v>
      </c>
      <c r="N250" s="25">
        <v>12.9</v>
      </c>
      <c r="O250" s="25">
        <v>63.85</v>
      </c>
      <c r="P250" s="25">
        <v>106.245</v>
      </c>
    </row>
    <row r="251" spans="1:16" x14ac:dyDescent="0.25">
      <c r="A251" s="26">
        <v>43752</v>
      </c>
      <c r="B251" s="25" t="s">
        <v>738</v>
      </c>
      <c r="C251" s="25" t="s">
        <v>17</v>
      </c>
      <c r="D251" s="25">
        <v>500</v>
      </c>
      <c r="E251" s="25">
        <v>429.5</v>
      </c>
      <c r="F251" s="25">
        <v>214750</v>
      </c>
      <c r="G251" s="25" t="s">
        <v>1578</v>
      </c>
      <c r="H251" s="25">
        <v>2019192</v>
      </c>
      <c r="I251" s="25" t="s">
        <v>19</v>
      </c>
      <c r="J251" s="25" t="s">
        <v>20</v>
      </c>
      <c r="K251" s="25" t="s">
        <v>25</v>
      </c>
      <c r="L251" s="25">
        <v>0</v>
      </c>
      <c r="M251" s="25">
        <v>4.72</v>
      </c>
      <c r="N251" s="25">
        <v>0</v>
      </c>
      <c r="O251" s="25">
        <v>127.55</v>
      </c>
      <c r="P251" s="25">
        <v>132.27459999999999</v>
      </c>
    </row>
    <row r="252" spans="1:16" x14ac:dyDescent="0.25">
      <c r="A252" s="26">
        <v>43752</v>
      </c>
      <c r="B252" s="25" t="s">
        <v>738</v>
      </c>
      <c r="C252" s="25" t="s">
        <v>23</v>
      </c>
      <c r="D252" s="25">
        <v>250</v>
      </c>
      <c r="E252" s="25">
        <v>431</v>
      </c>
      <c r="F252" s="25">
        <v>107750</v>
      </c>
      <c r="G252" s="25" t="s">
        <v>1579</v>
      </c>
      <c r="H252" s="25">
        <v>2019192</v>
      </c>
      <c r="I252" s="25" t="s">
        <v>19</v>
      </c>
      <c r="J252" s="25" t="s">
        <v>20</v>
      </c>
      <c r="K252" s="25" t="s">
        <v>25</v>
      </c>
      <c r="L252" s="25">
        <v>26.88</v>
      </c>
      <c r="M252" s="25">
        <v>2.37</v>
      </c>
      <c r="N252" s="25">
        <v>0</v>
      </c>
      <c r="O252" s="25">
        <v>64</v>
      </c>
      <c r="P252" s="25">
        <v>93.250600000000006</v>
      </c>
    </row>
    <row r="253" spans="1:16" x14ac:dyDescent="0.25">
      <c r="A253" s="26">
        <v>43749</v>
      </c>
      <c r="B253" s="25" t="s">
        <v>1476</v>
      </c>
      <c r="C253" s="25" t="s">
        <v>17</v>
      </c>
      <c r="D253" s="25">
        <v>250</v>
      </c>
      <c r="E253" s="25">
        <v>185</v>
      </c>
      <c r="F253" s="25">
        <v>46250</v>
      </c>
      <c r="G253" s="25" t="s">
        <v>1580</v>
      </c>
      <c r="H253" s="25">
        <v>2019191</v>
      </c>
      <c r="I253" s="25" t="s">
        <v>19</v>
      </c>
      <c r="J253" s="25" t="s">
        <v>20</v>
      </c>
      <c r="K253" s="25" t="s">
        <v>25</v>
      </c>
      <c r="L253" s="25">
        <v>0</v>
      </c>
      <c r="M253" s="25">
        <v>1.02</v>
      </c>
      <c r="N253" s="25">
        <v>0</v>
      </c>
      <c r="O253" s="25">
        <v>29.68</v>
      </c>
      <c r="P253" s="25">
        <v>30.697600000000001</v>
      </c>
    </row>
    <row r="254" spans="1:16" x14ac:dyDescent="0.25">
      <c r="A254" s="26">
        <v>43749</v>
      </c>
      <c r="B254" s="25" t="s">
        <v>268</v>
      </c>
      <c r="C254" s="25" t="s">
        <v>23</v>
      </c>
      <c r="D254" s="25">
        <v>261</v>
      </c>
      <c r="E254" s="25">
        <v>258.8</v>
      </c>
      <c r="F254" s="25">
        <v>67546.8</v>
      </c>
      <c r="G254" s="25" t="s">
        <v>1581</v>
      </c>
      <c r="H254" s="25">
        <v>2019191</v>
      </c>
      <c r="I254" s="25" t="s">
        <v>19</v>
      </c>
      <c r="J254" s="25" t="s">
        <v>20</v>
      </c>
      <c r="K254" s="25" t="s">
        <v>25</v>
      </c>
      <c r="L254" s="25">
        <v>16.809999999999999</v>
      </c>
      <c r="M254" s="25">
        <v>1.49</v>
      </c>
      <c r="N254" s="25">
        <v>0</v>
      </c>
      <c r="O254" s="25">
        <v>40.119999999999997</v>
      </c>
      <c r="P254" s="25">
        <v>58.415999999999997</v>
      </c>
    </row>
    <row r="255" spans="1:16" x14ac:dyDescent="0.25">
      <c r="A255" s="26">
        <v>43749</v>
      </c>
      <c r="B255" s="25" t="s">
        <v>268</v>
      </c>
      <c r="C255" s="25" t="s">
        <v>17</v>
      </c>
      <c r="D255" s="25">
        <v>261</v>
      </c>
      <c r="E255" s="25">
        <v>256.5</v>
      </c>
      <c r="F255" s="25">
        <v>66946.5</v>
      </c>
      <c r="G255" s="25" t="s">
        <v>1582</v>
      </c>
      <c r="H255" s="25">
        <v>2019191</v>
      </c>
      <c r="I255" s="25" t="s">
        <v>19</v>
      </c>
      <c r="J255" s="25" t="s">
        <v>20</v>
      </c>
      <c r="K255" s="25" t="s">
        <v>25</v>
      </c>
      <c r="L255" s="25">
        <v>0</v>
      </c>
      <c r="M255" s="25">
        <v>1.47</v>
      </c>
      <c r="N255" s="25">
        <v>0</v>
      </c>
      <c r="O255" s="25">
        <v>39.76</v>
      </c>
      <c r="P255" s="25">
        <v>41.232799999999997</v>
      </c>
    </row>
    <row r="256" spans="1:16" x14ac:dyDescent="0.25">
      <c r="A256" s="26">
        <v>43749</v>
      </c>
      <c r="B256" s="25" t="s">
        <v>1476</v>
      </c>
      <c r="C256" s="25" t="s">
        <v>23</v>
      </c>
      <c r="D256" s="25">
        <v>250</v>
      </c>
      <c r="E256" s="25">
        <v>205</v>
      </c>
      <c r="F256" s="25">
        <v>51250</v>
      </c>
      <c r="G256" s="25" t="s">
        <v>1583</v>
      </c>
      <c r="H256" s="25">
        <v>2019191</v>
      </c>
      <c r="I256" s="25" t="s">
        <v>19</v>
      </c>
      <c r="J256" s="25" t="s">
        <v>20</v>
      </c>
      <c r="K256" s="25" t="s">
        <v>25</v>
      </c>
      <c r="L256" s="25">
        <v>11.96</v>
      </c>
      <c r="M256" s="25">
        <v>1.1299999999999999</v>
      </c>
      <c r="N256" s="25">
        <v>7.2</v>
      </c>
      <c r="O256" s="25">
        <v>30.44</v>
      </c>
      <c r="P256" s="25">
        <v>50.727600000000002</v>
      </c>
    </row>
    <row r="257" spans="1:16" x14ac:dyDescent="0.25">
      <c r="A257" s="26">
        <v>43749</v>
      </c>
      <c r="B257" s="25" t="s">
        <v>288</v>
      </c>
      <c r="C257" s="25" t="s">
        <v>17</v>
      </c>
      <c r="D257" s="25">
        <v>250</v>
      </c>
      <c r="E257" s="25">
        <v>24.9</v>
      </c>
      <c r="F257" s="25">
        <v>6225</v>
      </c>
      <c r="G257" s="25" t="s">
        <v>1584</v>
      </c>
      <c r="H257" s="25">
        <v>2019191</v>
      </c>
      <c r="I257" s="25" t="s">
        <v>19</v>
      </c>
      <c r="J257" s="25" t="s">
        <v>20</v>
      </c>
      <c r="K257" s="25" t="s">
        <v>25</v>
      </c>
      <c r="L257" s="25">
        <v>6.23</v>
      </c>
      <c r="M257" s="25">
        <v>0.14000000000000001</v>
      </c>
      <c r="N257" s="25">
        <v>0</v>
      </c>
      <c r="O257" s="25">
        <v>41.32</v>
      </c>
      <c r="P257" s="25">
        <v>47.686900000000001</v>
      </c>
    </row>
    <row r="258" spans="1:16" x14ac:dyDescent="0.25">
      <c r="A258" s="26">
        <v>43748</v>
      </c>
      <c r="B258" s="25" t="s">
        <v>1476</v>
      </c>
      <c r="C258" s="25" t="s">
        <v>23</v>
      </c>
      <c r="D258" s="25">
        <v>250</v>
      </c>
      <c r="E258" s="25">
        <v>240</v>
      </c>
      <c r="F258" s="25">
        <v>60000</v>
      </c>
      <c r="G258" s="25" t="s">
        <v>1585</v>
      </c>
      <c r="H258" s="25">
        <v>2019190</v>
      </c>
      <c r="I258" s="25" t="s">
        <v>19</v>
      </c>
      <c r="J258" s="25" t="s">
        <v>20</v>
      </c>
      <c r="K258" s="25" t="s">
        <v>25</v>
      </c>
      <c r="L258" s="25">
        <v>12.97</v>
      </c>
      <c r="M258" s="25">
        <v>1.32</v>
      </c>
      <c r="N258" s="25">
        <v>19.8</v>
      </c>
      <c r="O258" s="25">
        <v>35.64</v>
      </c>
      <c r="P258" s="25">
        <v>69.73</v>
      </c>
    </row>
    <row r="259" spans="1:16" x14ac:dyDescent="0.25">
      <c r="A259" s="26">
        <v>43748</v>
      </c>
      <c r="B259" s="25" t="s">
        <v>226</v>
      </c>
      <c r="C259" s="25" t="s">
        <v>23</v>
      </c>
      <c r="D259" s="25">
        <v>100</v>
      </c>
      <c r="E259" s="25">
        <v>247</v>
      </c>
      <c r="F259" s="25">
        <v>24700</v>
      </c>
      <c r="G259" s="25" t="s">
        <v>1586</v>
      </c>
      <c r="H259" s="25">
        <v>2019190</v>
      </c>
      <c r="I259" s="25" t="s">
        <v>19</v>
      </c>
      <c r="J259" s="25" t="s">
        <v>20</v>
      </c>
      <c r="K259" s="25" t="s">
        <v>25</v>
      </c>
      <c r="L259" s="25">
        <v>6.14</v>
      </c>
      <c r="M259" s="25">
        <v>0.54</v>
      </c>
      <c r="N259" s="25">
        <v>0</v>
      </c>
      <c r="O259" s="25">
        <v>29.6</v>
      </c>
      <c r="P259" s="25">
        <v>36.2834</v>
      </c>
    </row>
    <row r="260" spans="1:16" x14ac:dyDescent="0.25">
      <c r="A260" s="26">
        <v>43748</v>
      </c>
      <c r="B260" s="25" t="s">
        <v>1476</v>
      </c>
      <c r="C260" s="25" t="s">
        <v>17</v>
      </c>
      <c r="D260" s="25">
        <v>250</v>
      </c>
      <c r="E260" s="25">
        <v>212.47</v>
      </c>
      <c r="F260" s="25">
        <v>53116.95</v>
      </c>
      <c r="G260" s="25" t="s">
        <v>1587</v>
      </c>
      <c r="H260" s="25">
        <v>2019190</v>
      </c>
      <c r="I260" s="25" t="s">
        <v>19</v>
      </c>
      <c r="J260" s="25" t="s">
        <v>20</v>
      </c>
      <c r="K260" s="25" t="s">
        <v>25</v>
      </c>
      <c r="L260" s="25">
        <v>0</v>
      </c>
      <c r="M260" s="25">
        <v>1.17</v>
      </c>
      <c r="N260" s="25">
        <v>0</v>
      </c>
      <c r="O260" s="25">
        <v>31.54</v>
      </c>
      <c r="P260" s="25">
        <v>32.7087</v>
      </c>
    </row>
    <row r="261" spans="1:16" x14ac:dyDescent="0.25">
      <c r="A261" s="26">
        <v>43748</v>
      </c>
      <c r="B261" s="25" t="s">
        <v>226</v>
      </c>
      <c r="C261" s="25" t="s">
        <v>17</v>
      </c>
      <c r="D261" s="25">
        <v>500</v>
      </c>
      <c r="E261" s="25">
        <v>245.3</v>
      </c>
      <c r="F261" s="25">
        <v>122650</v>
      </c>
      <c r="G261" s="25" t="s">
        <v>1588</v>
      </c>
      <c r="H261" s="25">
        <v>2019190</v>
      </c>
      <c r="I261" s="25" t="s">
        <v>19</v>
      </c>
      <c r="J261" s="25" t="s">
        <v>20</v>
      </c>
      <c r="K261" s="25" t="s">
        <v>25</v>
      </c>
      <c r="L261" s="25">
        <v>0</v>
      </c>
      <c r="M261" s="25">
        <v>2.7</v>
      </c>
      <c r="N261" s="25">
        <v>0</v>
      </c>
      <c r="O261" s="25">
        <v>87.88</v>
      </c>
      <c r="P261" s="25">
        <v>90.578299999999999</v>
      </c>
    </row>
    <row r="262" spans="1:16" x14ac:dyDescent="0.25">
      <c r="A262" s="26">
        <v>43748</v>
      </c>
      <c r="B262" s="25" t="s">
        <v>226</v>
      </c>
      <c r="C262" s="25" t="s">
        <v>23</v>
      </c>
      <c r="D262" s="25">
        <v>400</v>
      </c>
      <c r="E262" s="25">
        <v>245.2</v>
      </c>
      <c r="F262" s="25">
        <v>98080</v>
      </c>
      <c r="G262" s="25" t="s">
        <v>1589</v>
      </c>
      <c r="H262" s="25">
        <v>2019190</v>
      </c>
      <c r="I262" s="25" t="s">
        <v>19</v>
      </c>
      <c r="J262" s="25" t="s">
        <v>20</v>
      </c>
      <c r="K262" s="25" t="s">
        <v>25</v>
      </c>
      <c r="L262" s="25">
        <v>24.54</v>
      </c>
      <c r="M262" s="25">
        <v>2.16</v>
      </c>
      <c r="N262" s="25">
        <v>0</v>
      </c>
      <c r="O262" s="25">
        <v>58.26</v>
      </c>
      <c r="P262" s="25">
        <v>84.957800000000006</v>
      </c>
    </row>
    <row r="263" spans="1:16" x14ac:dyDescent="0.25">
      <c r="A263" s="26">
        <v>43748</v>
      </c>
      <c r="B263" s="25" t="s">
        <v>1476</v>
      </c>
      <c r="C263" s="25" t="s">
        <v>17</v>
      </c>
      <c r="D263" s="25">
        <v>500</v>
      </c>
      <c r="E263" s="25">
        <v>201.38</v>
      </c>
      <c r="F263" s="25">
        <v>100691.95</v>
      </c>
      <c r="G263" s="25" t="s">
        <v>1590</v>
      </c>
      <c r="H263" s="25">
        <v>2019190</v>
      </c>
      <c r="I263" s="25" t="s">
        <v>19</v>
      </c>
      <c r="J263" s="25" t="s">
        <v>20</v>
      </c>
      <c r="K263" s="25" t="s">
        <v>25</v>
      </c>
      <c r="L263" s="25">
        <v>0</v>
      </c>
      <c r="M263" s="25">
        <v>2.2200000000000002</v>
      </c>
      <c r="N263" s="25">
        <v>0</v>
      </c>
      <c r="O263" s="25">
        <v>59.8</v>
      </c>
      <c r="P263" s="25">
        <v>62.015300000000003</v>
      </c>
    </row>
    <row r="264" spans="1:16" x14ac:dyDescent="0.25">
      <c r="A264" s="26">
        <v>43748</v>
      </c>
      <c r="B264" s="25" t="s">
        <v>1476</v>
      </c>
      <c r="C264" s="25" t="s">
        <v>17</v>
      </c>
      <c r="D264" s="25">
        <v>250</v>
      </c>
      <c r="E264" s="25">
        <v>195</v>
      </c>
      <c r="F264" s="25">
        <v>48750</v>
      </c>
      <c r="G264" s="25" t="s">
        <v>1591</v>
      </c>
      <c r="H264" s="25">
        <v>2019190</v>
      </c>
      <c r="I264" s="25" t="s">
        <v>19</v>
      </c>
      <c r="J264" s="25" t="s">
        <v>20</v>
      </c>
      <c r="K264" s="25" t="s">
        <v>25</v>
      </c>
      <c r="L264" s="25">
        <v>0</v>
      </c>
      <c r="M264" s="25">
        <v>1.07</v>
      </c>
      <c r="N264" s="25">
        <v>0</v>
      </c>
      <c r="O264" s="25">
        <v>29.69</v>
      </c>
      <c r="P264" s="25">
        <v>30.762599999999999</v>
      </c>
    </row>
    <row r="265" spans="1:16" x14ac:dyDescent="0.25">
      <c r="A265" s="26">
        <v>43748</v>
      </c>
      <c r="B265" s="25" t="s">
        <v>1476</v>
      </c>
      <c r="C265" s="25" t="s">
        <v>23</v>
      </c>
      <c r="D265" s="25">
        <v>366</v>
      </c>
      <c r="E265" s="25">
        <v>193.13</v>
      </c>
      <c r="F265" s="25">
        <v>70685.850000000006</v>
      </c>
      <c r="G265" s="25" t="s">
        <v>1592</v>
      </c>
      <c r="H265" s="25">
        <v>2019190</v>
      </c>
      <c r="I265" s="25" t="s">
        <v>19</v>
      </c>
      <c r="J265" s="25" t="s">
        <v>20</v>
      </c>
      <c r="K265" s="25" t="s">
        <v>25</v>
      </c>
      <c r="L265" s="25">
        <v>18.72</v>
      </c>
      <c r="M265" s="25">
        <v>1.56</v>
      </c>
      <c r="N265" s="25">
        <v>0</v>
      </c>
      <c r="O265" s="25">
        <v>41.99</v>
      </c>
      <c r="P265" s="25">
        <v>62.265099999999997</v>
      </c>
    </row>
    <row r="266" spans="1:16" x14ac:dyDescent="0.25">
      <c r="A266" s="26">
        <v>43748</v>
      </c>
      <c r="B266" s="25" t="s">
        <v>1476</v>
      </c>
      <c r="C266" s="25" t="s">
        <v>23</v>
      </c>
      <c r="D266" s="25">
        <v>384</v>
      </c>
      <c r="E266" s="25">
        <v>197.5</v>
      </c>
      <c r="F266" s="25">
        <v>75840</v>
      </c>
      <c r="G266" s="25" t="s">
        <v>1593</v>
      </c>
      <c r="H266" s="25">
        <v>2019190</v>
      </c>
      <c r="I266" s="25" t="s">
        <v>19</v>
      </c>
      <c r="J266" s="25" t="s">
        <v>20</v>
      </c>
      <c r="K266" s="25" t="s">
        <v>25</v>
      </c>
      <c r="L266" s="25">
        <v>19.64</v>
      </c>
      <c r="M266" s="25">
        <v>1.67</v>
      </c>
      <c r="N266" s="25">
        <v>0</v>
      </c>
      <c r="O266" s="25">
        <v>45.05</v>
      </c>
      <c r="P266" s="25">
        <v>66.358400000000003</v>
      </c>
    </row>
    <row r="267" spans="1:16" x14ac:dyDescent="0.25">
      <c r="A267" s="26">
        <v>43747</v>
      </c>
      <c r="B267" s="25" t="s">
        <v>268</v>
      </c>
      <c r="C267" s="25" t="s">
        <v>17</v>
      </c>
      <c r="D267" s="25">
        <v>1000</v>
      </c>
      <c r="E267" s="25">
        <v>249.69</v>
      </c>
      <c r="F267" s="25">
        <v>249686.15</v>
      </c>
      <c r="G267" s="25" t="s">
        <v>1594</v>
      </c>
      <c r="H267" s="25">
        <v>2019189</v>
      </c>
      <c r="I267" s="25" t="s">
        <v>19</v>
      </c>
      <c r="J267" s="25" t="s">
        <v>20</v>
      </c>
      <c r="K267" s="25" t="s">
        <v>25</v>
      </c>
      <c r="L267" s="25">
        <v>0</v>
      </c>
      <c r="M267" s="25">
        <v>5.49</v>
      </c>
      <c r="N267" s="25">
        <v>0</v>
      </c>
      <c r="O267" s="25">
        <v>148.30000000000001</v>
      </c>
      <c r="P267" s="25">
        <v>153.79300000000001</v>
      </c>
    </row>
    <row r="268" spans="1:16" x14ac:dyDescent="0.25">
      <c r="A268" s="26">
        <v>43747</v>
      </c>
      <c r="B268" s="25" t="s">
        <v>268</v>
      </c>
      <c r="C268" s="25" t="s">
        <v>17</v>
      </c>
      <c r="D268" s="25">
        <v>500</v>
      </c>
      <c r="E268" s="25">
        <v>246.2</v>
      </c>
      <c r="F268" s="25">
        <v>123100</v>
      </c>
      <c r="G268" s="25" t="s">
        <v>1595</v>
      </c>
      <c r="H268" s="25">
        <v>2019189</v>
      </c>
      <c r="I268" s="25" t="s">
        <v>19</v>
      </c>
      <c r="J268" s="25" t="s">
        <v>20</v>
      </c>
      <c r="K268" s="25" t="s">
        <v>25</v>
      </c>
      <c r="L268" s="25">
        <v>0</v>
      </c>
      <c r="M268" s="25">
        <v>2.71</v>
      </c>
      <c r="N268" s="25">
        <v>0</v>
      </c>
      <c r="O268" s="25">
        <v>73.12</v>
      </c>
      <c r="P268" s="25">
        <v>75.828199999999995</v>
      </c>
    </row>
    <row r="269" spans="1:16" x14ac:dyDescent="0.25">
      <c r="A269" s="26">
        <v>43747</v>
      </c>
      <c r="B269" s="25" t="s">
        <v>268</v>
      </c>
      <c r="C269" s="25" t="s">
        <v>23</v>
      </c>
      <c r="D269" s="25">
        <v>1500</v>
      </c>
      <c r="E269" s="25">
        <v>251</v>
      </c>
      <c r="F269" s="25">
        <v>376500</v>
      </c>
      <c r="G269" s="25" t="s">
        <v>1596</v>
      </c>
      <c r="H269" s="25">
        <v>2019189</v>
      </c>
      <c r="I269" s="25" t="s">
        <v>19</v>
      </c>
      <c r="J269" s="25" t="s">
        <v>20</v>
      </c>
      <c r="K269" s="25" t="s">
        <v>25</v>
      </c>
      <c r="L269" s="25">
        <v>93.66</v>
      </c>
      <c r="M269" s="25">
        <v>8.2799999999999994</v>
      </c>
      <c r="N269" s="25">
        <v>0</v>
      </c>
      <c r="O269" s="25">
        <v>223.63</v>
      </c>
      <c r="P269" s="25">
        <v>325.57299999999998</v>
      </c>
    </row>
    <row r="270" spans="1:16" x14ac:dyDescent="0.25">
      <c r="A270" s="26">
        <v>43747</v>
      </c>
      <c r="B270" s="25" t="s">
        <v>237</v>
      </c>
      <c r="C270" s="25" t="s">
        <v>17</v>
      </c>
      <c r="D270" s="25">
        <v>500</v>
      </c>
      <c r="E270" s="25">
        <v>212.45</v>
      </c>
      <c r="F270" s="25">
        <v>106225</v>
      </c>
      <c r="G270" s="25" t="s">
        <v>1597</v>
      </c>
      <c r="H270" s="25">
        <v>2019189</v>
      </c>
      <c r="I270" s="25" t="s">
        <v>19</v>
      </c>
      <c r="J270" s="25" t="s">
        <v>20</v>
      </c>
      <c r="K270" s="25" t="s">
        <v>25</v>
      </c>
      <c r="L270" s="25">
        <v>0</v>
      </c>
      <c r="M270" s="25">
        <v>2.34</v>
      </c>
      <c r="N270" s="25">
        <v>0</v>
      </c>
      <c r="O270" s="25">
        <v>63.09</v>
      </c>
      <c r="P270" s="25">
        <v>65.426900000000003</v>
      </c>
    </row>
    <row r="271" spans="1:16" x14ac:dyDescent="0.25">
      <c r="A271" s="26">
        <v>43747</v>
      </c>
      <c r="B271" s="25" t="s">
        <v>237</v>
      </c>
      <c r="C271" s="25" t="s">
        <v>23</v>
      </c>
      <c r="D271" s="25">
        <v>500</v>
      </c>
      <c r="E271" s="25">
        <v>213.5</v>
      </c>
      <c r="F271" s="25">
        <v>106750</v>
      </c>
      <c r="G271" s="25" t="s">
        <v>1598</v>
      </c>
      <c r="H271" s="25">
        <v>2019189</v>
      </c>
      <c r="I271" s="25" t="s">
        <v>19</v>
      </c>
      <c r="J271" s="25" t="s">
        <v>20</v>
      </c>
      <c r="K271" s="25" t="s">
        <v>25</v>
      </c>
      <c r="L271" s="25">
        <v>26.62</v>
      </c>
      <c r="M271" s="25">
        <v>2.35</v>
      </c>
      <c r="N271" s="25">
        <v>0</v>
      </c>
      <c r="O271" s="25">
        <v>63.4</v>
      </c>
      <c r="P271" s="25">
        <v>92.368600000000001</v>
      </c>
    </row>
    <row r="272" spans="1:16" x14ac:dyDescent="0.25">
      <c r="A272" s="26">
        <v>43747</v>
      </c>
      <c r="B272" s="25" t="s">
        <v>288</v>
      </c>
      <c r="C272" s="25" t="s">
        <v>17</v>
      </c>
      <c r="D272" s="25">
        <v>100</v>
      </c>
      <c r="E272" s="25">
        <v>26</v>
      </c>
      <c r="F272" s="25">
        <v>2600</v>
      </c>
      <c r="G272" s="25" t="s">
        <v>1599</v>
      </c>
      <c r="H272" s="25">
        <v>2019189</v>
      </c>
      <c r="I272" s="25" t="s">
        <v>19</v>
      </c>
      <c r="J272" s="25" t="s">
        <v>20</v>
      </c>
      <c r="K272" s="25" t="s">
        <v>25</v>
      </c>
      <c r="L272" s="25">
        <v>2.72</v>
      </c>
      <c r="M272" s="25">
        <v>0.06</v>
      </c>
      <c r="N272" s="25">
        <v>29.1</v>
      </c>
      <c r="O272" s="25">
        <v>41.31</v>
      </c>
      <c r="P272" s="25">
        <v>73.187200000000004</v>
      </c>
    </row>
    <row r="273" spans="1:16" x14ac:dyDescent="0.25">
      <c r="A273" s="26">
        <v>43745</v>
      </c>
      <c r="B273" s="25" t="s">
        <v>268</v>
      </c>
      <c r="C273" s="25" t="s">
        <v>17</v>
      </c>
      <c r="D273" s="25">
        <v>500</v>
      </c>
      <c r="E273" s="25">
        <v>250.55</v>
      </c>
      <c r="F273" s="25">
        <v>125275</v>
      </c>
      <c r="G273" s="25" t="s">
        <v>1600</v>
      </c>
      <c r="H273" s="25">
        <v>2019188</v>
      </c>
      <c r="I273" s="25" t="s">
        <v>19</v>
      </c>
      <c r="J273" s="25" t="s">
        <v>20</v>
      </c>
      <c r="K273" s="25" t="s">
        <v>25</v>
      </c>
      <c r="L273" s="25">
        <v>0</v>
      </c>
      <c r="M273" s="25">
        <v>2.76</v>
      </c>
      <c r="N273" s="25">
        <v>0</v>
      </c>
      <c r="O273" s="25">
        <v>74.41</v>
      </c>
      <c r="P273" s="25">
        <v>77.1661</v>
      </c>
    </row>
    <row r="274" spans="1:16" x14ac:dyDescent="0.25">
      <c r="A274" s="26">
        <v>43745</v>
      </c>
      <c r="B274" s="25" t="s">
        <v>268</v>
      </c>
      <c r="C274" s="25" t="s">
        <v>17</v>
      </c>
      <c r="D274" s="25">
        <v>500</v>
      </c>
      <c r="E274" s="25">
        <v>248</v>
      </c>
      <c r="F274" s="25">
        <v>124000</v>
      </c>
      <c r="G274" s="25" t="s">
        <v>1601</v>
      </c>
      <c r="H274" s="25">
        <v>2019188</v>
      </c>
      <c r="I274" s="25" t="s">
        <v>19</v>
      </c>
      <c r="J274" s="25" t="s">
        <v>20</v>
      </c>
      <c r="K274" s="25" t="s">
        <v>25</v>
      </c>
      <c r="L274" s="25">
        <v>0</v>
      </c>
      <c r="M274" s="25">
        <v>2.73</v>
      </c>
      <c r="N274" s="25">
        <v>15.3</v>
      </c>
      <c r="O274" s="25">
        <v>73.650000000000006</v>
      </c>
      <c r="P274" s="25">
        <v>91.677999999999997</v>
      </c>
    </row>
    <row r="275" spans="1:16" x14ac:dyDescent="0.25">
      <c r="A275" s="26">
        <v>43745</v>
      </c>
      <c r="B275" s="25" t="s">
        <v>268</v>
      </c>
      <c r="C275" s="25" t="s">
        <v>23</v>
      </c>
      <c r="D275" s="25">
        <v>1000</v>
      </c>
      <c r="E275" s="25">
        <v>250</v>
      </c>
      <c r="F275" s="25">
        <v>250000</v>
      </c>
      <c r="G275" s="25" t="s">
        <v>1602</v>
      </c>
      <c r="H275" s="25">
        <v>2019188</v>
      </c>
      <c r="I275" s="25" t="s">
        <v>19</v>
      </c>
      <c r="J275" s="25" t="s">
        <v>20</v>
      </c>
      <c r="K275" s="25" t="s">
        <v>25</v>
      </c>
      <c r="L275" s="25">
        <v>62.6</v>
      </c>
      <c r="M275" s="25">
        <v>5.5</v>
      </c>
      <c r="N275" s="25">
        <v>0</v>
      </c>
      <c r="O275" s="25">
        <v>148.5</v>
      </c>
      <c r="P275" s="25">
        <v>216.60059999999999</v>
      </c>
    </row>
    <row r="276" spans="1:16" x14ac:dyDescent="0.25">
      <c r="A276" s="26">
        <v>43745</v>
      </c>
      <c r="B276" s="25" t="s">
        <v>288</v>
      </c>
      <c r="C276" s="25" t="s">
        <v>17</v>
      </c>
      <c r="D276" s="25">
        <v>50</v>
      </c>
      <c r="E276" s="25">
        <v>28</v>
      </c>
      <c r="F276" s="25">
        <v>1400</v>
      </c>
      <c r="G276" s="25" t="s">
        <v>1603</v>
      </c>
      <c r="H276" s="25">
        <v>2019188</v>
      </c>
      <c r="I276" s="25" t="s">
        <v>19</v>
      </c>
      <c r="J276" s="25" t="s">
        <v>20</v>
      </c>
      <c r="K276" s="25" t="s">
        <v>25</v>
      </c>
      <c r="L276" s="25">
        <v>1.4</v>
      </c>
      <c r="M276" s="25">
        <v>0.03</v>
      </c>
      <c r="N276" s="25">
        <v>0</v>
      </c>
      <c r="O276" s="25">
        <v>41.31</v>
      </c>
      <c r="P276" s="25">
        <v>42.7408</v>
      </c>
    </row>
    <row r="277" spans="1:16" x14ac:dyDescent="0.25">
      <c r="A277" s="26">
        <v>43742</v>
      </c>
      <c r="B277" s="25" t="s">
        <v>268</v>
      </c>
      <c r="C277" s="25" t="s">
        <v>23</v>
      </c>
      <c r="D277" s="25">
        <v>1000</v>
      </c>
      <c r="E277" s="25">
        <v>259.10000000000002</v>
      </c>
      <c r="F277" s="25">
        <v>259100</v>
      </c>
      <c r="G277" s="25" t="s">
        <v>1604</v>
      </c>
      <c r="H277" s="25">
        <v>2019187</v>
      </c>
      <c r="I277" s="25" t="s">
        <v>19</v>
      </c>
      <c r="J277" s="25" t="s">
        <v>20</v>
      </c>
      <c r="K277" s="25" t="s">
        <v>25</v>
      </c>
      <c r="L277" s="25">
        <v>64</v>
      </c>
      <c r="M277" s="25">
        <v>5.7</v>
      </c>
      <c r="N277" s="25">
        <v>15.6</v>
      </c>
      <c r="O277" s="25">
        <v>153.88999999999999</v>
      </c>
      <c r="P277" s="25">
        <v>239.1902</v>
      </c>
    </row>
    <row r="278" spans="1:16" x14ac:dyDescent="0.25">
      <c r="A278" s="26">
        <v>43742</v>
      </c>
      <c r="B278" s="25" t="s">
        <v>268</v>
      </c>
      <c r="C278" s="25" t="s">
        <v>17</v>
      </c>
      <c r="D278" s="25">
        <v>1000</v>
      </c>
      <c r="E278" s="25">
        <v>252</v>
      </c>
      <c r="F278" s="25">
        <v>252000</v>
      </c>
      <c r="G278" s="25" t="s">
        <v>1605</v>
      </c>
      <c r="H278" s="25">
        <v>2019187</v>
      </c>
      <c r="I278" s="25" t="s">
        <v>19</v>
      </c>
      <c r="J278" s="25" t="s">
        <v>20</v>
      </c>
      <c r="K278" s="25" t="s">
        <v>25</v>
      </c>
      <c r="L278" s="25">
        <v>0</v>
      </c>
      <c r="M278" s="25">
        <v>5.54</v>
      </c>
      <c r="N278" s="25">
        <v>0</v>
      </c>
      <c r="O278" s="25">
        <v>149.69</v>
      </c>
      <c r="P278" s="25">
        <v>155.23400000000001</v>
      </c>
    </row>
    <row r="279" spans="1:16" x14ac:dyDescent="0.25">
      <c r="A279" s="26">
        <v>43741</v>
      </c>
      <c r="B279" s="25" t="s">
        <v>268</v>
      </c>
      <c r="C279" s="25" t="s">
        <v>17</v>
      </c>
      <c r="D279" s="25">
        <v>500</v>
      </c>
      <c r="E279" s="25">
        <v>257</v>
      </c>
      <c r="F279" s="25">
        <v>128500</v>
      </c>
      <c r="G279" s="25" t="s">
        <v>1606</v>
      </c>
      <c r="H279" s="25">
        <v>2019186</v>
      </c>
      <c r="I279" s="25" t="s">
        <v>19</v>
      </c>
      <c r="J279" s="25" t="s">
        <v>20</v>
      </c>
      <c r="K279" s="25" t="s">
        <v>25</v>
      </c>
      <c r="L279" s="25">
        <v>0</v>
      </c>
      <c r="M279" s="25">
        <v>2.83</v>
      </c>
      <c r="N279" s="25">
        <v>0</v>
      </c>
      <c r="O279" s="25">
        <v>76.319999999999993</v>
      </c>
      <c r="P279" s="25">
        <v>79.147000000000006</v>
      </c>
    </row>
    <row r="280" spans="1:16" x14ac:dyDescent="0.25">
      <c r="A280" s="26">
        <v>43741</v>
      </c>
      <c r="B280" s="25" t="s">
        <v>268</v>
      </c>
      <c r="C280" s="25" t="s">
        <v>23</v>
      </c>
      <c r="D280" s="25">
        <v>500</v>
      </c>
      <c r="E280" s="25">
        <v>259.5</v>
      </c>
      <c r="F280" s="25">
        <v>129750</v>
      </c>
      <c r="G280" s="25" t="s">
        <v>1607</v>
      </c>
      <c r="H280" s="25">
        <v>2019186</v>
      </c>
      <c r="I280" s="25" t="s">
        <v>19</v>
      </c>
      <c r="J280" s="25" t="s">
        <v>20</v>
      </c>
      <c r="K280" s="25" t="s">
        <v>25</v>
      </c>
      <c r="L280" s="25">
        <v>31.94</v>
      </c>
      <c r="M280" s="25">
        <v>2.85</v>
      </c>
      <c r="N280" s="25">
        <v>0</v>
      </c>
      <c r="O280" s="25">
        <v>77.069999999999993</v>
      </c>
      <c r="P280" s="25">
        <v>111.86450000000001</v>
      </c>
    </row>
    <row r="281" spans="1:16" x14ac:dyDescent="0.25">
      <c r="A281" s="26">
        <v>43741</v>
      </c>
      <c r="B281" s="25" t="s">
        <v>268</v>
      </c>
      <c r="C281" s="25" t="s">
        <v>17</v>
      </c>
      <c r="D281" s="25">
        <v>500</v>
      </c>
      <c r="E281" s="25">
        <v>257</v>
      </c>
      <c r="F281" s="25">
        <v>128500</v>
      </c>
      <c r="G281" s="25" t="s">
        <v>1608</v>
      </c>
      <c r="H281" s="25">
        <v>2019186</v>
      </c>
      <c r="I281" s="25" t="s">
        <v>19</v>
      </c>
      <c r="J281" s="25" t="s">
        <v>20</v>
      </c>
      <c r="K281" s="25" t="s">
        <v>25</v>
      </c>
      <c r="L281" s="25">
        <v>0</v>
      </c>
      <c r="M281" s="25">
        <v>2.83</v>
      </c>
      <c r="N281" s="25">
        <v>0</v>
      </c>
      <c r="O281" s="25">
        <v>76.319999999999993</v>
      </c>
      <c r="P281" s="25">
        <v>79.147000000000006</v>
      </c>
    </row>
    <row r="282" spans="1:16" x14ac:dyDescent="0.25">
      <c r="A282" s="26">
        <v>43741</v>
      </c>
      <c r="B282" s="25" t="s">
        <v>268</v>
      </c>
      <c r="C282" s="25" t="s">
        <v>17</v>
      </c>
      <c r="D282" s="25">
        <v>500</v>
      </c>
      <c r="E282" s="25">
        <v>252</v>
      </c>
      <c r="F282" s="25">
        <v>126000</v>
      </c>
      <c r="G282" s="25" t="s">
        <v>1609</v>
      </c>
      <c r="H282" s="25">
        <v>2019186</v>
      </c>
      <c r="I282" s="25" t="s">
        <v>19</v>
      </c>
      <c r="J282" s="25" t="s">
        <v>20</v>
      </c>
      <c r="K282" s="25" t="s">
        <v>25</v>
      </c>
      <c r="L282" s="25">
        <v>0</v>
      </c>
      <c r="M282" s="25">
        <v>2.77</v>
      </c>
      <c r="N282" s="25">
        <v>23.1</v>
      </c>
      <c r="O282" s="25">
        <v>74.84</v>
      </c>
      <c r="P282" s="25">
        <v>100.712</v>
      </c>
    </row>
    <row r="283" spans="1:16" x14ac:dyDescent="0.25">
      <c r="A283" s="26">
        <v>43741</v>
      </c>
      <c r="B283" s="25" t="s">
        <v>268</v>
      </c>
      <c r="C283" s="25" t="s">
        <v>23</v>
      </c>
      <c r="D283" s="25">
        <v>1000</v>
      </c>
      <c r="E283" s="25">
        <v>253.7</v>
      </c>
      <c r="F283" s="25">
        <v>253700</v>
      </c>
      <c r="G283" s="25" t="s">
        <v>1610</v>
      </c>
      <c r="H283" s="25">
        <v>2019186</v>
      </c>
      <c r="I283" s="25" t="s">
        <v>19</v>
      </c>
      <c r="J283" s="25" t="s">
        <v>20</v>
      </c>
      <c r="K283" s="25" t="s">
        <v>25</v>
      </c>
      <c r="L283" s="25">
        <v>64.06</v>
      </c>
      <c r="M283" s="25">
        <v>5.58</v>
      </c>
      <c r="N283" s="25">
        <v>0</v>
      </c>
      <c r="O283" s="25">
        <v>150.69</v>
      </c>
      <c r="P283" s="25">
        <v>220.3314</v>
      </c>
    </row>
    <row r="284" spans="1:16" x14ac:dyDescent="0.25">
      <c r="A284" s="26">
        <v>43739</v>
      </c>
      <c r="B284" s="25" t="s">
        <v>1086</v>
      </c>
      <c r="C284" s="25" t="s">
        <v>23</v>
      </c>
      <c r="D284" s="25">
        <v>500</v>
      </c>
      <c r="E284" s="25">
        <v>56.15</v>
      </c>
      <c r="F284" s="25">
        <v>28075</v>
      </c>
      <c r="G284" s="25" t="s">
        <v>1611</v>
      </c>
      <c r="H284" s="25">
        <v>2019185</v>
      </c>
      <c r="I284" s="25" t="s">
        <v>19</v>
      </c>
      <c r="J284" s="25" t="s">
        <v>20</v>
      </c>
      <c r="K284" s="25" t="s">
        <v>25</v>
      </c>
      <c r="L284" s="25">
        <v>7.43</v>
      </c>
      <c r="M284" s="25">
        <v>0.62</v>
      </c>
      <c r="N284" s="25">
        <v>2.1</v>
      </c>
      <c r="O284" s="25">
        <v>29.62</v>
      </c>
      <c r="P284" s="25">
        <v>39.767699999999998</v>
      </c>
    </row>
    <row r="285" spans="1:16" x14ac:dyDescent="0.25">
      <c r="A285" s="26">
        <v>43739</v>
      </c>
      <c r="B285" s="25" t="s">
        <v>1086</v>
      </c>
      <c r="C285" s="25" t="s">
        <v>17</v>
      </c>
      <c r="D285" s="25">
        <v>500</v>
      </c>
      <c r="E285" s="25">
        <v>54.8</v>
      </c>
      <c r="F285" s="25">
        <v>27400</v>
      </c>
      <c r="G285" s="25" t="s">
        <v>1612</v>
      </c>
      <c r="H285" s="25">
        <v>2019185</v>
      </c>
      <c r="I285" s="25" t="s">
        <v>19</v>
      </c>
      <c r="J285" s="25" t="s">
        <v>20</v>
      </c>
      <c r="K285" s="25" t="s">
        <v>25</v>
      </c>
      <c r="L285" s="25">
        <v>0</v>
      </c>
      <c r="M285" s="25">
        <v>0.6</v>
      </c>
      <c r="N285" s="25">
        <v>0</v>
      </c>
      <c r="O285" s="25">
        <v>29.61</v>
      </c>
      <c r="P285" s="25">
        <v>30.212800000000001</v>
      </c>
    </row>
    <row r="286" spans="1:16" x14ac:dyDescent="0.25">
      <c r="A286" s="26">
        <v>43739</v>
      </c>
      <c r="B286" s="25" t="s">
        <v>288</v>
      </c>
      <c r="C286" s="25" t="s">
        <v>17</v>
      </c>
      <c r="D286" s="25">
        <v>50</v>
      </c>
      <c r="E286" s="25">
        <v>30</v>
      </c>
      <c r="F286" s="25">
        <v>1500</v>
      </c>
      <c r="G286" s="25" t="s">
        <v>1613</v>
      </c>
      <c r="H286" s="25">
        <v>2019185</v>
      </c>
      <c r="I286" s="25" t="s">
        <v>19</v>
      </c>
      <c r="J286" s="25" t="s">
        <v>20</v>
      </c>
      <c r="K286" s="25" t="s">
        <v>25</v>
      </c>
      <c r="L286" s="25">
        <v>1.5</v>
      </c>
      <c r="M286" s="25">
        <v>0.03</v>
      </c>
      <c r="N286" s="25">
        <v>0</v>
      </c>
      <c r="O286" s="25">
        <v>41.31</v>
      </c>
      <c r="P286" s="25">
        <v>42.843000000000004</v>
      </c>
    </row>
    <row r="287" spans="1:16" x14ac:dyDescent="0.25">
      <c r="A287" s="26">
        <v>43739</v>
      </c>
      <c r="B287" s="25" t="s">
        <v>659</v>
      </c>
      <c r="C287" s="25" t="s">
        <v>17</v>
      </c>
      <c r="D287" s="25">
        <v>100</v>
      </c>
      <c r="E287" s="25">
        <v>31</v>
      </c>
      <c r="F287" s="25">
        <v>3100</v>
      </c>
      <c r="G287" s="25" t="s">
        <v>1614</v>
      </c>
      <c r="H287" s="25">
        <v>2019185</v>
      </c>
      <c r="I287" s="25" t="s">
        <v>19</v>
      </c>
      <c r="J287" s="25" t="s">
        <v>20</v>
      </c>
      <c r="K287" s="25" t="s">
        <v>25</v>
      </c>
      <c r="L287" s="25">
        <v>3.26</v>
      </c>
      <c r="M287" s="25">
        <v>7.0000000000000007E-2</v>
      </c>
      <c r="N287" s="25">
        <v>0</v>
      </c>
      <c r="O287" s="25">
        <v>41.31</v>
      </c>
      <c r="P287" s="25">
        <v>44.638199999999998</v>
      </c>
    </row>
    <row r="288" spans="1:16" x14ac:dyDescent="0.25">
      <c r="A288" s="26">
        <v>43739</v>
      </c>
      <c r="B288" s="25" t="s">
        <v>659</v>
      </c>
      <c r="C288" s="25" t="s">
        <v>17</v>
      </c>
      <c r="D288" s="25">
        <v>25</v>
      </c>
      <c r="E288" s="25">
        <v>39</v>
      </c>
      <c r="F288" s="25">
        <v>975</v>
      </c>
      <c r="G288" s="25" t="s">
        <v>1615</v>
      </c>
      <c r="H288" s="25">
        <v>2019185</v>
      </c>
      <c r="I288" s="25" t="s">
        <v>19</v>
      </c>
      <c r="J288" s="25" t="s">
        <v>20</v>
      </c>
      <c r="K288" s="25" t="s">
        <v>25</v>
      </c>
      <c r="L288" s="25">
        <v>0.82</v>
      </c>
      <c r="M288" s="25">
        <v>0.02</v>
      </c>
      <c r="N288" s="25">
        <v>0</v>
      </c>
      <c r="O288" s="25">
        <v>28.77</v>
      </c>
      <c r="P288" s="25">
        <v>29.611499999999999</v>
      </c>
    </row>
    <row r="289" spans="1:16" x14ac:dyDescent="0.25">
      <c r="A289" s="26">
        <v>43738</v>
      </c>
      <c r="B289" s="25" t="s">
        <v>659</v>
      </c>
      <c r="C289" s="25" t="s">
        <v>17</v>
      </c>
      <c r="D289" s="25">
        <v>30</v>
      </c>
      <c r="E289" s="25">
        <v>44.5</v>
      </c>
      <c r="F289" s="25">
        <v>1335</v>
      </c>
      <c r="G289" s="25" t="s">
        <v>1616</v>
      </c>
      <c r="H289" s="25">
        <v>2019184</v>
      </c>
      <c r="I289" s="25" t="s">
        <v>19</v>
      </c>
      <c r="J289" s="25" t="s">
        <v>20</v>
      </c>
      <c r="K289" s="25" t="s">
        <v>25</v>
      </c>
      <c r="L289" s="25">
        <v>1</v>
      </c>
      <c r="M289" s="25">
        <v>0.03</v>
      </c>
      <c r="N289" s="25">
        <v>0.3</v>
      </c>
      <c r="O289" s="25">
        <v>39.39</v>
      </c>
      <c r="P289" s="25">
        <v>40.719299999999997</v>
      </c>
    </row>
    <row r="290" spans="1:16" x14ac:dyDescent="0.25">
      <c r="A290" s="26">
        <v>43735</v>
      </c>
      <c r="B290" s="25" t="s">
        <v>659</v>
      </c>
      <c r="C290" s="25" t="s">
        <v>17</v>
      </c>
      <c r="D290" s="25">
        <v>10</v>
      </c>
      <c r="E290" s="25">
        <v>49</v>
      </c>
      <c r="F290" s="25">
        <v>490</v>
      </c>
      <c r="G290" s="25" t="s">
        <v>1617</v>
      </c>
      <c r="H290" s="25">
        <v>2019183</v>
      </c>
      <c r="I290" s="25" t="s">
        <v>19</v>
      </c>
      <c r="J290" s="25" t="s">
        <v>20</v>
      </c>
      <c r="K290" s="25" t="s">
        <v>25</v>
      </c>
      <c r="L290" s="25">
        <v>0</v>
      </c>
      <c r="M290" s="25">
        <v>0.01</v>
      </c>
      <c r="N290" s="25">
        <v>0.3</v>
      </c>
      <c r="O290" s="25">
        <v>14.46</v>
      </c>
      <c r="P290" s="25">
        <v>14.770799999999999</v>
      </c>
    </row>
    <row r="291" spans="1:16" x14ac:dyDescent="0.25">
      <c r="A291" s="26">
        <v>43733</v>
      </c>
      <c r="B291" s="25" t="s">
        <v>282</v>
      </c>
      <c r="C291" s="25" t="s">
        <v>17</v>
      </c>
      <c r="D291" s="25">
        <v>10</v>
      </c>
      <c r="E291" s="25">
        <v>218</v>
      </c>
      <c r="F291" s="25">
        <v>2180</v>
      </c>
      <c r="G291" s="25" t="s">
        <v>1618</v>
      </c>
      <c r="H291" s="25">
        <v>2019181</v>
      </c>
      <c r="I291" s="25" t="s">
        <v>19</v>
      </c>
      <c r="J291" s="25" t="s">
        <v>20</v>
      </c>
      <c r="K291" s="25" t="s">
        <v>25</v>
      </c>
      <c r="L291" s="25">
        <v>2</v>
      </c>
      <c r="M291" s="25">
        <v>0.05</v>
      </c>
      <c r="N291" s="25">
        <v>0.3</v>
      </c>
      <c r="O291" s="25">
        <v>41.31</v>
      </c>
      <c r="P291" s="25">
        <v>43.658000000000001</v>
      </c>
    </row>
    <row r="292" spans="1:16" x14ac:dyDescent="0.25">
      <c r="A292" s="26">
        <v>43732</v>
      </c>
      <c r="B292" s="25" t="s">
        <v>226</v>
      </c>
      <c r="C292" s="25" t="s">
        <v>23</v>
      </c>
      <c r="D292" s="25">
        <v>100</v>
      </c>
      <c r="E292" s="25">
        <v>276.26</v>
      </c>
      <c r="F292" s="25">
        <v>27625.9</v>
      </c>
      <c r="G292" s="25" t="s">
        <v>1619</v>
      </c>
      <c r="H292" s="25">
        <v>2019180</v>
      </c>
      <c r="I292" s="25" t="s">
        <v>19</v>
      </c>
      <c r="J292" s="25" t="s">
        <v>20</v>
      </c>
      <c r="K292" s="25" t="s">
        <v>25</v>
      </c>
      <c r="L292" s="25">
        <v>7</v>
      </c>
      <c r="M292" s="25">
        <v>0.61</v>
      </c>
      <c r="N292" s="25">
        <v>1.8</v>
      </c>
      <c r="O292" s="25">
        <v>29.62</v>
      </c>
      <c r="P292" s="25">
        <v>39.027799999999999</v>
      </c>
    </row>
    <row r="293" spans="1:16" x14ac:dyDescent="0.25">
      <c r="A293" s="26">
        <v>43732</v>
      </c>
      <c r="B293" s="25" t="s">
        <v>226</v>
      </c>
      <c r="C293" s="25" t="s">
        <v>17</v>
      </c>
      <c r="D293" s="25">
        <v>100</v>
      </c>
      <c r="E293" s="25">
        <v>274</v>
      </c>
      <c r="F293" s="25">
        <v>27400</v>
      </c>
      <c r="G293" s="25" t="s">
        <v>1620</v>
      </c>
      <c r="H293" s="25">
        <v>2019180</v>
      </c>
      <c r="I293" s="25" t="s">
        <v>19</v>
      </c>
      <c r="J293" s="25" t="s">
        <v>20</v>
      </c>
      <c r="K293" s="25" t="s">
        <v>25</v>
      </c>
      <c r="L293" s="25">
        <v>0</v>
      </c>
      <c r="M293" s="25">
        <v>0.6</v>
      </c>
      <c r="N293" s="25">
        <v>0</v>
      </c>
      <c r="O293" s="25">
        <v>29.61</v>
      </c>
      <c r="P293" s="25">
        <v>30.212800000000001</v>
      </c>
    </row>
    <row r="294" spans="1:16" x14ac:dyDescent="0.25">
      <c r="A294" s="26">
        <v>43732</v>
      </c>
      <c r="B294" s="25" t="s">
        <v>288</v>
      </c>
      <c r="C294" s="25" t="s">
        <v>17</v>
      </c>
      <c r="D294" s="25">
        <v>100</v>
      </c>
      <c r="E294" s="25">
        <v>30</v>
      </c>
      <c r="F294" s="25">
        <v>3000</v>
      </c>
      <c r="G294" s="25" t="s">
        <v>1621</v>
      </c>
      <c r="H294" s="25">
        <v>2019180</v>
      </c>
      <c r="I294" s="25" t="s">
        <v>19</v>
      </c>
      <c r="J294" s="25" t="s">
        <v>20</v>
      </c>
      <c r="K294" s="25" t="s">
        <v>25</v>
      </c>
      <c r="L294" s="25">
        <v>3</v>
      </c>
      <c r="M294" s="25">
        <v>7.0000000000000007E-2</v>
      </c>
      <c r="N294" s="25">
        <v>0</v>
      </c>
      <c r="O294" s="25">
        <v>41.31</v>
      </c>
      <c r="P294" s="25">
        <v>44.375999999999998</v>
      </c>
    </row>
    <row r="295" spans="1:16" x14ac:dyDescent="0.25">
      <c r="A295" s="26">
        <v>43727</v>
      </c>
      <c r="B295" s="25" t="s">
        <v>659</v>
      </c>
      <c r="C295" s="25" t="s">
        <v>17</v>
      </c>
      <c r="D295" s="25">
        <v>10</v>
      </c>
      <c r="E295" s="25">
        <v>54</v>
      </c>
      <c r="F295" s="25">
        <v>540</v>
      </c>
      <c r="G295" s="25" t="s">
        <v>1622</v>
      </c>
      <c r="H295" s="25">
        <v>2019177</v>
      </c>
      <c r="I295" s="25" t="s">
        <v>19</v>
      </c>
      <c r="J295" s="25" t="s">
        <v>20</v>
      </c>
      <c r="K295" s="25" t="s">
        <v>25</v>
      </c>
      <c r="L295" s="25">
        <v>1</v>
      </c>
      <c r="M295" s="25">
        <v>0.01</v>
      </c>
      <c r="N295" s="25">
        <v>0.3</v>
      </c>
      <c r="O295" s="25">
        <v>15.93</v>
      </c>
      <c r="P295" s="25">
        <v>17.241800000000001</v>
      </c>
    </row>
    <row r="296" spans="1:16" x14ac:dyDescent="0.25">
      <c r="A296" s="26">
        <v>43711</v>
      </c>
      <c r="B296" s="25" t="s">
        <v>1086</v>
      </c>
      <c r="C296" s="25" t="s">
        <v>17</v>
      </c>
      <c r="D296" s="25">
        <v>1000</v>
      </c>
      <c r="E296" s="25">
        <v>55</v>
      </c>
      <c r="F296" s="25">
        <v>55000</v>
      </c>
      <c r="G296" s="25" t="s">
        <v>1623</v>
      </c>
      <c r="H296" s="25">
        <v>2019166</v>
      </c>
      <c r="I296" s="25" t="s">
        <v>19</v>
      </c>
      <c r="J296" s="25" t="s">
        <v>20</v>
      </c>
      <c r="K296" s="25" t="s">
        <v>25</v>
      </c>
      <c r="L296" s="25">
        <v>0</v>
      </c>
      <c r="M296" s="25">
        <v>1.21</v>
      </c>
      <c r="N296" s="25">
        <v>0</v>
      </c>
      <c r="O296" s="25">
        <v>32.67</v>
      </c>
      <c r="P296" s="25">
        <v>33.880000000000003</v>
      </c>
    </row>
    <row r="297" spans="1:16" x14ac:dyDescent="0.25">
      <c r="A297" s="26">
        <v>43711</v>
      </c>
      <c r="B297" s="25" t="s">
        <v>1086</v>
      </c>
      <c r="C297" s="25" t="s">
        <v>23</v>
      </c>
      <c r="D297" s="25">
        <v>1000</v>
      </c>
      <c r="E297" s="25">
        <v>55.1</v>
      </c>
      <c r="F297" s="25">
        <v>55100</v>
      </c>
      <c r="G297" s="25" t="s">
        <v>1624</v>
      </c>
      <c r="H297" s="25">
        <v>2019166</v>
      </c>
      <c r="I297" s="25" t="s">
        <v>19</v>
      </c>
      <c r="J297" s="25" t="s">
        <v>20</v>
      </c>
      <c r="K297" s="25" t="s">
        <v>25</v>
      </c>
      <c r="L297" s="25">
        <v>13.3</v>
      </c>
      <c r="M297" s="25">
        <v>1.21</v>
      </c>
      <c r="N297" s="25">
        <v>0</v>
      </c>
      <c r="O297" s="25">
        <v>32.729999999999997</v>
      </c>
      <c r="P297" s="25">
        <v>47.242199999999997</v>
      </c>
    </row>
    <row r="298" spans="1:16" x14ac:dyDescent="0.25">
      <c r="A298" s="26">
        <v>43711</v>
      </c>
      <c r="B298" s="25" t="s">
        <v>1086</v>
      </c>
      <c r="C298" s="25" t="s">
        <v>17</v>
      </c>
      <c r="D298" s="25">
        <v>1000</v>
      </c>
      <c r="E298" s="25">
        <v>55</v>
      </c>
      <c r="F298" s="25">
        <v>55000</v>
      </c>
      <c r="G298" s="25" t="s">
        <v>1625</v>
      </c>
      <c r="H298" s="25">
        <v>2019166</v>
      </c>
      <c r="I298" s="25" t="s">
        <v>19</v>
      </c>
      <c r="J298" s="25" t="s">
        <v>20</v>
      </c>
      <c r="K298" s="25" t="s">
        <v>25</v>
      </c>
      <c r="L298" s="25">
        <v>0</v>
      </c>
      <c r="M298" s="25">
        <v>1.21</v>
      </c>
      <c r="N298" s="25">
        <v>6.6</v>
      </c>
      <c r="O298" s="25">
        <v>32.659999999999997</v>
      </c>
      <c r="P298" s="25">
        <v>40.47</v>
      </c>
    </row>
    <row r="299" spans="1:16" x14ac:dyDescent="0.25">
      <c r="A299" s="26">
        <v>43711</v>
      </c>
      <c r="B299" s="25" t="s">
        <v>1086</v>
      </c>
      <c r="C299" s="25" t="s">
        <v>23</v>
      </c>
      <c r="D299" s="25">
        <v>1000</v>
      </c>
      <c r="E299" s="25">
        <v>54.1</v>
      </c>
      <c r="F299" s="25">
        <v>54100</v>
      </c>
      <c r="G299" s="25" t="s">
        <v>1626</v>
      </c>
      <c r="H299" s="25">
        <v>2019166</v>
      </c>
      <c r="I299" s="25" t="s">
        <v>19</v>
      </c>
      <c r="J299" s="25" t="s">
        <v>20</v>
      </c>
      <c r="K299" s="25" t="s">
        <v>25</v>
      </c>
      <c r="L299" s="25">
        <v>13.7</v>
      </c>
      <c r="M299" s="25">
        <v>1.19</v>
      </c>
      <c r="N299" s="25">
        <v>0</v>
      </c>
      <c r="O299" s="25">
        <v>32.130000000000003</v>
      </c>
      <c r="P299" s="25">
        <v>47.020200000000003</v>
      </c>
    </row>
    <row r="300" spans="1:16" x14ac:dyDescent="0.25">
      <c r="A300" s="26">
        <v>43707</v>
      </c>
      <c r="B300" s="25" t="s">
        <v>659</v>
      </c>
      <c r="C300" s="25" t="s">
        <v>17</v>
      </c>
      <c r="D300" s="25">
        <v>1000</v>
      </c>
      <c r="E300" s="25">
        <v>57.7</v>
      </c>
      <c r="F300" s="25">
        <v>57700</v>
      </c>
      <c r="G300" s="25" t="s">
        <v>1627</v>
      </c>
      <c r="H300" s="25">
        <v>2019165</v>
      </c>
      <c r="I300" s="25" t="s">
        <v>19</v>
      </c>
      <c r="J300" s="25" t="s">
        <v>20</v>
      </c>
      <c r="K300" s="25" t="s">
        <v>25</v>
      </c>
      <c r="L300" s="25">
        <v>0</v>
      </c>
      <c r="M300" s="25">
        <v>1.27</v>
      </c>
      <c r="N300" s="25">
        <v>3.6</v>
      </c>
      <c r="O300" s="25">
        <v>34.270000000000003</v>
      </c>
      <c r="P300" s="25">
        <v>39.139400000000002</v>
      </c>
    </row>
    <row r="301" spans="1:16" x14ac:dyDescent="0.25">
      <c r="A301" s="26">
        <v>43707</v>
      </c>
      <c r="B301" s="25" t="s">
        <v>659</v>
      </c>
      <c r="C301" s="25" t="s">
        <v>23</v>
      </c>
      <c r="D301" s="25">
        <v>1000</v>
      </c>
      <c r="E301" s="25">
        <v>58</v>
      </c>
      <c r="F301" s="25">
        <v>58000</v>
      </c>
      <c r="G301" s="25" t="s">
        <v>1628</v>
      </c>
      <c r="H301" s="25">
        <v>2019165</v>
      </c>
      <c r="I301" s="25" t="s">
        <v>19</v>
      </c>
      <c r="J301" s="25" t="s">
        <v>20</v>
      </c>
      <c r="K301" s="25" t="s">
        <v>25</v>
      </c>
      <c r="L301" s="25">
        <v>14</v>
      </c>
      <c r="M301" s="25">
        <v>1.28</v>
      </c>
      <c r="N301" s="25">
        <v>0</v>
      </c>
      <c r="O301" s="25">
        <v>34.450000000000003</v>
      </c>
      <c r="P301" s="25">
        <v>49.725999999999999</v>
      </c>
    </row>
    <row r="302" spans="1:16" x14ac:dyDescent="0.25">
      <c r="A302" s="26">
        <v>43704</v>
      </c>
      <c r="B302" s="25" t="s">
        <v>1086</v>
      </c>
      <c r="C302" s="25" t="s">
        <v>23</v>
      </c>
      <c r="D302" s="25">
        <v>5000</v>
      </c>
      <c r="E302" s="25">
        <v>55.6</v>
      </c>
      <c r="F302" s="25">
        <v>278000</v>
      </c>
      <c r="G302" s="25" t="s">
        <v>1629</v>
      </c>
      <c r="H302" s="25">
        <v>2019162</v>
      </c>
      <c r="I302" s="25" t="s">
        <v>19</v>
      </c>
      <c r="J302" s="25" t="s">
        <v>20</v>
      </c>
      <c r="K302" s="25" t="s">
        <v>25</v>
      </c>
      <c r="L302" s="25">
        <v>72.010000000000005</v>
      </c>
      <c r="M302" s="25">
        <v>6.12</v>
      </c>
      <c r="N302" s="25">
        <v>0</v>
      </c>
      <c r="O302" s="25">
        <v>165.12</v>
      </c>
      <c r="P302" s="25">
        <v>243.24600000000001</v>
      </c>
    </row>
    <row r="303" spans="1:16" x14ac:dyDescent="0.25">
      <c r="A303" s="26">
        <v>43704</v>
      </c>
      <c r="B303" s="25" t="s">
        <v>1086</v>
      </c>
      <c r="C303" s="25" t="s">
        <v>17</v>
      </c>
      <c r="D303" s="25">
        <v>2621</v>
      </c>
      <c r="E303" s="25">
        <v>57.4</v>
      </c>
      <c r="F303" s="25">
        <v>150445.4</v>
      </c>
      <c r="G303" s="25" t="s">
        <v>1630</v>
      </c>
      <c r="H303" s="25">
        <v>2019162</v>
      </c>
      <c r="I303" s="25" t="s">
        <v>19</v>
      </c>
      <c r="J303" s="25" t="s">
        <v>20</v>
      </c>
      <c r="K303" s="25" t="s">
        <v>25</v>
      </c>
      <c r="L303" s="25">
        <v>0</v>
      </c>
      <c r="M303" s="25">
        <v>3.31</v>
      </c>
      <c r="N303" s="25">
        <v>34.799999999999997</v>
      </c>
      <c r="O303" s="25">
        <v>89.33</v>
      </c>
      <c r="P303" s="25">
        <v>127.44</v>
      </c>
    </row>
    <row r="304" spans="1:16" x14ac:dyDescent="0.25">
      <c r="A304" s="26">
        <v>43704</v>
      </c>
      <c r="B304" s="25" t="s">
        <v>1086</v>
      </c>
      <c r="C304" s="25" t="s">
        <v>17</v>
      </c>
      <c r="D304" s="25">
        <v>2379</v>
      </c>
      <c r="E304" s="25">
        <v>57.45</v>
      </c>
      <c r="F304" s="25">
        <v>136673.54999999999</v>
      </c>
      <c r="G304" s="25" t="s">
        <v>1631</v>
      </c>
      <c r="H304" s="25">
        <v>2019162</v>
      </c>
      <c r="I304" s="25" t="s">
        <v>19</v>
      </c>
      <c r="J304" s="25" t="s">
        <v>20</v>
      </c>
      <c r="K304" s="25" t="s">
        <v>25</v>
      </c>
      <c r="L304" s="25">
        <v>0</v>
      </c>
      <c r="M304" s="25">
        <v>3.01</v>
      </c>
      <c r="N304" s="25">
        <v>0</v>
      </c>
      <c r="O304" s="25">
        <v>81.180000000000007</v>
      </c>
      <c r="P304" s="25">
        <v>84.186800000000005</v>
      </c>
    </row>
    <row r="305" spans="1:16" x14ac:dyDescent="0.25">
      <c r="A305" s="26">
        <v>43704</v>
      </c>
      <c r="B305" s="25" t="s">
        <v>1086</v>
      </c>
      <c r="C305" s="25" t="s">
        <v>23</v>
      </c>
      <c r="D305" s="25">
        <v>5000</v>
      </c>
      <c r="E305" s="25">
        <v>58.4</v>
      </c>
      <c r="F305" s="25">
        <v>292000</v>
      </c>
      <c r="G305" s="25" t="s">
        <v>1632</v>
      </c>
      <c r="H305" s="25">
        <v>2019162</v>
      </c>
      <c r="I305" s="25" t="s">
        <v>19</v>
      </c>
      <c r="J305" s="25" t="s">
        <v>20</v>
      </c>
      <c r="K305" s="25" t="s">
        <v>25</v>
      </c>
      <c r="L305" s="25">
        <v>71.989999999999995</v>
      </c>
      <c r="M305" s="25">
        <v>6.42</v>
      </c>
      <c r="N305" s="25">
        <v>0</v>
      </c>
      <c r="O305" s="25">
        <v>173.43</v>
      </c>
      <c r="P305" s="25">
        <v>251.84399999999999</v>
      </c>
    </row>
    <row r="306" spans="1:16" x14ac:dyDescent="0.25">
      <c r="A306" s="26">
        <v>43704</v>
      </c>
      <c r="B306" s="25" t="s">
        <v>1086</v>
      </c>
      <c r="C306" s="25" t="s">
        <v>17</v>
      </c>
      <c r="D306" s="25">
        <v>5000</v>
      </c>
      <c r="E306" s="25">
        <v>59</v>
      </c>
      <c r="F306" s="25">
        <v>295000</v>
      </c>
      <c r="G306" s="25" t="s">
        <v>1633</v>
      </c>
      <c r="H306" s="25">
        <v>2019162</v>
      </c>
      <c r="I306" s="25" t="s">
        <v>19</v>
      </c>
      <c r="J306" s="25" t="s">
        <v>20</v>
      </c>
      <c r="K306" s="25" t="s">
        <v>25</v>
      </c>
      <c r="L306" s="25">
        <v>0</v>
      </c>
      <c r="M306" s="25">
        <v>6.49</v>
      </c>
      <c r="N306" s="25">
        <v>0</v>
      </c>
      <c r="O306" s="25">
        <v>175.22</v>
      </c>
      <c r="P306" s="25">
        <v>181.71</v>
      </c>
    </row>
    <row r="307" spans="1:16" x14ac:dyDescent="0.25">
      <c r="A307" s="26">
        <v>43703</v>
      </c>
      <c r="B307" s="25" t="s">
        <v>1156</v>
      </c>
      <c r="C307" s="25" t="s">
        <v>23</v>
      </c>
      <c r="D307" s="25">
        <v>1000</v>
      </c>
      <c r="E307" s="25">
        <v>60.25</v>
      </c>
      <c r="F307" s="25">
        <v>60250</v>
      </c>
      <c r="G307" s="25" t="s">
        <v>1460</v>
      </c>
      <c r="H307" s="25">
        <v>2019161</v>
      </c>
      <c r="I307" s="25" t="s">
        <v>19</v>
      </c>
      <c r="J307" s="25" t="s">
        <v>20</v>
      </c>
      <c r="K307" s="25" t="s">
        <v>25</v>
      </c>
      <c r="L307" s="25">
        <v>15.2</v>
      </c>
      <c r="M307" s="25">
        <v>1.33</v>
      </c>
      <c r="N307" s="25">
        <v>0</v>
      </c>
      <c r="O307" s="25">
        <v>35.78</v>
      </c>
      <c r="P307" s="25">
        <v>52.305500000000002</v>
      </c>
    </row>
    <row r="308" spans="1:16" x14ac:dyDescent="0.25">
      <c r="A308" s="26">
        <v>43703</v>
      </c>
      <c r="B308" s="25" t="s">
        <v>1156</v>
      </c>
      <c r="C308" s="25" t="s">
        <v>23</v>
      </c>
      <c r="D308" s="25">
        <v>680</v>
      </c>
      <c r="E308" s="25">
        <v>61</v>
      </c>
      <c r="F308" s="25">
        <v>41480</v>
      </c>
      <c r="G308" s="25" t="s">
        <v>1461</v>
      </c>
      <c r="H308" s="25">
        <v>2019161</v>
      </c>
      <c r="I308" s="25" t="s">
        <v>19</v>
      </c>
      <c r="J308" s="25" t="s">
        <v>20</v>
      </c>
      <c r="K308" s="25" t="s">
        <v>25</v>
      </c>
      <c r="L308" s="25">
        <v>10.33</v>
      </c>
      <c r="M308" s="25">
        <v>0.91</v>
      </c>
      <c r="N308" s="25">
        <v>0</v>
      </c>
      <c r="O308" s="25">
        <v>29.66</v>
      </c>
      <c r="P308" s="25">
        <v>40.9026</v>
      </c>
    </row>
    <row r="309" spans="1:16" x14ac:dyDescent="0.25">
      <c r="A309" s="26">
        <v>43703</v>
      </c>
      <c r="B309" s="25" t="s">
        <v>1086</v>
      </c>
      <c r="C309" s="25" t="s">
        <v>23</v>
      </c>
      <c r="D309" s="25">
        <v>2500</v>
      </c>
      <c r="E309" s="25">
        <v>54.5</v>
      </c>
      <c r="F309" s="25">
        <v>136250</v>
      </c>
      <c r="G309" s="25" t="s">
        <v>1462</v>
      </c>
      <c r="H309" s="25">
        <v>2019161</v>
      </c>
      <c r="I309" s="25" t="s">
        <v>19</v>
      </c>
      <c r="J309" s="25" t="s">
        <v>20</v>
      </c>
      <c r="K309" s="25" t="s">
        <v>25</v>
      </c>
      <c r="L309" s="25">
        <v>34.340000000000003</v>
      </c>
      <c r="M309" s="25">
        <v>3</v>
      </c>
      <c r="N309" s="25">
        <v>0</v>
      </c>
      <c r="O309" s="25">
        <v>80.930000000000007</v>
      </c>
      <c r="P309" s="25">
        <v>118.26730000000001</v>
      </c>
    </row>
    <row r="310" spans="1:16" x14ac:dyDescent="0.25">
      <c r="A310" s="26">
        <v>43703</v>
      </c>
      <c r="B310" s="25" t="s">
        <v>1086</v>
      </c>
      <c r="C310" s="25" t="s">
        <v>17</v>
      </c>
      <c r="D310" s="25">
        <v>2500</v>
      </c>
      <c r="E310" s="25">
        <v>53.7</v>
      </c>
      <c r="F310" s="25">
        <v>134250</v>
      </c>
      <c r="G310" s="25" t="s">
        <v>1463</v>
      </c>
      <c r="H310" s="25">
        <v>2019161</v>
      </c>
      <c r="I310" s="25" t="s">
        <v>19</v>
      </c>
      <c r="J310" s="25" t="s">
        <v>20</v>
      </c>
      <c r="K310" s="25" t="s">
        <v>25</v>
      </c>
      <c r="L310" s="25">
        <v>0</v>
      </c>
      <c r="M310" s="25">
        <v>2.95</v>
      </c>
      <c r="N310" s="25">
        <v>46.2</v>
      </c>
      <c r="O310" s="25">
        <v>79.73</v>
      </c>
      <c r="P310" s="25">
        <v>128.8836</v>
      </c>
    </row>
    <row r="311" spans="1:16" x14ac:dyDescent="0.25">
      <c r="A311" s="26">
        <v>43703</v>
      </c>
      <c r="B311" s="25" t="s">
        <v>1156</v>
      </c>
      <c r="C311" s="25" t="s">
        <v>17</v>
      </c>
      <c r="D311" s="25">
        <v>1680</v>
      </c>
      <c r="E311" s="25">
        <v>60.7</v>
      </c>
      <c r="F311" s="25">
        <v>101976</v>
      </c>
      <c r="G311" s="25" t="s">
        <v>1464</v>
      </c>
      <c r="H311" s="25">
        <v>2019161</v>
      </c>
      <c r="I311" s="25" t="s">
        <v>19</v>
      </c>
      <c r="J311" s="25" t="s">
        <v>20</v>
      </c>
      <c r="K311" s="25" t="s">
        <v>25</v>
      </c>
      <c r="L311" s="25">
        <v>0</v>
      </c>
      <c r="M311" s="25">
        <v>2.2400000000000002</v>
      </c>
      <c r="N311" s="25">
        <v>0</v>
      </c>
      <c r="O311" s="25">
        <v>60.57</v>
      </c>
      <c r="P311" s="25">
        <v>62.813400000000001</v>
      </c>
    </row>
    <row r="312" spans="1:16" x14ac:dyDescent="0.25">
      <c r="A312" s="26">
        <v>43703</v>
      </c>
      <c r="B312" s="25" t="s">
        <v>1156</v>
      </c>
      <c r="C312" s="25" t="s">
        <v>17</v>
      </c>
      <c r="D312" s="25">
        <v>2500</v>
      </c>
      <c r="E312" s="25">
        <v>60.6</v>
      </c>
      <c r="F312" s="25">
        <v>151500</v>
      </c>
      <c r="G312" s="25" t="s">
        <v>1465</v>
      </c>
      <c r="H312" s="25">
        <v>2019161</v>
      </c>
      <c r="I312" s="25" t="s">
        <v>19</v>
      </c>
      <c r="J312" s="25" t="s">
        <v>20</v>
      </c>
      <c r="K312" s="25" t="s">
        <v>25</v>
      </c>
      <c r="L312" s="25">
        <v>0</v>
      </c>
      <c r="M312" s="25">
        <v>3.33</v>
      </c>
      <c r="N312" s="25">
        <v>0</v>
      </c>
      <c r="O312" s="25">
        <v>89.99</v>
      </c>
      <c r="P312" s="25">
        <v>93.322999999999993</v>
      </c>
    </row>
    <row r="313" spans="1:16" x14ac:dyDescent="0.25">
      <c r="A313" s="26">
        <v>43703</v>
      </c>
      <c r="B313" s="25" t="s">
        <v>1156</v>
      </c>
      <c r="C313" s="25" t="s">
        <v>17</v>
      </c>
      <c r="D313" s="25">
        <v>1000</v>
      </c>
      <c r="E313" s="25">
        <v>60.1</v>
      </c>
      <c r="F313" s="25">
        <v>60100</v>
      </c>
      <c r="G313" s="25" t="s">
        <v>1466</v>
      </c>
      <c r="H313" s="25">
        <v>2019161</v>
      </c>
      <c r="I313" s="25" t="s">
        <v>19</v>
      </c>
      <c r="J313" s="25" t="s">
        <v>20</v>
      </c>
      <c r="K313" s="25" t="s">
        <v>25</v>
      </c>
      <c r="L313" s="25">
        <v>0</v>
      </c>
      <c r="M313" s="25">
        <v>1.32</v>
      </c>
      <c r="N313" s="25">
        <v>0</v>
      </c>
      <c r="O313" s="25">
        <v>35.700000000000003</v>
      </c>
      <c r="P313" s="25">
        <v>37.022199999999998</v>
      </c>
    </row>
    <row r="314" spans="1:16" x14ac:dyDescent="0.25">
      <c r="A314" s="26">
        <v>43703</v>
      </c>
      <c r="B314" s="25" t="s">
        <v>1156</v>
      </c>
      <c r="C314" s="25" t="s">
        <v>23</v>
      </c>
      <c r="D314" s="25">
        <v>3500</v>
      </c>
      <c r="E314" s="25">
        <v>61.25</v>
      </c>
      <c r="F314" s="25">
        <v>214375</v>
      </c>
      <c r="G314" s="25" t="s">
        <v>1467</v>
      </c>
      <c r="H314" s="25">
        <v>2019161</v>
      </c>
      <c r="I314" s="25" t="s">
        <v>19</v>
      </c>
      <c r="J314" s="25" t="s">
        <v>20</v>
      </c>
      <c r="K314" s="25" t="s">
        <v>25</v>
      </c>
      <c r="L314" s="25">
        <v>52.83</v>
      </c>
      <c r="M314" s="25">
        <v>4.72</v>
      </c>
      <c r="N314" s="25">
        <v>0</v>
      </c>
      <c r="O314" s="25">
        <v>127.33</v>
      </c>
      <c r="P314" s="25">
        <v>184.87629999999999</v>
      </c>
    </row>
    <row r="315" spans="1:16" x14ac:dyDescent="0.25">
      <c r="A315" s="26">
        <v>43703</v>
      </c>
      <c r="B315" s="25" t="s">
        <v>1086</v>
      </c>
      <c r="C315" s="25" t="s">
        <v>23</v>
      </c>
      <c r="D315" s="25">
        <v>1000</v>
      </c>
      <c r="E315" s="25">
        <v>53.5</v>
      </c>
      <c r="F315" s="25">
        <v>53500</v>
      </c>
      <c r="G315" s="25" t="s">
        <v>1468</v>
      </c>
      <c r="H315" s="25">
        <v>2019161</v>
      </c>
      <c r="I315" s="25" t="s">
        <v>19</v>
      </c>
      <c r="J315" s="25" t="s">
        <v>20</v>
      </c>
      <c r="K315" s="25" t="s">
        <v>25</v>
      </c>
      <c r="L315" s="25">
        <v>13.74</v>
      </c>
      <c r="M315" s="25">
        <v>1.18</v>
      </c>
      <c r="N315" s="25">
        <v>0</v>
      </c>
      <c r="O315" s="25">
        <v>31.78</v>
      </c>
      <c r="P315" s="25">
        <v>46.697000000000003</v>
      </c>
    </row>
    <row r="316" spans="1:16" x14ac:dyDescent="0.25">
      <c r="A316" s="26">
        <v>43703</v>
      </c>
      <c r="B316" s="25" t="s">
        <v>1086</v>
      </c>
      <c r="C316" s="25" t="s">
        <v>23</v>
      </c>
      <c r="D316" s="25">
        <v>1000</v>
      </c>
      <c r="E316" s="25">
        <v>54.5</v>
      </c>
      <c r="F316" s="25">
        <v>54500</v>
      </c>
      <c r="G316" s="25" t="s">
        <v>1469</v>
      </c>
      <c r="H316" s="25">
        <v>2019161</v>
      </c>
      <c r="I316" s="25" t="s">
        <v>19</v>
      </c>
      <c r="J316" s="25" t="s">
        <v>20</v>
      </c>
      <c r="K316" s="25" t="s">
        <v>25</v>
      </c>
      <c r="L316" s="25">
        <v>13.74</v>
      </c>
      <c r="M316" s="25">
        <v>1.2</v>
      </c>
      <c r="N316" s="25">
        <v>0</v>
      </c>
      <c r="O316" s="25">
        <v>32.369999999999997</v>
      </c>
      <c r="P316" s="25">
        <v>47.308999999999997</v>
      </c>
    </row>
    <row r="317" spans="1:16" x14ac:dyDescent="0.25">
      <c r="A317" s="26">
        <v>43703</v>
      </c>
      <c r="B317" s="25" t="s">
        <v>1329</v>
      </c>
      <c r="C317" s="25" t="s">
        <v>17</v>
      </c>
      <c r="D317" s="25">
        <v>200</v>
      </c>
      <c r="E317" s="25">
        <v>193.5</v>
      </c>
      <c r="F317" s="25">
        <v>38700</v>
      </c>
      <c r="G317" s="25" t="s">
        <v>1470</v>
      </c>
      <c r="H317" s="25">
        <v>2019161</v>
      </c>
      <c r="I317" s="25" t="s">
        <v>19</v>
      </c>
      <c r="J317" s="25" t="s">
        <v>20</v>
      </c>
      <c r="K317" s="25" t="s">
        <v>25</v>
      </c>
      <c r="L317" s="25">
        <v>0</v>
      </c>
      <c r="M317" s="25">
        <v>0.85</v>
      </c>
      <c r="N317" s="25">
        <v>0</v>
      </c>
      <c r="O317" s="25">
        <v>29.65</v>
      </c>
      <c r="P317" s="25">
        <v>30.5014</v>
      </c>
    </row>
    <row r="318" spans="1:16" x14ac:dyDescent="0.25">
      <c r="A318" s="26">
        <v>43703</v>
      </c>
      <c r="B318" s="25" t="s">
        <v>1086</v>
      </c>
      <c r="C318" s="25" t="s">
        <v>23</v>
      </c>
      <c r="D318" s="25">
        <v>1000</v>
      </c>
      <c r="E318" s="25">
        <v>55</v>
      </c>
      <c r="F318" s="25">
        <v>55000</v>
      </c>
      <c r="G318" s="25" t="s">
        <v>1471</v>
      </c>
      <c r="H318" s="25">
        <v>2019161</v>
      </c>
      <c r="I318" s="25" t="s">
        <v>19</v>
      </c>
      <c r="J318" s="25" t="s">
        <v>20</v>
      </c>
      <c r="K318" s="25" t="s">
        <v>25</v>
      </c>
      <c r="L318" s="25">
        <v>13.74</v>
      </c>
      <c r="M318" s="25">
        <v>1.21</v>
      </c>
      <c r="N318" s="25">
        <v>0</v>
      </c>
      <c r="O318" s="25">
        <v>32.67</v>
      </c>
      <c r="P318" s="25">
        <v>47.62</v>
      </c>
    </row>
    <row r="319" spans="1:16" x14ac:dyDescent="0.25">
      <c r="A319" s="26">
        <v>43703</v>
      </c>
      <c r="B319" s="25" t="s">
        <v>1086</v>
      </c>
      <c r="C319" s="25" t="s">
        <v>23</v>
      </c>
      <c r="D319" s="25">
        <v>1000</v>
      </c>
      <c r="E319" s="25">
        <v>55.5</v>
      </c>
      <c r="F319" s="25">
        <v>55500</v>
      </c>
      <c r="G319" s="25" t="s">
        <v>1472</v>
      </c>
      <c r="H319" s="25">
        <v>2019161</v>
      </c>
      <c r="I319" s="25" t="s">
        <v>19</v>
      </c>
      <c r="J319" s="25" t="s">
        <v>20</v>
      </c>
      <c r="K319" s="25" t="s">
        <v>25</v>
      </c>
      <c r="L319" s="25">
        <v>13.74</v>
      </c>
      <c r="M319" s="25">
        <v>1.22</v>
      </c>
      <c r="N319" s="25">
        <v>0</v>
      </c>
      <c r="O319" s="25">
        <v>32.96</v>
      </c>
      <c r="P319" s="25">
        <v>47.920999999999999</v>
      </c>
    </row>
    <row r="320" spans="1:16" x14ac:dyDescent="0.25">
      <c r="A320" s="26">
        <v>43703</v>
      </c>
      <c r="B320" s="25" t="s">
        <v>1086</v>
      </c>
      <c r="C320" s="25" t="s">
        <v>23</v>
      </c>
      <c r="D320" s="25">
        <v>1000</v>
      </c>
      <c r="E320" s="25">
        <v>55.7</v>
      </c>
      <c r="F320" s="25">
        <v>55700</v>
      </c>
      <c r="G320" s="25" t="s">
        <v>1473</v>
      </c>
      <c r="H320" s="25">
        <v>2019161</v>
      </c>
      <c r="I320" s="25" t="s">
        <v>19</v>
      </c>
      <c r="J320" s="25" t="s">
        <v>20</v>
      </c>
      <c r="K320" s="25" t="s">
        <v>25</v>
      </c>
      <c r="L320" s="25">
        <v>13.74</v>
      </c>
      <c r="M320" s="25">
        <v>1.23</v>
      </c>
      <c r="N320" s="25">
        <v>0</v>
      </c>
      <c r="O320" s="25">
        <v>33.08</v>
      </c>
      <c r="P320" s="25">
        <v>48.045400000000001</v>
      </c>
    </row>
    <row r="321" spans="1:16" x14ac:dyDescent="0.25">
      <c r="A321" s="26">
        <v>43703</v>
      </c>
      <c r="B321" s="25" t="s">
        <v>1086</v>
      </c>
      <c r="C321" s="25" t="s">
        <v>17</v>
      </c>
      <c r="D321" s="25">
        <v>5000</v>
      </c>
      <c r="E321" s="25">
        <v>55.9</v>
      </c>
      <c r="F321" s="25">
        <v>279500</v>
      </c>
      <c r="G321" s="25" t="s">
        <v>1474</v>
      </c>
      <c r="H321" s="25">
        <v>2019161</v>
      </c>
      <c r="I321" s="25" t="s">
        <v>19</v>
      </c>
      <c r="J321" s="25" t="s">
        <v>20</v>
      </c>
      <c r="K321" s="25" t="s">
        <v>25</v>
      </c>
      <c r="L321" s="25">
        <v>0</v>
      </c>
      <c r="M321" s="25">
        <v>6.15</v>
      </c>
      <c r="N321" s="25">
        <v>0</v>
      </c>
      <c r="O321" s="25">
        <v>166.01</v>
      </c>
      <c r="P321" s="25">
        <v>172.15899999999999</v>
      </c>
    </row>
    <row r="322" spans="1:16" x14ac:dyDescent="0.25">
      <c r="A322" s="26">
        <v>43703</v>
      </c>
      <c r="B322" s="25" t="s">
        <v>1329</v>
      </c>
      <c r="C322" s="25" t="s">
        <v>23</v>
      </c>
      <c r="D322" s="25">
        <v>200</v>
      </c>
      <c r="E322" s="25">
        <v>191.14</v>
      </c>
      <c r="F322" s="25">
        <v>38228.6</v>
      </c>
      <c r="G322" s="25" t="s">
        <v>1475</v>
      </c>
      <c r="H322" s="25">
        <v>2019161</v>
      </c>
      <c r="I322" s="25" t="s">
        <v>19</v>
      </c>
      <c r="J322" s="25" t="s">
        <v>20</v>
      </c>
      <c r="K322" s="25" t="s">
        <v>25</v>
      </c>
      <c r="L322" s="25">
        <v>9.6199999999999992</v>
      </c>
      <c r="M322" s="25">
        <v>0.84</v>
      </c>
      <c r="N322" s="25">
        <v>0</v>
      </c>
      <c r="O322" s="25">
        <v>29.65</v>
      </c>
      <c r="P322" s="25">
        <v>40.110999999999997</v>
      </c>
    </row>
    <row r="323" spans="1:16" x14ac:dyDescent="0.25">
      <c r="A323" s="26">
        <v>43700</v>
      </c>
      <c r="B323" s="25" t="s">
        <v>1156</v>
      </c>
      <c r="C323" s="25" t="s">
        <v>17</v>
      </c>
      <c r="D323" s="25">
        <v>5000</v>
      </c>
      <c r="E323" s="25">
        <v>59.1</v>
      </c>
      <c r="F323" s="25">
        <v>295500</v>
      </c>
      <c r="G323" s="25" t="s">
        <v>1316</v>
      </c>
      <c r="H323" s="25">
        <v>2019160</v>
      </c>
      <c r="I323" s="25" t="s">
        <v>19</v>
      </c>
      <c r="J323" s="25" t="s">
        <v>20</v>
      </c>
      <c r="K323" s="25" t="s">
        <v>25</v>
      </c>
      <c r="L323" s="25">
        <v>0</v>
      </c>
      <c r="M323" s="25">
        <v>6.5</v>
      </c>
      <c r="N323" s="25">
        <v>0</v>
      </c>
      <c r="O323" s="25">
        <v>175.51</v>
      </c>
      <c r="P323" s="25">
        <v>182.011</v>
      </c>
    </row>
    <row r="324" spans="1:16" x14ac:dyDescent="0.25">
      <c r="A324" s="26">
        <v>43700</v>
      </c>
      <c r="B324" s="25" t="s">
        <v>1086</v>
      </c>
      <c r="C324" s="25" t="s">
        <v>23</v>
      </c>
      <c r="D324" s="25">
        <v>1000</v>
      </c>
      <c r="E324" s="25">
        <v>52.6</v>
      </c>
      <c r="F324" s="25">
        <v>52600</v>
      </c>
      <c r="G324" s="25" t="s">
        <v>1317</v>
      </c>
      <c r="H324" s="25">
        <v>2019160</v>
      </c>
      <c r="I324" s="25" t="s">
        <v>19</v>
      </c>
      <c r="J324" s="25" t="s">
        <v>20</v>
      </c>
      <c r="K324" s="25" t="s">
        <v>25</v>
      </c>
      <c r="L324" s="25">
        <v>13.87</v>
      </c>
      <c r="M324" s="25">
        <v>1.1599999999999999</v>
      </c>
      <c r="N324" s="25">
        <v>0</v>
      </c>
      <c r="O324" s="25">
        <v>31.24</v>
      </c>
      <c r="P324" s="25">
        <v>46.267200000000003</v>
      </c>
    </row>
    <row r="325" spans="1:16" x14ac:dyDescent="0.25">
      <c r="A325" s="26">
        <v>43700</v>
      </c>
      <c r="B325" s="25" t="s">
        <v>1086</v>
      </c>
      <c r="C325" s="25" t="s">
        <v>17</v>
      </c>
      <c r="D325" s="25">
        <v>522</v>
      </c>
      <c r="E325" s="25">
        <v>54.25</v>
      </c>
      <c r="F325" s="25">
        <v>28318.5</v>
      </c>
      <c r="G325" s="25" t="s">
        <v>1318</v>
      </c>
      <c r="H325" s="25">
        <v>2019160</v>
      </c>
      <c r="I325" s="25" t="s">
        <v>19</v>
      </c>
      <c r="J325" s="25" t="s">
        <v>20</v>
      </c>
      <c r="K325" s="25" t="s">
        <v>25</v>
      </c>
      <c r="L325" s="25">
        <v>0</v>
      </c>
      <c r="M325" s="25">
        <v>0.62</v>
      </c>
      <c r="N325" s="25">
        <v>21</v>
      </c>
      <c r="O325" s="25">
        <v>29.61</v>
      </c>
      <c r="P325" s="25">
        <v>51.232999999999997</v>
      </c>
    </row>
    <row r="326" spans="1:16" x14ac:dyDescent="0.25">
      <c r="A326" s="26">
        <v>43700</v>
      </c>
      <c r="B326" s="25" t="s">
        <v>1086</v>
      </c>
      <c r="C326" s="25" t="s">
        <v>17</v>
      </c>
      <c r="D326" s="25">
        <v>478</v>
      </c>
      <c r="E326" s="25">
        <v>54.45</v>
      </c>
      <c r="F326" s="25">
        <v>26027.1</v>
      </c>
      <c r="G326" s="25" t="s">
        <v>1319</v>
      </c>
      <c r="H326" s="25">
        <v>2019160</v>
      </c>
      <c r="I326" s="25" t="s">
        <v>19</v>
      </c>
      <c r="J326" s="25" t="s">
        <v>20</v>
      </c>
      <c r="K326" s="25" t="s">
        <v>25</v>
      </c>
      <c r="L326" s="25">
        <v>0</v>
      </c>
      <c r="M326" s="25">
        <v>0.56999999999999995</v>
      </c>
      <c r="N326" s="25">
        <v>0</v>
      </c>
      <c r="O326" s="25">
        <v>29.6</v>
      </c>
      <c r="P326" s="25">
        <v>30.172599999999999</v>
      </c>
    </row>
    <row r="327" spans="1:16" x14ac:dyDescent="0.25">
      <c r="A327" s="26">
        <v>43700</v>
      </c>
      <c r="B327" s="25" t="s">
        <v>1156</v>
      </c>
      <c r="C327" s="25" t="s">
        <v>23</v>
      </c>
      <c r="D327" s="25">
        <v>1029</v>
      </c>
      <c r="E327" s="25">
        <v>59.7</v>
      </c>
      <c r="F327" s="25">
        <v>61431.3</v>
      </c>
      <c r="G327" s="25" t="s">
        <v>1320</v>
      </c>
      <c r="H327" s="25">
        <v>2019160</v>
      </c>
      <c r="I327" s="25" t="s">
        <v>19</v>
      </c>
      <c r="J327" s="25" t="s">
        <v>20</v>
      </c>
      <c r="K327" s="25" t="s">
        <v>25</v>
      </c>
      <c r="L327" s="25">
        <v>15.26</v>
      </c>
      <c r="M327" s="25">
        <v>1.35</v>
      </c>
      <c r="N327" s="25">
        <v>0</v>
      </c>
      <c r="O327" s="25">
        <v>36.49</v>
      </c>
      <c r="P327" s="25">
        <v>53.101599999999998</v>
      </c>
    </row>
    <row r="328" spans="1:16" x14ac:dyDescent="0.25">
      <c r="A328" s="26">
        <v>43700</v>
      </c>
      <c r="B328" s="25" t="s">
        <v>1156</v>
      </c>
      <c r="C328" s="25" t="s">
        <v>23</v>
      </c>
      <c r="D328" s="25">
        <v>3971</v>
      </c>
      <c r="E328" s="25">
        <v>59.45</v>
      </c>
      <c r="F328" s="25">
        <v>236075.95</v>
      </c>
      <c r="G328" s="25" t="s">
        <v>1321</v>
      </c>
      <c r="H328" s="25">
        <v>2019160</v>
      </c>
      <c r="I328" s="25" t="s">
        <v>19</v>
      </c>
      <c r="J328" s="25" t="s">
        <v>20</v>
      </c>
      <c r="K328" s="25" t="s">
        <v>25</v>
      </c>
      <c r="L328" s="25">
        <v>58.87</v>
      </c>
      <c r="M328" s="25">
        <v>5.19</v>
      </c>
      <c r="N328" s="25">
        <v>0</v>
      </c>
      <c r="O328" s="25">
        <v>140.22</v>
      </c>
      <c r="P328" s="25">
        <v>204.28360000000001</v>
      </c>
    </row>
    <row r="329" spans="1:16" x14ac:dyDescent="0.25">
      <c r="A329" s="26">
        <v>43699</v>
      </c>
      <c r="B329" s="25" t="s">
        <v>1147</v>
      </c>
      <c r="C329" s="25" t="s">
        <v>23</v>
      </c>
      <c r="D329" s="25">
        <v>1250</v>
      </c>
      <c r="E329" s="25">
        <v>184.5</v>
      </c>
      <c r="F329" s="25">
        <v>230625</v>
      </c>
      <c r="G329" s="25" t="s">
        <v>1322</v>
      </c>
      <c r="H329" s="25">
        <v>2019159</v>
      </c>
      <c r="I329" s="25" t="s">
        <v>19</v>
      </c>
      <c r="J329" s="25" t="s">
        <v>1634</v>
      </c>
      <c r="K329" s="25" t="s">
        <v>25</v>
      </c>
      <c r="L329" s="25">
        <v>231</v>
      </c>
      <c r="M329" s="25">
        <v>5.07</v>
      </c>
      <c r="N329" s="25">
        <v>7.2</v>
      </c>
      <c r="O329" s="25">
        <v>1497.67</v>
      </c>
      <c r="P329" s="25">
        <v>1740.9437</v>
      </c>
    </row>
    <row r="330" spans="1:16" x14ac:dyDescent="0.25">
      <c r="A330" s="26">
        <v>43698</v>
      </c>
      <c r="B330" s="25" t="s">
        <v>1156</v>
      </c>
      <c r="C330" s="25" t="s">
        <v>17</v>
      </c>
      <c r="D330" s="25">
        <v>5000</v>
      </c>
      <c r="E330" s="25">
        <v>61.35</v>
      </c>
      <c r="F330" s="25">
        <v>306750</v>
      </c>
      <c r="G330" s="25" t="s">
        <v>1323</v>
      </c>
      <c r="H330" s="25">
        <v>2019158</v>
      </c>
      <c r="I330" s="25" t="s">
        <v>19</v>
      </c>
      <c r="J330" s="25" t="s">
        <v>20</v>
      </c>
      <c r="K330" s="25" t="s">
        <v>25</v>
      </c>
      <c r="L330" s="25">
        <v>0</v>
      </c>
      <c r="M330" s="25">
        <v>6.75</v>
      </c>
      <c r="N330" s="25">
        <v>0</v>
      </c>
      <c r="O330" s="25">
        <v>182.2</v>
      </c>
      <c r="P330" s="25">
        <v>188.9486</v>
      </c>
    </row>
    <row r="331" spans="1:16" x14ac:dyDescent="0.25">
      <c r="A331" s="26">
        <v>43698</v>
      </c>
      <c r="B331" s="25" t="s">
        <v>1156</v>
      </c>
      <c r="C331" s="25" t="s">
        <v>23</v>
      </c>
      <c r="D331" s="25">
        <v>5000</v>
      </c>
      <c r="E331" s="25">
        <v>62</v>
      </c>
      <c r="F331" s="25">
        <v>310000</v>
      </c>
      <c r="G331" s="25" t="s">
        <v>1324</v>
      </c>
      <c r="H331" s="25">
        <v>2019158</v>
      </c>
      <c r="I331" s="25" t="s">
        <v>19</v>
      </c>
      <c r="J331" s="25" t="s">
        <v>20</v>
      </c>
      <c r="K331" s="25" t="s">
        <v>25</v>
      </c>
      <c r="L331" s="25">
        <v>77.09</v>
      </c>
      <c r="M331" s="25">
        <v>6.82</v>
      </c>
      <c r="N331" s="25">
        <v>0</v>
      </c>
      <c r="O331" s="25">
        <v>184.16</v>
      </c>
      <c r="P331" s="25">
        <v>268.07040000000001</v>
      </c>
    </row>
    <row r="332" spans="1:16" x14ac:dyDescent="0.25">
      <c r="A332" s="26">
        <v>43698</v>
      </c>
      <c r="B332" s="25" t="s">
        <v>1147</v>
      </c>
      <c r="C332" s="25" t="s">
        <v>17</v>
      </c>
      <c r="D332" s="25">
        <v>500</v>
      </c>
      <c r="E332" s="25">
        <v>192.4</v>
      </c>
      <c r="F332" s="25">
        <v>96200</v>
      </c>
      <c r="G332" s="25" t="s">
        <v>1325</v>
      </c>
      <c r="H332" s="25">
        <v>2019158</v>
      </c>
      <c r="I332" s="25" t="s">
        <v>19</v>
      </c>
      <c r="J332" s="25" t="s">
        <v>1634</v>
      </c>
      <c r="K332" s="25" t="s">
        <v>25</v>
      </c>
      <c r="L332" s="25">
        <v>0</v>
      </c>
      <c r="M332" s="25">
        <v>2.12</v>
      </c>
      <c r="N332" s="25">
        <v>0</v>
      </c>
      <c r="O332" s="25">
        <v>57.14</v>
      </c>
      <c r="P332" s="25">
        <v>59.256399999999999</v>
      </c>
    </row>
    <row r="333" spans="1:16" x14ac:dyDescent="0.25">
      <c r="A333" s="26">
        <v>43698</v>
      </c>
      <c r="B333" s="25" t="s">
        <v>1147</v>
      </c>
      <c r="C333" s="25" t="s">
        <v>23</v>
      </c>
      <c r="D333" s="25">
        <v>500</v>
      </c>
      <c r="E333" s="25">
        <v>195</v>
      </c>
      <c r="F333" s="25">
        <v>97500</v>
      </c>
      <c r="G333" s="25" t="s">
        <v>1326</v>
      </c>
      <c r="H333" s="25">
        <v>2019158</v>
      </c>
      <c r="I333" s="25" t="s">
        <v>19</v>
      </c>
      <c r="J333" s="25" t="s">
        <v>1634</v>
      </c>
      <c r="K333" s="25" t="s">
        <v>25</v>
      </c>
      <c r="L333" s="25">
        <v>23.93</v>
      </c>
      <c r="M333" s="25">
        <v>2.15</v>
      </c>
      <c r="N333" s="25">
        <v>0</v>
      </c>
      <c r="O333" s="25">
        <v>57.91</v>
      </c>
      <c r="P333" s="25">
        <v>83.984999999999999</v>
      </c>
    </row>
    <row r="334" spans="1:16" x14ac:dyDescent="0.25">
      <c r="A334" s="26">
        <v>43698</v>
      </c>
      <c r="B334" s="25" t="s">
        <v>981</v>
      </c>
      <c r="C334" s="25" t="s">
        <v>17</v>
      </c>
      <c r="D334" s="25">
        <v>10</v>
      </c>
      <c r="E334" s="25">
        <v>122.5</v>
      </c>
      <c r="F334" s="25">
        <v>1225</v>
      </c>
      <c r="G334" s="25" t="s">
        <v>1327</v>
      </c>
      <c r="H334" s="25">
        <v>2019158</v>
      </c>
      <c r="I334" s="25" t="s">
        <v>19</v>
      </c>
      <c r="J334" s="25" t="s">
        <v>20</v>
      </c>
      <c r="K334" s="25" t="s">
        <v>25</v>
      </c>
      <c r="L334" s="25">
        <v>1.23</v>
      </c>
      <c r="M334" s="25">
        <v>0.03</v>
      </c>
      <c r="N334" s="25">
        <v>0</v>
      </c>
      <c r="O334" s="25">
        <v>36.14</v>
      </c>
      <c r="P334" s="25">
        <v>37.396999999999998</v>
      </c>
    </row>
    <row r="335" spans="1:16" x14ac:dyDescent="0.25">
      <c r="A335" s="26">
        <v>43698</v>
      </c>
      <c r="B335" s="25" t="s">
        <v>288</v>
      </c>
      <c r="C335" s="25" t="s">
        <v>17</v>
      </c>
      <c r="D335" s="25">
        <v>25</v>
      </c>
      <c r="E335" s="25">
        <v>32</v>
      </c>
      <c r="F335" s="25">
        <v>800</v>
      </c>
      <c r="G335" s="25" t="s">
        <v>1328</v>
      </c>
      <c r="H335" s="25">
        <v>2019158</v>
      </c>
      <c r="I335" s="25" t="s">
        <v>19</v>
      </c>
      <c r="J335" s="25" t="s">
        <v>20</v>
      </c>
      <c r="K335" s="25" t="s">
        <v>25</v>
      </c>
      <c r="L335" s="25">
        <v>0.41</v>
      </c>
      <c r="M335" s="25">
        <v>0.02</v>
      </c>
      <c r="N335" s="25">
        <v>35.1</v>
      </c>
      <c r="O335" s="25">
        <v>23.6</v>
      </c>
      <c r="P335" s="25">
        <v>59.127600000000001</v>
      </c>
    </row>
    <row r="336" spans="1:16" x14ac:dyDescent="0.25">
      <c r="A336" s="26">
        <v>43698</v>
      </c>
      <c r="B336" s="25" t="s">
        <v>1329</v>
      </c>
      <c r="C336" s="25" t="s">
        <v>23</v>
      </c>
      <c r="D336" s="25">
        <v>100</v>
      </c>
      <c r="E336" s="25">
        <v>180</v>
      </c>
      <c r="F336" s="25">
        <v>18000</v>
      </c>
      <c r="G336" s="25" t="s">
        <v>1330</v>
      </c>
      <c r="H336" s="25">
        <v>2019158</v>
      </c>
      <c r="I336" s="25" t="s">
        <v>19</v>
      </c>
      <c r="J336" s="25" t="s">
        <v>20</v>
      </c>
      <c r="K336" s="25" t="s">
        <v>25</v>
      </c>
      <c r="L336" s="25">
        <v>4.6500000000000004</v>
      </c>
      <c r="M336" s="25">
        <v>0.4</v>
      </c>
      <c r="N336" s="25">
        <v>0</v>
      </c>
      <c r="O336" s="25">
        <v>29.57</v>
      </c>
      <c r="P336" s="25">
        <v>34.616</v>
      </c>
    </row>
    <row r="337" spans="1:16" x14ac:dyDescent="0.25">
      <c r="A337" s="26">
        <v>43698</v>
      </c>
      <c r="B337" s="25" t="s">
        <v>1147</v>
      </c>
      <c r="C337" s="25" t="s">
        <v>17</v>
      </c>
      <c r="D337" s="25">
        <v>250</v>
      </c>
      <c r="E337" s="25">
        <v>192</v>
      </c>
      <c r="F337" s="25">
        <v>48000</v>
      </c>
      <c r="G337" s="25" t="s">
        <v>1331</v>
      </c>
      <c r="H337" s="25">
        <v>2019158</v>
      </c>
      <c r="I337" s="25" t="s">
        <v>19</v>
      </c>
      <c r="J337" s="25" t="s">
        <v>1634</v>
      </c>
      <c r="K337" s="25" t="s">
        <v>25</v>
      </c>
      <c r="L337" s="25">
        <v>47.86</v>
      </c>
      <c r="M337" s="25">
        <v>1.06</v>
      </c>
      <c r="N337" s="25">
        <v>0</v>
      </c>
      <c r="O337" s="25">
        <v>311.70999999999998</v>
      </c>
      <c r="P337" s="25">
        <v>360.62599999999998</v>
      </c>
    </row>
    <row r="338" spans="1:16" x14ac:dyDescent="0.25">
      <c r="A338" s="26">
        <v>43698</v>
      </c>
      <c r="B338" s="25" t="s">
        <v>1329</v>
      </c>
      <c r="C338" s="25" t="s">
        <v>17</v>
      </c>
      <c r="D338" s="25">
        <v>300</v>
      </c>
      <c r="E338" s="25">
        <v>187</v>
      </c>
      <c r="F338" s="25">
        <v>56100</v>
      </c>
      <c r="G338" s="25" t="s">
        <v>1332</v>
      </c>
      <c r="H338" s="25">
        <v>2019158</v>
      </c>
      <c r="I338" s="25" t="s">
        <v>19</v>
      </c>
      <c r="J338" s="25" t="s">
        <v>20</v>
      </c>
      <c r="K338" s="25" t="s">
        <v>25</v>
      </c>
      <c r="L338" s="25">
        <v>0</v>
      </c>
      <c r="M338" s="25">
        <v>1.23</v>
      </c>
      <c r="N338" s="25">
        <v>0</v>
      </c>
      <c r="O338" s="25">
        <v>33.32</v>
      </c>
      <c r="P338" s="25">
        <v>34.554200000000002</v>
      </c>
    </row>
    <row r="339" spans="1:16" x14ac:dyDescent="0.25">
      <c r="A339" s="26">
        <v>43698</v>
      </c>
      <c r="B339" s="25" t="s">
        <v>1147</v>
      </c>
      <c r="C339" s="25" t="s">
        <v>17</v>
      </c>
      <c r="D339" s="25">
        <v>1000</v>
      </c>
      <c r="E339" s="25">
        <v>189</v>
      </c>
      <c r="F339" s="25">
        <v>189000</v>
      </c>
      <c r="G339" s="25" t="s">
        <v>1333</v>
      </c>
      <c r="H339" s="25">
        <v>2019158</v>
      </c>
      <c r="I339" s="25" t="s">
        <v>19</v>
      </c>
      <c r="J339" s="25" t="s">
        <v>1634</v>
      </c>
      <c r="K339" s="25" t="s">
        <v>25</v>
      </c>
      <c r="L339" s="25">
        <v>191.42</v>
      </c>
      <c r="M339" s="25">
        <v>4.16</v>
      </c>
      <c r="N339" s="25">
        <v>0</v>
      </c>
      <c r="O339" s="25">
        <v>1227.3599999999999</v>
      </c>
      <c r="P339" s="25">
        <v>1422.9380000000001</v>
      </c>
    </row>
    <row r="340" spans="1:16" x14ac:dyDescent="0.25">
      <c r="A340" s="26">
        <v>43698</v>
      </c>
      <c r="B340" s="25" t="s">
        <v>1329</v>
      </c>
      <c r="C340" s="25" t="s">
        <v>23</v>
      </c>
      <c r="D340" s="25">
        <v>200</v>
      </c>
      <c r="E340" s="25">
        <v>188</v>
      </c>
      <c r="F340" s="25">
        <v>37600</v>
      </c>
      <c r="G340" s="25" t="s">
        <v>1334</v>
      </c>
      <c r="H340" s="25">
        <v>2019158</v>
      </c>
      <c r="I340" s="25" t="s">
        <v>19</v>
      </c>
      <c r="J340" s="25" t="s">
        <v>20</v>
      </c>
      <c r="K340" s="25" t="s">
        <v>25</v>
      </c>
      <c r="L340" s="25">
        <v>9.31</v>
      </c>
      <c r="M340" s="25">
        <v>0.83</v>
      </c>
      <c r="N340" s="25">
        <v>0</v>
      </c>
      <c r="O340" s="25">
        <v>29.65</v>
      </c>
      <c r="P340" s="25">
        <v>39.787199999999999</v>
      </c>
    </row>
    <row r="341" spans="1:16" x14ac:dyDescent="0.25">
      <c r="A341" s="26">
        <v>43698</v>
      </c>
      <c r="B341" s="25" t="s">
        <v>16</v>
      </c>
      <c r="C341" s="25" t="s">
        <v>17</v>
      </c>
      <c r="D341" s="25">
        <v>100</v>
      </c>
      <c r="E341" s="25">
        <v>21</v>
      </c>
      <c r="F341" s="25">
        <v>2100</v>
      </c>
      <c r="G341" s="25" t="s">
        <v>1335</v>
      </c>
      <c r="H341" s="25">
        <v>2019158</v>
      </c>
      <c r="I341" s="25" t="s">
        <v>19</v>
      </c>
      <c r="J341" s="25" t="s">
        <v>20</v>
      </c>
      <c r="K341" s="25" t="s">
        <v>25</v>
      </c>
      <c r="L341" s="25">
        <v>2.1</v>
      </c>
      <c r="M341" s="25">
        <v>0.05</v>
      </c>
      <c r="N341" s="25">
        <v>0</v>
      </c>
      <c r="O341" s="25">
        <v>41.31</v>
      </c>
      <c r="P341" s="25">
        <v>43.456200000000003</v>
      </c>
    </row>
    <row r="342" spans="1:16" x14ac:dyDescent="0.25">
      <c r="A342" s="26">
        <v>43697</v>
      </c>
      <c r="B342" s="25" t="s">
        <v>1156</v>
      </c>
      <c r="C342" s="25" t="s">
        <v>17</v>
      </c>
      <c r="D342" s="25">
        <v>1000</v>
      </c>
      <c r="E342" s="25">
        <v>62.25</v>
      </c>
      <c r="F342" s="25">
        <v>62250</v>
      </c>
      <c r="G342" s="25" t="s">
        <v>1336</v>
      </c>
      <c r="H342" s="25">
        <v>2019157</v>
      </c>
      <c r="I342" s="25" t="s">
        <v>19</v>
      </c>
      <c r="J342" s="25" t="s">
        <v>20</v>
      </c>
      <c r="K342" s="25" t="s">
        <v>25</v>
      </c>
      <c r="L342" s="25">
        <v>0</v>
      </c>
      <c r="M342" s="25">
        <v>1.37</v>
      </c>
      <c r="N342" s="25">
        <v>0</v>
      </c>
      <c r="O342" s="25">
        <v>36.97</v>
      </c>
      <c r="P342" s="25">
        <v>38.339599999999997</v>
      </c>
    </row>
    <row r="343" spans="1:16" x14ac:dyDescent="0.25">
      <c r="A343" s="26">
        <v>43697</v>
      </c>
      <c r="B343" s="25" t="s">
        <v>1156</v>
      </c>
      <c r="C343" s="25" t="s">
        <v>17</v>
      </c>
      <c r="D343" s="25">
        <v>1500</v>
      </c>
      <c r="E343" s="25">
        <v>61.9</v>
      </c>
      <c r="F343" s="25">
        <v>92850</v>
      </c>
      <c r="G343" s="25" t="s">
        <v>1337</v>
      </c>
      <c r="H343" s="25">
        <v>2019157</v>
      </c>
      <c r="I343" s="25" t="s">
        <v>19</v>
      </c>
      <c r="J343" s="25" t="s">
        <v>20</v>
      </c>
      <c r="K343" s="25" t="s">
        <v>25</v>
      </c>
      <c r="L343" s="25">
        <v>0</v>
      </c>
      <c r="M343" s="25">
        <v>2.04</v>
      </c>
      <c r="N343" s="25">
        <v>9.6</v>
      </c>
      <c r="O343" s="25">
        <v>55.15</v>
      </c>
      <c r="P343" s="25">
        <v>66.7928</v>
      </c>
    </row>
    <row r="344" spans="1:16" x14ac:dyDescent="0.25">
      <c r="A344" s="26">
        <v>43697</v>
      </c>
      <c r="B344" s="25" t="s">
        <v>1156</v>
      </c>
      <c r="C344" s="25" t="s">
        <v>23</v>
      </c>
      <c r="D344" s="25">
        <v>2500</v>
      </c>
      <c r="E344" s="25">
        <v>61.6</v>
      </c>
      <c r="F344" s="25">
        <v>154000</v>
      </c>
      <c r="G344" s="25" t="s">
        <v>1338</v>
      </c>
      <c r="H344" s="25">
        <v>2019157</v>
      </c>
      <c r="I344" s="25" t="s">
        <v>19</v>
      </c>
      <c r="J344" s="25" t="s">
        <v>20</v>
      </c>
      <c r="K344" s="25" t="s">
        <v>25</v>
      </c>
      <c r="L344" s="25">
        <v>39.04</v>
      </c>
      <c r="M344" s="25">
        <v>3.39</v>
      </c>
      <c r="N344" s="25">
        <v>0</v>
      </c>
      <c r="O344" s="25">
        <v>91.47</v>
      </c>
      <c r="P344" s="25">
        <v>133.898</v>
      </c>
    </row>
    <row r="345" spans="1:16" x14ac:dyDescent="0.25">
      <c r="A345" s="26">
        <v>43697</v>
      </c>
      <c r="B345" s="25" t="s">
        <v>288</v>
      </c>
      <c r="C345" s="25" t="s">
        <v>17</v>
      </c>
      <c r="D345" s="25">
        <v>25</v>
      </c>
      <c r="E345" s="25">
        <v>34.5</v>
      </c>
      <c r="F345" s="25">
        <v>862.5</v>
      </c>
      <c r="G345" s="25" t="s">
        <v>1339</v>
      </c>
      <c r="H345" s="25">
        <v>2019157</v>
      </c>
      <c r="I345" s="25" t="s">
        <v>19</v>
      </c>
      <c r="J345" s="25" t="s">
        <v>20</v>
      </c>
      <c r="K345" s="25" t="s">
        <v>25</v>
      </c>
      <c r="L345" s="25">
        <v>0.86</v>
      </c>
      <c r="M345" s="25">
        <v>0.02</v>
      </c>
      <c r="N345" s="25">
        <v>0</v>
      </c>
      <c r="O345" s="25">
        <v>25.45</v>
      </c>
      <c r="P345" s="25">
        <v>26.329000000000001</v>
      </c>
    </row>
    <row r="346" spans="1:16" x14ac:dyDescent="0.25">
      <c r="A346" s="26">
        <v>43697</v>
      </c>
      <c r="B346" s="25" t="s">
        <v>288</v>
      </c>
      <c r="C346" s="25" t="s">
        <v>17</v>
      </c>
      <c r="D346" s="25">
        <v>25</v>
      </c>
      <c r="E346" s="25">
        <v>34</v>
      </c>
      <c r="F346" s="25">
        <v>850</v>
      </c>
      <c r="G346" s="25" t="s">
        <v>1340</v>
      </c>
      <c r="H346" s="25">
        <v>2019157</v>
      </c>
      <c r="I346" s="25" t="s">
        <v>19</v>
      </c>
      <c r="J346" s="25" t="s">
        <v>20</v>
      </c>
      <c r="K346" s="25" t="s">
        <v>25</v>
      </c>
      <c r="L346" s="25">
        <v>0.86</v>
      </c>
      <c r="M346" s="25">
        <v>0.02</v>
      </c>
      <c r="N346" s="25">
        <v>0</v>
      </c>
      <c r="O346" s="25">
        <v>25.08</v>
      </c>
      <c r="P346" s="25">
        <v>25.9588</v>
      </c>
    </row>
    <row r="347" spans="1:16" x14ac:dyDescent="0.25">
      <c r="A347" s="26">
        <v>43697</v>
      </c>
      <c r="B347" s="25" t="s">
        <v>179</v>
      </c>
      <c r="C347" s="25" t="s">
        <v>17</v>
      </c>
      <c r="D347" s="25">
        <v>50</v>
      </c>
      <c r="E347" s="25">
        <v>25</v>
      </c>
      <c r="F347" s="25">
        <v>1250</v>
      </c>
      <c r="G347" s="25" t="s">
        <v>1341</v>
      </c>
      <c r="H347" s="25">
        <v>2019157</v>
      </c>
      <c r="I347" s="25" t="s">
        <v>19</v>
      </c>
      <c r="J347" s="25" t="s">
        <v>20</v>
      </c>
      <c r="K347" s="25" t="s">
        <v>25</v>
      </c>
      <c r="L347" s="25">
        <v>1.25</v>
      </c>
      <c r="M347" s="25">
        <v>0.03</v>
      </c>
      <c r="N347" s="25">
        <v>0</v>
      </c>
      <c r="O347" s="25">
        <v>36.880000000000003</v>
      </c>
      <c r="P347" s="25">
        <v>38.157600000000002</v>
      </c>
    </row>
    <row r="348" spans="1:16" x14ac:dyDescent="0.25">
      <c r="A348" s="26">
        <v>43696</v>
      </c>
      <c r="B348" s="25" t="s">
        <v>1121</v>
      </c>
      <c r="C348" s="25" t="s">
        <v>17</v>
      </c>
      <c r="D348" s="25">
        <v>25</v>
      </c>
      <c r="E348" s="25">
        <v>1610.5</v>
      </c>
      <c r="F348" s="25">
        <v>40262.5</v>
      </c>
      <c r="G348" s="25" t="s">
        <v>1342</v>
      </c>
      <c r="H348" s="25">
        <v>2019156</v>
      </c>
      <c r="I348" s="25" t="s">
        <v>19</v>
      </c>
      <c r="J348" s="25" t="s">
        <v>20</v>
      </c>
      <c r="K348" s="25" t="s">
        <v>25</v>
      </c>
      <c r="L348" s="25">
        <v>0</v>
      </c>
      <c r="M348" s="25">
        <v>0.89</v>
      </c>
      <c r="N348" s="25">
        <v>0</v>
      </c>
      <c r="O348" s="25">
        <v>29.66</v>
      </c>
      <c r="P348" s="25">
        <v>30.5458</v>
      </c>
    </row>
    <row r="349" spans="1:16" x14ac:dyDescent="0.25">
      <c r="A349" s="26">
        <v>43696</v>
      </c>
      <c r="B349" s="25" t="s">
        <v>1121</v>
      </c>
      <c r="C349" s="25" t="s">
        <v>23</v>
      </c>
      <c r="D349" s="25">
        <v>25</v>
      </c>
      <c r="E349" s="25">
        <v>1603.36</v>
      </c>
      <c r="F349" s="25">
        <v>40084</v>
      </c>
      <c r="G349" s="25" t="s">
        <v>1343</v>
      </c>
      <c r="H349" s="25">
        <v>2019156</v>
      </c>
      <c r="I349" s="25" t="s">
        <v>19</v>
      </c>
      <c r="J349" s="25" t="s">
        <v>20</v>
      </c>
      <c r="K349" s="25" t="s">
        <v>25</v>
      </c>
      <c r="L349" s="25">
        <v>9.65</v>
      </c>
      <c r="M349" s="25">
        <v>0.88</v>
      </c>
      <c r="N349" s="25">
        <v>10.199999999999999</v>
      </c>
      <c r="O349" s="25">
        <v>29.66</v>
      </c>
      <c r="P349" s="25">
        <v>50.391800000000003</v>
      </c>
    </row>
    <row r="350" spans="1:16" x14ac:dyDescent="0.25">
      <c r="A350" s="26">
        <v>43696</v>
      </c>
      <c r="B350" s="25" t="s">
        <v>1156</v>
      </c>
      <c r="C350" s="25" t="s">
        <v>23</v>
      </c>
      <c r="D350" s="25">
        <v>1000</v>
      </c>
      <c r="E350" s="25">
        <v>64.599999999999994</v>
      </c>
      <c r="F350" s="25">
        <v>64600</v>
      </c>
      <c r="G350" s="25" t="s">
        <v>1344</v>
      </c>
      <c r="H350" s="25">
        <v>2019156</v>
      </c>
      <c r="I350" s="25" t="s">
        <v>19</v>
      </c>
      <c r="J350" s="25" t="s">
        <v>20</v>
      </c>
      <c r="K350" s="25" t="s">
        <v>25</v>
      </c>
      <c r="L350" s="25">
        <v>16.079999999999998</v>
      </c>
      <c r="M350" s="25">
        <v>1.42</v>
      </c>
      <c r="N350" s="25">
        <v>0</v>
      </c>
      <c r="O350" s="25">
        <v>38.369999999999997</v>
      </c>
      <c r="P350" s="25">
        <v>55.871200000000002</v>
      </c>
    </row>
    <row r="351" spans="1:16" x14ac:dyDescent="0.25">
      <c r="A351" s="26">
        <v>43696</v>
      </c>
      <c r="B351" s="25" t="s">
        <v>1156</v>
      </c>
      <c r="C351" s="25" t="s">
        <v>17</v>
      </c>
      <c r="D351" s="25">
        <v>1000</v>
      </c>
      <c r="E351" s="25">
        <v>64.45</v>
      </c>
      <c r="F351" s="25">
        <v>64450</v>
      </c>
      <c r="G351" s="25" t="s">
        <v>1345</v>
      </c>
      <c r="H351" s="25">
        <v>2019156</v>
      </c>
      <c r="I351" s="25" t="s">
        <v>19</v>
      </c>
      <c r="J351" s="25" t="s">
        <v>20</v>
      </c>
      <c r="K351" s="25" t="s">
        <v>25</v>
      </c>
      <c r="L351" s="25">
        <v>0</v>
      </c>
      <c r="M351" s="25">
        <v>1.42</v>
      </c>
      <c r="N351" s="25">
        <v>0</v>
      </c>
      <c r="O351" s="25">
        <v>38.29</v>
      </c>
      <c r="P351" s="25">
        <v>39.707799999999999</v>
      </c>
    </row>
    <row r="352" spans="1:16" x14ac:dyDescent="0.25">
      <c r="A352" s="26">
        <v>43696</v>
      </c>
      <c r="B352" s="25" t="s">
        <v>1156</v>
      </c>
      <c r="C352" s="25" t="s">
        <v>17</v>
      </c>
      <c r="D352" s="25">
        <v>1000</v>
      </c>
      <c r="E352" s="25">
        <v>64.099999999999994</v>
      </c>
      <c r="F352" s="25">
        <v>64100</v>
      </c>
      <c r="G352" s="25" t="s">
        <v>1346</v>
      </c>
      <c r="H352" s="25">
        <v>2019156</v>
      </c>
      <c r="I352" s="25" t="s">
        <v>19</v>
      </c>
      <c r="J352" s="25" t="s">
        <v>20</v>
      </c>
      <c r="K352" s="25" t="s">
        <v>25</v>
      </c>
      <c r="L352" s="25">
        <v>0</v>
      </c>
      <c r="M352" s="25">
        <v>1.41</v>
      </c>
      <c r="N352" s="25">
        <v>0</v>
      </c>
      <c r="O352" s="25">
        <v>38.07</v>
      </c>
      <c r="P352" s="25">
        <v>39.480200000000004</v>
      </c>
    </row>
    <row r="353" spans="1:16" x14ac:dyDescent="0.25">
      <c r="A353" s="26">
        <v>43696</v>
      </c>
      <c r="B353" s="25" t="s">
        <v>1156</v>
      </c>
      <c r="C353" s="25" t="s">
        <v>23</v>
      </c>
      <c r="D353" s="25">
        <v>1000</v>
      </c>
      <c r="E353" s="25">
        <v>64.150000000000006</v>
      </c>
      <c r="F353" s="25">
        <v>64150</v>
      </c>
      <c r="G353" s="25" t="s">
        <v>1347</v>
      </c>
      <c r="H353" s="25">
        <v>2019156</v>
      </c>
      <c r="I353" s="25" t="s">
        <v>19</v>
      </c>
      <c r="J353" s="25" t="s">
        <v>20</v>
      </c>
      <c r="K353" s="25" t="s">
        <v>25</v>
      </c>
      <c r="L353" s="25">
        <v>16.079999999999998</v>
      </c>
      <c r="M353" s="25">
        <v>1.41</v>
      </c>
      <c r="N353" s="25">
        <v>0</v>
      </c>
      <c r="O353" s="25">
        <v>38.11</v>
      </c>
      <c r="P353" s="25">
        <v>55.601300000000002</v>
      </c>
    </row>
    <row r="354" spans="1:16" x14ac:dyDescent="0.25">
      <c r="A354" s="26">
        <v>43696</v>
      </c>
      <c r="B354" s="25" t="s">
        <v>282</v>
      </c>
      <c r="C354" s="25" t="s">
        <v>17</v>
      </c>
      <c r="D354" s="25">
        <v>10</v>
      </c>
      <c r="E354" s="25">
        <v>219</v>
      </c>
      <c r="F354" s="25">
        <v>2190</v>
      </c>
      <c r="G354" s="25" t="s">
        <v>1348</v>
      </c>
      <c r="H354" s="25">
        <v>2019156</v>
      </c>
      <c r="I354" s="25" t="s">
        <v>19</v>
      </c>
      <c r="J354" s="25" t="s">
        <v>20</v>
      </c>
      <c r="K354" s="25" t="s">
        <v>25</v>
      </c>
      <c r="L354" s="25">
        <v>2.19</v>
      </c>
      <c r="M354" s="25">
        <v>0.05</v>
      </c>
      <c r="N354" s="25">
        <v>0</v>
      </c>
      <c r="O354" s="25">
        <v>41.31</v>
      </c>
      <c r="P354" s="25">
        <v>43.548200000000001</v>
      </c>
    </row>
    <row r="355" spans="1:16" x14ac:dyDescent="0.25">
      <c r="A355" s="26">
        <v>43693</v>
      </c>
      <c r="B355" s="25" t="s">
        <v>1156</v>
      </c>
      <c r="C355" s="25" t="s">
        <v>23</v>
      </c>
      <c r="D355" s="25">
        <v>1000</v>
      </c>
      <c r="E355" s="25">
        <v>62.5</v>
      </c>
      <c r="F355" s="25">
        <v>62500</v>
      </c>
      <c r="G355" s="25" t="s">
        <v>1349</v>
      </c>
      <c r="H355" s="25">
        <v>2019155</v>
      </c>
      <c r="I355" s="25" t="s">
        <v>19</v>
      </c>
      <c r="J355" s="25" t="s">
        <v>20</v>
      </c>
      <c r="K355" s="25" t="s">
        <v>25</v>
      </c>
      <c r="L355" s="25">
        <v>16.079999999999998</v>
      </c>
      <c r="M355" s="25">
        <v>1.38</v>
      </c>
      <c r="N355" s="25">
        <v>0</v>
      </c>
      <c r="O355" s="25">
        <v>37.119999999999997</v>
      </c>
      <c r="P355" s="25">
        <v>54.575000000000003</v>
      </c>
    </row>
    <row r="356" spans="1:16" x14ac:dyDescent="0.25">
      <c r="A356" s="26">
        <v>43693</v>
      </c>
      <c r="B356" s="25" t="s">
        <v>1156</v>
      </c>
      <c r="C356" s="25" t="s">
        <v>23</v>
      </c>
      <c r="D356" s="25">
        <v>1000</v>
      </c>
      <c r="E356" s="25">
        <v>63.5</v>
      </c>
      <c r="F356" s="25">
        <v>63500</v>
      </c>
      <c r="G356" s="25" t="s">
        <v>1350</v>
      </c>
      <c r="H356" s="25">
        <v>2019155</v>
      </c>
      <c r="I356" s="25" t="s">
        <v>19</v>
      </c>
      <c r="J356" s="25" t="s">
        <v>20</v>
      </c>
      <c r="K356" s="25" t="s">
        <v>25</v>
      </c>
      <c r="L356" s="25">
        <v>16.53</v>
      </c>
      <c r="M356" s="25">
        <v>1.4</v>
      </c>
      <c r="N356" s="25">
        <v>0</v>
      </c>
      <c r="O356" s="25">
        <v>37.72</v>
      </c>
      <c r="P356" s="25">
        <v>55.646999999999998</v>
      </c>
    </row>
    <row r="357" spans="1:16" x14ac:dyDescent="0.25">
      <c r="A357" s="26">
        <v>43693</v>
      </c>
      <c r="B357" s="25" t="s">
        <v>1156</v>
      </c>
      <c r="C357" s="25" t="s">
        <v>23</v>
      </c>
      <c r="D357" s="25">
        <v>1000</v>
      </c>
      <c r="E357" s="25">
        <v>64.2</v>
      </c>
      <c r="F357" s="25">
        <v>64200</v>
      </c>
      <c r="G357" s="25" t="s">
        <v>1351</v>
      </c>
      <c r="H357" s="25">
        <v>2019155</v>
      </c>
      <c r="I357" s="25" t="s">
        <v>19</v>
      </c>
      <c r="J357" s="25" t="s">
        <v>20</v>
      </c>
      <c r="K357" s="25" t="s">
        <v>25</v>
      </c>
      <c r="L357" s="25">
        <v>16.079999999999998</v>
      </c>
      <c r="M357" s="25">
        <v>1.41</v>
      </c>
      <c r="N357" s="25">
        <v>0</v>
      </c>
      <c r="O357" s="25">
        <v>38.130000000000003</v>
      </c>
      <c r="P357" s="25">
        <v>55.622399999999999</v>
      </c>
    </row>
    <row r="358" spans="1:16" x14ac:dyDescent="0.25">
      <c r="A358" s="26">
        <v>43693</v>
      </c>
      <c r="B358" s="25" t="s">
        <v>1156</v>
      </c>
      <c r="C358" s="25" t="s">
        <v>23</v>
      </c>
      <c r="D358" s="25">
        <v>1000</v>
      </c>
      <c r="E358" s="25">
        <v>64.5</v>
      </c>
      <c r="F358" s="25">
        <v>64500</v>
      </c>
      <c r="G358" s="25" t="s">
        <v>1352</v>
      </c>
      <c r="H358" s="25">
        <v>2019155</v>
      </c>
      <c r="I358" s="25" t="s">
        <v>19</v>
      </c>
      <c r="J358" s="25" t="s">
        <v>20</v>
      </c>
      <c r="K358" s="25" t="s">
        <v>25</v>
      </c>
      <c r="L358" s="25">
        <v>16.079999999999998</v>
      </c>
      <c r="M358" s="25">
        <v>1.42</v>
      </c>
      <c r="N358" s="25">
        <v>0</v>
      </c>
      <c r="O358" s="25">
        <v>38.31</v>
      </c>
      <c r="P358" s="25">
        <v>55.808999999999997</v>
      </c>
    </row>
    <row r="359" spans="1:16" x14ac:dyDescent="0.25">
      <c r="A359" s="26">
        <v>43693</v>
      </c>
      <c r="B359" s="25" t="s">
        <v>1156</v>
      </c>
      <c r="C359" s="25" t="s">
        <v>23</v>
      </c>
      <c r="D359" s="25">
        <v>3000</v>
      </c>
      <c r="E359" s="25">
        <v>65</v>
      </c>
      <c r="F359" s="25">
        <v>195000</v>
      </c>
      <c r="G359" s="25" t="s">
        <v>1353</v>
      </c>
      <c r="H359" s="25">
        <v>2019155</v>
      </c>
      <c r="I359" s="25" t="s">
        <v>19</v>
      </c>
      <c r="J359" s="25" t="s">
        <v>20</v>
      </c>
      <c r="K359" s="25" t="s">
        <v>25</v>
      </c>
      <c r="L359" s="25">
        <v>48.23</v>
      </c>
      <c r="M359" s="25">
        <v>4.29</v>
      </c>
      <c r="N359" s="25">
        <v>0</v>
      </c>
      <c r="O359" s="25">
        <v>115.82</v>
      </c>
      <c r="P359" s="25">
        <v>168.34</v>
      </c>
    </row>
    <row r="360" spans="1:16" x14ac:dyDescent="0.25">
      <c r="A360" s="26">
        <v>43693</v>
      </c>
      <c r="B360" s="25" t="s">
        <v>1156</v>
      </c>
      <c r="C360" s="25" t="s">
        <v>17</v>
      </c>
      <c r="D360" s="25">
        <v>7000</v>
      </c>
      <c r="E360" s="25">
        <v>64.38</v>
      </c>
      <c r="F360" s="25">
        <v>450680.25</v>
      </c>
      <c r="G360" s="25" t="s">
        <v>1354</v>
      </c>
      <c r="H360" s="25">
        <v>2019155</v>
      </c>
      <c r="I360" s="25" t="s">
        <v>19</v>
      </c>
      <c r="J360" s="25" t="s">
        <v>20</v>
      </c>
      <c r="K360" s="25" t="s">
        <v>25</v>
      </c>
      <c r="L360" s="25">
        <v>0</v>
      </c>
      <c r="M360" s="25">
        <v>9.92</v>
      </c>
      <c r="N360" s="25">
        <v>27.3</v>
      </c>
      <c r="O360" s="25">
        <v>267.7</v>
      </c>
      <c r="P360" s="25">
        <v>304.91520000000003</v>
      </c>
    </row>
    <row r="361" spans="1:16" x14ac:dyDescent="0.25">
      <c r="A361" s="26">
        <v>43691</v>
      </c>
      <c r="B361" s="25" t="s">
        <v>291</v>
      </c>
      <c r="C361" s="25" t="s">
        <v>23</v>
      </c>
      <c r="D361" s="25">
        <v>500</v>
      </c>
      <c r="E361" s="25">
        <v>94.5</v>
      </c>
      <c r="F361" s="25">
        <v>47250</v>
      </c>
      <c r="G361" s="25" t="s">
        <v>1355</v>
      </c>
      <c r="H361" s="25">
        <v>2019154</v>
      </c>
      <c r="I361" s="25" t="s">
        <v>19</v>
      </c>
      <c r="J361" s="25" t="s">
        <v>20</v>
      </c>
      <c r="K361" s="25" t="s">
        <v>25</v>
      </c>
      <c r="L361" s="25">
        <v>11.79</v>
      </c>
      <c r="M361" s="25">
        <v>1.04</v>
      </c>
      <c r="N361" s="25">
        <v>20.399999999999999</v>
      </c>
      <c r="O361" s="25">
        <v>29.69</v>
      </c>
      <c r="P361" s="25">
        <v>62.919600000000003</v>
      </c>
    </row>
    <row r="362" spans="1:16" x14ac:dyDescent="0.25">
      <c r="A362" s="26">
        <v>43691</v>
      </c>
      <c r="B362" s="25" t="s">
        <v>291</v>
      </c>
      <c r="C362" s="25" t="s">
        <v>17</v>
      </c>
      <c r="D362" s="25">
        <v>500</v>
      </c>
      <c r="E362" s="25">
        <v>94.15</v>
      </c>
      <c r="F362" s="25">
        <v>47075</v>
      </c>
      <c r="G362" s="25" t="s">
        <v>1356</v>
      </c>
      <c r="H362" s="25">
        <v>2019154</v>
      </c>
      <c r="I362" s="25" t="s">
        <v>19</v>
      </c>
      <c r="J362" s="25" t="s">
        <v>20</v>
      </c>
      <c r="K362" s="25" t="s">
        <v>25</v>
      </c>
      <c r="L362" s="25">
        <v>0</v>
      </c>
      <c r="M362" s="25">
        <v>1.04</v>
      </c>
      <c r="N362" s="25">
        <v>0</v>
      </c>
      <c r="O362" s="25">
        <v>29.69</v>
      </c>
      <c r="P362" s="25">
        <v>30.7256</v>
      </c>
    </row>
    <row r="363" spans="1:16" x14ac:dyDescent="0.25">
      <c r="A363" s="26">
        <v>43691</v>
      </c>
      <c r="B363" s="25" t="s">
        <v>1156</v>
      </c>
      <c r="C363" s="25" t="s">
        <v>17</v>
      </c>
      <c r="D363" s="25">
        <v>2095</v>
      </c>
      <c r="E363" s="25">
        <v>63.45</v>
      </c>
      <c r="F363" s="25">
        <v>132927.75</v>
      </c>
      <c r="G363" s="25" t="s">
        <v>1357</v>
      </c>
      <c r="H363" s="25">
        <v>2019154</v>
      </c>
      <c r="I363" s="25" t="s">
        <v>19</v>
      </c>
      <c r="J363" s="25" t="s">
        <v>20</v>
      </c>
      <c r="K363" s="25" t="s">
        <v>25</v>
      </c>
      <c r="L363" s="25">
        <v>0</v>
      </c>
      <c r="M363" s="25">
        <v>2.92</v>
      </c>
      <c r="N363" s="25">
        <v>0</v>
      </c>
      <c r="O363" s="25">
        <v>78.959999999999994</v>
      </c>
      <c r="P363" s="25">
        <v>81.884299999999996</v>
      </c>
    </row>
    <row r="364" spans="1:16" x14ac:dyDescent="0.25">
      <c r="A364" s="26">
        <v>43691</v>
      </c>
      <c r="B364" s="25" t="s">
        <v>1156</v>
      </c>
      <c r="C364" s="25" t="s">
        <v>23</v>
      </c>
      <c r="D364" s="25">
        <v>2095</v>
      </c>
      <c r="E364" s="25">
        <v>63.7</v>
      </c>
      <c r="F364" s="25">
        <v>133451.5</v>
      </c>
      <c r="G364" s="25" t="s">
        <v>1358</v>
      </c>
      <c r="H364" s="25">
        <v>2019154</v>
      </c>
      <c r="I364" s="25" t="s">
        <v>19</v>
      </c>
      <c r="J364" s="25" t="s">
        <v>20</v>
      </c>
      <c r="K364" s="25" t="s">
        <v>25</v>
      </c>
      <c r="L364" s="25">
        <v>33.29</v>
      </c>
      <c r="M364" s="25">
        <v>2.94</v>
      </c>
      <c r="N364" s="25">
        <v>0</v>
      </c>
      <c r="O364" s="25">
        <v>79.27</v>
      </c>
      <c r="P364" s="25">
        <v>115.496</v>
      </c>
    </row>
    <row r="365" spans="1:16" x14ac:dyDescent="0.25">
      <c r="A365" s="26">
        <v>43691</v>
      </c>
      <c r="B365" s="25" t="s">
        <v>1156</v>
      </c>
      <c r="C365" s="25" t="s">
        <v>23</v>
      </c>
      <c r="D365" s="25">
        <v>1000</v>
      </c>
      <c r="E365" s="25">
        <v>63.5</v>
      </c>
      <c r="F365" s="25">
        <v>63500</v>
      </c>
      <c r="G365" s="25" t="s">
        <v>1359</v>
      </c>
      <c r="H365" s="25">
        <v>2019154</v>
      </c>
      <c r="I365" s="25" t="s">
        <v>19</v>
      </c>
      <c r="J365" s="25" t="s">
        <v>20</v>
      </c>
      <c r="K365" s="25" t="s">
        <v>25</v>
      </c>
      <c r="L365" s="25">
        <v>15.89</v>
      </c>
      <c r="M365" s="25">
        <v>1.4</v>
      </c>
      <c r="N365" s="25">
        <v>0</v>
      </c>
      <c r="O365" s="25">
        <v>37.72</v>
      </c>
      <c r="P365" s="25">
        <v>55.006999999999998</v>
      </c>
    </row>
    <row r="366" spans="1:16" x14ac:dyDescent="0.25">
      <c r="A366" s="26">
        <v>43691</v>
      </c>
      <c r="B366" s="25" t="s">
        <v>665</v>
      </c>
      <c r="C366" s="25" t="s">
        <v>23</v>
      </c>
      <c r="D366" s="25">
        <v>2000</v>
      </c>
      <c r="E366" s="25">
        <v>47</v>
      </c>
      <c r="F366" s="25">
        <v>94000</v>
      </c>
      <c r="G366" s="25" t="s">
        <v>1360</v>
      </c>
      <c r="H366" s="25">
        <v>2019154</v>
      </c>
      <c r="I366" s="25" t="s">
        <v>19</v>
      </c>
      <c r="J366" s="25" t="s">
        <v>20</v>
      </c>
      <c r="K366" s="25" t="s">
        <v>25</v>
      </c>
      <c r="L366" s="25">
        <v>23.02</v>
      </c>
      <c r="M366" s="25">
        <v>2.0699999999999998</v>
      </c>
      <c r="N366" s="25">
        <v>0</v>
      </c>
      <c r="O366" s="25">
        <v>55.84</v>
      </c>
      <c r="P366" s="25">
        <v>80.928700000000006</v>
      </c>
    </row>
    <row r="367" spans="1:16" x14ac:dyDescent="0.25">
      <c r="A367" s="26">
        <v>43691</v>
      </c>
      <c r="B367" s="25" t="s">
        <v>665</v>
      </c>
      <c r="C367" s="25" t="s">
        <v>17</v>
      </c>
      <c r="D367" s="25">
        <v>2000</v>
      </c>
      <c r="E367" s="25">
        <v>46.25</v>
      </c>
      <c r="F367" s="25">
        <v>92500</v>
      </c>
      <c r="G367" s="25" t="s">
        <v>1361</v>
      </c>
      <c r="H367" s="25">
        <v>2019154</v>
      </c>
      <c r="I367" s="25" t="s">
        <v>19</v>
      </c>
      <c r="J367" s="25" t="s">
        <v>20</v>
      </c>
      <c r="K367" s="25" t="s">
        <v>25</v>
      </c>
      <c r="L367" s="25">
        <v>0</v>
      </c>
      <c r="M367" s="25">
        <v>2.04</v>
      </c>
      <c r="N367" s="25">
        <v>0</v>
      </c>
      <c r="O367" s="25">
        <v>54.94</v>
      </c>
      <c r="P367" s="25">
        <v>56.975000000000001</v>
      </c>
    </row>
    <row r="368" spans="1:16" x14ac:dyDescent="0.25">
      <c r="A368" s="26">
        <v>43691</v>
      </c>
      <c r="B368" s="25" t="s">
        <v>1156</v>
      </c>
      <c r="C368" s="25" t="s">
        <v>17</v>
      </c>
      <c r="D368" s="25">
        <v>1000</v>
      </c>
      <c r="E368" s="25">
        <v>63.6</v>
      </c>
      <c r="F368" s="25">
        <v>63600</v>
      </c>
      <c r="G368" s="25" t="s">
        <v>1362</v>
      </c>
      <c r="H368" s="25">
        <v>2019154</v>
      </c>
      <c r="I368" s="25" t="s">
        <v>19</v>
      </c>
      <c r="J368" s="25" t="s">
        <v>20</v>
      </c>
      <c r="K368" s="25" t="s">
        <v>25</v>
      </c>
      <c r="L368" s="25">
        <v>0</v>
      </c>
      <c r="M368" s="25">
        <v>1.4</v>
      </c>
      <c r="N368" s="25">
        <v>0</v>
      </c>
      <c r="O368" s="25">
        <v>37.78</v>
      </c>
      <c r="P368" s="25">
        <v>39.179200000000002</v>
      </c>
    </row>
    <row r="369" spans="1:16" x14ac:dyDescent="0.25">
      <c r="A369" s="26">
        <v>43690</v>
      </c>
      <c r="B369" s="25" t="s">
        <v>1156</v>
      </c>
      <c r="C369" s="25" t="s">
        <v>23</v>
      </c>
      <c r="D369" s="25">
        <v>250</v>
      </c>
      <c r="E369" s="25">
        <v>64.55</v>
      </c>
      <c r="F369" s="25">
        <v>16137.5</v>
      </c>
      <c r="G369" s="25" t="s">
        <v>1363</v>
      </c>
      <c r="H369" s="25">
        <v>2019153</v>
      </c>
      <c r="I369" s="25" t="s">
        <v>19</v>
      </c>
      <c r="J369" s="25" t="s">
        <v>20</v>
      </c>
      <c r="K369" s="25" t="s">
        <v>25</v>
      </c>
      <c r="L369" s="25">
        <v>3.98</v>
      </c>
      <c r="M369" s="25">
        <v>0.36</v>
      </c>
      <c r="N369" s="25">
        <v>2.1</v>
      </c>
      <c r="O369" s="25">
        <v>29.56</v>
      </c>
      <c r="P369" s="25">
        <v>35.994999999999997</v>
      </c>
    </row>
    <row r="370" spans="1:16" x14ac:dyDescent="0.25">
      <c r="A370" s="26">
        <v>43690</v>
      </c>
      <c r="B370" s="25" t="s">
        <v>1156</v>
      </c>
      <c r="C370" s="25" t="s">
        <v>23</v>
      </c>
      <c r="D370" s="25">
        <v>250</v>
      </c>
      <c r="E370" s="25">
        <v>65.05</v>
      </c>
      <c r="F370" s="25">
        <v>16262.5</v>
      </c>
      <c r="G370" s="25" t="s">
        <v>1364</v>
      </c>
      <c r="H370" s="25">
        <v>2019153</v>
      </c>
      <c r="I370" s="25" t="s">
        <v>19</v>
      </c>
      <c r="J370" s="25" t="s">
        <v>20</v>
      </c>
      <c r="K370" s="25" t="s">
        <v>25</v>
      </c>
      <c r="L370" s="25">
        <v>4.03</v>
      </c>
      <c r="M370" s="25">
        <v>0.36</v>
      </c>
      <c r="N370" s="25">
        <v>0</v>
      </c>
      <c r="O370" s="25">
        <v>29.56</v>
      </c>
      <c r="P370" s="25">
        <v>33.947800000000001</v>
      </c>
    </row>
    <row r="371" spans="1:16" x14ac:dyDescent="0.25">
      <c r="A371" s="26">
        <v>43690</v>
      </c>
      <c r="B371" s="25" t="s">
        <v>1156</v>
      </c>
      <c r="C371" s="25" t="s">
        <v>17</v>
      </c>
      <c r="D371" s="25">
        <v>500</v>
      </c>
      <c r="E371" s="25">
        <v>64</v>
      </c>
      <c r="F371" s="25">
        <v>32000</v>
      </c>
      <c r="G371" s="25" t="s">
        <v>1365</v>
      </c>
      <c r="H371" s="25">
        <v>2019153</v>
      </c>
      <c r="I371" s="25" t="s">
        <v>19</v>
      </c>
      <c r="J371" s="25" t="s">
        <v>20</v>
      </c>
      <c r="K371" s="25" t="s">
        <v>25</v>
      </c>
      <c r="L371" s="25">
        <v>0</v>
      </c>
      <c r="M371" s="25">
        <v>0.7</v>
      </c>
      <c r="N371" s="25">
        <v>0</v>
      </c>
      <c r="O371" s="25">
        <v>29.63</v>
      </c>
      <c r="P371" s="25">
        <v>30.334</v>
      </c>
    </row>
    <row r="372" spans="1:16" x14ac:dyDescent="0.25">
      <c r="A372" s="26">
        <v>43686</v>
      </c>
      <c r="B372" s="25" t="s">
        <v>1366</v>
      </c>
      <c r="C372" s="25" t="s">
        <v>17</v>
      </c>
      <c r="D372" s="25">
        <v>25</v>
      </c>
      <c r="E372" s="25">
        <v>778.8</v>
      </c>
      <c r="F372" s="25">
        <v>19470</v>
      </c>
      <c r="G372" s="25" t="s">
        <v>1367</v>
      </c>
      <c r="H372" s="25">
        <v>2019152</v>
      </c>
      <c r="I372" s="25" t="s">
        <v>19</v>
      </c>
      <c r="J372" s="25" t="s">
        <v>20</v>
      </c>
      <c r="K372" s="25" t="s">
        <v>25</v>
      </c>
      <c r="L372" s="25">
        <v>0</v>
      </c>
      <c r="M372" s="25">
        <v>0.7</v>
      </c>
      <c r="N372" s="25">
        <v>0</v>
      </c>
      <c r="O372" s="25">
        <v>29.63</v>
      </c>
      <c r="P372" s="25">
        <v>30.331</v>
      </c>
    </row>
    <row r="373" spans="1:16" x14ac:dyDescent="0.25">
      <c r="A373" s="26">
        <v>43686</v>
      </c>
      <c r="B373" s="25" t="s">
        <v>1128</v>
      </c>
      <c r="C373" s="25" t="s">
        <v>23</v>
      </c>
      <c r="D373" s="25">
        <v>1000</v>
      </c>
      <c r="E373" s="25">
        <v>111.95</v>
      </c>
      <c r="F373" s="25">
        <v>111950</v>
      </c>
      <c r="G373" s="25" t="s">
        <v>1368</v>
      </c>
      <c r="H373" s="25">
        <v>2019152</v>
      </c>
      <c r="I373" s="25" t="s">
        <v>19</v>
      </c>
      <c r="J373" s="25" t="s">
        <v>20</v>
      </c>
      <c r="K373" s="25" t="s">
        <v>25</v>
      </c>
      <c r="L373" s="25">
        <v>27.73</v>
      </c>
      <c r="M373" s="25">
        <v>4.03</v>
      </c>
      <c r="N373" s="25">
        <v>0</v>
      </c>
      <c r="O373" s="25">
        <v>66.77</v>
      </c>
      <c r="P373" s="25">
        <v>98.530199999999994</v>
      </c>
    </row>
    <row r="374" spans="1:16" x14ac:dyDescent="0.25">
      <c r="A374" s="26">
        <v>43686</v>
      </c>
      <c r="B374" s="25" t="s">
        <v>1128</v>
      </c>
      <c r="C374" s="25" t="s">
        <v>17</v>
      </c>
      <c r="D374" s="25">
        <v>1000</v>
      </c>
      <c r="E374" s="25">
        <v>111.15</v>
      </c>
      <c r="F374" s="25">
        <v>111150</v>
      </c>
      <c r="G374" s="25" t="s">
        <v>1369</v>
      </c>
      <c r="H374" s="25">
        <v>2019152</v>
      </c>
      <c r="I374" s="25" t="s">
        <v>19</v>
      </c>
      <c r="J374" s="25" t="s">
        <v>20</v>
      </c>
      <c r="K374" s="25" t="s">
        <v>25</v>
      </c>
      <c r="L374" s="25">
        <v>0</v>
      </c>
      <c r="M374" s="25">
        <v>4</v>
      </c>
      <c r="N374" s="25">
        <v>0</v>
      </c>
      <c r="O374" s="25">
        <v>66.290000000000006</v>
      </c>
      <c r="P374" s="25">
        <v>70.291399999999996</v>
      </c>
    </row>
    <row r="375" spans="1:16" x14ac:dyDescent="0.25">
      <c r="A375" s="26">
        <v>43686</v>
      </c>
      <c r="B375" s="25" t="s">
        <v>1366</v>
      </c>
      <c r="C375" s="25" t="s">
        <v>23</v>
      </c>
      <c r="D375" s="25">
        <v>100</v>
      </c>
      <c r="E375" s="25">
        <v>772</v>
      </c>
      <c r="F375" s="25">
        <v>77200</v>
      </c>
      <c r="G375" s="25" t="s">
        <v>1370</v>
      </c>
      <c r="H375" s="25">
        <v>2019152</v>
      </c>
      <c r="I375" s="25" t="s">
        <v>19</v>
      </c>
      <c r="J375" s="25" t="s">
        <v>20</v>
      </c>
      <c r="K375" s="25" t="s">
        <v>25</v>
      </c>
      <c r="L375" s="25">
        <v>19.27</v>
      </c>
      <c r="M375" s="25">
        <v>2.78</v>
      </c>
      <c r="N375" s="25">
        <v>0</v>
      </c>
      <c r="O375" s="25">
        <v>46.05</v>
      </c>
      <c r="P375" s="25">
        <v>68.099199999999996</v>
      </c>
    </row>
    <row r="376" spans="1:16" x14ac:dyDescent="0.25">
      <c r="A376" s="26">
        <v>43686</v>
      </c>
      <c r="B376" s="25" t="s">
        <v>1366</v>
      </c>
      <c r="C376" s="25" t="s">
        <v>17</v>
      </c>
      <c r="D376" s="25">
        <v>25</v>
      </c>
      <c r="E376" s="25">
        <v>777</v>
      </c>
      <c r="F376" s="25">
        <v>19425</v>
      </c>
      <c r="G376" s="25" t="s">
        <v>1371</v>
      </c>
      <c r="H376" s="25">
        <v>2019152</v>
      </c>
      <c r="I376" s="25" t="s">
        <v>19</v>
      </c>
      <c r="J376" s="25" t="s">
        <v>20</v>
      </c>
      <c r="K376" s="25" t="s">
        <v>25</v>
      </c>
      <c r="L376" s="25">
        <v>0</v>
      </c>
      <c r="M376" s="25">
        <v>0.7</v>
      </c>
      <c r="N376" s="25">
        <v>11.4</v>
      </c>
      <c r="O376" s="25">
        <v>29.63</v>
      </c>
      <c r="P376" s="25">
        <v>41.729300000000002</v>
      </c>
    </row>
    <row r="377" spans="1:16" x14ac:dyDescent="0.25">
      <c r="A377" s="26">
        <v>43686</v>
      </c>
      <c r="B377" s="25" t="s">
        <v>1366</v>
      </c>
      <c r="C377" s="25" t="s">
        <v>17</v>
      </c>
      <c r="D377" s="25">
        <v>50</v>
      </c>
      <c r="E377" s="25">
        <v>762</v>
      </c>
      <c r="F377" s="25">
        <v>38100</v>
      </c>
      <c r="G377" s="25" t="s">
        <v>1372</v>
      </c>
      <c r="H377" s="25">
        <v>2019152</v>
      </c>
      <c r="I377" s="25" t="s">
        <v>19</v>
      </c>
      <c r="J377" s="25" t="s">
        <v>20</v>
      </c>
      <c r="K377" s="25" t="s">
        <v>25</v>
      </c>
      <c r="L377" s="25">
        <v>0</v>
      </c>
      <c r="M377" s="25">
        <v>1.37</v>
      </c>
      <c r="N377" s="25">
        <v>0</v>
      </c>
      <c r="O377" s="25">
        <v>29.75</v>
      </c>
      <c r="P377" s="25">
        <v>31.121600000000001</v>
      </c>
    </row>
    <row r="378" spans="1:16" x14ac:dyDescent="0.25">
      <c r="A378" s="26">
        <v>43685</v>
      </c>
      <c r="B378" s="25" t="s">
        <v>1156</v>
      </c>
      <c r="C378" s="25" t="s">
        <v>23</v>
      </c>
      <c r="D378" s="25">
        <v>2500</v>
      </c>
      <c r="E378" s="25">
        <v>62</v>
      </c>
      <c r="F378" s="25">
        <v>155000</v>
      </c>
      <c r="G378" s="25" t="s">
        <v>1373</v>
      </c>
      <c r="H378" s="25">
        <v>2019151</v>
      </c>
      <c r="I378" s="25" t="s">
        <v>19</v>
      </c>
      <c r="J378" s="25" t="s">
        <v>20</v>
      </c>
      <c r="K378" s="25" t="s">
        <v>25</v>
      </c>
      <c r="L378" s="25">
        <v>39.64</v>
      </c>
      <c r="M378" s="25">
        <v>5.58</v>
      </c>
      <c r="N378" s="25">
        <v>0</v>
      </c>
      <c r="O378" s="25">
        <v>92.45</v>
      </c>
      <c r="P378" s="25">
        <v>137.66999999999999</v>
      </c>
    </row>
    <row r="379" spans="1:16" x14ac:dyDescent="0.25">
      <c r="A379" s="26">
        <v>43685</v>
      </c>
      <c r="B379" s="25" t="s">
        <v>1156</v>
      </c>
      <c r="C379" s="25" t="s">
        <v>17</v>
      </c>
      <c r="D379" s="25">
        <v>10000</v>
      </c>
      <c r="E379" s="25">
        <v>63.5</v>
      </c>
      <c r="F379" s="25">
        <v>635000</v>
      </c>
      <c r="G379" s="25" t="s">
        <v>1374</v>
      </c>
      <c r="H379" s="25">
        <v>2019151</v>
      </c>
      <c r="I379" s="25" t="s">
        <v>19</v>
      </c>
      <c r="J379" s="25" t="s">
        <v>20</v>
      </c>
      <c r="K379" s="25" t="s">
        <v>25</v>
      </c>
      <c r="L379" s="25">
        <v>0</v>
      </c>
      <c r="M379" s="25">
        <v>22.86</v>
      </c>
      <c r="N379" s="25">
        <v>0</v>
      </c>
      <c r="O379" s="25">
        <v>378.76</v>
      </c>
      <c r="P379" s="25">
        <v>401.62</v>
      </c>
    </row>
    <row r="380" spans="1:16" x14ac:dyDescent="0.25">
      <c r="A380" s="26">
        <v>43685</v>
      </c>
      <c r="B380" s="25" t="s">
        <v>1156</v>
      </c>
      <c r="C380" s="25" t="s">
        <v>23</v>
      </c>
      <c r="D380" s="25">
        <v>2500</v>
      </c>
      <c r="E380" s="25">
        <v>63</v>
      </c>
      <c r="F380" s="25">
        <v>157500</v>
      </c>
      <c r="G380" s="25" t="s">
        <v>1375</v>
      </c>
      <c r="H380" s="25">
        <v>2019151</v>
      </c>
      <c r="I380" s="25" t="s">
        <v>19</v>
      </c>
      <c r="J380" s="25" t="s">
        <v>20</v>
      </c>
      <c r="K380" s="25" t="s">
        <v>25</v>
      </c>
      <c r="L380" s="25">
        <v>39.64</v>
      </c>
      <c r="M380" s="25">
        <v>5.67</v>
      </c>
      <c r="N380" s="25">
        <v>0</v>
      </c>
      <c r="O380" s="25">
        <v>93.95</v>
      </c>
      <c r="P380" s="25">
        <v>139.26</v>
      </c>
    </row>
    <row r="381" spans="1:16" x14ac:dyDescent="0.25">
      <c r="A381" s="26">
        <v>43685</v>
      </c>
      <c r="B381" s="25" t="s">
        <v>1156</v>
      </c>
      <c r="C381" s="25" t="s">
        <v>23</v>
      </c>
      <c r="D381" s="25">
        <v>5000</v>
      </c>
      <c r="E381" s="25">
        <v>64.2</v>
      </c>
      <c r="F381" s="25">
        <v>321000</v>
      </c>
      <c r="G381" s="25" t="s">
        <v>1376</v>
      </c>
      <c r="H381" s="25">
        <v>2019151</v>
      </c>
      <c r="I381" s="25" t="s">
        <v>19</v>
      </c>
      <c r="J381" s="25" t="s">
        <v>20</v>
      </c>
      <c r="K381" s="25" t="s">
        <v>25</v>
      </c>
      <c r="L381" s="25">
        <v>78.89</v>
      </c>
      <c r="M381" s="25">
        <v>11.56</v>
      </c>
      <c r="N381" s="25">
        <v>38.4</v>
      </c>
      <c r="O381" s="25">
        <v>191.48</v>
      </c>
      <c r="P381" s="25">
        <v>320.32600000000002</v>
      </c>
    </row>
    <row r="382" spans="1:16" x14ac:dyDescent="0.25">
      <c r="A382" s="26">
        <v>43685</v>
      </c>
      <c r="B382" s="25" t="s">
        <v>16</v>
      </c>
      <c r="C382" s="25" t="s">
        <v>17</v>
      </c>
      <c r="D382" s="25">
        <v>100</v>
      </c>
      <c r="E382" s="25">
        <v>18.25</v>
      </c>
      <c r="F382" s="25">
        <v>1825</v>
      </c>
      <c r="G382" s="25" t="s">
        <v>1377</v>
      </c>
      <c r="H382" s="25">
        <v>2019151</v>
      </c>
      <c r="I382" s="25" t="s">
        <v>19</v>
      </c>
      <c r="J382" s="25" t="s">
        <v>20</v>
      </c>
      <c r="K382" s="25" t="s">
        <v>25</v>
      </c>
      <c r="L382" s="25">
        <v>1.83</v>
      </c>
      <c r="M382" s="25">
        <v>7.0000000000000007E-2</v>
      </c>
      <c r="N382" s="25">
        <v>0</v>
      </c>
      <c r="O382" s="25">
        <v>41.31</v>
      </c>
      <c r="P382" s="25">
        <v>43.2057</v>
      </c>
    </row>
    <row r="383" spans="1:16" x14ac:dyDescent="0.25">
      <c r="A383" s="26">
        <v>43684</v>
      </c>
      <c r="B383" s="25" t="s">
        <v>111</v>
      </c>
      <c r="C383" s="25" t="s">
        <v>17</v>
      </c>
      <c r="D383" s="25">
        <v>100</v>
      </c>
      <c r="E383" s="25">
        <v>427.25</v>
      </c>
      <c r="F383" s="25">
        <v>42725</v>
      </c>
      <c r="G383" s="25" t="s">
        <v>1378</v>
      </c>
      <c r="H383" s="25">
        <v>2019150</v>
      </c>
      <c r="I383" s="25" t="s">
        <v>19</v>
      </c>
      <c r="J383" s="25" t="s">
        <v>20</v>
      </c>
      <c r="K383" s="25" t="s">
        <v>25</v>
      </c>
      <c r="L383" s="25">
        <v>0</v>
      </c>
      <c r="M383" s="25">
        <v>1.54</v>
      </c>
      <c r="N383" s="25">
        <v>7.8</v>
      </c>
      <c r="O383" s="25">
        <v>29.78</v>
      </c>
      <c r="P383" s="25">
        <v>39.118099999999998</v>
      </c>
    </row>
    <row r="384" spans="1:16" x14ac:dyDescent="0.25">
      <c r="A384" s="26">
        <v>43684</v>
      </c>
      <c r="B384" s="25" t="s">
        <v>111</v>
      </c>
      <c r="C384" s="25" t="s">
        <v>23</v>
      </c>
      <c r="D384" s="25">
        <v>300</v>
      </c>
      <c r="E384" s="25">
        <v>424.5</v>
      </c>
      <c r="F384" s="25">
        <v>127350</v>
      </c>
      <c r="G384" s="25" t="s">
        <v>1379</v>
      </c>
      <c r="H384" s="25">
        <v>2019150</v>
      </c>
      <c r="I384" s="25" t="s">
        <v>19</v>
      </c>
      <c r="J384" s="25" t="s">
        <v>20</v>
      </c>
      <c r="K384" s="25" t="s">
        <v>25</v>
      </c>
      <c r="L384" s="25">
        <v>31.42</v>
      </c>
      <c r="M384" s="25">
        <v>4.58</v>
      </c>
      <c r="N384" s="25">
        <v>0</v>
      </c>
      <c r="O384" s="25">
        <v>75.959999999999994</v>
      </c>
      <c r="P384" s="25">
        <v>111.96469999999999</v>
      </c>
    </row>
    <row r="385" spans="1:16" x14ac:dyDescent="0.25">
      <c r="A385" s="26">
        <v>43684</v>
      </c>
      <c r="B385" s="25" t="s">
        <v>111</v>
      </c>
      <c r="C385" s="25" t="s">
        <v>17</v>
      </c>
      <c r="D385" s="25">
        <v>200</v>
      </c>
      <c r="E385" s="25">
        <v>420.25</v>
      </c>
      <c r="F385" s="25">
        <v>84050</v>
      </c>
      <c r="G385" s="25" t="s">
        <v>1380</v>
      </c>
      <c r="H385" s="25">
        <v>2019150</v>
      </c>
      <c r="I385" s="25" t="s">
        <v>19</v>
      </c>
      <c r="J385" s="25" t="s">
        <v>20</v>
      </c>
      <c r="K385" s="25" t="s">
        <v>25</v>
      </c>
      <c r="L385" s="25">
        <v>0</v>
      </c>
      <c r="M385" s="25">
        <v>3.03</v>
      </c>
      <c r="N385" s="25">
        <v>0</v>
      </c>
      <c r="O385" s="25">
        <v>50.13</v>
      </c>
      <c r="P385" s="25">
        <v>53.155900000000003</v>
      </c>
    </row>
    <row r="386" spans="1:16" x14ac:dyDescent="0.25">
      <c r="A386" s="26">
        <v>43684</v>
      </c>
      <c r="B386" s="25" t="s">
        <v>981</v>
      </c>
      <c r="C386" s="25" t="s">
        <v>17</v>
      </c>
      <c r="D386" s="25">
        <v>20</v>
      </c>
      <c r="E386" s="25">
        <v>129</v>
      </c>
      <c r="F386" s="25">
        <v>2580</v>
      </c>
      <c r="G386" s="25" t="s">
        <v>1381</v>
      </c>
      <c r="H386" s="25">
        <v>2019150</v>
      </c>
      <c r="I386" s="25" t="s">
        <v>19</v>
      </c>
      <c r="J386" s="25" t="s">
        <v>20</v>
      </c>
      <c r="K386" s="25" t="s">
        <v>25</v>
      </c>
      <c r="L386" s="25">
        <v>2.58</v>
      </c>
      <c r="M386" s="25">
        <v>0.09</v>
      </c>
      <c r="N386" s="25">
        <v>0</v>
      </c>
      <c r="O386" s="25">
        <v>41.32</v>
      </c>
      <c r="P386" s="25">
        <v>43.992899999999999</v>
      </c>
    </row>
    <row r="387" spans="1:16" x14ac:dyDescent="0.25">
      <c r="A387" s="26">
        <v>43682</v>
      </c>
      <c r="B387" s="25" t="s">
        <v>1034</v>
      </c>
      <c r="C387" s="25" t="s">
        <v>23</v>
      </c>
      <c r="D387" s="25">
        <v>100</v>
      </c>
      <c r="E387" s="25">
        <v>224</v>
      </c>
      <c r="F387" s="25">
        <v>22400</v>
      </c>
      <c r="G387" s="25" t="s">
        <v>1382</v>
      </c>
      <c r="H387" s="25">
        <v>2019148</v>
      </c>
      <c r="I387" s="25" t="s">
        <v>19</v>
      </c>
      <c r="J387" s="25" t="s">
        <v>20</v>
      </c>
      <c r="K387" s="25" t="s">
        <v>25</v>
      </c>
      <c r="L387" s="25">
        <v>5.59</v>
      </c>
      <c r="M387" s="25">
        <v>0.81</v>
      </c>
      <c r="N387" s="25">
        <v>0</v>
      </c>
      <c r="O387" s="25">
        <v>29.65</v>
      </c>
      <c r="P387" s="25">
        <v>36.046399999999998</v>
      </c>
    </row>
    <row r="388" spans="1:16" x14ac:dyDescent="0.25">
      <c r="A388" s="26">
        <v>43682</v>
      </c>
      <c r="B388" s="25" t="s">
        <v>1105</v>
      </c>
      <c r="C388" s="25" t="s">
        <v>23</v>
      </c>
      <c r="D388" s="25">
        <v>100</v>
      </c>
      <c r="E388" s="25">
        <v>782.26</v>
      </c>
      <c r="F388" s="25">
        <v>78226.05</v>
      </c>
      <c r="G388" s="25" t="s">
        <v>1383</v>
      </c>
      <c r="H388" s="25">
        <v>2019148</v>
      </c>
      <c r="I388" s="25" t="s">
        <v>19</v>
      </c>
      <c r="J388" s="25" t="s">
        <v>20</v>
      </c>
      <c r="K388" s="25" t="s">
        <v>25</v>
      </c>
      <c r="L388" s="25">
        <v>19.41</v>
      </c>
      <c r="M388" s="25">
        <v>2.82</v>
      </c>
      <c r="N388" s="25">
        <v>0</v>
      </c>
      <c r="O388" s="25">
        <v>46.65</v>
      </c>
      <c r="P388" s="25">
        <v>68.876199999999997</v>
      </c>
    </row>
    <row r="389" spans="1:16" x14ac:dyDescent="0.25">
      <c r="A389" s="26">
        <v>43682</v>
      </c>
      <c r="B389" s="25" t="s">
        <v>1034</v>
      </c>
      <c r="C389" s="25" t="s">
        <v>17</v>
      </c>
      <c r="D389" s="25">
        <v>100</v>
      </c>
      <c r="E389" s="25">
        <v>223</v>
      </c>
      <c r="F389" s="25">
        <v>22300</v>
      </c>
      <c r="G389" s="25" t="s">
        <v>1384</v>
      </c>
      <c r="H389" s="25">
        <v>2019148</v>
      </c>
      <c r="I389" s="25" t="s">
        <v>19</v>
      </c>
      <c r="J389" s="25" t="s">
        <v>20</v>
      </c>
      <c r="K389" s="25" t="s">
        <v>25</v>
      </c>
      <c r="L389" s="25">
        <v>0</v>
      </c>
      <c r="M389" s="25">
        <v>0.8</v>
      </c>
      <c r="N389" s="25">
        <v>0</v>
      </c>
      <c r="O389" s="25">
        <v>29.64</v>
      </c>
      <c r="P389" s="25">
        <v>30.442799999999998</v>
      </c>
    </row>
    <row r="390" spans="1:16" x14ac:dyDescent="0.25">
      <c r="A390" s="26">
        <v>43682</v>
      </c>
      <c r="B390" s="25" t="s">
        <v>1105</v>
      </c>
      <c r="C390" s="25" t="s">
        <v>17</v>
      </c>
      <c r="D390" s="25">
        <v>100</v>
      </c>
      <c r="E390" s="25">
        <v>778</v>
      </c>
      <c r="F390" s="25">
        <v>77800</v>
      </c>
      <c r="G390" s="25" t="s">
        <v>1385</v>
      </c>
      <c r="H390" s="25">
        <v>2019148</v>
      </c>
      <c r="I390" s="25" t="s">
        <v>19</v>
      </c>
      <c r="J390" s="25" t="s">
        <v>20</v>
      </c>
      <c r="K390" s="25" t="s">
        <v>25</v>
      </c>
      <c r="L390" s="25">
        <v>0</v>
      </c>
      <c r="M390" s="25">
        <v>2.8</v>
      </c>
      <c r="N390" s="25">
        <v>6.3</v>
      </c>
      <c r="O390" s="25">
        <v>46.4</v>
      </c>
      <c r="P390" s="25">
        <v>55.500799999999998</v>
      </c>
    </row>
    <row r="391" spans="1:16" x14ac:dyDescent="0.25">
      <c r="A391" s="26">
        <v>43679</v>
      </c>
      <c r="B391" s="25" t="s">
        <v>179</v>
      </c>
      <c r="C391" s="25" t="s">
        <v>17</v>
      </c>
      <c r="D391" s="25">
        <v>100</v>
      </c>
      <c r="E391" s="25">
        <v>25</v>
      </c>
      <c r="F391" s="25">
        <v>2500</v>
      </c>
      <c r="G391" s="25" t="s">
        <v>1386</v>
      </c>
      <c r="H391" s="25">
        <v>2019147</v>
      </c>
      <c r="I391" s="25" t="s">
        <v>19</v>
      </c>
      <c r="J391" s="25" t="s">
        <v>20</v>
      </c>
      <c r="K391" s="25" t="s">
        <v>25</v>
      </c>
      <c r="L391" s="25">
        <v>3</v>
      </c>
      <c r="M391" s="25">
        <v>0.09</v>
      </c>
      <c r="N391" s="25">
        <v>0.3</v>
      </c>
      <c r="O391" s="25">
        <v>41.32</v>
      </c>
      <c r="P391" s="25">
        <v>44.71</v>
      </c>
    </row>
    <row r="392" spans="1:16" x14ac:dyDescent="0.25">
      <c r="A392" s="26">
        <v>43676</v>
      </c>
      <c r="B392" s="25" t="s">
        <v>659</v>
      </c>
      <c r="C392" s="25" t="s">
        <v>23</v>
      </c>
      <c r="D392" s="25">
        <v>100</v>
      </c>
      <c r="E392" s="25">
        <v>93.75</v>
      </c>
      <c r="F392" s="25">
        <v>9375</v>
      </c>
      <c r="G392" s="25" t="s">
        <v>1387</v>
      </c>
      <c r="H392" s="25">
        <v>2019144</v>
      </c>
      <c r="I392" s="25" t="s">
        <v>19</v>
      </c>
      <c r="J392" s="25" t="s">
        <v>20</v>
      </c>
      <c r="K392" s="25" t="s">
        <v>25</v>
      </c>
      <c r="L392" s="25">
        <v>2</v>
      </c>
      <c r="M392" s="25">
        <v>0.34</v>
      </c>
      <c r="N392" s="25">
        <v>0.6</v>
      </c>
      <c r="O392" s="25">
        <v>29.56</v>
      </c>
      <c r="P392" s="25">
        <v>32.497500000000002</v>
      </c>
    </row>
    <row r="393" spans="1:16" x14ac:dyDescent="0.25">
      <c r="A393" s="26">
        <v>43676</v>
      </c>
      <c r="B393" s="25" t="s">
        <v>659</v>
      </c>
      <c r="C393" s="25" t="s">
        <v>17</v>
      </c>
      <c r="D393" s="25">
        <v>100</v>
      </c>
      <c r="E393" s="25">
        <v>92.1</v>
      </c>
      <c r="F393" s="25">
        <v>9210</v>
      </c>
      <c r="G393" s="25" t="s">
        <v>1388</v>
      </c>
      <c r="H393" s="25">
        <v>2019144</v>
      </c>
      <c r="I393" s="25" t="s">
        <v>19</v>
      </c>
      <c r="J393" s="25" t="s">
        <v>20</v>
      </c>
      <c r="K393" s="25" t="s">
        <v>25</v>
      </c>
      <c r="L393" s="25">
        <v>0</v>
      </c>
      <c r="M393" s="25">
        <v>0.33</v>
      </c>
      <c r="N393" s="25">
        <v>0</v>
      </c>
      <c r="O393" s="25">
        <v>29.56</v>
      </c>
      <c r="P393" s="25">
        <v>29.8916</v>
      </c>
    </row>
    <row r="394" spans="1:16" x14ac:dyDescent="0.25">
      <c r="A394" s="26">
        <v>43675</v>
      </c>
      <c r="B394" s="25" t="s">
        <v>981</v>
      </c>
      <c r="C394" s="25" t="s">
        <v>17</v>
      </c>
      <c r="D394" s="25">
        <v>20</v>
      </c>
      <c r="E394" s="25">
        <v>140</v>
      </c>
      <c r="F394" s="25">
        <v>2800</v>
      </c>
      <c r="G394" s="25" t="s">
        <v>1389</v>
      </c>
      <c r="H394" s="25">
        <v>2019143</v>
      </c>
      <c r="I394" s="25" t="s">
        <v>19</v>
      </c>
      <c r="J394" s="25" t="s">
        <v>20</v>
      </c>
      <c r="K394" s="25" t="s">
        <v>25</v>
      </c>
      <c r="L394" s="25">
        <v>3</v>
      </c>
      <c r="M394" s="25">
        <v>0.1</v>
      </c>
      <c r="N394" s="25">
        <v>0.3</v>
      </c>
      <c r="O394" s="25">
        <v>41.32</v>
      </c>
      <c r="P394" s="25">
        <v>44.720799999999997</v>
      </c>
    </row>
    <row r="395" spans="1:16" x14ac:dyDescent="0.25">
      <c r="A395" s="26">
        <v>43672</v>
      </c>
      <c r="B395" s="25" t="s">
        <v>321</v>
      </c>
      <c r="C395" s="25" t="s">
        <v>17</v>
      </c>
      <c r="D395" s="25">
        <v>100</v>
      </c>
      <c r="E395" s="25">
        <v>275.95</v>
      </c>
      <c r="F395" s="25">
        <v>27595</v>
      </c>
      <c r="G395" s="25" t="s">
        <v>1390</v>
      </c>
      <c r="H395" s="25">
        <v>2019142</v>
      </c>
      <c r="I395" s="25" t="s">
        <v>19</v>
      </c>
      <c r="J395" s="25" t="s">
        <v>20</v>
      </c>
      <c r="K395" s="25" t="s">
        <v>25</v>
      </c>
      <c r="L395" s="25">
        <v>0</v>
      </c>
      <c r="M395" s="25">
        <v>0.99</v>
      </c>
      <c r="N395" s="25">
        <v>0</v>
      </c>
      <c r="O395" s="25">
        <v>29.68</v>
      </c>
      <c r="P395" s="25">
        <v>30.673400000000001</v>
      </c>
    </row>
    <row r="396" spans="1:16" x14ac:dyDescent="0.25">
      <c r="A396" s="26">
        <v>43672</v>
      </c>
      <c r="B396" s="25" t="s">
        <v>321</v>
      </c>
      <c r="C396" s="25" t="s">
        <v>23</v>
      </c>
      <c r="D396" s="25">
        <v>100</v>
      </c>
      <c r="E396" s="25">
        <v>275.39999999999998</v>
      </c>
      <c r="F396" s="25">
        <v>27540</v>
      </c>
      <c r="G396" s="25" t="s">
        <v>1391</v>
      </c>
      <c r="H396" s="25">
        <v>2019142</v>
      </c>
      <c r="I396" s="25" t="s">
        <v>19</v>
      </c>
      <c r="J396" s="25" t="s">
        <v>20</v>
      </c>
      <c r="K396" s="25" t="s">
        <v>25</v>
      </c>
      <c r="L396" s="25">
        <v>7</v>
      </c>
      <c r="M396" s="25">
        <v>0.99</v>
      </c>
      <c r="N396" s="25">
        <v>1.8</v>
      </c>
      <c r="O396" s="25">
        <v>29.68</v>
      </c>
      <c r="P396" s="25">
        <v>39.471400000000003</v>
      </c>
    </row>
    <row r="397" spans="1:16" x14ac:dyDescent="0.25">
      <c r="A397" s="26">
        <v>43671</v>
      </c>
      <c r="B397" s="25" t="s">
        <v>659</v>
      </c>
      <c r="C397" s="25" t="s">
        <v>23</v>
      </c>
      <c r="D397" s="25">
        <v>250</v>
      </c>
      <c r="E397" s="25">
        <v>89.15</v>
      </c>
      <c r="F397" s="25">
        <v>22287.5</v>
      </c>
      <c r="G397" s="25" t="s">
        <v>1392</v>
      </c>
      <c r="H397" s="25">
        <v>2019141</v>
      </c>
      <c r="I397" s="25" t="s">
        <v>19</v>
      </c>
      <c r="J397" s="25" t="s">
        <v>20</v>
      </c>
      <c r="K397" s="25" t="s">
        <v>25</v>
      </c>
      <c r="L397" s="25">
        <v>5</v>
      </c>
      <c r="M397" s="25">
        <v>0.8</v>
      </c>
      <c r="N397" s="25">
        <v>0</v>
      </c>
      <c r="O397" s="25">
        <v>29.64</v>
      </c>
      <c r="P397" s="25">
        <v>35.442399999999999</v>
      </c>
    </row>
    <row r="398" spans="1:16" x14ac:dyDescent="0.25">
      <c r="A398" s="26">
        <v>43671</v>
      </c>
      <c r="B398" s="25" t="s">
        <v>659</v>
      </c>
      <c r="C398" s="25" t="s">
        <v>17</v>
      </c>
      <c r="D398" s="25">
        <v>250</v>
      </c>
      <c r="E398" s="25">
        <v>86.25</v>
      </c>
      <c r="F398" s="25">
        <v>21562.5</v>
      </c>
      <c r="G398" s="25" t="s">
        <v>1393</v>
      </c>
      <c r="H398" s="25">
        <v>2019141</v>
      </c>
      <c r="I398" s="25" t="s">
        <v>19</v>
      </c>
      <c r="J398" s="25" t="s">
        <v>20</v>
      </c>
      <c r="K398" s="25" t="s">
        <v>25</v>
      </c>
      <c r="L398" s="25">
        <v>0</v>
      </c>
      <c r="M398" s="25">
        <v>0.78</v>
      </c>
      <c r="N398" s="25">
        <v>1.5</v>
      </c>
      <c r="O398" s="25">
        <v>29.64</v>
      </c>
      <c r="P398" s="25">
        <v>31.9163</v>
      </c>
    </row>
    <row r="399" spans="1:16" x14ac:dyDescent="0.25">
      <c r="A399" s="26">
        <v>43670</v>
      </c>
      <c r="B399" s="25" t="s">
        <v>1394</v>
      </c>
      <c r="C399" s="25" t="s">
        <v>17</v>
      </c>
      <c r="D399" s="25">
        <v>250</v>
      </c>
      <c r="E399" s="25">
        <v>125.5</v>
      </c>
      <c r="F399" s="25">
        <v>31375</v>
      </c>
      <c r="G399" s="25" t="s">
        <v>1395</v>
      </c>
      <c r="H399" s="25">
        <v>2019140</v>
      </c>
      <c r="I399" s="25" t="s">
        <v>19</v>
      </c>
      <c r="J399" s="25" t="s">
        <v>20</v>
      </c>
      <c r="K399" s="25" t="s">
        <v>25</v>
      </c>
      <c r="L399" s="25">
        <v>0</v>
      </c>
      <c r="M399" s="25">
        <v>1.1299999999999999</v>
      </c>
      <c r="N399" s="25">
        <v>0</v>
      </c>
      <c r="O399" s="25">
        <v>29.7</v>
      </c>
      <c r="P399" s="25">
        <v>30.829499999999999</v>
      </c>
    </row>
    <row r="400" spans="1:16" x14ac:dyDescent="0.25">
      <c r="A400" s="26">
        <v>43670</v>
      </c>
      <c r="B400" s="25" t="s">
        <v>1394</v>
      </c>
      <c r="C400" s="25" t="s">
        <v>23</v>
      </c>
      <c r="D400" s="25">
        <v>250</v>
      </c>
      <c r="E400" s="25">
        <v>124</v>
      </c>
      <c r="F400" s="25">
        <v>31000</v>
      </c>
      <c r="G400" s="25" t="s">
        <v>1396</v>
      </c>
      <c r="H400" s="25">
        <v>2019140</v>
      </c>
      <c r="I400" s="25" t="s">
        <v>19</v>
      </c>
      <c r="J400" s="25" t="s">
        <v>20</v>
      </c>
      <c r="K400" s="25" t="s">
        <v>25</v>
      </c>
      <c r="L400" s="25">
        <v>8</v>
      </c>
      <c r="M400" s="25">
        <v>1.1200000000000001</v>
      </c>
      <c r="N400" s="25">
        <v>2.1</v>
      </c>
      <c r="O400" s="25">
        <v>29.7</v>
      </c>
      <c r="P400" s="25">
        <v>40.915999999999997</v>
      </c>
    </row>
    <row r="401" spans="1:16" x14ac:dyDescent="0.25">
      <c r="A401" s="26">
        <v>43669</v>
      </c>
      <c r="B401" s="25" t="s">
        <v>179</v>
      </c>
      <c r="C401" s="25" t="s">
        <v>17</v>
      </c>
      <c r="D401" s="25">
        <v>100</v>
      </c>
      <c r="E401" s="25">
        <v>30</v>
      </c>
      <c r="F401" s="25">
        <v>3000</v>
      </c>
      <c r="G401" s="25" t="s">
        <v>1397</v>
      </c>
      <c r="H401" s="25">
        <v>2019139</v>
      </c>
      <c r="I401" s="25" t="s">
        <v>19</v>
      </c>
      <c r="J401" s="25" t="s">
        <v>20</v>
      </c>
      <c r="K401" s="25" t="s">
        <v>25</v>
      </c>
      <c r="L401" s="25">
        <v>3</v>
      </c>
      <c r="M401" s="25">
        <v>0.11</v>
      </c>
      <c r="N401" s="25">
        <v>0.3</v>
      </c>
      <c r="O401" s="25">
        <v>41.32</v>
      </c>
      <c r="P401" s="25">
        <v>44.728000000000002</v>
      </c>
    </row>
    <row r="402" spans="1:16" x14ac:dyDescent="0.25">
      <c r="A402" s="26">
        <v>43668</v>
      </c>
      <c r="B402" s="25" t="s">
        <v>205</v>
      </c>
      <c r="C402" s="25" t="s">
        <v>23</v>
      </c>
      <c r="D402" s="25">
        <v>550</v>
      </c>
      <c r="E402" s="25">
        <v>5.9</v>
      </c>
      <c r="F402" s="25">
        <v>3245</v>
      </c>
      <c r="G402" s="25" t="s">
        <v>1398</v>
      </c>
      <c r="H402" s="25">
        <v>2019138</v>
      </c>
      <c r="I402" s="25" t="s">
        <v>19</v>
      </c>
      <c r="J402" s="25" t="s">
        <v>20</v>
      </c>
      <c r="K402" s="25" t="s">
        <v>25</v>
      </c>
      <c r="L402" s="25">
        <v>3</v>
      </c>
      <c r="M402" s="25">
        <v>0.12</v>
      </c>
      <c r="N402" s="25">
        <v>0.3</v>
      </c>
      <c r="O402" s="25">
        <v>41.3</v>
      </c>
      <c r="P402" s="25">
        <v>44.716799999999999</v>
      </c>
    </row>
    <row r="403" spans="1:16" x14ac:dyDescent="0.25">
      <c r="A403" s="26">
        <v>43663</v>
      </c>
      <c r="B403" s="25" t="s">
        <v>279</v>
      </c>
      <c r="C403" s="25" t="s">
        <v>23</v>
      </c>
      <c r="D403" s="25">
        <v>100</v>
      </c>
      <c r="E403" s="25">
        <v>379</v>
      </c>
      <c r="F403" s="25">
        <v>37900</v>
      </c>
      <c r="G403" s="25" t="s">
        <v>1399</v>
      </c>
      <c r="H403" s="25">
        <v>2019135</v>
      </c>
      <c r="I403" s="25" t="s">
        <v>19</v>
      </c>
      <c r="J403" s="25" t="s">
        <v>20</v>
      </c>
      <c r="K403" s="25" t="s">
        <v>25</v>
      </c>
      <c r="L403" s="25">
        <v>9.57</v>
      </c>
      <c r="M403" s="25">
        <v>1.36</v>
      </c>
      <c r="N403" s="25">
        <v>0</v>
      </c>
      <c r="O403" s="25">
        <v>29.75</v>
      </c>
      <c r="P403" s="25">
        <v>40.684399999999997</v>
      </c>
    </row>
    <row r="404" spans="1:16" x14ac:dyDescent="0.25">
      <c r="A404" s="26">
        <v>43663</v>
      </c>
      <c r="B404" s="25" t="s">
        <v>279</v>
      </c>
      <c r="C404" s="25" t="s">
        <v>17</v>
      </c>
      <c r="D404" s="25">
        <v>100</v>
      </c>
      <c r="E404" s="25">
        <v>384</v>
      </c>
      <c r="F404" s="25">
        <v>38400</v>
      </c>
      <c r="G404" s="25" t="s">
        <v>1400</v>
      </c>
      <c r="H404" s="25">
        <v>2019135</v>
      </c>
      <c r="I404" s="25" t="s">
        <v>19</v>
      </c>
      <c r="J404" s="25" t="s">
        <v>20</v>
      </c>
      <c r="K404" s="25" t="s">
        <v>25</v>
      </c>
      <c r="L404" s="25">
        <v>0</v>
      </c>
      <c r="M404" s="25">
        <v>1.38</v>
      </c>
      <c r="N404" s="25">
        <v>0</v>
      </c>
      <c r="O404" s="25">
        <v>29.75</v>
      </c>
      <c r="P404" s="25">
        <v>31.132400000000001</v>
      </c>
    </row>
    <row r="405" spans="1:16" x14ac:dyDescent="0.25">
      <c r="A405" s="26">
        <v>43663</v>
      </c>
      <c r="B405" s="25" t="s">
        <v>279</v>
      </c>
      <c r="C405" s="25" t="s">
        <v>17</v>
      </c>
      <c r="D405" s="25">
        <v>200</v>
      </c>
      <c r="E405" s="25">
        <v>385</v>
      </c>
      <c r="F405" s="25">
        <v>77000</v>
      </c>
      <c r="G405" s="25" t="s">
        <v>1401</v>
      </c>
      <c r="H405" s="25">
        <v>2019135</v>
      </c>
      <c r="I405" s="25" t="s">
        <v>19</v>
      </c>
      <c r="J405" s="25" t="s">
        <v>20</v>
      </c>
      <c r="K405" s="25" t="s">
        <v>25</v>
      </c>
      <c r="L405" s="25">
        <v>0</v>
      </c>
      <c r="M405" s="25">
        <v>2.77</v>
      </c>
      <c r="N405" s="25">
        <v>6.9</v>
      </c>
      <c r="O405" s="25">
        <v>59.5</v>
      </c>
      <c r="P405" s="25">
        <v>69.172200000000004</v>
      </c>
    </row>
    <row r="406" spans="1:16" x14ac:dyDescent="0.25">
      <c r="A406" s="26">
        <v>43663</v>
      </c>
      <c r="B406" s="25" t="s">
        <v>279</v>
      </c>
      <c r="C406" s="25" t="s">
        <v>23</v>
      </c>
      <c r="D406" s="25">
        <v>200</v>
      </c>
      <c r="E406" s="25">
        <v>382.36</v>
      </c>
      <c r="F406" s="25">
        <v>76472</v>
      </c>
      <c r="G406" s="25" t="s">
        <v>1402</v>
      </c>
      <c r="H406" s="25">
        <v>2019135</v>
      </c>
      <c r="I406" s="25" t="s">
        <v>19</v>
      </c>
      <c r="J406" s="25" t="s">
        <v>20</v>
      </c>
      <c r="K406" s="25" t="s">
        <v>25</v>
      </c>
      <c r="L406" s="25">
        <v>19.43</v>
      </c>
      <c r="M406" s="25">
        <v>2.75</v>
      </c>
      <c r="N406" s="25">
        <v>0</v>
      </c>
      <c r="O406" s="25">
        <v>45.61</v>
      </c>
      <c r="P406" s="25">
        <v>67.793099999999995</v>
      </c>
    </row>
    <row r="407" spans="1:16" x14ac:dyDescent="0.25">
      <c r="A407" s="26">
        <v>43662</v>
      </c>
      <c r="B407" s="25" t="s">
        <v>74</v>
      </c>
      <c r="C407" s="25" t="s">
        <v>23</v>
      </c>
      <c r="D407" s="25">
        <v>100</v>
      </c>
      <c r="E407" s="25">
        <v>782</v>
      </c>
      <c r="F407" s="25">
        <v>78200</v>
      </c>
      <c r="G407" s="25" t="s">
        <v>1403</v>
      </c>
      <c r="H407" s="25">
        <v>2019134</v>
      </c>
      <c r="I407" s="25" t="s">
        <v>19</v>
      </c>
      <c r="J407" s="25" t="s">
        <v>20</v>
      </c>
      <c r="K407" s="25" t="s">
        <v>25</v>
      </c>
      <c r="L407" s="25">
        <v>20</v>
      </c>
      <c r="M407" s="25">
        <v>2.82</v>
      </c>
      <c r="N407" s="25">
        <v>0</v>
      </c>
      <c r="O407" s="25">
        <v>46.64</v>
      </c>
      <c r="P407" s="25">
        <v>69.455200000000005</v>
      </c>
    </row>
    <row r="408" spans="1:16" x14ac:dyDescent="0.25">
      <c r="A408" s="26">
        <v>43662</v>
      </c>
      <c r="B408" s="25" t="s">
        <v>74</v>
      </c>
      <c r="C408" s="25" t="s">
        <v>17</v>
      </c>
      <c r="D408" s="25">
        <v>100</v>
      </c>
      <c r="E408" s="25">
        <v>780.7</v>
      </c>
      <c r="F408" s="25">
        <v>78070</v>
      </c>
      <c r="G408" s="25" t="s">
        <v>1404</v>
      </c>
      <c r="H408" s="25">
        <v>2019134</v>
      </c>
      <c r="I408" s="25" t="s">
        <v>19</v>
      </c>
      <c r="J408" s="25" t="s">
        <v>20</v>
      </c>
      <c r="K408" s="25" t="s">
        <v>25</v>
      </c>
      <c r="L408" s="25">
        <v>0</v>
      </c>
      <c r="M408" s="25">
        <v>2.81</v>
      </c>
      <c r="N408" s="25">
        <v>4.8</v>
      </c>
      <c r="O408" s="25">
        <v>46.57</v>
      </c>
      <c r="P408" s="25">
        <v>54.180599999999998</v>
      </c>
    </row>
    <row r="409" spans="1:16" x14ac:dyDescent="0.25">
      <c r="A409" s="26">
        <v>43661</v>
      </c>
      <c r="B409" s="25" t="s">
        <v>74</v>
      </c>
      <c r="C409" s="25" t="s">
        <v>23</v>
      </c>
      <c r="D409" s="25">
        <v>100</v>
      </c>
      <c r="E409" s="25">
        <v>760</v>
      </c>
      <c r="F409" s="25">
        <v>76000</v>
      </c>
      <c r="G409" s="25" t="s">
        <v>1405</v>
      </c>
      <c r="H409" s="25">
        <v>2019133</v>
      </c>
      <c r="I409" s="25" t="s">
        <v>19</v>
      </c>
      <c r="J409" s="25" t="s">
        <v>20</v>
      </c>
      <c r="K409" s="25" t="s">
        <v>25</v>
      </c>
      <c r="L409" s="25">
        <v>19</v>
      </c>
      <c r="M409" s="25">
        <v>2.74</v>
      </c>
      <c r="N409" s="25">
        <v>4.8</v>
      </c>
      <c r="O409" s="25">
        <v>45.33</v>
      </c>
      <c r="P409" s="25">
        <v>71.866</v>
      </c>
    </row>
    <row r="410" spans="1:16" x14ac:dyDescent="0.25">
      <c r="A410" s="26">
        <v>43661</v>
      </c>
      <c r="B410" s="25" t="s">
        <v>74</v>
      </c>
      <c r="C410" s="25" t="s">
        <v>17</v>
      </c>
      <c r="D410" s="25">
        <v>100</v>
      </c>
      <c r="E410" s="25">
        <v>775</v>
      </c>
      <c r="F410" s="25">
        <v>77500</v>
      </c>
      <c r="G410" s="25" t="s">
        <v>1406</v>
      </c>
      <c r="H410" s="25">
        <v>2019133</v>
      </c>
      <c r="I410" s="25" t="s">
        <v>19</v>
      </c>
      <c r="J410" s="25" t="s">
        <v>20</v>
      </c>
      <c r="K410" s="25" t="s">
        <v>25</v>
      </c>
      <c r="L410" s="25">
        <v>0</v>
      </c>
      <c r="M410" s="25">
        <v>2.79</v>
      </c>
      <c r="N410" s="25">
        <v>0</v>
      </c>
      <c r="O410" s="25">
        <v>46.23</v>
      </c>
      <c r="P410" s="25">
        <v>49.02</v>
      </c>
    </row>
    <row r="411" spans="1:16" x14ac:dyDescent="0.25">
      <c r="A411" s="26">
        <v>43655</v>
      </c>
      <c r="B411" s="25" t="s">
        <v>1407</v>
      </c>
      <c r="C411" s="25" t="s">
        <v>17</v>
      </c>
      <c r="D411" s="25">
        <v>100</v>
      </c>
      <c r="E411" s="25">
        <v>628</v>
      </c>
      <c r="F411" s="25">
        <v>62800</v>
      </c>
      <c r="G411" s="25" t="s">
        <v>1408</v>
      </c>
      <c r="H411" s="25">
        <v>2019129</v>
      </c>
      <c r="I411" s="25" t="s">
        <v>19</v>
      </c>
      <c r="J411" s="25" t="s">
        <v>20</v>
      </c>
      <c r="K411" s="25" t="s">
        <v>25</v>
      </c>
      <c r="L411" s="25">
        <v>0</v>
      </c>
      <c r="M411" s="25">
        <v>2.2599999999999998</v>
      </c>
      <c r="N411" s="25">
        <v>0</v>
      </c>
      <c r="O411" s="25">
        <v>37.46</v>
      </c>
      <c r="P411" s="25">
        <v>39.720799999999997</v>
      </c>
    </row>
    <row r="412" spans="1:16" x14ac:dyDescent="0.25">
      <c r="A412" s="26">
        <v>43655</v>
      </c>
      <c r="B412" s="25" t="s">
        <v>1407</v>
      </c>
      <c r="C412" s="25" t="s">
        <v>23</v>
      </c>
      <c r="D412" s="25">
        <v>100</v>
      </c>
      <c r="E412" s="25">
        <v>627.35</v>
      </c>
      <c r="F412" s="25">
        <v>62735</v>
      </c>
      <c r="G412" s="25" t="s">
        <v>1409</v>
      </c>
      <c r="H412" s="25">
        <v>2019129</v>
      </c>
      <c r="I412" s="25" t="s">
        <v>19</v>
      </c>
      <c r="J412" s="25" t="s">
        <v>20</v>
      </c>
      <c r="K412" s="25" t="s">
        <v>25</v>
      </c>
      <c r="L412" s="25">
        <v>16</v>
      </c>
      <c r="M412" s="25">
        <v>2.2599999999999998</v>
      </c>
      <c r="N412" s="25">
        <v>3.9</v>
      </c>
      <c r="O412" s="25">
        <v>37.450000000000003</v>
      </c>
      <c r="P412" s="25">
        <v>59.6081</v>
      </c>
    </row>
    <row r="413" spans="1:16" x14ac:dyDescent="0.25">
      <c r="A413" s="26">
        <v>43654</v>
      </c>
      <c r="B413" s="25" t="s">
        <v>282</v>
      </c>
      <c r="C413" s="25" t="s">
        <v>17</v>
      </c>
      <c r="D413" s="25">
        <v>30</v>
      </c>
      <c r="E413" s="25">
        <v>230</v>
      </c>
      <c r="F413" s="25">
        <v>6900</v>
      </c>
      <c r="G413" s="25" t="s">
        <v>1410</v>
      </c>
      <c r="H413" s="25">
        <v>2019128</v>
      </c>
      <c r="I413" s="25" t="s">
        <v>19</v>
      </c>
      <c r="J413" s="25" t="s">
        <v>20</v>
      </c>
      <c r="K413" s="25" t="s">
        <v>25</v>
      </c>
      <c r="L413" s="25">
        <v>7</v>
      </c>
      <c r="M413" s="25">
        <v>0.25</v>
      </c>
      <c r="N413" s="25">
        <v>0.3</v>
      </c>
      <c r="O413" s="25">
        <v>44.83</v>
      </c>
      <c r="P413" s="25">
        <v>52.378399999999999</v>
      </c>
    </row>
    <row r="414" spans="1:16" x14ac:dyDescent="0.25">
      <c r="A414" s="26">
        <v>43650</v>
      </c>
      <c r="B414" s="25" t="s">
        <v>1411</v>
      </c>
      <c r="C414" s="25" t="s">
        <v>23</v>
      </c>
      <c r="D414" s="25">
        <v>250</v>
      </c>
      <c r="E414" s="25">
        <v>147.15</v>
      </c>
      <c r="F414" s="25">
        <v>36787.5</v>
      </c>
      <c r="G414" s="25" t="s">
        <v>1412</v>
      </c>
      <c r="H414" s="25">
        <v>2019126</v>
      </c>
      <c r="I414" s="25" t="s">
        <v>19</v>
      </c>
      <c r="J414" s="25" t="s">
        <v>20</v>
      </c>
      <c r="K414" s="25" t="s">
        <v>25</v>
      </c>
      <c r="L414" s="25">
        <v>9.17</v>
      </c>
      <c r="M414" s="25">
        <v>1.32</v>
      </c>
      <c r="N414" s="25">
        <v>0</v>
      </c>
      <c r="O414" s="25">
        <v>29.74</v>
      </c>
      <c r="P414" s="25">
        <v>40.234400000000001</v>
      </c>
    </row>
    <row r="415" spans="1:16" x14ac:dyDescent="0.25">
      <c r="A415" s="26">
        <v>43650</v>
      </c>
      <c r="B415" s="25" t="s">
        <v>1411</v>
      </c>
      <c r="C415" s="25" t="s">
        <v>17</v>
      </c>
      <c r="D415" s="25">
        <v>250</v>
      </c>
      <c r="E415" s="25">
        <v>146.15</v>
      </c>
      <c r="F415" s="25">
        <v>36537.5</v>
      </c>
      <c r="G415" s="25" t="s">
        <v>1413</v>
      </c>
      <c r="H415" s="25">
        <v>2019126</v>
      </c>
      <c r="I415" s="25" t="s">
        <v>19</v>
      </c>
      <c r="J415" s="25" t="s">
        <v>20</v>
      </c>
      <c r="K415" s="25" t="s">
        <v>25</v>
      </c>
      <c r="L415" s="25">
        <v>0</v>
      </c>
      <c r="M415" s="25">
        <v>1.32</v>
      </c>
      <c r="N415" s="25">
        <v>0</v>
      </c>
      <c r="O415" s="25">
        <v>29.74</v>
      </c>
      <c r="P415" s="25">
        <v>31.055399999999999</v>
      </c>
    </row>
    <row r="416" spans="1:16" x14ac:dyDescent="0.25">
      <c r="A416" s="26">
        <v>43650</v>
      </c>
      <c r="B416" s="25" t="s">
        <v>270</v>
      </c>
      <c r="C416" s="25" t="s">
        <v>23</v>
      </c>
      <c r="D416" s="25">
        <v>500</v>
      </c>
      <c r="E416" s="25">
        <v>129</v>
      </c>
      <c r="F416" s="25">
        <v>64500</v>
      </c>
      <c r="G416" s="25" t="s">
        <v>1414</v>
      </c>
      <c r="H416" s="25">
        <v>2019126</v>
      </c>
      <c r="I416" s="25" t="s">
        <v>19</v>
      </c>
      <c r="J416" s="25" t="s">
        <v>20</v>
      </c>
      <c r="K416" s="25" t="s">
        <v>25</v>
      </c>
      <c r="L416" s="25">
        <v>16.190000000000001</v>
      </c>
      <c r="M416" s="25">
        <v>2.3199999999999998</v>
      </c>
      <c r="N416" s="25">
        <v>0</v>
      </c>
      <c r="O416" s="25">
        <v>38.47</v>
      </c>
      <c r="P416" s="25">
        <v>56.981999999999999</v>
      </c>
    </row>
    <row r="417" spans="1:16" x14ac:dyDescent="0.25">
      <c r="A417" s="26">
        <v>43650</v>
      </c>
      <c r="B417" s="25" t="s">
        <v>270</v>
      </c>
      <c r="C417" s="25" t="s">
        <v>17</v>
      </c>
      <c r="D417" s="25">
        <v>500</v>
      </c>
      <c r="E417" s="25">
        <v>130</v>
      </c>
      <c r="F417" s="25">
        <v>65000</v>
      </c>
      <c r="G417" s="25" t="s">
        <v>1415</v>
      </c>
      <c r="H417" s="25">
        <v>2019126</v>
      </c>
      <c r="I417" s="25" t="s">
        <v>19</v>
      </c>
      <c r="J417" s="25" t="s">
        <v>20</v>
      </c>
      <c r="K417" s="25" t="s">
        <v>25</v>
      </c>
      <c r="L417" s="25">
        <v>0</v>
      </c>
      <c r="M417" s="25">
        <v>2.34</v>
      </c>
      <c r="N417" s="25">
        <v>0</v>
      </c>
      <c r="O417" s="25">
        <v>38.770000000000003</v>
      </c>
      <c r="P417" s="25">
        <v>41.11</v>
      </c>
    </row>
    <row r="418" spans="1:16" x14ac:dyDescent="0.25">
      <c r="A418" s="26">
        <v>43650</v>
      </c>
      <c r="B418" s="25" t="s">
        <v>1174</v>
      </c>
      <c r="C418" s="25" t="s">
        <v>23</v>
      </c>
      <c r="D418" s="25">
        <v>1000</v>
      </c>
      <c r="E418" s="25">
        <v>65.5</v>
      </c>
      <c r="F418" s="25">
        <v>65500</v>
      </c>
      <c r="G418" s="25" t="s">
        <v>1416</v>
      </c>
      <c r="H418" s="25">
        <v>2019126</v>
      </c>
      <c r="I418" s="25" t="s">
        <v>19</v>
      </c>
      <c r="J418" s="25" t="s">
        <v>20</v>
      </c>
      <c r="K418" s="25" t="s">
        <v>25</v>
      </c>
      <c r="L418" s="25">
        <v>16.309999999999999</v>
      </c>
      <c r="M418" s="25">
        <v>2.36</v>
      </c>
      <c r="N418" s="25">
        <v>0</v>
      </c>
      <c r="O418" s="25">
        <v>39.07</v>
      </c>
      <c r="P418" s="25">
        <v>57.738</v>
      </c>
    </row>
    <row r="419" spans="1:16" x14ac:dyDescent="0.25">
      <c r="A419" s="26">
        <v>43650</v>
      </c>
      <c r="B419" s="25" t="s">
        <v>1174</v>
      </c>
      <c r="C419" s="25" t="s">
        <v>17</v>
      </c>
      <c r="D419" s="25">
        <v>1000</v>
      </c>
      <c r="E419" s="25">
        <v>65</v>
      </c>
      <c r="F419" s="25">
        <v>65000</v>
      </c>
      <c r="G419" s="25" t="s">
        <v>1417</v>
      </c>
      <c r="H419" s="25">
        <v>2019126</v>
      </c>
      <c r="I419" s="25" t="s">
        <v>19</v>
      </c>
      <c r="J419" s="25" t="s">
        <v>20</v>
      </c>
      <c r="K419" s="25" t="s">
        <v>25</v>
      </c>
      <c r="L419" s="25">
        <v>0</v>
      </c>
      <c r="M419" s="25">
        <v>2.34</v>
      </c>
      <c r="N419" s="25">
        <v>0</v>
      </c>
      <c r="O419" s="25">
        <v>38.770000000000003</v>
      </c>
      <c r="P419" s="25">
        <v>41.11</v>
      </c>
    </row>
    <row r="420" spans="1:16" x14ac:dyDescent="0.25">
      <c r="A420" s="26">
        <v>43650</v>
      </c>
      <c r="B420" s="25" t="s">
        <v>16</v>
      </c>
      <c r="C420" s="25" t="s">
        <v>17</v>
      </c>
      <c r="D420" s="25">
        <v>2500</v>
      </c>
      <c r="E420" s="25">
        <v>24.15</v>
      </c>
      <c r="F420" s="25">
        <v>60375</v>
      </c>
      <c r="G420" s="25" t="s">
        <v>1418</v>
      </c>
      <c r="H420" s="25">
        <v>2019126</v>
      </c>
      <c r="I420" s="25" t="s">
        <v>19</v>
      </c>
      <c r="J420" s="25" t="s">
        <v>20</v>
      </c>
      <c r="K420" s="25" t="s">
        <v>25</v>
      </c>
      <c r="L420" s="25">
        <v>0</v>
      </c>
      <c r="M420" s="25">
        <v>2.17</v>
      </c>
      <c r="N420" s="25">
        <v>13.8</v>
      </c>
      <c r="O420" s="25">
        <v>36.01</v>
      </c>
      <c r="P420" s="25">
        <v>51.983499999999999</v>
      </c>
    </row>
    <row r="421" spans="1:16" x14ac:dyDescent="0.25">
      <c r="A421" s="26">
        <v>43650</v>
      </c>
      <c r="B421" s="25" t="s">
        <v>16</v>
      </c>
      <c r="C421" s="25" t="s">
        <v>23</v>
      </c>
      <c r="D421" s="25">
        <v>2500</v>
      </c>
      <c r="E421" s="25">
        <v>24.2</v>
      </c>
      <c r="F421" s="25">
        <v>60500</v>
      </c>
      <c r="G421" s="25" t="s">
        <v>1419</v>
      </c>
      <c r="H421" s="25">
        <v>2019126</v>
      </c>
      <c r="I421" s="25" t="s">
        <v>19</v>
      </c>
      <c r="J421" s="25" t="s">
        <v>20</v>
      </c>
      <c r="K421" s="25" t="s">
        <v>25</v>
      </c>
      <c r="L421" s="25">
        <v>15.33</v>
      </c>
      <c r="M421" s="25">
        <v>2.1800000000000002</v>
      </c>
      <c r="N421" s="25">
        <v>0</v>
      </c>
      <c r="O421" s="25">
        <v>36.090000000000003</v>
      </c>
      <c r="P421" s="25">
        <v>53.597999999999999</v>
      </c>
    </row>
    <row r="422" spans="1:16" x14ac:dyDescent="0.25">
      <c r="A422" s="26">
        <v>43649</v>
      </c>
      <c r="B422" s="25" t="s">
        <v>1105</v>
      </c>
      <c r="C422" s="25" t="s">
        <v>23</v>
      </c>
      <c r="D422" s="25">
        <v>50</v>
      </c>
      <c r="E422" s="25">
        <v>930</v>
      </c>
      <c r="F422" s="25">
        <v>46500</v>
      </c>
      <c r="G422" s="25" t="s">
        <v>1420</v>
      </c>
      <c r="H422" s="25">
        <v>2019125</v>
      </c>
      <c r="I422" s="25" t="s">
        <v>19</v>
      </c>
      <c r="J422" s="25" t="s">
        <v>20</v>
      </c>
      <c r="K422" s="25" t="s">
        <v>25</v>
      </c>
      <c r="L422" s="25">
        <v>11.68</v>
      </c>
      <c r="M422" s="25">
        <v>1.67</v>
      </c>
      <c r="N422" s="25">
        <v>0</v>
      </c>
      <c r="O422" s="25">
        <v>29.81</v>
      </c>
      <c r="P422" s="25">
        <v>43.164099999999998</v>
      </c>
    </row>
    <row r="423" spans="1:16" x14ac:dyDescent="0.25">
      <c r="A423" s="26">
        <v>43649</v>
      </c>
      <c r="B423" s="25" t="s">
        <v>1105</v>
      </c>
      <c r="C423" s="25" t="s">
        <v>17</v>
      </c>
      <c r="D423" s="25">
        <v>50</v>
      </c>
      <c r="E423" s="25">
        <v>927.3</v>
      </c>
      <c r="F423" s="25">
        <v>46365</v>
      </c>
      <c r="G423" s="25" t="s">
        <v>1421</v>
      </c>
      <c r="H423" s="25">
        <v>2019125</v>
      </c>
      <c r="I423" s="25" t="s">
        <v>19</v>
      </c>
      <c r="J423" s="25" t="s">
        <v>20</v>
      </c>
      <c r="K423" s="25" t="s">
        <v>25</v>
      </c>
      <c r="L423" s="25">
        <v>0</v>
      </c>
      <c r="M423" s="25">
        <v>1.67</v>
      </c>
      <c r="N423" s="25">
        <v>0</v>
      </c>
      <c r="O423" s="25">
        <v>29.8</v>
      </c>
      <c r="P423" s="25">
        <v>31.469200000000001</v>
      </c>
    </row>
    <row r="424" spans="1:16" x14ac:dyDescent="0.25">
      <c r="A424" s="26">
        <v>43649</v>
      </c>
      <c r="B424" s="25" t="s">
        <v>1174</v>
      </c>
      <c r="C424" s="25" t="s">
        <v>23</v>
      </c>
      <c r="D424" s="25">
        <v>500</v>
      </c>
      <c r="E424" s="25">
        <v>66.25</v>
      </c>
      <c r="F424" s="25">
        <v>33125</v>
      </c>
      <c r="G424" s="25" t="s">
        <v>1422</v>
      </c>
      <c r="H424" s="25">
        <v>2019125</v>
      </c>
      <c r="I424" s="25" t="s">
        <v>19</v>
      </c>
      <c r="J424" s="25" t="s">
        <v>20</v>
      </c>
      <c r="K424" s="25" t="s">
        <v>25</v>
      </c>
      <c r="L424" s="25">
        <v>8.2200000000000006</v>
      </c>
      <c r="M424" s="25">
        <v>1.19</v>
      </c>
      <c r="N424" s="25">
        <v>0</v>
      </c>
      <c r="O424" s="25">
        <v>29.71</v>
      </c>
      <c r="P424" s="25">
        <v>39.122500000000002</v>
      </c>
    </row>
    <row r="425" spans="1:16" x14ac:dyDescent="0.25">
      <c r="A425" s="26">
        <v>43649</v>
      </c>
      <c r="B425" s="25" t="s">
        <v>1174</v>
      </c>
      <c r="C425" s="25" t="s">
        <v>17</v>
      </c>
      <c r="D425" s="25">
        <v>500</v>
      </c>
      <c r="E425" s="25">
        <v>65.25</v>
      </c>
      <c r="F425" s="25">
        <v>32625</v>
      </c>
      <c r="G425" s="25" t="s">
        <v>1423</v>
      </c>
      <c r="H425" s="25">
        <v>2019125</v>
      </c>
      <c r="I425" s="25" t="s">
        <v>19</v>
      </c>
      <c r="J425" s="25" t="s">
        <v>20</v>
      </c>
      <c r="K425" s="25" t="s">
        <v>25</v>
      </c>
      <c r="L425" s="25">
        <v>0</v>
      </c>
      <c r="M425" s="25">
        <v>1.17</v>
      </c>
      <c r="N425" s="25">
        <v>0</v>
      </c>
      <c r="O425" s="25">
        <v>29.71</v>
      </c>
      <c r="P425" s="25">
        <v>30.884499999999999</v>
      </c>
    </row>
    <row r="426" spans="1:16" x14ac:dyDescent="0.25">
      <c r="A426" s="26">
        <v>43649</v>
      </c>
      <c r="B426" s="25" t="s">
        <v>16</v>
      </c>
      <c r="C426" s="25" t="s">
        <v>17</v>
      </c>
      <c r="D426" s="25">
        <v>1000</v>
      </c>
      <c r="E426" s="25">
        <v>24.2</v>
      </c>
      <c r="F426" s="25">
        <v>24200</v>
      </c>
      <c r="G426" s="25" t="s">
        <v>1424</v>
      </c>
      <c r="H426" s="25">
        <v>2019125</v>
      </c>
      <c r="I426" s="25" t="s">
        <v>19</v>
      </c>
      <c r="J426" s="25" t="s">
        <v>20</v>
      </c>
      <c r="K426" s="25" t="s">
        <v>25</v>
      </c>
      <c r="L426" s="25">
        <v>0</v>
      </c>
      <c r="M426" s="25">
        <v>0.87</v>
      </c>
      <c r="N426" s="25">
        <v>0</v>
      </c>
      <c r="O426" s="25">
        <v>29.66</v>
      </c>
      <c r="P426" s="25">
        <v>30.531199999999998</v>
      </c>
    </row>
    <row r="427" spans="1:16" x14ac:dyDescent="0.25">
      <c r="A427" s="26">
        <v>43649</v>
      </c>
      <c r="B427" s="25" t="s">
        <v>16</v>
      </c>
      <c r="C427" s="25" t="s">
        <v>17</v>
      </c>
      <c r="D427" s="25">
        <v>1500</v>
      </c>
      <c r="E427" s="25">
        <v>24.15</v>
      </c>
      <c r="F427" s="25">
        <v>36225</v>
      </c>
      <c r="G427" s="25" t="s">
        <v>1425</v>
      </c>
      <c r="H427" s="25">
        <v>2019125</v>
      </c>
      <c r="I427" s="25" t="s">
        <v>19</v>
      </c>
      <c r="J427" s="25" t="s">
        <v>20</v>
      </c>
      <c r="K427" s="25" t="s">
        <v>25</v>
      </c>
      <c r="L427" s="25">
        <v>0</v>
      </c>
      <c r="M427" s="25">
        <v>1.3</v>
      </c>
      <c r="N427" s="25">
        <v>8.4</v>
      </c>
      <c r="O427" s="25">
        <v>29.74</v>
      </c>
      <c r="P427" s="25">
        <v>39.444099999999999</v>
      </c>
    </row>
    <row r="428" spans="1:16" x14ac:dyDescent="0.25">
      <c r="A428" s="26">
        <v>43649</v>
      </c>
      <c r="B428" s="25" t="s">
        <v>16</v>
      </c>
      <c r="C428" s="25" t="s">
        <v>23</v>
      </c>
      <c r="D428" s="25">
        <v>183</v>
      </c>
      <c r="E428" s="25">
        <v>24.25</v>
      </c>
      <c r="F428" s="25">
        <v>4437.75</v>
      </c>
      <c r="G428" s="25" t="s">
        <v>1426</v>
      </c>
      <c r="H428" s="25">
        <v>2019125</v>
      </c>
      <c r="I428" s="25" t="s">
        <v>19</v>
      </c>
      <c r="J428" s="25" t="s">
        <v>20</v>
      </c>
      <c r="K428" s="25" t="s">
        <v>25</v>
      </c>
      <c r="L428" s="25">
        <v>1.1100000000000001</v>
      </c>
      <c r="M428" s="25">
        <v>0.16</v>
      </c>
      <c r="N428" s="25">
        <v>0</v>
      </c>
      <c r="O428" s="25">
        <v>29.53</v>
      </c>
      <c r="P428" s="25">
        <v>30.799700000000001</v>
      </c>
    </row>
    <row r="429" spans="1:16" x14ac:dyDescent="0.25">
      <c r="A429" s="26">
        <v>43649</v>
      </c>
      <c r="B429" s="25" t="s">
        <v>16</v>
      </c>
      <c r="C429" s="25" t="s">
        <v>23</v>
      </c>
      <c r="D429" s="25">
        <v>2317</v>
      </c>
      <c r="E429" s="25">
        <v>24.15</v>
      </c>
      <c r="F429" s="25">
        <v>55955.55</v>
      </c>
      <c r="G429" s="25" t="s">
        <v>1427</v>
      </c>
      <c r="H429" s="25">
        <v>2019125</v>
      </c>
      <c r="I429" s="25" t="s">
        <v>19</v>
      </c>
      <c r="J429" s="25" t="s">
        <v>20</v>
      </c>
      <c r="K429" s="25" t="s">
        <v>25</v>
      </c>
      <c r="L429" s="25">
        <v>14</v>
      </c>
      <c r="M429" s="25">
        <v>2.0099999999999998</v>
      </c>
      <c r="N429" s="25">
        <v>0</v>
      </c>
      <c r="O429" s="25">
        <v>33.380000000000003</v>
      </c>
      <c r="P429" s="25">
        <v>49.394399999999997</v>
      </c>
    </row>
    <row r="430" spans="1:16" x14ac:dyDescent="0.25">
      <c r="A430" s="26">
        <v>43648</v>
      </c>
      <c r="B430" s="25" t="s">
        <v>1105</v>
      </c>
      <c r="C430" s="25" t="s">
        <v>23</v>
      </c>
      <c r="D430" s="25">
        <v>100</v>
      </c>
      <c r="E430" s="25">
        <v>916</v>
      </c>
      <c r="F430" s="25">
        <v>91600</v>
      </c>
      <c r="G430" s="25" t="s">
        <v>1428</v>
      </c>
      <c r="H430" s="25">
        <v>2019124</v>
      </c>
      <c r="I430" s="25" t="s">
        <v>19</v>
      </c>
      <c r="J430" s="25" t="s">
        <v>20</v>
      </c>
      <c r="K430" s="25" t="s">
        <v>25</v>
      </c>
      <c r="L430" s="25">
        <v>23</v>
      </c>
      <c r="M430" s="25">
        <v>3.3</v>
      </c>
      <c r="N430" s="25">
        <v>5.7</v>
      </c>
      <c r="O430" s="25">
        <v>54.64</v>
      </c>
      <c r="P430" s="25">
        <v>86.637600000000006</v>
      </c>
    </row>
    <row r="431" spans="1:16" x14ac:dyDescent="0.25">
      <c r="A431" s="26">
        <v>43648</v>
      </c>
      <c r="B431" s="25" t="s">
        <v>1105</v>
      </c>
      <c r="C431" s="25" t="s">
        <v>17</v>
      </c>
      <c r="D431" s="25">
        <v>100</v>
      </c>
      <c r="E431" s="25">
        <v>916.1</v>
      </c>
      <c r="F431" s="25">
        <v>91610</v>
      </c>
      <c r="G431" s="25" t="s">
        <v>1429</v>
      </c>
      <c r="H431" s="25">
        <v>2019124</v>
      </c>
      <c r="I431" s="25" t="s">
        <v>19</v>
      </c>
      <c r="J431" s="25" t="s">
        <v>20</v>
      </c>
      <c r="K431" s="25" t="s">
        <v>25</v>
      </c>
      <c r="L431" s="25">
        <v>0</v>
      </c>
      <c r="M431" s="25">
        <v>3.3</v>
      </c>
      <c r="N431" s="25">
        <v>0</v>
      </c>
      <c r="O431" s="25">
        <v>54.65</v>
      </c>
      <c r="P431" s="25">
        <v>57.947899999999997</v>
      </c>
    </row>
    <row r="432" spans="1:16" x14ac:dyDescent="0.25">
      <c r="A432" s="26">
        <v>43644</v>
      </c>
      <c r="B432" s="25" t="s">
        <v>1037</v>
      </c>
      <c r="C432" s="25" t="s">
        <v>17</v>
      </c>
      <c r="D432" s="25">
        <v>100</v>
      </c>
      <c r="E432" s="25">
        <v>622</v>
      </c>
      <c r="F432" s="25">
        <v>62200</v>
      </c>
      <c r="G432" s="25" t="s">
        <v>1430</v>
      </c>
      <c r="H432" s="25">
        <v>2019122</v>
      </c>
      <c r="I432" s="25" t="s">
        <v>19</v>
      </c>
      <c r="J432" s="25" t="s">
        <v>20</v>
      </c>
      <c r="K432" s="25" t="s">
        <v>25</v>
      </c>
      <c r="L432" s="25">
        <v>0</v>
      </c>
      <c r="M432" s="25">
        <v>2.2400000000000002</v>
      </c>
      <c r="N432" s="25">
        <v>0</v>
      </c>
      <c r="O432" s="25">
        <v>37.1</v>
      </c>
      <c r="P432" s="25">
        <v>39.339199999999998</v>
      </c>
    </row>
    <row r="433" spans="1:16" x14ac:dyDescent="0.25">
      <c r="A433" s="26">
        <v>43644</v>
      </c>
      <c r="B433" s="25" t="s">
        <v>270</v>
      </c>
      <c r="C433" s="25" t="s">
        <v>17</v>
      </c>
      <c r="D433" s="25">
        <v>1000</v>
      </c>
      <c r="E433" s="25">
        <v>123</v>
      </c>
      <c r="F433" s="25">
        <v>123000</v>
      </c>
      <c r="G433" s="25" t="s">
        <v>1431</v>
      </c>
      <c r="H433" s="25">
        <v>2019122</v>
      </c>
      <c r="I433" s="25" t="s">
        <v>19</v>
      </c>
      <c r="J433" s="25" t="s">
        <v>20</v>
      </c>
      <c r="K433" s="25" t="s">
        <v>25</v>
      </c>
      <c r="L433" s="25">
        <v>0</v>
      </c>
      <c r="M433" s="25">
        <v>4.43</v>
      </c>
      <c r="N433" s="25">
        <v>42.9</v>
      </c>
      <c r="O433" s="25">
        <v>73.37</v>
      </c>
      <c r="P433" s="25">
        <v>120.69799999999999</v>
      </c>
    </row>
    <row r="434" spans="1:16" x14ac:dyDescent="0.25">
      <c r="A434" s="26">
        <v>43644</v>
      </c>
      <c r="B434" s="25" t="s">
        <v>1037</v>
      </c>
      <c r="C434" s="25" t="s">
        <v>17</v>
      </c>
      <c r="D434" s="25">
        <v>100</v>
      </c>
      <c r="E434" s="25">
        <v>616.5</v>
      </c>
      <c r="F434" s="25">
        <v>61650</v>
      </c>
      <c r="G434" s="25" t="s">
        <v>1432</v>
      </c>
      <c r="H434" s="25">
        <v>2019122</v>
      </c>
      <c r="I434" s="25" t="s">
        <v>19</v>
      </c>
      <c r="J434" s="25" t="s">
        <v>20</v>
      </c>
      <c r="K434" s="25" t="s">
        <v>25</v>
      </c>
      <c r="L434" s="25">
        <v>0</v>
      </c>
      <c r="M434" s="25">
        <v>2.2200000000000002</v>
      </c>
      <c r="N434" s="25">
        <v>0</v>
      </c>
      <c r="O434" s="25">
        <v>36.770000000000003</v>
      </c>
      <c r="P434" s="25">
        <v>38.9895</v>
      </c>
    </row>
    <row r="435" spans="1:16" x14ac:dyDescent="0.25">
      <c r="A435" s="26">
        <v>43644</v>
      </c>
      <c r="B435" s="25" t="s">
        <v>270</v>
      </c>
      <c r="C435" s="25" t="s">
        <v>23</v>
      </c>
      <c r="D435" s="25">
        <v>1000</v>
      </c>
      <c r="E435" s="25">
        <v>123.25</v>
      </c>
      <c r="F435" s="25">
        <v>123250</v>
      </c>
      <c r="G435" s="25" t="s">
        <v>1433</v>
      </c>
      <c r="H435" s="25">
        <v>2019122</v>
      </c>
      <c r="I435" s="25" t="s">
        <v>19</v>
      </c>
      <c r="J435" s="25" t="s">
        <v>20</v>
      </c>
      <c r="K435" s="25" t="s">
        <v>25</v>
      </c>
      <c r="L435" s="25">
        <v>30.82</v>
      </c>
      <c r="M435" s="25">
        <v>4.4400000000000004</v>
      </c>
      <c r="N435" s="25">
        <v>0</v>
      </c>
      <c r="O435" s="25">
        <v>73.52</v>
      </c>
      <c r="P435" s="25">
        <v>108.7771</v>
      </c>
    </row>
    <row r="436" spans="1:16" x14ac:dyDescent="0.25">
      <c r="A436" s="26">
        <v>43644</v>
      </c>
      <c r="B436" s="25" t="s">
        <v>270</v>
      </c>
      <c r="C436" s="25" t="s">
        <v>17</v>
      </c>
      <c r="D436" s="25">
        <v>500</v>
      </c>
      <c r="E436" s="25">
        <v>123.4</v>
      </c>
      <c r="F436" s="25">
        <v>61700</v>
      </c>
      <c r="G436" s="25" t="s">
        <v>1434</v>
      </c>
      <c r="H436" s="25">
        <v>2019122</v>
      </c>
      <c r="I436" s="25" t="s">
        <v>19</v>
      </c>
      <c r="J436" s="25" t="s">
        <v>20</v>
      </c>
      <c r="K436" s="25" t="s">
        <v>25</v>
      </c>
      <c r="L436" s="25">
        <v>0</v>
      </c>
      <c r="M436" s="25">
        <v>2.2200000000000002</v>
      </c>
      <c r="N436" s="25">
        <v>0</v>
      </c>
      <c r="O436" s="25">
        <v>36.79</v>
      </c>
      <c r="P436" s="25">
        <v>39.011299999999999</v>
      </c>
    </row>
    <row r="437" spans="1:16" x14ac:dyDescent="0.25">
      <c r="A437" s="26">
        <v>43644</v>
      </c>
      <c r="B437" s="25" t="s">
        <v>270</v>
      </c>
      <c r="C437" s="25" t="s">
        <v>23</v>
      </c>
      <c r="D437" s="25">
        <v>500</v>
      </c>
      <c r="E437" s="25">
        <v>123.7</v>
      </c>
      <c r="F437" s="25">
        <v>61850</v>
      </c>
      <c r="G437" s="25" t="s">
        <v>1435</v>
      </c>
      <c r="H437" s="25">
        <v>2019122</v>
      </c>
      <c r="I437" s="25" t="s">
        <v>19</v>
      </c>
      <c r="J437" s="25" t="s">
        <v>20</v>
      </c>
      <c r="K437" s="25" t="s">
        <v>25</v>
      </c>
      <c r="L437" s="25">
        <v>15.41</v>
      </c>
      <c r="M437" s="25">
        <v>2.23</v>
      </c>
      <c r="N437" s="25">
        <v>0</v>
      </c>
      <c r="O437" s="25">
        <v>36.89</v>
      </c>
      <c r="P437" s="25">
        <v>54.526699999999998</v>
      </c>
    </row>
    <row r="438" spans="1:16" x14ac:dyDescent="0.25">
      <c r="A438" s="26">
        <v>43644</v>
      </c>
      <c r="B438" s="25" t="s">
        <v>1037</v>
      </c>
      <c r="C438" s="25" t="s">
        <v>17</v>
      </c>
      <c r="D438" s="25">
        <v>100</v>
      </c>
      <c r="E438" s="25">
        <v>613</v>
      </c>
      <c r="F438" s="25">
        <v>61300</v>
      </c>
      <c r="G438" s="25" t="s">
        <v>1436</v>
      </c>
      <c r="H438" s="25">
        <v>2019122</v>
      </c>
      <c r="I438" s="25" t="s">
        <v>19</v>
      </c>
      <c r="J438" s="25" t="s">
        <v>20</v>
      </c>
      <c r="K438" s="25" t="s">
        <v>25</v>
      </c>
      <c r="L438" s="25">
        <v>0</v>
      </c>
      <c r="M438" s="25">
        <v>2.21</v>
      </c>
      <c r="N438" s="25">
        <v>0</v>
      </c>
      <c r="O438" s="25">
        <v>36.56</v>
      </c>
      <c r="P438" s="25">
        <v>38.766800000000003</v>
      </c>
    </row>
    <row r="439" spans="1:16" x14ac:dyDescent="0.25">
      <c r="A439" s="26">
        <v>43644</v>
      </c>
      <c r="B439" s="25" t="s">
        <v>1037</v>
      </c>
      <c r="C439" s="25" t="s">
        <v>23</v>
      </c>
      <c r="D439" s="25">
        <v>300</v>
      </c>
      <c r="E439" s="25">
        <v>611</v>
      </c>
      <c r="F439" s="25">
        <v>183300</v>
      </c>
      <c r="G439" s="25" t="s">
        <v>1437</v>
      </c>
      <c r="H439" s="25">
        <v>2019122</v>
      </c>
      <c r="I439" s="25" t="s">
        <v>19</v>
      </c>
      <c r="J439" s="25" t="s">
        <v>20</v>
      </c>
      <c r="K439" s="25" t="s">
        <v>25</v>
      </c>
      <c r="L439" s="25">
        <v>45.72</v>
      </c>
      <c r="M439" s="25">
        <v>6.6</v>
      </c>
      <c r="N439" s="25">
        <v>0</v>
      </c>
      <c r="O439" s="25">
        <v>109.34</v>
      </c>
      <c r="P439" s="25">
        <v>161.65899999999999</v>
      </c>
    </row>
    <row r="440" spans="1:16" x14ac:dyDescent="0.25">
      <c r="A440" s="26">
        <v>43644</v>
      </c>
      <c r="B440" s="25" t="s">
        <v>65</v>
      </c>
      <c r="C440" s="25" t="s">
        <v>17</v>
      </c>
      <c r="D440" s="25">
        <v>1000</v>
      </c>
      <c r="E440" s="25">
        <v>81.25</v>
      </c>
      <c r="F440" s="25">
        <v>81250</v>
      </c>
      <c r="G440" s="25" t="s">
        <v>1438</v>
      </c>
      <c r="H440" s="25">
        <v>2019122</v>
      </c>
      <c r="I440" s="25" t="s">
        <v>19</v>
      </c>
      <c r="J440" s="25" t="s">
        <v>20</v>
      </c>
      <c r="K440" s="25" t="s">
        <v>25</v>
      </c>
      <c r="L440" s="25">
        <v>0</v>
      </c>
      <c r="M440" s="25">
        <v>2.93</v>
      </c>
      <c r="N440" s="25">
        <v>0</v>
      </c>
      <c r="O440" s="25">
        <v>48.46</v>
      </c>
      <c r="P440" s="25">
        <v>51.385100000000001</v>
      </c>
    </row>
    <row r="441" spans="1:16" x14ac:dyDescent="0.25">
      <c r="A441" s="26">
        <v>43644</v>
      </c>
      <c r="B441" s="25" t="s">
        <v>1037</v>
      </c>
      <c r="C441" s="25" t="s">
        <v>17</v>
      </c>
      <c r="D441" s="25">
        <v>300</v>
      </c>
      <c r="E441" s="25">
        <v>613</v>
      </c>
      <c r="F441" s="25">
        <v>183900</v>
      </c>
      <c r="G441" s="25" t="s">
        <v>1439</v>
      </c>
      <c r="H441" s="25">
        <v>2019122</v>
      </c>
      <c r="I441" s="25" t="s">
        <v>19</v>
      </c>
      <c r="J441" s="25" t="s">
        <v>20</v>
      </c>
      <c r="K441" s="25" t="s">
        <v>25</v>
      </c>
      <c r="L441" s="25">
        <v>0</v>
      </c>
      <c r="M441" s="25">
        <v>6.62</v>
      </c>
      <c r="N441" s="25">
        <v>0</v>
      </c>
      <c r="O441" s="25">
        <v>109.69</v>
      </c>
      <c r="P441" s="25">
        <v>116.3104</v>
      </c>
    </row>
    <row r="442" spans="1:16" x14ac:dyDescent="0.25">
      <c r="A442" s="26">
        <v>43644</v>
      </c>
      <c r="B442" s="25" t="s">
        <v>1037</v>
      </c>
      <c r="C442" s="25" t="s">
        <v>23</v>
      </c>
      <c r="D442" s="25">
        <v>300</v>
      </c>
      <c r="E442" s="25">
        <v>607.49</v>
      </c>
      <c r="F442" s="25">
        <v>182247.65</v>
      </c>
      <c r="G442" s="25" t="s">
        <v>1440</v>
      </c>
      <c r="H442" s="25">
        <v>2019122</v>
      </c>
      <c r="I442" s="25" t="s">
        <v>19</v>
      </c>
      <c r="J442" s="25" t="s">
        <v>20</v>
      </c>
      <c r="K442" s="25" t="s">
        <v>25</v>
      </c>
      <c r="L442" s="25">
        <v>45.91</v>
      </c>
      <c r="M442" s="25">
        <v>6.56</v>
      </c>
      <c r="N442" s="25">
        <v>0</v>
      </c>
      <c r="O442" s="25">
        <v>108.71</v>
      </c>
      <c r="P442" s="25">
        <v>161.18100000000001</v>
      </c>
    </row>
    <row r="443" spans="1:16" x14ac:dyDescent="0.25">
      <c r="A443" s="26">
        <v>43644</v>
      </c>
      <c r="B443" s="25" t="s">
        <v>65</v>
      </c>
      <c r="C443" s="25" t="s">
        <v>23</v>
      </c>
      <c r="D443" s="25">
        <v>2000</v>
      </c>
      <c r="E443" s="25">
        <v>80.099999999999994</v>
      </c>
      <c r="F443" s="25">
        <v>160200</v>
      </c>
      <c r="G443" s="25" t="s">
        <v>1441</v>
      </c>
      <c r="H443" s="25">
        <v>2019122</v>
      </c>
      <c r="I443" s="25" t="s">
        <v>19</v>
      </c>
      <c r="J443" s="25" t="s">
        <v>20</v>
      </c>
      <c r="K443" s="25" t="s">
        <v>25</v>
      </c>
      <c r="L443" s="25">
        <v>40.14</v>
      </c>
      <c r="M443" s="25">
        <v>5.77</v>
      </c>
      <c r="N443" s="25">
        <v>0</v>
      </c>
      <c r="O443" s="25">
        <v>95.56</v>
      </c>
      <c r="P443" s="25">
        <v>141.46719999999999</v>
      </c>
    </row>
    <row r="444" spans="1:16" x14ac:dyDescent="0.25">
      <c r="A444" s="26">
        <v>43644</v>
      </c>
      <c r="B444" s="25" t="s">
        <v>65</v>
      </c>
      <c r="C444" s="25" t="s">
        <v>17</v>
      </c>
      <c r="D444" s="25">
        <v>1000</v>
      </c>
      <c r="E444" s="25">
        <v>79.7</v>
      </c>
      <c r="F444" s="25">
        <v>79700</v>
      </c>
      <c r="G444" s="25" t="s">
        <v>1442</v>
      </c>
      <c r="H444" s="25">
        <v>2019122</v>
      </c>
      <c r="I444" s="25" t="s">
        <v>19</v>
      </c>
      <c r="J444" s="25" t="s">
        <v>20</v>
      </c>
      <c r="K444" s="25" t="s">
        <v>25</v>
      </c>
      <c r="L444" s="25">
        <v>0</v>
      </c>
      <c r="M444" s="25">
        <v>2.87</v>
      </c>
      <c r="N444" s="25">
        <v>0</v>
      </c>
      <c r="O444" s="25">
        <v>47.54</v>
      </c>
      <c r="P444" s="25">
        <v>50.409199999999998</v>
      </c>
    </row>
    <row r="445" spans="1:16" x14ac:dyDescent="0.25">
      <c r="A445" s="26">
        <v>43643</v>
      </c>
      <c r="B445" s="25" t="s">
        <v>270</v>
      </c>
      <c r="C445" s="25" t="s">
        <v>17</v>
      </c>
      <c r="D445" s="25">
        <v>1000</v>
      </c>
      <c r="E445" s="25">
        <v>121.65</v>
      </c>
      <c r="F445" s="25">
        <v>121650</v>
      </c>
      <c r="G445" s="25" t="s">
        <v>1443</v>
      </c>
      <c r="H445" s="25">
        <v>2019121</v>
      </c>
      <c r="I445" s="25" t="s">
        <v>19</v>
      </c>
      <c r="J445" s="25" t="s">
        <v>20</v>
      </c>
      <c r="K445" s="25" t="s">
        <v>25</v>
      </c>
      <c r="L445" s="25">
        <v>0</v>
      </c>
      <c r="M445" s="25">
        <v>4.38</v>
      </c>
      <c r="N445" s="25">
        <v>0</v>
      </c>
      <c r="O445" s="25">
        <v>72.56</v>
      </c>
      <c r="P445" s="25">
        <v>76.939400000000006</v>
      </c>
    </row>
    <row r="446" spans="1:16" x14ac:dyDescent="0.25">
      <c r="A446" s="26">
        <v>43643</v>
      </c>
      <c r="B446" s="25" t="s">
        <v>270</v>
      </c>
      <c r="C446" s="25" t="s">
        <v>17</v>
      </c>
      <c r="D446" s="25">
        <v>1000</v>
      </c>
      <c r="E446" s="25">
        <v>121.25</v>
      </c>
      <c r="F446" s="25">
        <v>121250</v>
      </c>
      <c r="G446" s="25" t="s">
        <v>1444</v>
      </c>
      <c r="H446" s="25">
        <v>2019121</v>
      </c>
      <c r="I446" s="25" t="s">
        <v>19</v>
      </c>
      <c r="J446" s="25" t="s">
        <v>20</v>
      </c>
      <c r="K446" s="25" t="s">
        <v>25</v>
      </c>
      <c r="L446" s="25">
        <v>0</v>
      </c>
      <c r="M446" s="25">
        <v>4.37</v>
      </c>
      <c r="N446" s="25">
        <v>0</v>
      </c>
      <c r="O446" s="25">
        <v>72.319999999999993</v>
      </c>
      <c r="P446" s="25">
        <v>76.685100000000006</v>
      </c>
    </row>
    <row r="447" spans="1:16" x14ac:dyDescent="0.25">
      <c r="A447" s="26">
        <v>43643</v>
      </c>
      <c r="B447" s="25" t="s">
        <v>270</v>
      </c>
      <c r="C447" s="25" t="s">
        <v>23</v>
      </c>
      <c r="D447" s="25">
        <v>2000</v>
      </c>
      <c r="E447" s="25">
        <v>122.05</v>
      </c>
      <c r="F447" s="25">
        <v>244100</v>
      </c>
      <c r="G447" s="25" t="s">
        <v>1445</v>
      </c>
      <c r="H447" s="25">
        <v>2019121</v>
      </c>
      <c r="I447" s="25" t="s">
        <v>19</v>
      </c>
      <c r="J447" s="25" t="s">
        <v>20</v>
      </c>
      <c r="K447" s="25" t="s">
        <v>25</v>
      </c>
      <c r="L447" s="25">
        <v>61</v>
      </c>
      <c r="M447" s="25">
        <v>8.7899999999999991</v>
      </c>
      <c r="N447" s="25">
        <v>14.7</v>
      </c>
      <c r="O447" s="25">
        <v>145.56</v>
      </c>
      <c r="P447" s="25">
        <v>230.04769999999999</v>
      </c>
    </row>
    <row r="448" spans="1:16" x14ac:dyDescent="0.25">
      <c r="A448" s="26">
        <v>43642</v>
      </c>
      <c r="B448" s="25" t="s">
        <v>1023</v>
      </c>
      <c r="C448" s="25" t="s">
        <v>23</v>
      </c>
      <c r="D448" s="25">
        <v>2500</v>
      </c>
      <c r="E448" s="25">
        <v>28.25</v>
      </c>
      <c r="F448" s="25">
        <v>70625</v>
      </c>
      <c r="G448" s="25" t="s">
        <v>1446</v>
      </c>
      <c r="H448" s="25">
        <v>2019120</v>
      </c>
      <c r="I448" s="25" t="s">
        <v>19</v>
      </c>
      <c r="J448" s="25" t="s">
        <v>20</v>
      </c>
      <c r="K448" s="25" t="s">
        <v>25</v>
      </c>
      <c r="L448" s="25">
        <v>18.11</v>
      </c>
      <c r="M448" s="25">
        <v>2.54</v>
      </c>
      <c r="N448" s="25">
        <v>0</v>
      </c>
      <c r="O448" s="25">
        <v>42.13</v>
      </c>
      <c r="P448" s="25">
        <v>62.782499999999999</v>
      </c>
    </row>
    <row r="449" spans="1:16" x14ac:dyDescent="0.25">
      <c r="A449" s="26">
        <v>43642</v>
      </c>
      <c r="B449" s="25" t="s">
        <v>1023</v>
      </c>
      <c r="C449" s="25" t="s">
        <v>23</v>
      </c>
      <c r="D449" s="25">
        <v>5000</v>
      </c>
      <c r="E449" s="25">
        <v>28.5</v>
      </c>
      <c r="F449" s="25">
        <v>142500</v>
      </c>
      <c r="G449" s="25" t="s">
        <v>1447</v>
      </c>
      <c r="H449" s="25">
        <v>2019120</v>
      </c>
      <c r="I449" s="25" t="s">
        <v>19</v>
      </c>
      <c r="J449" s="25" t="s">
        <v>20</v>
      </c>
      <c r="K449" s="25" t="s">
        <v>25</v>
      </c>
      <c r="L449" s="25">
        <v>35.89</v>
      </c>
      <c r="M449" s="25">
        <v>5.13</v>
      </c>
      <c r="N449" s="25">
        <v>0</v>
      </c>
      <c r="O449" s="25">
        <v>85</v>
      </c>
      <c r="P449" s="25">
        <v>126.02</v>
      </c>
    </row>
    <row r="450" spans="1:16" x14ac:dyDescent="0.25">
      <c r="A450" s="26">
        <v>43642</v>
      </c>
      <c r="B450" s="25" t="s">
        <v>1023</v>
      </c>
      <c r="C450" s="25" t="s">
        <v>17</v>
      </c>
      <c r="D450" s="25">
        <v>7500</v>
      </c>
      <c r="E450" s="25">
        <v>29</v>
      </c>
      <c r="F450" s="25">
        <v>217500</v>
      </c>
      <c r="G450" s="25" t="s">
        <v>1448</v>
      </c>
      <c r="H450" s="25">
        <v>2019120</v>
      </c>
      <c r="I450" s="25" t="s">
        <v>19</v>
      </c>
      <c r="J450" s="25" t="s">
        <v>20</v>
      </c>
      <c r="K450" s="25" t="s">
        <v>25</v>
      </c>
      <c r="L450" s="25">
        <v>0</v>
      </c>
      <c r="M450" s="25">
        <v>7.83</v>
      </c>
      <c r="N450" s="25">
        <v>13.2</v>
      </c>
      <c r="O450" s="25">
        <v>129.77000000000001</v>
      </c>
      <c r="P450" s="25">
        <v>150.80019999999999</v>
      </c>
    </row>
    <row r="451" spans="1:16" x14ac:dyDescent="0.25">
      <c r="A451" s="26">
        <v>43641</v>
      </c>
      <c r="B451" s="25" t="s">
        <v>1023</v>
      </c>
      <c r="C451" s="25" t="s">
        <v>23</v>
      </c>
      <c r="D451" s="25">
        <v>1000</v>
      </c>
      <c r="E451" s="25">
        <v>28.5</v>
      </c>
      <c r="F451" s="25">
        <v>28500</v>
      </c>
      <c r="G451" s="25" t="s">
        <v>1449</v>
      </c>
      <c r="H451" s="25">
        <v>2019119</v>
      </c>
      <c r="I451" s="25" t="s">
        <v>19</v>
      </c>
      <c r="J451" s="25" t="s">
        <v>20</v>
      </c>
      <c r="K451" s="25" t="s">
        <v>25</v>
      </c>
      <c r="L451" s="25">
        <v>7.02</v>
      </c>
      <c r="M451" s="25">
        <v>1.03</v>
      </c>
      <c r="N451" s="25">
        <v>0</v>
      </c>
      <c r="O451" s="25">
        <v>29.69</v>
      </c>
      <c r="P451" s="25">
        <v>37.735999999999997</v>
      </c>
    </row>
    <row r="452" spans="1:16" x14ac:dyDescent="0.25">
      <c r="A452" s="26">
        <v>43641</v>
      </c>
      <c r="B452" s="25" t="s">
        <v>1023</v>
      </c>
      <c r="C452" s="25" t="s">
        <v>17</v>
      </c>
      <c r="D452" s="25">
        <v>1000</v>
      </c>
      <c r="E452" s="25">
        <v>28.25</v>
      </c>
      <c r="F452" s="25">
        <v>28250</v>
      </c>
      <c r="G452" s="25" t="s">
        <v>1450</v>
      </c>
      <c r="H452" s="25">
        <v>2019119</v>
      </c>
      <c r="I452" s="25" t="s">
        <v>19</v>
      </c>
      <c r="J452" s="25" t="s">
        <v>20</v>
      </c>
      <c r="K452" s="25" t="s">
        <v>25</v>
      </c>
      <c r="L452" s="25">
        <v>0</v>
      </c>
      <c r="M452" s="25">
        <v>1.02</v>
      </c>
      <c r="N452" s="25">
        <v>0</v>
      </c>
      <c r="O452" s="25">
        <v>29.68</v>
      </c>
      <c r="P452" s="25">
        <v>30.697099999999999</v>
      </c>
    </row>
    <row r="453" spans="1:16" x14ac:dyDescent="0.25">
      <c r="A453" s="26">
        <v>43641</v>
      </c>
      <c r="B453" s="25" t="s">
        <v>1023</v>
      </c>
      <c r="C453" s="25" t="s">
        <v>23</v>
      </c>
      <c r="D453" s="25">
        <v>1500</v>
      </c>
      <c r="E453" s="25">
        <v>28.3</v>
      </c>
      <c r="F453" s="25">
        <v>42450</v>
      </c>
      <c r="G453" s="25" t="s">
        <v>1451</v>
      </c>
      <c r="H453" s="25">
        <v>2019119</v>
      </c>
      <c r="I453" s="25" t="s">
        <v>19</v>
      </c>
      <c r="J453" s="25" t="s">
        <v>20</v>
      </c>
      <c r="K453" s="25" t="s">
        <v>25</v>
      </c>
      <c r="L453" s="25">
        <v>10.53</v>
      </c>
      <c r="M453" s="25">
        <v>1.53</v>
      </c>
      <c r="N453" s="25">
        <v>0</v>
      </c>
      <c r="O453" s="25">
        <v>29.78</v>
      </c>
      <c r="P453" s="25">
        <v>41.838299999999997</v>
      </c>
    </row>
    <row r="454" spans="1:16" x14ac:dyDescent="0.25">
      <c r="A454" s="26">
        <v>43641</v>
      </c>
      <c r="B454" s="25" t="s">
        <v>1023</v>
      </c>
      <c r="C454" s="25" t="s">
        <v>23</v>
      </c>
      <c r="D454" s="25">
        <v>5000</v>
      </c>
      <c r="E454" s="25">
        <v>28.5</v>
      </c>
      <c r="F454" s="25">
        <v>142500</v>
      </c>
      <c r="G454" s="25" t="s">
        <v>1452</v>
      </c>
      <c r="H454" s="25">
        <v>2019119</v>
      </c>
      <c r="I454" s="25" t="s">
        <v>19</v>
      </c>
      <c r="J454" s="25" t="s">
        <v>20</v>
      </c>
      <c r="K454" s="25" t="s">
        <v>25</v>
      </c>
      <c r="L454" s="25">
        <v>35.1</v>
      </c>
      <c r="M454" s="25">
        <v>5.13</v>
      </c>
      <c r="N454" s="25">
        <v>0</v>
      </c>
      <c r="O454" s="25">
        <v>84.99</v>
      </c>
      <c r="P454" s="25">
        <v>125.22</v>
      </c>
    </row>
    <row r="455" spans="1:16" x14ac:dyDescent="0.25">
      <c r="A455" s="26">
        <v>43641</v>
      </c>
      <c r="B455" s="25" t="s">
        <v>1023</v>
      </c>
      <c r="C455" s="25" t="s">
        <v>17</v>
      </c>
      <c r="D455" s="25">
        <v>6500</v>
      </c>
      <c r="E455" s="25">
        <v>28.2</v>
      </c>
      <c r="F455" s="25">
        <v>183300</v>
      </c>
      <c r="G455" s="25" t="s">
        <v>1453</v>
      </c>
      <c r="H455" s="25">
        <v>2019119</v>
      </c>
      <c r="I455" s="25" t="s">
        <v>19</v>
      </c>
      <c r="J455" s="25" t="s">
        <v>20</v>
      </c>
      <c r="K455" s="25" t="s">
        <v>25</v>
      </c>
      <c r="L455" s="25">
        <v>0</v>
      </c>
      <c r="M455" s="25">
        <v>6.6</v>
      </c>
      <c r="N455" s="25">
        <v>0</v>
      </c>
      <c r="O455" s="25">
        <v>109.33</v>
      </c>
      <c r="P455" s="25">
        <v>115.9289</v>
      </c>
    </row>
    <row r="456" spans="1:16" x14ac:dyDescent="0.25">
      <c r="A456" s="26">
        <v>43641</v>
      </c>
      <c r="B456" s="25" t="s">
        <v>1023</v>
      </c>
      <c r="C456" s="25" t="s">
        <v>17</v>
      </c>
      <c r="D456" s="25">
        <v>5000</v>
      </c>
      <c r="E456" s="25">
        <v>28.25</v>
      </c>
      <c r="F456" s="25">
        <v>141250</v>
      </c>
      <c r="G456" s="25" t="s">
        <v>1454</v>
      </c>
      <c r="H456" s="25">
        <v>2019119</v>
      </c>
      <c r="I456" s="25" t="s">
        <v>19</v>
      </c>
      <c r="J456" s="25" t="s">
        <v>20</v>
      </c>
      <c r="K456" s="25" t="s">
        <v>25</v>
      </c>
      <c r="L456" s="25">
        <v>0</v>
      </c>
      <c r="M456" s="25">
        <v>5.09</v>
      </c>
      <c r="N456" s="25">
        <v>0</v>
      </c>
      <c r="O456" s="25">
        <v>84.27</v>
      </c>
      <c r="P456" s="25">
        <v>89.355199999999996</v>
      </c>
    </row>
    <row r="457" spans="1:16" x14ac:dyDescent="0.25">
      <c r="A457" s="26">
        <v>43641</v>
      </c>
      <c r="B457" s="25" t="s">
        <v>1023</v>
      </c>
      <c r="C457" s="25" t="s">
        <v>23</v>
      </c>
      <c r="D457" s="25">
        <v>10000</v>
      </c>
      <c r="E457" s="25">
        <v>27.8</v>
      </c>
      <c r="F457" s="25">
        <v>278000</v>
      </c>
      <c r="G457" s="25" t="s">
        <v>1455</v>
      </c>
      <c r="H457" s="25">
        <v>2019119</v>
      </c>
      <c r="I457" s="25" t="s">
        <v>19</v>
      </c>
      <c r="J457" s="25" t="s">
        <v>20</v>
      </c>
      <c r="K457" s="25" t="s">
        <v>25</v>
      </c>
      <c r="L457" s="25">
        <v>70.2</v>
      </c>
      <c r="M457" s="25">
        <v>10.01</v>
      </c>
      <c r="N457" s="25">
        <v>0</v>
      </c>
      <c r="O457" s="25">
        <v>165.83</v>
      </c>
      <c r="P457" s="25">
        <v>246.03800000000001</v>
      </c>
    </row>
    <row r="458" spans="1:16" x14ac:dyDescent="0.25">
      <c r="A458" s="26">
        <v>43641</v>
      </c>
      <c r="B458" s="25" t="s">
        <v>1023</v>
      </c>
      <c r="C458" s="25" t="s">
        <v>17</v>
      </c>
      <c r="D458" s="25">
        <v>5000</v>
      </c>
      <c r="E458" s="25">
        <v>27.7</v>
      </c>
      <c r="F458" s="25">
        <v>138500</v>
      </c>
      <c r="G458" s="25" t="s">
        <v>1456</v>
      </c>
      <c r="H458" s="25">
        <v>2019119</v>
      </c>
      <c r="I458" s="25" t="s">
        <v>19</v>
      </c>
      <c r="J458" s="25" t="s">
        <v>20</v>
      </c>
      <c r="K458" s="25" t="s">
        <v>25</v>
      </c>
      <c r="L458" s="25">
        <v>0</v>
      </c>
      <c r="M458" s="25">
        <v>4.99</v>
      </c>
      <c r="N458" s="25">
        <v>0</v>
      </c>
      <c r="O458" s="25">
        <v>82.61</v>
      </c>
      <c r="P458" s="25">
        <v>87.596199999999996</v>
      </c>
    </row>
    <row r="459" spans="1:16" x14ac:dyDescent="0.25">
      <c r="A459" s="26">
        <v>43641</v>
      </c>
      <c r="B459" s="25" t="s">
        <v>1034</v>
      </c>
      <c r="C459" s="25" t="s">
        <v>17</v>
      </c>
      <c r="D459" s="25">
        <v>2000</v>
      </c>
      <c r="E459" s="25">
        <v>276</v>
      </c>
      <c r="F459" s="25">
        <v>552000</v>
      </c>
      <c r="G459" s="25" t="s">
        <v>1457</v>
      </c>
      <c r="H459" s="25">
        <v>2019119</v>
      </c>
      <c r="I459" s="25" t="s">
        <v>19</v>
      </c>
      <c r="J459" s="25" t="s">
        <v>20</v>
      </c>
      <c r="K459" s="25" t="s">
        <v>25</v>
      </c>
      <c r="L459" s="25">
        <v>0</v>
      </c>
      <c r="M459" s="25">
        <v>19.87</v>
      </c>
      <c r="N459" s="25">
        <v>0</v>
      </c>
      <c r="O459" s="25">
        <v>329.25</v>
      </c>
      <c r="P459" s="25">
        <v>349.12200000000001</v>
      </c>
    </row>
    <row r="460" spans="1:16" x14ac:dyDescent="0.25">
      <c r="A460" s="26">
        <v>43641</v>
      </c>
      <c r="B460" s="25" t="s">
        <v>1034</v>
      </c>
      <c r="C460" s="25" t="s">
        <v>17</v>
      </c>
      <c r="D460" s="25">
        <v>2000</v>
      </c>
      <c r="E460" s="25">
        <v>275.8</v>
      </c>
      <c r="F460" s="25">
        <v>551600</v>
      </c>
      <c r="G460" s="25" t="s">
        <v>1458</v>
      </c>
      <c r="H460" s="25">
        <v>2019119</v>
      </c>
      <c r="I460" s="25" t="s">
        <v>19</v>
      </c>
      <c r="J460" s="25" t="s">
        <v>20</v>
      </c>
      <c r="K460" s="25" t="s">
        <v>25</v>
      </c>
      <c r="L460" s="25">
        <v>0</v>
      </c>
      <c r="M460" s="25">
        <v>19.86</v>
      </c>
      <c r="N460" s="25">
        <v>0</v>
      </c>
      <c r="O460" s="25">
        <v>329.02</v>
      </c>
      <c r="P460" s="25">
        <v>348.8777</v>
      </c>
    </row>
    <row r="461" spans="1:16" x14ac:dyDescent="0.25">
      <c r="A461" s="26">
        <v>43641</v>
      </c>
      <c r="B461" s="25" t="s">
        <v>1034</v>
      </c>
      <c r="C461" s="25" t="s">
        <v>23</v>
      </c>
      <c r="D461" s="25">
        <v>4000</v>
      </c>
      <c r="E461" s="25">
        <v>274.5</v>
      </c>
      <c r="F461" s="25">
        <v>1098015.7</v>
      </c>
      <c r="G461" s="25" t="s">
        <v>1459</v>
      </c>
      <c r="H461" s="25">
        <v>2019119</v>
      </c>
      <c r="I461" s="25" t="s">
        <v>19</v>
      </c>
      <c r="J461" s="25" t="s">
        <v>20</v>
      </c>
      <c r="K461" s="25" t="s">
        <v>25</v>
      </c>
      <c r="L461" s="25">
        <v>275.16000000000003</v>
      </c>
      <c r="M461" s="25">
        <v>39.53</v>
      </c>
      <c r="N461" s="25">
        <v>95.7</v>
      </c>
      <c r="O461" s="25">
        <v>654.91999999999996</v>
      </c>
      <c r="P461" s="25">
        <v>1065.3088</v>
      </c>
    </row>
    <row r="462" spans="1:16" x14ac:dyDescent="0.25">
      <c r="A462" s="26">
        <v>43640</v>
      </c>
      <c r="B462" s="25" t="s">
        <v>659</v>
      </c>
      <c r="C462" s="25" t="s">
        <v>23</v>
      </c>
      <c r="D462" s="25">
        <v>500</v>
      </c>
      <c r="E462" s="25">
        <v>109.65</v>
      </c>
      <c r="F462" s="25">
        <v>54825</v>
      </c>
      <c r="G462" s="25" t="s">
        <v>1021</v>
      </c>
      <c r="H462" s="25">
        <v>2019118</v>
      </c>
      <c r="I462" s="25" t="s">
        <v>19</v>
      </c>
      <c r="J462" s="25" t="s">
        <v>20</v>
      </c>
      <c r="K462" s="25" t="s">
        <v>25</v>
      </c>
      <c r="L462" s="25">
        <v>14.02</v>
      </c>
      <c r="M462" s="25">
        <v>1.97</v>
      </c>
      <c r="N462" s="25">
        <v>0</v>
      </c>
      <c r="O462" s="25">
        <v>32.700000000000003</v>
      </c>
      <c r="P462" s="25">
        <v>48.693800000000003</v>
      </c>
    </row>
    <row r="463" spans="1:16" x14ac:dyDescent="0.25">
      <c r="A463" s="26">
        <v>43640</v>
      </c>
      <c r="B463" s="25" t="s">
        <v>659</v>
      </c>
      <c r="C463" s="25" t="s">
        <v>17</v>
      </c>
      <c r="D463" s="25">
        <v>500</v>
      </c>
      <c r="E463" s="25">
        <v>112</v>
      </c>
      <c r="F463" s="25">
        <v>56000</v>
      </c>
      <c r="G463" s="25" t="s">
        <v>1022</v>
      </c>
      <c r="H463" s="25">
        <v>2019118</v>
      </c>
      <c r="I463" s="25" t="s">
        <v>19</v>
      </c>
      <c r="J463" s="25" t="s">
        <v>20</v>
      </c>
      <c r="K463" s="25" t="s">
        <v>25</v>
      </c>
      <c r="L463" s="25">
        <v>0</v>
      </c>
      <c r="M463" s="25">
        <v>2.02</v>
      </c>
      <c r="N463" s="25">
        <v>0</v>
      </c>
      <c r="O463" s="25">
        <v>33.4</v>
      </c>
      <c r="P463" s="25">
        <v>35.415999999999997</v>
      </c>
    </row>
    <row r="464" spans="1:16" x14ac:dyDescent="0.25">
      <c r="A464" s="26">
        <v>43640</v>
      </c>
      <c r="B464" s="25" t="s">
        <v>1023</v>
      </c>
      <c r="C464" s="25" t="s">
        <v>23</v>
      </c>
      <c r="D464" s="25">
        <v>1500</v>
      </c>
      <c r="E464" s="25">
        <v>26.25</v>
      </c>
      <c r="F464" s="25">
        <v>39375</v>
      </c>
      <c r="G464" s="25" t="s">
        <v>1024</v>
      </c>
      <c r="H464" s="25">
        <v>2019118</v>
      </c>
      <c r="I464" s="25" t="s">
        <v>19</v>
      </c>
      <c r="J464" s="25" t="s">
        <v>20</v>
      </c>
      <c r="K464" s="25" t="s">
        <v>25</v>
      </c>
      <c r="L464" s="25">
        <v>10.35</v>
      </c>
      <c r="M464" s="25">
        <v>1.42</v>
      </c>
      <c r="N464" s="25">
        <v>0</v>
      </c>
      <c r="O464" s="25">
        <v>29.76</v>
      </c>
      <c r="P464" s="25">
        <v>41.527500000000003</v>
      </c>
    </row>
    <row r="465" spans="1:16" x14ac:dyDescent="0.25">
      <c r="A465" s="26">
        <v>43640</v>
      </c>
      <c r="B465" s="25" t="s">
        <v>659</v>
      </c>
      <c r="C465" s="25" t="s">
        <v>17</v>
      </c>
      <c r="D465" s="25">
        <v>2000</v>
      </c>
      <c r="E465" s="25">
        <v>112.25</v>
      </c>
      <c r="F465" s="25">
        <v>224500</v>
      </c>
      <c r="G465" s="25" t="s">
        <v>1025</v>
      </c>
      <c r="H465" s="25">
        <v>2019118</v>
      </c>
      <c r="I465" s="25" t="s">
        <v>19</v>
      </c>
      <c r="J465" s="25" t="s">
        <v>20</v>
      </c>
      <c r="K465" s="25" t="s">
        <v>25</v>
      </c>
      <c r="L465" s="25">
        <v>0</v>
      </c>
      <c r="M465" s="25">
        <v>8.08</v>
      </c>
      <c r="N465" s="25">
        <v>0</v>
      </c>
      <c r="O465" s="25">
        <v>133.91</v>
      </c>
      <c r="P465" s="25">
        <v>141.99199999999999</v>
      </c>
    </row>
    <row r="466" spans="1:16" x14ac:dyDescent="0.25">
      <c r="A466" s="26">
        <v>43640</v>
      </c>
      <c r="B466" s="25" t="s">
        <v>1023</v>
      </c>
      <c r="C466" s="25" t="s">
        <v>23</v>
      </c>
      <c r="D466" s="25">
        <v>1000</v>
      </c>
      <c r="E466" s="25">
        <v>27.1</v>
      </c>
      <c r="F466" s="25">
        <v>27100</v>
      </c>
      <c r="G466" s="25" t="s">
        <v>1026</v>
      </c>
      <c r="H466" s="25">
        <v>2019118</v>
      </c>
      <c r="I466" s="25" t="s">
        <v>19</v>
      </c>
      <c r="J466" s="25" t="s">
        <v>20</v>
      </c>
      <c r="K466" s="25" t="s">
        <v>25</v>
      </c>
      <c r="L466" s="25">
        <v>6.9</v>
      </c>
      <c r="M466" s="25">
        <v>0.98</v>
      </c>
      <c r="N466" s="25">
        <v>0</v>
      </c>
      <c r="O466" s="25">
        <v>29.68</v>
      </c>
      <c r="P466" s="25">
        <v>37.555599999999998</v>
      </c>
    </row>
    <row r="467" spans="1:16" x14ac:dyDescent="0.25">
      <c r="A467" s="26">
        <v>43640</v>
      </c>
      <c r="B467" s="25" t="s">
        <v>1023</v>
      </c>
      <c r="C467" s="25" t="s">
        <v>23</v>
      </c>
      <c r="D467" s="25">
        <v>2000</v>
      </c>
      <c r="E467" s="25">
        <v>28.5</v>
      </c>
      <c r="F467" s="25">
        <v>57000</v>
      </c>
      <c r="G467" s="25" t="s">
        <v>1027</v>
      </c>
      <c r="H467" s="25">
        <v>2019118</v>
      </c>
      <c r="I467" s="25" t="s">
        <v>19</v>
      </c>
      <c r="J467" s="25" t="s">
        <v>20</v>
      </c>
      <c r="K467" s="25" t="s">
        <v>25</v>
      </c>
      <c r="L467" s="25">
        <v>13.8</v>
      </c>
      <c r="M467" s="25">
        <v>2.0499999999999998</v>
      </c>
      <c r="N467" s="25">
        <v>0</v>
      </c>
      <c r="O467" s="25">
        <v>34</v>
      </c>
      <c r="P467" s="25">
        <v>49.852200000000003</v>
      </c>
    </row>
    <row r="468" spans="1:16" x14ac:dyDescent="0.25">
      <c r="A468" s="26">
        <v>43640</v>
      </c>
      <c r="B468" s="25" t="s">
        <v>659</v>
      </c>
      <c r="C468" s="25" t="s">
        <v>23</v>
      </c>
      <c r="D468" s="25">
        <v>2000</v>
      </c>
      <c r="E468" s="25">
        <v>112.7</v>
      </c>
      <c r="F468" s="25">
        <v>225400</v>
      </c>
      <c r="G468" s="25" t="s">
        <v>1028</v>
      </c>
      <c r="H468" s="25">
        <v>2019118</v>
      </c>
      <c r="I468" s="25" t="s">
        <v>19</v>
      </c>
      <c r="J468" s="25" t="s">
        <v>20</v>
      </c>
      <c r="K468" s="25" t="s">
        <v>25</v>
      </c>
      <c r="L468" s="25">
        <v>56.07</v>
      </c>
      <c r="M468" s="25">
        <v>8.11</v>
      </c>
      <c r="N468" s="25">
        <v>0</v>
      </c>
      <c r="O468" s="25">
        <v>134.44999999999999</v>
      </c>
      <c r="P468" s="25">
        <v>198.6343</v>
      </c>
    </row>
    <row r="469" spans="1:16" x14ac:dyDescent="0.25">
      <c r="A469" s="26">
        <v>43640</v>
      </c>
      <c r="B469" s="25" t="s">
        <v>1023</v>
      </c>
      <c r="C469" s="25" t="s">
        <v>17</v>
      </c>
      <c r="D469" s="25">
        <v>5500</v>
      </c>
      <c r="E469" s="25">
        <v>28.3</v>
      </c>
      <c r="F469" s="25">
        <v>155650</v>
      </c>
      <c r="G469" s="25" t="s">
        <v>1029</v>
      </c>
      <c r="H469" s="25">
        <v>2019118</v>
      </c>
      <c r="I469" s="25" t="s">
        <v>19</v>
      </c>
      <c r="J469" s="25" t="s">
        <v>20</v>
      </c>
      <c r="K469" s="25" t="s">
        <v>25</v>
      </c>
      <c r="L469" s="25">
        <v>0</v>
      </c>
      <c r="M469" s="25">
        <v>5.6</v>
      </c>
      <c r="N469" s="25">
        <v>0</v>
      </c>
      <c r="O469" s="25">
        <v>92.84</v>
      </c>
      <c r="P469" s="25">
        <v>98.4435</v>
      </c>
    </row>
    <row r="470" spans="1:16" x14ac:dyDescent="0.25">
      <c r="A470" s="26">
        <v>43640</v>
      </c>
      <c r="B470" s="25" t="s">
        <v>1023</v>
      </c>
      <c r="C470" s="25" t="s">
        <v>23</v>
      </c>
      <c r="D470" s="25">
        <v>1000</v>
      </c>
      <c r="E470" s="25">
        <v>24.5</v>
      </c>
      <c r="F470" s="25">
        <v>24500</v>
      </c>
      <c r="G470" s="25" t="s">
        <v>1030</v>
      </c>
      <c r="H470" s="25">
        <v>2019118</v>
      </c>
      <c r="I470" s="25" t="s">
        <v>19</v>
      </c>
      <c r="J470" s="25" t="s">
        <v>20</v>
      </c>
      <c r="K470" s="25" t="s">
        <v>25</v>
      </c>
      <c r="L470" s="25">
        <v>6.86</v>
      </c>
      <c r="M470" s="25">
        <v>0.88</v>
      </c>
      <c r="N470" s="25">
        <v>26.1</v>
      </c>
      <c r="O470" s="25">
        <v>29.66</v>
      </c>
      <c r="P470" s="25">
        <v>63.502000000000002</v>
      </c>
    </row>
    <row r="471" spans="1:16" x14ac:dyDescent="0.25">
      <c r="A471" s="26">
        <v>43637</v>
      </c>
      <c r="B471" s="25" t="s">
        <v>51</v>
      </c>
      <c r="C471" s="25" t="s">
        <v>23</v>
      </c>
      <c r="D471" s="25">
        <v>50</v>
      </c>
      <c r="E471" s="25">
        <v>388</v>
      </c>
      <c r="F471" s="25">
        <v>19400</v>
      </c>
      <c r="G471" s="25" t="s">
        <v>1031</v>
      </c>
      <c r="H471" s="25">
        <v>2019117</v>
      </c>
      <c r="I471" s="25" t="s">
        <v>19</v>
      </c>
      <c r="J471" s="25" t="s">
        <v>20</v>
      </c>
      <c r="K471" s="25" t="s">
        <v>25</v>
      </c>
      <c r="L471" s="25">
        <v>4.83</v>
      </c>
      <c r="M471" s="25">
        <v>0.7</v>
      </c>
      <c r="N471" s="25">
        <v>0</v>
      </c>
      <c r="O471" s="25">
        <v>29.63</v>
      </c>
      <c r="P471" s="25">
        <v>35.1584</v>
      </c>
    </row>
    <row r="472" spans="1:16" x14ac:dyDescent="0.25">
      <c r="A472" s="26">
        <v>43637</v>
      </c>
      <c r="B472" s="25" t="s">
        <v>51</v>
      </c>
      <c r="C472" s="25" t="s">
        <v>17</v>
      </c>
      <c r="D472" s="25">
        <v>50</v>
      </c>
      <c r="E472" s="25">
        <v>384</v>
      </c>
      <c r="F472" s="25">
        <v>19200</v>
      </c>
      <c r="G472" s="25" t="s">
        <v>1032</v>
      </c>
      <c r="H472" s="25">
        <v>2019117</v>
      </c>
      <c r="I472" s="25" t="s">
        <v>19</v>
      </c>
      <c r="J472" s="25" t="s">
        <v>20</v>
      </c>
      <c r="K472" s="25" t="s">
        <v>25</v>
      </c>
      <c r="L472" s="25">
        <v>0</v>
      </c>
      <c r="M472" s="25">
        <v>0.69</v>
      </c>
      <c r="N472" s="25">
        <v>0</v>
      </c>
      <c r="O472" s="25">
        <v>29.62</v>
      </c>
      <c r="P472" s="25">
        <v>30.311199999999999</v>
      </c>
    </row>
    <row r="473" spans="1:16" x14ac:dyDescent="0.25">
      <c r="A473" s="26">
        <v>43637</v>
      </c>
      <c r="B473" s="25" t="s">
        <v>849</v>
      </c>
      <c r="C473" s="25" t="s">
        <v>17</v>
      </c>
      <c r="D473" s="25">
        <v>100</v>
      </c>
      <c r="E473" s="25">
        <v>56.6</v>
      </c>
      <c r="F473" s="25">
        <v>5660</v>
      </c>
      <c r="G473" s="25" t="s">
        <v>1033</v>
      </c>
      <c r="H473" s="25">
        <v>2019117</v>
      </c>
      <c r="I473" s="25" t="s">
        <v>19</v>
      </c>
      <c r="J473" s="25" t="s">
        <v>20</v>
      </c>
      <c r="K473" s="25" t="s">
        <v>25</v>
      </c>
      <c r="L473" s="25">
        <v>0</v>
      </c>
      <c r="M473" s="25">
        <v>0.2</v>
      </c>
      <c r="N473" s="25">
        <v>0</v>
      </c>
      <c r="O473" s="25">
        <v>29.54</v>
      </c>
      <c r="P473" s="25">
        <v>29.7438</v>
      </c>
    </row>
    <row r="474" spans="1:16" x14ac:dyDescent="0.25">
      <c r="A474" s="26">
        <v>43637</v>
      </c>
      <c r="B474" s="25" t="s">
        <v>1034</v>
      </c>
      <c r="C474" s="25" t="s">
        <v>17</v>
      </c>
      <c r="D474" s="25">
        <v>1000</v>
      </c>
      <c r="E474" s="25">
        <v>267.25</v>
      </c>
      <c r="F474" s="25">
        <v>267250</v>
      </c>
      <c r="G474" s="25" t="s">
        <v>1035</v>
      </c>
      <c r="H474" s="25">
        <v>2019117</v>
      </c>
      <c r="I474" s="25" t="s">
        <v>19</v>
      </c>
      <c r="J474" s="25" t="s">
        <v>20</v>
      </c>
      <c r="K474" s="25" t="s">
        <v>25</v>
      </c>
      <c r="L474" s="25">
        <v>0</v>
      </c>
      <c r="M474" s="25">
        <v>9.6199999999999992</v>
      </c>
      <c r="N474" s="25">
        <v>0</v>
      </c>
      <c r="O474" s="25">
        <v>159.41</v>
      </c>
      <c r="P474" s="25">
        <v>169.0309</v>
      </c>
    </row>
    <row r="475" spans="1:16" x14ac:dyDescent="0.25">
      <c r="A475" s="26">
        <v>43637</v>
      </c>
      <c r="B475" s="25" t="s">
        <v>1034</v>
      </c>
      <c r="C475" s="25" t="s">
        <v>23</v>
      </c>
      <c r="D475" s="25">
        <v>1000</v>
      </c>
      <c r="E475" s="25">
        <v>267.89999999999998</v>
      </c>
      <c r="F475" s="25">
        <v>267900</v>
      </c>
      <c r="G475" s="25" t="s">
        <v>1036</v>
      </c>
      <c r="H475" s="25">
        <v>2019117</v>
      </c>
      <c r="I475" s="25" t="s">
        <v>19</v>
      </c>
      <c r="J475" s="25" t="s">
        <v>20</v>
      </c>
      <c r="K475" s="25" t="s">
        <v>25</v>
      </c>
      <c r="L475" s="25">
        <v>66.89</v>
      </c>
      <c r="M475" s="25">
        <v>9.64</v>
      </c>
      <c r="N475" s="25">
        <v>0</v>
      </c>
      <c r="O475" s="25">
        <v>159.80000000000001</v>
      </c>
      <c r="P475" s="25">
        <v>236.33439999999999</v>
      </c>
    </row>
    <row r="476" spans="1:16" x14ac:dyDescent="0.25">
      <c r="A476" s="26">
        <v>43637</v>
      </c>
      <c r="B476" s="25" t="s">
        <v>1037</v>
      </c>
      <c r="C476" s="25" t="s">
        <v>17</v>
      </c>
      <c r="D476" s="25">
        <v>100</v>
      </c>
      <c r="E476" s="25">
        <v>593.70000000000005</v>
      </c>
      <c r="F476" s="25">
        <v>59370</v>
      </c>
      <c r="G476" s="25" t="s">
        <v>1038</v>
      </c>
      <c r="H476" s="25">
        <v>2019117</v>
      </c>
      <c r="I476" s="25" t="s">
        <v>19</v>
      </c>
      <c r="J476" s="25" t="s">
        <v>20</v>
      </c>
      <c r="K476" s="25" t="s">
        <v>25</v>
      </c>
      <c r="L476" s="25">
        <v>0</v>
      </c>
      <c r="M476" s="25">
        <v>2.14</v>
      </c>
      <c r="N476" s="25">
        <v>0</v>
      </c>
      <c r="O476" s="25">
        <v>35.409999999999997</v>
      </c>
      <c r="P476" s="25">
        <v>37.547400000000003</v>
      </c>
    </row>
    <row r="477" spans="1:16" x14ac:dyDescent="0.25">
      <c r="A477" s="26">
        <v>43637</v>
      </c>
      <c r="B477" s="25" t="s">
        <v>1037</v>
      </c>
      <c r="C477" s="25" t="s">
        <v>23</v>
      </c>
      <c r="D477" s="25">
        <v>100</v>
      </c>
      <c r="E477" s="25">
        <v>597</v>
      </c>
      <c r="F477" s="25">
        <v>59700</v>
      </c>
      <c r="G477" s="25" t="s">
        <v>1039</v>
      </c>
      <c r="H477" s="25">
        <v>2019117</v>
      </c>
      <c r="I477" s="25" t="s">
        <v>19</v>
      </c>
      <c r="J477" s="25" t="s">
        <v>20</v>
      </c>
      <c r="K477" s="25" t="s">
        <v>25</v>
      </c>
      <c r="L477" s="25">
        <v>14.89</v>
      </c>
      <c r="M477" s="25">
        <v>2.15</v>
      </c>
      <c r="N477" s="25">
        <v>0</v>
      </c>
      <c r="O477" s="25">
        <v>35.61</v>
      </c>
      <c r="P477" s="25">
        <v>52.6492</v>
      </c>
    </row>
    <row r="478" spans="1:16" x14ac:dyDescent="0.25">
      <c r="A478" s="26">
        <v>43637</v>
      </c>
      <c r="B478" s="25" t="s">
        <v>849</v>
      </c>
      <c r="C478" s="25" t="s">
        <v>23</v>
      </c>
      <c r="D478" s="25">
        <v>100</v>
      </c>
      <c r="E478" s="25">
        <v>75</v>
      </c>
      <c r="F478" s="25">
        <v>7500</v>
      </c>
      <c r="G478" s="25" t="s">
        <v>1040</v>
      </c>
      <c r="H478" s="25">
        <v>2019117</v>
      </c>
      <c r="I478" s="25" t="s">
        <v>19</v>
      </c>
      <c r="J478" s="25" t="s">
        <v>20</v>
      </c>
      <c r="K478" s="25" t="s">
        <v>25</v>
      </c>
      <c r="L478" s="25">
        <v>1.65</v>
      </c>
      <c r="M478" s="25">
        <v>0.27</v>
      </c>
      <c r="N478" s="25">
        <v>0</v>
      </c>
      <c r="O478" s="25">
        <v>29.55</v>
      </c>
      <c r="P478" s="25">
        <v>31.47</v>
      </c>
    </row>
    <row r="479" spans="1:16" x14ac:dyDescent="0.25">
      <c r="A479" s="26">
        <v>43637</v>
      </c>
      <c r="B479" s="25" t="s">
        <v>16</v>
      </c>
      <c r="C479" s="25" t="s">
        <v>17</v>
      </c>
      <c r="D479" s="25">
        <v>2500</v>
      </c>
      <c r="E479" s="25">
        <v>22.05</v>
      </c>
      <c r="F479" s="25">
        <v>55125</v>
      </c>
      <c r="G479" s="25" t="s">
        <v>1041</v>
      </c>
      <c r="H479" s="25">
        <v>2019117</v>
      </c>
      <c r="I479" s="25" t="s">
        <v>19</v>
      </c>
      <c r="J479" s="25" t="s">
        <v>20</v>
      </c>
      <c r="K479" s="25" t="s">
        <v>25</v>
      </c>
      <c r="L479" s="25">
        <v>0</v>
      </c>
      <c r="M479" s="25">
        <v>1.98</v>
      </c>
      <c r="N479" s="25">
        <v>24.6</v>
      </c>
      <c r="O479" s="25">
        <v>32.880000000000003</v>
      </c>
      <c r="P479" s="25">
        <v>59.464500000000001</v>
      </c>
    </row>
    <row r="480" spans="1:16" x14ac:dyDescent="0.25">
      <c r="A480" s="26">
        <v>43637</v>
      </c>
      <c r="B480" s="25" t="s">
        <v>16</v>
      </c>
      <c r="C480" s="25" t="s">
        <v>23</v>
      </c>
      <c r="D480" s="25">
        <v>2500</v>
      </c>
      <c r="E480" s="25">
        <v>21.95</v>
      </c>
      <c r="F480" s="25">
        <v>54878.55</v>
      </c>
      <c r="G480" s="25" t="s">
        <v>1042</v>
      </c>
      <c r="H480" s="25">
        <v>2019117</v>
      </c>
      <c r="I480" s="25" t="s">
        <v>19</v>
      </c>
      <c r="J480" s="25" t="s">
        <v>20</v>
      </c>
      <c r="K480" s="25" t="s">
        <v>25</v>
      </c>
      <c r="L480" s="25">
        <v>13.75</v>
      </c>
      <c r="M480" s="25">
        <v>1.98</v>
      </c>
      <c r="N480" s="25">
        <v>0</v>
      </c>
      <c r="O480" s="25">
        <v>32.72</v>
      </c>
      <c r="P480" s="25">
        <v>48.445599999999999</v>
      </c>
    </row>
    <row r="481" spans="1:16" x14ac:dyDescent="0.25">
      <c r="A481" s="26">
        <v>43636</v>
      </c>
      <c r="B481" s="25" t="s">
        <v>659</v>
      </c>
      <c r="C481" s="25" t="s">
        <v>17</v>
      </c>
      <c r="D481" s="25">
        <v>1000</v>
      </c>
      <c r="E481" s="25">
        <v>104.5</v>
      </c>
      <c r="F481" s="25">
        <v>104500</v>
      </c>
      <c r="G481" s="25" t="s">
        <v>1043</v>
      </c>
      <c r="H481" s="25">
        <v>2019116</v>
      </c>
      <c r="I481" s="25" t="s">
        <v>19</v>
      </c>
      <c r="J481" s="25" t="s">
        <v>20</v>
      </c>
      <c r="K481" s="25" t="s">
        <v>25</v>
      </c>
      <c r="L481" s="25">
        <v>0</v>
      </c>
      <c r="M481" s="25">
        <v>3.76</v>
      </c>
      <c r="N481" s="25">
        <v>0</v>
      </c>
      <c r="O481" s="25">
        <v>62.33</v>
      </c>
      <c r="P481" s="25">
        <v>66.091999999999999</v>
      </c>
    </row>
    <row r="482" spans="1:16" x14ac:dyDescent="0.25">
      <c r="A482" s="26">
        <v>43636</v>
      </c>
      <c r="B482" s="25" t="s">
        <v>659</v>
      </c>
      <c r="C482" s="25" t="s">
        <v>23</v>
      </c>
      <c r="D482" s="25">
        <v>1000</v>
      </c>
      <c r="E482" s="25">
        <v>107.5</v>
      </c>
      <c r="F482" s="25">
        <v>107500</v>
      </c>
      <c r="G482" s="25" t="s">
        <v>1044</v>
      </c>
      <c r="H482" s="25">
        <v>2019116</v>
      </c>
      <c r="I482" s="25" t="s">
        <v>19</v>
      </c>
      <c r="J482" s="25" t="s">
        <v>20</v>
      </c>
      <c r="K482" s="25" t="s">
        <v>25</v>
      </c>
      <c r="L482" s="25">
        <v>26.5</v>
      </c>
      <c r="M482" s="25">
        <v>3.87</v>
      </c>
      <c r="N482" s="25">
        <v>0</v>
      </c>
      <c r="O482" s="25">
        <v>64.12</v>
      </c>
      <c r="P482" s="25">
        <v>94.49</v>
      </c>
    </row>
    <row r="483" spans="1:16" x14ac:dyDescent="0.25">
      <c r="A483" s="26">
        <v>43636</v>
      </c>
      <c r="B483" s="25" t="s">
        <v>16</v>
      </c>
      <c r="C483" s="25" t="s">
        <v>17</v>
      </c>
      <c r="D483" s="25">
        <v>150</v>
      </c>
      <c r="E483" s="25">
        <v>22</v>
      </c>
      <c r="F483" s="25">
        <v>3300</v>
      </c>
      <c r="G483" s="25" t="s">
        <v>1045</v>
      </c>
      <c r="H483" s="25">
        <v>2019116</v>
      </c>
      <c r="I483" s="25" t="s">
        <v>19</v>
      </c>
      <c r="J483" s="25" t="s">
        <v>20</v>
      </c>
      <c r="K483" s="25" t="s">
        <v>25</v>
      </c>
      <c r="L483" s="25">
        <v>3.03</v>
      </c>
      <c r="M483" s="25">
        <v>0.12</v>
      </c>
      <c r="N483" s="25">
        <v>0</v>
      </c>
      <c r="O483" s="25">
        <v>41.32</v>
      </c>
      <c r="P483" s="25">
        <v>44.468800000000002</v>
      </c>
    </row>
    <row r="484" spans="1:16" x14ac:dyDescent="0.25">
      <c r="A484" s="26">
        <v>43636</v>
      </c>
      <c r="B484" s="25" t="s">
        <v>237</v>
      </c>
      <c r="C484" s="25" t="s">
        <v>17</v>
      </c>
      <c r="D484" s="25">
        <v>500</v>
      </c>
      <c r="E484" s="25">
        <v>267</v>
      </c>
      <c r="F484" s="25">
        <v>133500</v>
      </c>
      <c r="G484" s="25" t="s">
        <v>1046</v>
      </c>
      <c r="H484" s="25">
        <v>2019116</v>
      </c>
      <c r="I484" s="25" t="s">
        <v>19</v>
      </c>
      <c r="J484" s="25" t="s">
        <v>20</v>
      </c>
      <c r="K484" s="25" t="s">
        <v>25</v>
      </c>
      <c r="L484" s="25">
        <v>0</v>
      </c>
      <c r="M484" s="25">
        <v>4.8099999999999996</v>
      </c>
      <c r="N484" s="25">
        <v>14.7</v>
      </c>
      <c r="O484" s="25">
        <v>79.63</v>
      </c>
      <c r="P484" s="25">
        <v>99.135999999999996</v>
      </c>
    </row>
    <row r="485" spans="1:16" x14ac:dyDescent="0.25">
      <c r="A485" s="26">
        <v>43636</v>
      </c>
      <c r="B485" s="25" t="s">
        <v>237</v>
      </c>
      <c r="C485" s="25" t="s">
        <v>23</v>
      </c>
      <c r="D485" s="25">
        <v>500</v>
      </c>
      <c r="E485" s="25">
        <v>268.5</v>
      </c>
      <c r="F485" s="25">
        <v>134250</v>
      </c>
      <c r="G485" s="25" t="s">
        <v>1047</v>
      </c>
      <c r="H485" s="25">
        <v>2019116</v>
      </c>
      <c r="I485" s="25" t="s">
        <v>19</v>
      </c>
      <c r="J485" s="25" t="s">
        <v>20</v>
      </c>
      <c r="K485" s="25" t="s">
        <v>25</v>
      </c>
      <c r="L485" s="25">
        <v>33.47</v>
      </c>
      <c r="M485" s="25">
        <v>4.83</v>
      </c>
      <c r="N485" s="25">
        <v>0</v>
      </c>
      <c r="O485" s="25">
        <v>80.08</v>
      </c>
      <c r="P485" s="25">
        <v>118.3831</v>
      </c>
    </row>
    <row r="486" spans="1:16" x14ac:dyDescent="0.25">
      <c r="A486" s="26">
        <v>43635</v>
      </c>
      <c r="B486" s="25" t="s">
        <v>659</v>
      </c>
      <c r="C486" s="25" t="s">
        <v>23</v>
      </c>
      <c r="D486" s="25">
        <v>500</v>
      </c>
      <c r="E486" s="25">
        <v>105.8</v>
      </c>
      <c r="F486" s="25">
        <v>52900</v>
      </c>
      <c r="G486" s="25" t="s">
        <v>1048</v>
      </c>
      <c r="H486" s="25">
        <v>2019115</v>
      </c>
      <c r="I486" s="25" t="s">
        <v>19</v>
      </c>
      <c r="J486" s="25" t="s">
        <v>20</v>
      </c>
      <c r="K486" s="25" t="s">
        <v>25</v>
      </c>
      <c r="L486" s="25">
        <v>13</v>
      </c>
      <c r="M486" s="25">
        <v>1.9</v>
      </c>
      <c r="N486" s="25">
        <v>3.3</v>
      </c>
      <c r="O486" s="25">
        <v>31.55</v>
      </c>
      <c r="P486" s="25">
        <v>49.754399999999997</v>
      </c>
    </row>
    <row r="487" spans="1:16" x14ac:dyDescent="0.25">
      <c r="A487" s="26">
        <v>43635</v>
      </c>
      <c r="B487" s="25" t="s">
        <v>659</v>
      </c>
      <c r="C487" s="25" t="s">
        <v>17</v>
      </c>
      <c r="D487" s="25">
        <v>500</v>
      </c>
      <c r="E487" s="25">
        <v>103.25</v>
      </c>
      <c r="F487" s="25">
        <v>51625</v>
      </c>
      <c r="G487" s="25" t="s">
        <v>1049</v>
      </c>
      <c r="H487" s="25">
        <v>2019115</v>
      </c>
      <c r="I487" s="25" t="s">
        <v>19</v>
      </c>
      <c r="J487" s="25" t="s">
        <v>20</v>
      </c>
      <c r="K487" s="25" t="s">
        <v>25</v>
      </c>
      <c r="L487" s="25">
        <v>0</v>
      </c>
      <c r="M487" s="25">
        <v>1.86</v>
      </c>
      <c r="N487" s="25">
        <v>0</v>
      </c>
      <c r="O487" s="25">
        <v>30.79</v>
      </c>
      <c r="P487" s="25">
        <v>32.648499999999999</v>
      </c>
    </row>
    <row r="488" spans="1:16" x14ac:dyDescent="0.25">
      <c r="A488" s="26">
        <v>43634</v>
      </c>
      <c r="B488" s="25" t="s">
        <v>1050</v>
      </c>
      <c r="C488" s="25" t="s">
        <v>23</v>
      </c>
      <c r="D488" s="25">
        <v>100</v>
      </c>
      <c r="E488" s="25">
        <v>178</v>
      </c>
      <c r="F488" s="25">
        <v>17800</v>
      </c>
      <c r="G488" s="25" t="s">
        <v>1051</v>
      </c>
      <c r="H488" s="25">
        <v>2019114</v>
      </c>
      <c r="I488" s="25" t="s">
        <v>19</v>
      </c>
      <c r="J488" s="25" t="s">
        <v>20</v>
      </c>
      <c r="K488" s="25" t="s">
        <v>25</v>
      </c>
      <c r="L488" s="25">
        <v>4.45</v>
      </c>
      <c r="M488" s="25">
        <v>0.64</v>
      </c>
      <c r="N488" s="25">
        <v>0</v>
      </c>
      <c r="O488" s="25">
        <v>29.62</v>
      </c>
      <c r="P488" s="25">
        <v>34.710799999999999</v>
      </c>
    </row>
    <row r="489" spans="1:16" x14ac:dyDescent="0.25">
      <c r="A489" s="26">
        <v>43634</v>
      </c>
      <c r="B489" s="25" t="s">
        <v>1050</v>
      </c>
      <c r="C489" s="25" t="s">
        <v>23</v>
      </c>
      <c r="D489" s="25">
        <v>200</v>
      </c>
      <c r="E489" s="25">
        <v>179</v>
      </c>
      <c r="F489" s="25">
        <v>35800</v>
      </c>
      <c r="G489" s="25" t="s">
        <v>1052</v>
      </c>
      <c r="H489" s="25">
        <v>2019114</v>
      </c>
      <c r="I489" s="25" t="s">
        <v>19</v>
      </c>
      <c r="J489" s="25" t="s">
        <v>20</v>
      </c>
      <c r="K489" s="25" t="s">
        <v>25</v>
      </c>
      <c r="L489" s="25">
        <v>8.91</v>
      </c>
      <c r="M489" s="25">
        <v>1.29</v>
      </c>
      <c r="N489" s="25">
        <v>0</v>
      </c>
      <c r="O489" s="25">
        <v>29.73</v>
      </c>
      <c r="P489" s="25">
        <v>39.928800000000003</v>
      </c>
    </row>
    <row r="490" spans="1:16" x14ac:dyDescent="0.25">
      <c r="A490" s="26">
        <v>43634</v>
      </c>
      <c r="B490" s="25" t="s">
        <v>1050</v>
      </c>
      <c r="C490" s="25" t="s">
        <v>17</v>
      </c>
      <c r="D490" s="25">
        <v>300</v>
      </c>
      <c r="E490" s="25">
        <v>177.65</v>
      </c>
      <c r="F490" s="25">
        <v>53295</v>
      </c>
      <c r="G490" s="25" t="s">
        <v>1053</v>
      </c>
      <c r="H490" s="25">
        <v>2019114</v>
      </c>
      <c r="I490" s="25" t="s">
        <v>19</v>
      </c>
      <c r="J490" s="25" t="s">
        <v>20</v>
      </c>
      <c r="K490" s="25" t="s">
        <v>25</v>
      </c>
      <c r="L490" s="25">
        <v>0</v>
      </c>
      <c r="M490" s="25">
        <v>1.92</v>
      </c>
      <c r="N490" s="25">
        <v>31.5</v>
      </c>
      <c r="O490" s="25">
        <v>31.79</v>
      </c>
      <c r="P490" s="25">
        <v>65.208600000000004</v>
      </c>
    </row>
    <row r="491" spans="1:16" x14ac:dyDescent="0.25">
      <c r="A491" s="26">
        <v>43634</v>
      </c>
      <c r="B491" s="25" t="s">
        <v>1054</v>
      </c>
      <c r="C491" s="25" t="s">
        <v>17</v>
      </c>
      <c r="D491" s="25">
        <v>500</v>
      </c>
      <c r="E491" s="25">
        <v>471.5</v>
      </c>
      <c r="F491" s="25">
        <v>235750</v>
      </c>
      <c r="G491" s="25" t="s">
        <v>1055</v>
      </c>
      <c r="H491" s="25">
        <v>2019114</v>
      </c>
      <c r="I491" s="25" t="s">
        <v>19</v>
      </c>
      <c r="J491" s="25" t="s">
        <v>20</v>
      </c>
      <c r="K491" s="25" t="s">
        <v>25</v>
      </c>
      <c r="L491" s="25">
        <v>0</v>
      </c>
      <c r="M491" s="25">
        <v>8.49</v>
      </c>
      <c r="N491" s="25">
        <v>0</v>
      </c>
      <c r="O491" s="25">
        <v>140.62</v>
      </c>
      <c r="P491" s="25">
        <v>149.107</v>
      </c>
    </row>
    <row r="492" spans="1:16" x14ac:dyDescent="0.25">
      <c r="A492" s="26">
        <v>43634</v>
      </c>
      <c r="B492" s="25" t="s">
        <v>1054</v>
      </c>
      <c r="C492" s="25" t="s">
        <v>23</v>
      </c>
      <c r="D492" s="25">
        <v>1000</v>
      </c>
      <c r="E492" s="25">
        <v>471.5</v>
      </c>
      <c r="F492" s="25">
        <v>471500</v>
      </c>
      <c r="G492" s="25" t="s">
        <v>1056</v>
      </c>
      <c r="H492" s="25">
        <v>2019114</v>
      </c>
      <c r="I492" s="25" t="s">
        <v>19</v>
      </c>
      <c r="J492" s="25" t="s">
        <v>20</v>
      </c>
      <c r="K492" s="25" t="s">
        <v>25</v>
      </c>
      <c r="L492" s="25">
        <v>117.64</v>
      </c>
      <c r="M492" s="25">
        <v>16.97</v>
      </c>
      <c r="N492" s="25">
        <v>0</v>
      </c>
      <c r="O492" s="25">
        <v>281.23</v>
      </c>
      <c r="P492" s="25">
        <v>415.84429999999998</v>
      </c>
    </row>
    <row r="493" spans="1:16" x14ac:dyDescent="0.25">
      <c r="A493" s="26">
        <v>43634</v>
      </c>
      <c r="B493" s="25" t="s">
        <v>1054</v>
      </c>
      <c r="C493" s="25" t="s">
        <v>17</v>
      </c>
      <c r="D493" s="25">
        <v>500</v>
      </c>
      <c r="E493" s="25">
        <v>468</v>
      </c>
      <c r="F493" s="25">
        <v>234000</v>
      </c>
      <c r="G493" s="25" t="s">
        <v>1057</v>
      </c>
      <c r="H493" s="25">
        <v>2019114</v>
      </c>
      <c r="I493" s="25" t="s">
        <v>19</v>
      </c>
      <c r="J493" s="25" t="s">
        <v>20</v>
      </c>
      <c r="K493" s="25" t="s">
        <v>25</v>
      </c>
      <c r="L493" s="25">
        <v>0</v>
      </c>
      <c r="M493" s="25">
        <v>8.42</v>
      </c>
      <c r="N493" s="25">
        <v>0</v>
      </c>
      <c r="O493" s="25">
        <v>139.58000000000001</v>
      </c>
      <c r="P493" s="25">
        <v>148.00399999999999</v>
      </c>
    </row>
    <row r="494" spans="1:16" x14ac:dyDescent="0.25">
      <c r="A494" s="26">
        <v>43633</v>
      </c>
      <c r="B494" s="25" t="s">
        <v>16</v>
      </c>
      <c r="C494" s="25" t="s">
        <v>17</v>
      </c>
      <c r="D494" s="25">
        <v>100</v>
      </c>
      <c r="E494" s="25">
        <v>24.25</v>
      </c>
      <c r="F494" s="25">
        <v>2425</v>
      </c>
      <c r="G494" s="25" t="s">
        <v>1058</v>
      </c>
      <c r="H494" s="25">
        <v>2019113</v>
      </c>
      <c r="I494" s="25" t="s">
        <v>19</v>
      </c>
      <c r="J494" s="25" t="s">
        <v>20</v>
      </c>
      <c r="K494" s="25" t="s">
        <v>25</v>
      </c>
      <c r="L494" s="25">
        <v>2.4300000000000002</v>
      </c>
      <c r="M494" s="25">
        <v>0.09</v>
      </c>
      <c r="N494" s="25">
        <v>0</v>
      </c>
      <c r="O494" s="25">
        <v>41.32</v>
      </c>
      <c r="P494" s="25">
        <v>43.837299999999999</v>
      </c>
    </row>
    <row r="495" spans="1:16" x14ac:dyDescent="0.25">
      <c r="A495" s="26">
        <v>43633</v>
      </c>
      <c r="B495" s="25" t="s">
        <v>1054</v>
      </c>
      <c r="C495" s="25" t="s">
        <v>17</v>
      </c>
      <c r="D495" s="25">
        <v>100</v>
      </c>
      <c r="E495" s="25">
        <v>493.15</v>
      </c>
      <c r="F495" s="25">
        <v>49315</v>
      </c>
      <c r="G495" s="25" t="s">
        <v>1059</v>
      </c>
      <c r="H495" s="25">
        <v>2019113</v>
      </c>
      <c r="I495" s="25" t="s">
        <v>19</v>
      </c>
      <c r="J495" s="25" t="s">
        <v>20</v>
      </c>
      <c r="K495" s="25" t="s">
        <v>25</v>
      </c>
      <c r="L495" s="25">
        <v>0</v>
      </c>
      <c r="M495" s="25">
        <v>1.78</v>
      </c>
      <c r="N495" s="25">
        <v>0</v>
      </c>
      <c r="O495" s="25">
        <v>29.82</v>
      </c>
      <c r="P495" s="25">
        <v>31.595300000000002</v>
      </c>
    </row>
    <row r="496" spans="1:16" x14ac:dyDescent="0.25">
      <c r="A496" s="26">
        <v>43633</v>
      </c>
      <c r="B496" s="25" t="s">
        <v>1054</v>
      </c>
      <c r="C496" s="25" t="s">
        <v>17</v>
      </c>
      <c r="D496" s="25">
        <v>100</v>
      </c>
      <c r="E496" s="25">
        <v>490.85</v>
      </c>
      <c r="F496" s="25">
        <v>49084.95</v>
      </c>
      <c r="G496" s="25" t="s">
        <v>1060</v>
      </c>
      <c r="H496" s="25">
        <v>2019113</v>
      </c>
      <c r="I496" s="25" t="s">
        <v>19</v>
      </c>
      <c r="J496" s="25" t="s">
        <v>20</v>
      </c>
      <c r="K496" s="25" t="s">
        <v>25</v>
      </c>
      <c r="L496" s="25">
        <v>0</v>
      </c>
      <c r="M496" s="25">
        <v>1.77</v>
      </c>
      <c r="N496" s="25">
        <v>0</v>
      </c>
      <c r="O496" s="25">
        <v>29.82</v>
      </c>
      <c r="P496" s="25">
        <v>31.5871</v>
      </c>
    </row>
    <row r="497" spans="1:16" x14ac:dyDescent="0.25">
      <c r="A497" s="26">
        <v>43633</v>
      </c>
      <c r="B497" s="25" t="s">
        <v>1054</v>
      </c>
      <c r="C497" s="25" t="s">
        <v>17</v>
      </c>
      <c r="D497" s="25">
        <v>100</v>
      </c>
      <c r="E497" s="25">
        <v>486</v>
      </c>
      <c r="F497" s="25">
        <v>48600</v>
      </c>
      <c r="G497" s="25" t="s">
        <v>1061</v>
      </c>
      <c r="H497" s="25">
        <v>2019113</v>
      </c>
      <c r="I497" s="25" t="s">
        <v>19</v>
      </c>
      <c r="J497" s="25" t="s">
        <v>20</v>
      </c>
      <c r="K497" s="25" t="s">
        <v>25</v>
      </c>
      <c r="L497" s="25">
        <v>0</v>
      </c>
      <c r="M497" s="25">
        <v>1.75</v>
      </c>
      <c r="N497" s="25">
        <v>0</v>
      </c>
      <c r="O497" s="25">
        <v>29.82</v>
      </c>
      <c r="P497" s="25">
        <v>31.569600000000001</v>
      </c>
    </row>
    <row r="498" spans="1:16" x14ac:dyDescent="0.25">
      <c r="A498" s="26">
        <v>43633</v>
      </c>
      <c r="B498" s="25" t="s">
        <v>1054</v>
      </c>
      <c r="C498" s="25" t="s">
        <v>23</v>
      </c>
      <c r="D498" s="25">
        <v>2000</v>
      </c>
      <c r="E498" s="25">
        <v>484.25</v>
      </c>
      <c r="F498" s="25">
        <v>968500</v>
      </c>
      <c r="G498" s="25" t="s">
        <v>1062</v>
      </c>
      <c r="H498" s="25">
        <v>2019113</v>
      </c>
      <c r="I498" s="25" t="s">
        <v>19</v>
      </c>
      <c r="J498" s="25" t="s">
        <v>20</v>
      </c>
      <c r="K498" s="25" t="s">
        <v>25</v>
      </c>
      <c r="L498" s="25">
        <v>241.58</v>
      </c>
      <c r="M498" s="25">
        <v>34.869999999999997</v>
      </c>
      <c r="N498" s="25">
        <v>58.2</v>
      </c>
      <c r="O498" s="25">
        <v>577.69000000000005</v>
      </c>
      <c r="P498" s="25">
        <v>912.33609999999999</v>
      </c>
    </row>
    <row r="499" spans="1:16" x14ac:dyDescent="0.25">
      <c r="A499" s="26">
        <v>43633</v>
      </c>
      <c r="B499" s="25" t="s">
        <v>1054</v>
      </c>
      <c r="C499" s="25" t="s">
        <v>17</v>
      </c>
      <c r="D499" s="25">
        <v>1700</v>
      </c>
      <c r="E499" s="25">
        <v>482.25</v>
      </c>
      <c r="F499" s="25">
        <v>819825</v>
      </c>
      <c r="G499" s="25" t="s">
        <v>1063</v>
      </c>
      <c r="H499" s="25">
        <v>2019113</v>
      </c>
      <c r="I499" s="25" t="s">
        <v>19</v>
      </c>
      <c r="J499" s="25" t="s">
        <v>20</v>
      </c>
      <c r="K499" s="25" t="s">
        <v>25</v>
      </c>
      <c r="L499" s="25">
        <v>0</v>
      </c>
      <c r="M499" s="25">
        <v>29.51</v>
      </c>
      <c r="N499" s="25">
        <v>0</v>
      </c>
      <c r="O499" s="25">
        <v>489.01</v>
      </c>
      <c r="P499" s="25">
        <v>518.52369999999996</v>
      </c>
    </row>
    <row r="500" spans="1:16" x14ac:dyDescent="0.25">
      <c r="A500" s="26">
        <v>43630</v>
      </c>
      <c r="B500" s="25" t="s">
        <v>659</v>
      </c>
      <c r="C500" s="25" t="s">
        <v>23</v>
      </c>
      <c r="D500" s="25">
        <v>1000</v>
      </c>
      <c r="E500" s="25">
        <v>115</v>
      </c>
      <c r="F500" s="25">
        <v>115000</v>
      </c>
      <c r="G500" s="25" t="s">
        <v>1064</v>
      </c>
      <c r="H500" s="25">
        <v>2019112</v>
      </c>
      <c r="I500" s="25" t="s">
        <v>19</v>
      </c>
      <c r="J500" s="25" t="s">
        <v>20</v>
      </c>
      <c r="K500" s="25" t="s">
        <v>25</v>
      </c>
      <c r="L500" s="25">
        <v>29.01</v>
      </c>
      <c r="M500" s="25">
        <v>4.1399999999999997</v>
      </c>
      <c r="N500" s="25">
        <v>0</v>
      </c>
      <c r="O500" s="25">
        <v>68.599999999999994</v>
      </c>
      <c r="P500" s="25">
        <v>101.75</v>
      </c>
    </row>
    <row r="501" spans="1:16" x14ac:dyDescent="0.25">
      <c r="A501" s="26">
        <v>43630</v>
      </c>
      <c r="B501" s="25" t="s">
        <v>659</v>
      </c>
      <c r="C501" s="25" t="s">
        <v>17</v>
      </c>
      <c r="D501" s="25">
        <v>1000</v>
      </c>
      <c r="E501" s="25">
        <v>113</v>
      </c>
      <c r="F501" s="25">
        <v>113000</v>
      </c>
      <c r="G501" s="25" t="s">
        <v>1065</v>
      </c>
      <c r="H501" s="25">
        <v>2019112</v>
      </c>
      <c r="I501" s="25" t="s">
        <v>19</v>
      </c>
      <c r="J501" s="25" t="s">
        <v>20</v>
      </c>
      <c r="K501" s="25" t="s">
        <v>25</v>
      </c>
      <c r="L501" s="25">
        <v>0</v>
      </c>
      <c r="M501" s="25">
        <v>4.07</v>
      </c>
      <c r="N501" s="25">
        <v>0</v>
      </c>
      <c r="O501" s="25">
        <v>67.400000000000006</v>
      </c>
      <c r="P501" s="25">
        <v>71.468000000000004</v>
      </c>
    </row>
    <row r="502" spans="1:16" x14ac:dyDescent="0.25">
      <c r="A502" s="26">
        <v>43630</v>
      </c>
      <c r="B502" s="25" t="s">
        <v>1066</v>
      </c>
      <c r="C502" s="25" t="s">
        <v>17</v>
      </c>
      <c r="D502" s="25">
        <v>500</v>
      </c>
      <c r="E502" s="25">
        <v>58.4</v>
      </c>
      <c r="F502" s="25">
        <v>29200</v>
      </c>
      <c r="G502" s="25" t="s">
        <v>1067</v>
      </c>
      <c r="H502" s="25">
        <v>2019112</v>
      </c>
      <c r="I502" s="25" t="s">
        <v>19</v>
      </c>
      <c r="J502" s="25" t="s">
        <v>20</v>
      </c>
      <c r="K502" s="25" t="s">
        <v>25</v>
      </c>
      <c r="L502" s="25">
        <v>0</v>
      </c>
      <c r="M502" s="25">
        <v>1.05</v>
      </c>
      <c r="N502" s="25">
        <v>0</v>
      </c>
      <c r="O502" s="25">
        <v>29.69</v>
      </c>
      <c r="P502" s="25">
        <v>30.741199999999999</v>
      </c>
    </row>
    <row r="503" spans="1:16" x14ac:dyDescent="0.25">
      <c r="A503" s="26">
        <v>43630</v>
      </c>
      <c r="B503" s="25" t="s">
        <v>1066</v>
      </c>
      <c r="C503" s="25" t="s">
        <v>23</v>
      </c>
      <c r="D503" s="25">
        <v>500</v>
      </c>
      <c r="E503" s="25">
        <v>59.1</v>
      </c>
      <c r="F503" s="25">
        <v>29550</v>
      </c>
      <c r="G503" s="25" t="s">
        <v>1068</v>
      </c>
      <c r="H503" s="25">
        <v>2019112</v>
      </c>
      <c r="I503" s="25" t="s">
        <v>19</v>
      </c>
      <c r="J503" s="25" t="s">
        <v>20</v>
      </c>
      <c r="K503" s="25" t="s">
        <v>25</v>
      </c>
      <c r="L503" s="25">
        <v>7.34</v>
      </c>
      <c r="M503" s="25">
        <v>1.06</v>
      </c>
      <c r="N503" s="25">
        <v>0</v>
      </c>
      <c r="O503" s="25">
        <v>29.69</v>
      </c>
      <c r="P503" s="25">
        <v>38.093899999999998</v>
      </c>
    </row>
    <row r="504" spans="1:16" x14ac:dyDescent="0.25">
      <c r="A504" s="26">
        <v>43630</v>
      </c>
      <c r="B504" s="25" t="s">
        <v>659</v>
      </c>
      <c r="C504" s="25" t="s">
        <v>17</v>
      </c>
      <c r="D504" s="25">
        <v>2000</v>
      </c>
      <c r="E504" s="25">
        <v>118</v>
      </c>
      <c r="F504" s="25">
        <v>236000</v>
      </c>
      <c r="G504" s="25" t="s">
        <v>1069</v>
      </c>
      <c r="H504" s="25">
        <v>2019112</v>
      </c>
      <c r="I504" s="25" t="s">
        <v>19</v>
      </c>
      <c r="J504" s="25" t="s">
        <v>20</v>
      </c>
      <c r="K504" s="25" t="s">
        <v>25</v>
      </c>
      <c r="L504" s="25">
        <v>0</v>
      </c>
      <c r="M504" s="25">
        <v>8.5</v>
      </c>
      <c r="N504" s="25">
        <v>23.1</v>
      </c>
      <c r="O504" s="25">
        <v>140.77000000000001</v>
      </c>
      <c r="P504" s="25">
        <v>172.36590000000001</v>
      </c>
    </row>
    <row r="505" spans="1:16" x14ac:dyDescent="0.25">
      <c r="A505" s="26">
        <v>43630</v>
      </c>
      <c r="B505" s="25" t="s">
        <v>659</v>
      </c>
      <c r="C505" s="25" t="s">
        <v>23</v>
      </c>
      <c r="D505" s="25">
        <v>2000</v>
      </c>
      <c r="E505" s="25">
        <v>119.9</v>
      </c>
      <c r="F505" s="25">
        <v>239800</v>
      </c>
      <c r="G505" s="25" t="s">
        <v>1070</v>
      </c>
      <c r="H505" s="25">
        <v>2019112</v>
      </c>
      <c r="I505" s="25" t="s">
        <v>19</v>
      </c>
      <c r="J505" s="25" t="s">
        <v>20</v>
      </c>
      <c r="K505" s="25" t="s">
        <v>25</v>
      </c>
      <c r="L505" s="25">
        <v>58.65</v>
      </c>
      <c r="M505" s="25">
        <v>8.6300000000000008</v>
      </c>
      <c r="N505" s="25">
        <v>0</v>
      </c>
      <c r="O505" s="25">
        <v>143.04</v>
      </c>
      <c r="P505" s="25">
        <v>210.3228</v>
      </c>
    </row>
    <row r="506" spans="1:16" x14ac:dyDescent="0.25">
      <c r="A506" s="26">
        <v>43629</v>
      </c>
      <c r="B506" s="25" t="s">
        <v>282</v>
      </c>
      <c r="C506" s="25" t="s">
        <v>23</v>
      </c>
      <c r="D506" s="25">
        <v>2000</v>
      </c>
      <c r="E506" s="25">
        <v>253.5</v>
      </c>
      <c r="F506" s="25">
        <v>507000</v>
      </c>
      <c r="G506" s="25" t="s">
        <v>1071</v>
      </c>
      <c r="H506" s="25">
        <v>2019111</v>
      </c>
      <c r="I506" s="25" t="s">
        <v>19</v>
      </c>
      <c r="J506" s="25" t="s">
        <v>20</v>
      </c>
      <c r="K506" s="25" t="s">
        <v>25</v>
      </c>
      <c r="L506" s="25">
        <v>126.49</v>
      </c>
      <c r="M506" s="25">
        <v>18.25</v>
      </c>
      <c r="N506" s="25">
        <v>49.5</v>
      </c>
      <c r="O506" s="25">
        <v>302.39999999999998</v>
      </c>
      <c r="P506" s="25">
        <v>496.64229999999998</v>
      </c>
    </row>
    <row r="507" spans="1:16" x14ac:dyDescent="0.25">
      <c r="A507" s="26">
        <v>43629</v>
      </c>
      <c r="B507" s="25" t="s">
        <v>282</v>
      </c>
      <c r="C507" s="25" t="s">
        <v>17</v>
      </c>
      <c r="D507" s="25">
        <v>2000</v>
      </c>
      <c r="E507" s="25">
        <v>252.5</v>
      </c>
      <c r="F507" s="25">
        <v>505000</v>
      </c>
      <c r="G507" s="25" t="s">
        <v>1072</v>
      </c>
      <c r="H507" s="25">
        <v>2019111</v>
      </c>
      <c r="I507" s="25" t="s">
        <v>19</v>
      </c>
      <c r="J507" s="25" t="s">
        <v>20</v>
      </c>
      <c r="K507" s="25" t="s">
        <v>25</v>
      </c>
      <c r="L507" s="25">
        <v>0</v>
      </c>
      <c r="M507" s="25">
        <v>18.18</v>
      </c>
      <c r="N507" s="25">
        <v>0</v>
      </c>
      <c r="O507" s="25">
        <v>301.23</v>
      </c>
      <c r="P507" s="25">
        <v>319.41000000000003</v>
      </c>
    </row>
    <row r="508" spans="1:16" x14ac:dyDescent="0.25">
      <c r="A508" s="26">
        <v>43629</v>
      </c>
      <c r="B508" s="25" t="s">
        <v>233</v>
      </c>
      <c r="C508" s="25" t="s">
        <v>23</v>
      </c>
      <c r="D508" s="25">
        <v>10</v>
      </c>
      <c r="E508" s="25">
        <v>1323</v>
      </c>
      <c r="F508" s="25">
        <v>13230</v>
      </c>
      <c r="G508" s="25" t="s">
        <v>1073</v>
      </c>
      <c r="H508" s="25">
        <v>2019111</v>
      </c>
      <c r="I508" s="25" t="s">
        <v>19</v>
      </c>
      <c r="J508" s="25" t="s">
        <v>20</v>
      </c>
      <c r="K508" s="25" t="s">
        <v>25</v>
      </c>
      <c r="L508" s="25">
        <v>3.3</v>
      </c>
      <c r="M508" s="25">
        <v>0.48</v>
      </c>
      <c r="N508" s="25">
        <v>0</v>
      </c>
      <c r="O508" s="25">
        <v>29.59</v>
      </c>
      <c r="P508" s="25">
        <v>33.366300000000003</v>
      </c>
    </row>
    <row r="509" spans="1:16" x14ac:dyDescent="0.25">
      <c r="A509" s="26">
        <v>43629</v>
      </c>
      <c r="B509" s="25" t="s">
        <v>282</v>
      </c>
      <c r="C509" s="25" t="s">
        <v>23</v>
      </c>
      <c r="D509" s="25">
        <v>1000</v>
      </c>
      <c r="E509" s="25">
        <v>252</v>
      </c>
      <c r="F509" s="25">
        <v>252000</v>
      </c>
      <c r="G509" s="25" t="s">
        <v>1074</v>
      </c>
      <c r="H509" s="25">
        <v>2019111</v>
      </c>
      <c r="I509" s="25" t="s">
        <v>19</v>
      </c>
      <c r="J509" s="25" t="s">
        <v>20</v>
      </c>
      <c r="K509" s="25" t="s">
        <v>25</v>
      </c>
      <c r="L509" s="25">
        <v>63.14</v>
      </c>
      <c r="M509" s="25">
        <v>9.07</v>
      </c>
      <c r="N509" s="25">
        <v>0</v>
      </c>
      <c r="O509" s="25">
        <v>150.31</v>
      </c>
      <c r="P509" s="25">
        <v>222.52199999999999</v>
      </c>
    </row>
    <row r="510" spans="1:16" x14ac:dyDescent="0.25">
      <c r="A510" s="26">
        <v>43629</v>
      </c>
      <c r="B510" s="25" t="s">
        <v>282</v>
      </c>
      <c r="C510" s="25" t="s">
        <v>17</v>
      </c>
      <c r="D510" s="25">
        <v>1000</v>
      </c>
      <c r="E510" s="25">
        <v>251.25</v>
      </c>
      <c r="F510" s="25">
        <v>251250</v>
      </c>
      <c r="G510" s="25" t="s">
        <v>1075</v>
      </c>
      <c r="H510" s="25">
        <v>2019111</v>
      </c>
      <c r="I510" s="25" t="s">
        <v>19</v>
      </c>
      <c r="J510" s="25" t="s">
        <v>20</v>
      </c>
      <c r="K510" s="25" t="s">
        <v>25</v>
      </c>
      <c r="L510" s="25">
        <v>0</v>
      </c>
      <c r="M510" s="25">
        <v>9.0500000000000007</v>
      </c>
      <c r="N510" s="25">
        <v>0</v>
      </c>
      <c r="O510" s="25">
        <v>149.87</v>
      </c>
      <c r="P510" s="25">
        <v>158.9151</v>
      </c>
    </row>
    <row r="511" spans="1:16" x14ac:dyDescent="0.25">
      <c r="A511" s="26">
        <v>43629</v>
      </c>
      <c r="B511" s="25" t="s">
        <v>233</v>
      </c>
      <c r="C511" s="25" t="s">
        <v>17</v>
      </c>
      <c r="D511" s="25">
        <v>10</v>
      </c>
      <c r="E511" s="25">
        <v>1317</v>
      </c>
      <c r="F511" s="25">
        <v>13170</v>
      </c>
      <c r="G511" s="25" t="s">
        <v>1076</v>
      </c>
      <c r="H511" s="25">
        <v>2019111</v>
      </c>
      <c r="I511" s="25" t="s">
        <v>19</v>
      </c>
      <c r="J511" s="25" t="s">
        <v>20</v>
      </c>
      <c r="K511" s="25" t="s">
        <v>25</v>
      </c>
      <c r="L511" s="25">
        <v>0</v>
      </c>
      <c r="M511" s="25">
        <v>0.47</v>
      </c>
      <c r="N511" s="25">
        <v>0</v>
      </c>
      <c r="O511" s="25">
        <v>29.59</v>
      </c>
      <c r="P511" s="25">
        <v>30.0642</v>
      </c>
    </row>
    <row r="512" spans="1:16" x14ac:dyDescent="0.25">
      <c r="A512" s="26">
        <v>43629</v>
      </c>
      <c r="B512" s="25" t="s">
        <v>1077</v>
      </c>
      <c r="C512" s="25" t="s">
        <v>23</v>
      </c>
      <c r="D512" s="25">
        <v>500</v>
      </c>
      <c r="E512" s="25">
        <v>104.5</v>
      </c>
      <c r="F512" s="25">
        <v>52250</v>
      </c>
      <c r="G512" s="25" t="s">
        <v>1078</v>
      </c>
      <c r="H512" s="25">
        <v>2019111</v>
      </c>
      <c r="I512" s="25" t="s">
        <v>19</v>
      </c>
      <c r="J512" s="25" t="s">
        <v>20</v>
      </c>
      <c r="K512" s="25" t="s">
        <v>25</v>
      </c>
      <c r="L512" s="25">
        <v>13.11</v>
      </c>
      <c r="M512" s="25">
        <v>1.88</v>
      </c>
      <c r="N512" s="25">
        <v>0</v>
      </c>
      <c r="O512" s="25">
        <v>31.17</v>
      </c>
      <c r="P512" s="25">
        <v>46.161099999999998</v>
      </c>
    </row>
    <row r="513" spans="1:16" x14ac:dyDescent="0.25">
      <c r="A513" s="26">
        <v>43629</v>
      </c>
      <c r="B513" s="25" t="s">
        <v>1077</v>
      </c>
      <c r="C513" s="25" t="s">
        <v>17</v>
      </c>
      <c r="D513" s="25">
        <v>500</v>
      </c>
      <c r="E513" s="25">
        <v>105.3</v>
      </c>
      <c r="F513" s="25">
        <v>52650</v>
      </c>
      <c r="G513" s="25" t="s">
        <v>1079</v>
      </c>
      <c r="H513" s="25">
        <v>2019111</v>
      </c>
      <c r="I513" s="25" t="s">
        <v>19</v>
      </c>
      <c r="J513" s="25" t="s">
        <v>20</v>
      </c>
      <c r="K513" s="25" t="s">
        <v>25</v>
      </c>
      <c r="L513" s="25">
        <v>0</v>
      </c>
      <c r="M513" s="25">
        <v>1.9</v>
      </c>
      <c r="N513" s="25">
        <v>0</v>
      </c>
      <c r="O513" s="25">
        <v>31.4</v>
      </c>
      <c r="P513" s="25">
        <v>33.295499999999997</v>
      </c>
    </row>
    <row r="514" spans="1:16" x14ac:dyDescent="0.25">
      <c r="A514" s="26">
        <v>43629</v>
      </c>
      <c r="B514" s="25" t="s">
        <v>849</v>
      </c>
      <c r="C514" s="25" t="s">
        <v>23</v>
      </c>
      <c r="D514" s="25">
        <v>20</v>
      </c>
      <c r="E514" s="25">
        <v>98</v>
      </c>
      <c r="F514" s="25">
        <v>1960</v>
      </c>
      <c r="G514" s="25" t="s">
        <v>1080</v>
      </c>
      <c r="H514" s="25">
        <v>2019111</v>
      </c>
      <c r="I514" s="25" t="s">
        <v>19</v>
      </c>
      <c r="J514" s="25" t="s">
        <v>20</v>
      </c>
      <c r="K514" s="25" t="s">
        <v>25</v>
      </c>
      <c r="L514" s="25">
        <v>1.96</v>
      </c>
      <c r="M514" s="25">
        <v>7.0000000000000007E-2</v>
      </c>
      <c r="N514" s="25">
        <v>0</v>
      </c>
      <c r="O514" s="25">
        <v>41.31</v>
      </c>
      <c r="P514" s="25">
        <v>43.340600000000002</v>
      </c>
    </row>
    <row r="515" spans="1:16" x14ac:dyDescent="0.25">
      <c r="A515" s="26">
        <v>43628</v>
      </c>
      <c r="B515" s="25" t="s">
        <v>1081</v>
      </c>
      <c r="C515" s="25" t="s">
        <v>17</v>
      </c>
      <c r="D515" s="25">
        <v>1000</v>
      </c>
      <c r="E515" s="25">
        <v>89.2</v>
      </c>
      <c r="F515" s="25">
        <v>89200</v>
      </c>
      <c r="G515" s="25" t="s">
        <v>1082</v>
      </c>
      <c r="H515" s="25">
        <v>2019110</v>
      </c>
      <c r="I515" s="25" t="s">
        <v>19</v>
      </c>
      <c r="J515" s="25" t="s">
        <v>20</v>
      </c>
      <c r="K515" s="25" t="s">
        <v>25</v>
      </c>
      <c r="L515" s="25">
        <v>0</v>
      </c>
      <c r="M515" s="25">
        <v>3.21</v>
      </c>
      <c r="N515" s="25">
        <v>0</v>
      </c>
      <c r="O515" s="25">
        <v>53.21</v>
      </c>
      <c r="P515" s="25">
        <v>56.421199999999999</v>
      </c>
    </row>
    <row r="516" spans="1:16" x14ac:dyDescent="0.25">
      <c r="A516" s="26">
        <v>43628</v>
      </c>
      <c r="B516" s="25" t="s">
        <v>1081</v>
      </c>
      <c r="C516" s="25" t="s">
        <v>23</v>
      </c>
      <c r="D516" s="25">
        <v>1000</v>
      </c>
      <c r="E516" s="25">
        <v>88</v>
      </c>
      <c r="F516" s="25">
        <v>88000</v>
      </c>
      <c r="G516" s="25" t="s">
        <v>1083</v>
      </c>
      <c r="H516" s="25">
        <v>2019110</v>
      </c>
      <c r="I516" s="25" t="s">
        <v>19</v>
      </c>
      <c r="J516" s="25" t="s">
        <v>20</v>
      </c>
      <c r="K516" s="25" t="s">
        <v>25</v>
      </c>
      <c r="L516" s="25">
        <v>22.14</v>
      </c>
      <c r="M516" s="25">
        <v>3.17</v>
      </c>
      <c r="N516" s="25">
        <v>31.8</v>
      </c>
      <c r="O516" s="25">
        <v>52.48</v>
      </c>
      <c r="P516" s="25">
        <v>109.58799999999999</v>
      </c>
    </row>
    <row r="517" spans="1:16" x14ac:dyDescent="0.25">
      <c r="A517" s="26">
        <v>43628</v>
      </c>
      <c r="B517" s="25" t="s">
        <v>1081</v>
      </c>
      <c r="C517" s="25" t="s">
        <v>23</v>
      </c>
      <c r="D517" s="25">
        <v>5000</v>
      </c>
      <c r="E517" s="25">
        <v>88</v>
      </c>
      <c r="F517" s="25">
        <v>440000</v>
      </c>
      <c r="G517" s="25" t="s">
        <v>1084</v>
      </c>
      <c r="H517" s="25">
        <v>2019110</v>
      </c>
      <c r="I517" s="25" t="s">
        <v>19</v>
      </c>
      <c r="J517" s="25" t="s">
        <v>20</v>
      </c>
      <c r="K517" s="25" t="s">
        <v>25</v>
      </c>
      <c r="L517" s="25">
        <v>109.86</v>
      </c>
      <c r="M517" s="25">
        <v>15.84</v>
      </c>
      <c r="N517" s="25">
        <v>0</v>
      </c>
      <c r="O517" s="25">
        <v>262.45</v>
      </c>
      <c r="P517" s="25">
        <v>388.15</v>
      </c>
    </row>
    <row r="518" spans="1:16" x14ac:dyDescent="0.25">
      <c r="A518" s="26">
        <v>43628</v>
      </c>
      <c r="B518" s="25" t="s">
        <v>1081</v>
      </c>
      <c r="C518" s="25" t="s">
        <v>17</v>
      </c>
      <c r="D518" s="25">
        <v>5000</v>
      </c>
      <c r="E518" s="25">
        <v>87.5</v>
      </c>
      <c r="F518" s="25">
        <v>437500</v>
      </c>
      <c r="G518" s="25" t="s">
        <v>1085</v>
      </c>
      <c r="H518" s="25">
        <v>2019110</v>
      </c>
      <c r="I518" s="25" t="s">
        <v>19</v>
      </c>
      <c r="J518" s="25" t="s">
        <v>20</v>
      </c>
      <c r="K518" s="25" t="s">
        <v>25</v>
      </c>
      <c r="L518" s="25">
        <v>0</v>
      </c>
      <c r="M518" s="25">
        <v>15.75</v>
      </c>
      <c r="N518" s="25">
        <v>0</v>
      </c>
      <c r="O518" s="25">
        <v>260.95999999999998</v>
      </c>
      <c r="P518" s="25">
        <v>276.70999999999998</v>
      </c>
    </row>
    <row r="519" spans="1:16" x14ac:dyDescent="0.25">
      <c r="A519" s="26">
        <v>43627</v>
      </c>
      <c r="B519" s="25" t="s">
        <v>1086</v>
      </c>
      <c r="C519" s="25" t="s">
        <v>23</v>
      </c>
      <c r="D519" s="25">
        <v>1000</v>
      </c>
      <c r="E519" s="25">
        <v>94.5</v>
      </c>
      <c r="F519" s="25">
        <v>94500</v>
      </c>
      <c r="G519" s="25" t="s">
        <v>1087</v>
      </c>
      <c r="H519" s="25">
        <v>2019109</v>
      </c>
      <c r="I519" s="25" t="s">
        <v>19</v>
      </c>
      <c r="J519" s="25" t="s">
        <v>20</v>
      </c>
      <c r="K519" s="25" t="s">
        <v>25</v>
      </c>
      <c r="L519" s="25">
        <v>23.63</v>
      </c>
      <c r="M519" s="25">
        <v>3.4</v>
      </c>
      <c r="N519" s="25">
        <v>0</v>
      </c>
      <c r="O519" s="25">
        <v>56.36</v>
      </c>
      <c r="P519" s="25">
        <v>83.391999999999996</v>
      </c>
    </row>
    <row r="520" spans="1:16" x14ac:dyDescent="0.25">
      <c r="A520" s="26">
        <v>43627</v>
      </c>
      <c r="B520" s="25" t="s">
        <v>1086</v>
      </c>
      <c r="C520" s="25" t="s">
        <v>17</v>
      </c>
      <c r="D520" s="25">
        <v>1000</v>
      </c>
      <c r="E520" s="25">
        <v>94.5</v>
      </c>
      <c r="F520" s="25">
        <v>94500</v>
      </c>
      <c r="G520" s="25" t="s">
        <v>1088</v>
      </c>
      <c r="H520" s="25">
        <v>2019109</v>
      </c>
      <c r="I520" s="25" t="s">
        <v>19</v>
      </c>
      <c r="J520" s="25" t="s">
        <v>20</v>
      </c>
      <c r="K520" s="25" t="s">
        <v>25</v>
      </c>
      <c r="L520" s="25">
        <v>0</v>
      </c>
      <c r="M520" s="25">
        <v>3.4</v>
      </c>
      <c r="N520" s="25">
        <v>0</v>
      </c>
      <c r="O520" s="25">
        <v>56.37</v>
      </c>
      <c r="P520" s="25">
        <v>59.771999999999998</v>
      </c>
    </row>
    <row r="521" spans="1:16" x14ac:dyDescent="0.25">
      <c r="A521" s="26">
        <v>43627</v>
      </c>
      <c r="B521" s="25" t="s">
        <v>291</v>
      </c>
      <c r="C521" s="25" t="s">
        <v>17</v>
      </c>
      <c r="D521" s="25">
        <v>2000</v>
      </c>
      <c r="E521" s="25">
        <v>109.25</v>
      </c>
      <c r="F521" s="25">
        <v>218500</v>
      </c>
      <c r="G521" s="25" t="s">
        <v>1089</v>
      </c>
      <c r="H521" s="25">
        <v>2019109</v>
      </c>
      <c r="I521" s="25" t="s">
        <v>19</v>
      </c>
      <c r="J521" s="25" t="s">
        <v>20</v>
      </c>
      <c r="K521" s="25" t="s">
        <v>25</v>
      </c>
      <c r="L521" s="25">
        <v>0</v>
      </c>
      <c r="M521" s="25">
        <v>7.87</v>
      </c>
      <c r="N521" s="25">
        <v>0</v>
      </c>
      <c r="O521" s="25">
        <v>130.33000000000001</v>
      </c>
      <c r="P521" s="25">
        <v>138.19589999999999</v>
      </c>
    </row>
    <row r="522" spans="1:16" x14ac:dyDescent="0.25">
      <c r="A522" s="26">
        <v>43627</v>
      </c>
      <c r="B522" s="25" t="s">
        <v>291</v>
      </c>
      <c r="C522" s="25" t="s">
        <v>23</v>
      </c>
      <c r="D522" s="25">
        <v>2000</v>
      </c>
      <c r="E522" s="25">
        <v>110</v>
      </c>
      <c r="F522" s="25">
        <v>220000</v>
      </c>
      <c r="G522" s="25" t="s">
        <v>1090</v>
      </c>
      <c r="H522" s="25">
        <v>2019109</v>
      </c>
      <c r="I522" s="25" t="s">
        <v>19</v>
      </c>
      <c r="J522" s="25" t="s">
        <v>20</v>
      </c>
      <c r="K522" s="25" t="s">
        <v>25</v>
      </c>
      <c r="L522" s="25">
        <v>54.81</v>
      </c>
      <c r="M522" s="25">
        <v>7.92</v>
      </c>
      <c r="N522" s="25">
        <v>0</v>
      </c>
      <c r="O522" s="25">
        <v>131.22</v>
      </c>
      <c r="P522" s="25">
        <v>193.95</v>
      </c>
    </row>
    <row r="523" spans="1:16" x14ac:dyDescent="0.25">
      <c r="A523" s="26">
        <v>43627</v>
      </c>
      <c r="B523" s="25" t="s">
        <v>1091</v>
      </c>
      <c r="C523" s="25" t="s">
        <v>17</v>
      </c>
      <c r="D523" s="25">
        <v>100</v>
      </c>
      <c r="E523" s="25">
        <v>329</v>
      </c>
      <c r="F523" s="25">
        <v>32900</v>
      </c>
      <c r="G523" s="25" t="s">
        <v>1092</v>
      </c>
      <c r="H523" s="25">
        <v>2019109</v>
      </c>
      <c r="I523" s="25" t="s">
        <v>19</v>
      </c>
      <c r="J523" s="25" t="s">
        <v>20</v>
      </c>
      <c r="K523" s="25" t="s">
        <v>25</v>
      </c>
      <c r="L523" s="25">
        <v>0</v>
      </c>
      <c r="M523" s="25">
        <v>1.18</v>
      </c>
      <c r="N523" s="25">
        <v>0</v>
      </c>
      <c r="O523" s="25">
        <v>29.71</v>
      </c>
      <c r="P523" s="25">
        <v>30.894400000000001</v>
      </c>
    </row>
    <row r="524" spans="1:16" x14ac:dyDescent="0.25">
      <c r="A524" s="26">
        <v>43627</v>
      </c>
      <c r="B524" s="25" t="s">
        <v>1081</v>
      </c>
      <c r="C524" s="25" t="s">
        <v>17</v>
      </c>
      <c r="D524" s="25">
        <v>2000</v>
      </c>
      <c r="E524" s="25">
        <v>88.5</v>
      </c>
      <c r="F524" s="25">
        <v>177000</v>
      </c>
      <c r="G524" s="25" t="s">
        <v>1093</v>
      </c>
      <c r="H524" s="25">
        <v>2019109</v>
      </c>
      <c r="I524" s="25" t="s">
        <v>19</v>
      </c>
      <c r="J524" s="25" t="s">
        <v>20</v>
      </c>
      <c r="K524" s="25" t="s">
        <v>25</v>
      </c>
      <c r="L524" s="25">
        <v>0</v>
      </c>
      <c r="M524" s="25">
        <v>6.37</v>
      </c>
      <c r="N524" s="25">
        <v>31.5</v>
      </c>
      <c r="O524" s="25">
        <v>105.59</v>
      </c>
      <c r="P524" s="25">
        <v>143.4623</v>
      </c>
    </row>
    <row r="525" spans="1:16" x14ac:dyDescent="0.25">
      <c r="A525" s="26">
        <v>43627</v>
      </c>
      <c r="B525" s="25" t="s">
        <v>1081</v>
      </c>
      <c r="C525" s="25" t="s">
        <v>23</v>
      </c>
      <c r="D525" s="25">
        <v>2000</v>
      </c>
      <c r="E525" s="25">
        <v>89.1</v>
      </c>
      <c r="F525" s="25">
        <v>178200</v>
      </c>
      <c r="G525" s="25" t="s">
        <v>1094</v>
      </c>
      <c r="H525" s="25">
        <v>2019109</v>
      </c>
      <c r="I525" s="25" t="s">
        <v>19</v>
      </c>
      <c r="J525" s="25" t="s">
        <v>20</v>
      </c>
      <c r="K525" s="25" t="s">
        <v>25</v>
      </c>
      <c r="L525" s="25">
        <v>44.4</v>
      </c>
      <c r="M525" s="25">
        <v>6.42</v>
      </c>
      <c r="N525" s="25">
        <v>0</v>
      </c>
      <c r="O525" s="25">
        <v>106.29</v>
      </c>
      <c r="P525" s="25">
        <v>157.1052</v>
      </c>
    </row>
    <row r="526" spans="1:16" x14ac:dyDescent="0.25">
      <c r="A526" s="26">
        <v>43627</v>
      </c>
      <c r="B526" s="25" t="s">
        <v>1091</v>
      </c>
      <c r="C526" s="25" t="s">
        <v>23</v>
      </c>
      <c r="D526" s="25">
        <v>100</v>
      </c>
      <c r="E526" s="25">
        <v>327.23</v>
      </c>
      <c r="F526" s="25">
        <v>32723.25</v>
      </c>
      <c r="G526" s="25" t="s">
        <v>1095</v>
      </c>
      <c r="H526" s="25">
        <v>2019109</v>
      </c>
      <c r="I526" s="25" t="s">
        <v>19</v>
      </c>
      <c r="J526" s="25" t="s">
        <v>20</v>
      </c>
      <c r="K526" s="25" t="s">
        <v>25</v>
      </c>
      <c r="L526" s="25">
        <v>8.16</v>
      </c>
      <c r="M526" s="25">
        <v>1.18</v>
      </c>
      <c r="N526" s="25">
        <v>0</v>
      </c>
      <c r="O526" s="25">
        <v>29.71</v>
      </c>
      <c r="P526" s="25">
        <v>39.048000000000002</v>
      </c>
    </row>
    <row r="527" spans="1:16" x14ac:dyDescent="0.25">
      <c r="A527" s="26">
        <v>43626</v>
      </c>
      <c r="B527" s="25" t="s">
        <v>1096</v>
      </c>
      <c r="C527" s="25" t="s">
        <v>17</v>
      </c>
      <c r="D527" s="25">
        <v>10</v>
      </c>
      <c r="E527" s="25">
        <v>3536</v>
      </c>
      <c r="F527" s="25">
        <v>35360</v>
      </c>
      <c r="G527" s="25" t="s">
        <v>1097</v>
      </c>
      <c r="H527" s="25">
        <v>2019108</v>
      </c>
      <c r="I527" s="25" t="s">
        <v>19</v>
      </c>
      <c r="J527" s="25" t="s">
        <v>20</v>
      </c>
      <c r="K527" s="25" t="s">
        <v>25</v>
      </c>
      <c r="L527" s="25">
        <v>0</v>
      </c>
      <c r="M527" s="25">
        <v>1.27</v>
      </c>
      <c r="N527" s="25">
        <v>0</v>
      </c>
      <c r="O527" s="25">
        <v>29.73</v>
      </c>
      <c r="P527" s="25">
        <v>31.003</v>
      </c>
    </row>
    <row r="528" spans="1:16" x14ac:dyDescent="0.25">
      <c r="A528" s="26">
        <v>43626</v>
      </c>
      <c r="B528" s="25" t="s">
        <v>1098</v>
      </c>
      <c r="C528" s="25" t="s">
        <v>23</v>
      </c>
      <c r="D528" s="25">
        <v>50</v>
      </c>
      <c r="E528" s="25">
        <v>1346</v>
      </c>
      <c r="F528" s="25">
        <v>67300</v>
      </c>
      <c r="G528" s="25" t="s">
        <v>1099</v>
      </c>
      <c r="H528" s="25">
        <v>2019108</v>
      </c>
      <c r="I528" s="25" t="s">
        <v>19</v>
      </c>
      <c r="J528" s="25" t="s">
        <v>20</v>
      </c>
      <c r="K528" s="25" t="s">
        <v>25</v>
      </c>
      <c r="L528" s="25">
        <v>16.77</v>
      </c>
      <c r="M528" s="25">
        <v>2.42</v>
      </c>
      <c r="N528" s="25">
        <v>0</v>
      </c>
      <c r="O528" s="25">
        <v>40.14</v>
      </c>
      <c r="P528" s="25">
        <v>59.332799999999999</v>
      </c>
    </row>
    <row r="529" spans="1:16" x14ac:dyDescent="0.25">
      <c r="A529" s="26">
        <v>43626</v>
      </c>
      <c r="B529" s="25" t="s">
        <v>1098</v>
      </c>
      <c r="C529" s="25" t="s">
        <v>23</v>
      </c>
      <c r="D529" s="25">
        <v>50</v>
      </c>
      <c r="E529" s="25">
        <v>1341</v>
      </c>
      <c r="F529" s="25">
        <v>67050</v>
      </c>
      <c r="G529" s="25" t="s">
        <v>1100</v>
      </c>
      <c r="H529" s="25">
        <v>2019108</v>
      </c>
      <c r="I529" s="25" t="s">
        <v>19</v>
      </c>
      <c r="J529" s="25" t="s">
        <v>20</v>
      </c>
      <c r="K529" s="25" t="s">
        <v>25</v>
      </c>
      <c r="L529" s="25">
        <v>16.77</v>
      </c>
      <c r="M529" s="25">
        <v>2.41</v>
      </c>
      <c r="N529" s="25">
        <v>0</v>
      </c>
      <c r="O529" s="25">
        <v>39.99</v>
      </c>
      <c r="P529" s="25">
        <v>59.173900000000003</v>
      </c>
    </row>
    <row r="530" spans="1:16" x14ac:dyDescent="0.25">
      <c r="A530" s="26">
        <v>43626</v>
      </c>
      <c r="B530" s="25" t="s">
        <v>1101</v>
      </c>
      <c r="C530" s="25" t="s">
        <v>23</v>
      </c>
      <c r="D530" s="25">
        <v>100</v>
      </c>
      <c r="E530" s="25">
        <v>412</v>
      </c>
      <c r="F530" s="25">
        <v>41200</v>
      </c>
      <c r="G530" s="25" t="s">
        <v>1102</v>
      </c>
      <c r="H530" s="25">
        <v>2019108</v>
      </c>
      <c r="I530" s="25" t="s">
        <v>19</v>
      </c>
      <c r="J530" s="25" t="s">
        <v>20</v>
      </c>
      <c r="K530" s="25" t="s">
        <v>25</v>
      </c>
      <c r="L530" s="25">
        <v>10.28</v>
      </c>
      <c r="M530" s="25">
        <v>1.48</v>
      </c>
      <c r="N530" s="25">
        <v>0</v>
      </c>
      <c r="O530" s="25">
        <v>29.77</v>
      </c>
      <c r="P530" s="25">
        <v>41.533200000000001</v>
      </c>
    </row>
    <row r="531" spans="1:16" x14ac:dyDescent="0.25">
      <c r="A531" s="26">
        <v>43626</v>
      </c>
      <c r="B531" s="25" t="s">
        <v>1101</v>
      </c>
      <c r="C531" s="25" t="s">
        <v>17</v>
      </c>
      <c r="D531" s="25">
        <v>100</v>
      </c>
      <c r="E531" s="25">
        <v>410</v>
      </c>
      <c r="F531" s="25">
        <v>41000</v>
      </c>
      <c r="G531" s="25" t="s">
        <v>1103</v>
      </c>
      <c r="H531" s="25">
        <v>2019108</v>
      </c>
      <c r="I531" s="25" t="s">
        <v>19</v>
      </c>
      <c r="J531" s="25" t="s">
        <v>20</v>
      </c>
      <c r="K531" s="25" t="s">
        <v>25</v>
      </c>
      <c r="L531" s="25">
        <v>0</v>
      </c>
      <c r="M531" s="25">
        <v>1.48</v>
      </c>
      <c r="N531" s="25">
        <v>0</v>
      </c>
      <c r="O531" s="25">
        <v>29.77</v>
      </c>
      <c r="P531" s="25">
        <v>31.245999999999999</v>
      </c>
    </row>
    <row r="532" spans="1:16" x14ac:dyDescent="0.25">
      <c r="A532" s="26">
        <v>43626</v>
      </c>
      <c r="B532" s="25" t="s">
        <v>1098</v>
      </c>
      <c r="C532" s="25" t="s">
        <v>17</v>
      </c>
      <c r="D532" s="25">
        <v>100</v>
      </c>
      <c r="E532" s="25">
        <v>1340</v>
      </c>
      <c r="F532" s="25">
        <v>134000</v>
      </c>
      <c r="G532" s="25" t="s">
        <v>1104</v>
      </c>
      <c r="H532" s="25">
        <v>2019108</v>
      </c>
      <c r="I532" s="25" t="s">
        <v>19</v>
      </c>
      <c r="J532" s="25" t="s">
        <v>20</v>
      </c>
      <c r="K532" s="25" t="s">
        <v>25</v>
      </c>
      <c r="L532" s="25">
        <v>0</v>
      </c>
      <c r="M532" s="25">
        <v>4.82</v>
      </c>
      <c r="N532" s="25">
        <v>0</v>
      </c>
      <c r="O532" s="25">
        <v>79.930000000000007</v>
      </c>
      <c r="P532" s="25">
        <v>84.754000000000005</v>
      </c>
    </row>
    <row r="533" spans="1:16" x14ac:dyDescent="0.25">
      <c r="A533" s="26">
        <v>43626</v>
      </c>
      <c r="B533" s="25" t="s">
        <v>1105</v>
      </c>
      <c r="C533" s="25" t="s">
        <v>23</v>
      </c>
      <c r="D533" s="25">
        <v>100</v>
      </c>
      <c r="E533" s="25">
        <v>961</v>
      </c>
      <c r="F533" s="25">
        <v>96100</v>
      </c>
      <c r="G533" s="25" t="s">
        <v>1106</v>
      </c>
      <c r="H533" s="25">
        <v>2019108</v>
      </c>
      <c r="I533" s="25" t="s">
        <v>19</v>
      </c>
      <c r="J533" s="25" t="s">
        <v>20</v>
      </c>
      <c r="K533" s="25" t="s">
        <v>25</v>
      </c>
      <c r="L533" s="25">
        <v>24.05</v>
      </c>
      <c r="M533" s="25">
        <v>3.46</v>
      </c>
      <c r="N533" s="25">
        <v>0</v>
      </c>
      <c r="O533" s="25">
        <v>57.33</v>
      </c>
      <c r="P533" s="25">
        <v>84.839600000000004</v>
      </c>
    </row>
    <row r="534" spans="1:16" x14ac:dyDescent="0.25">
      <c r="A534" s="26">
        <v>43626</v>
      </c>
      <c r="B534" s="25" t="s">
        <v>1107</v>
      </c>
      <c r="C534" s="25" t="s">
        <v>23</v>
      </c>
      <c r="D534" s="25">
        <v>590</v>
      </c>
      <c r="E534" s="25">
        <v>186.5</v>
      </c>
      <c r="F534" s="25">
        <v>110035</v>
      </c>
      <c r="G534" s="25" t="s">
        <v>1108</v>
      </c>
      <c r="H534" s="25">
        <v>2019108</v>
      </c>
      <c r="I534" s="25" t="s">
        <v>19</v>
      </c>
      <c r="J534" s="25" t="s">
        <v>20</v>
      </c>
      <c r="K534" s="25" t="s">
        <v>25</v>
      </c>
      <c r="L534" s="25">
        <v>27.54</v>
      </c>
      <c r="M534" s="25">
        <v>3.96</v>
      </c>
      <c r="N534" s="25">
        <v>0</v>
      </c>
      <c r="O534" s="25">
        <v>65.63</v>
      </c>
      <c r="P534" s="25">
        <v>97.131299999999996</v>
      </c>
    </row>
    <row r="535" spans="1:16" x14ac:dyDescent="0.25">
      <c r="A535" s="26">
        <v>43626</v>
      </c>
      <c r="B535" s="25" t="s">
        <v>1109</v>
      </c>
      <c r="C535" s="25" t="s">
        <v>23</v>
      </c>
      <c r="D535" s="25">
        <v>200</v>
      </c>
      <c r="E535" s="25">
        <v>155</v>
      </c>
      <c r="F535" s="25">
        <v>31000</v>
      </c>
      <c r="G535" s="25" t="s">
        <v>1110</v>
      </c>
      <c r="H535" s="25">
        <v>2019108</v>
      </c>
      <c r="I535" s="25" t="s">
        <v>19</v>
      </c>
      <c r="J535" s="25" t="s">
        <v>20</v>
      </c>
      <c r="K535" s="25" t="s">
        <v>25</v>
      </c>
      <c r="L535" s="25">
        <v>7.79</v>
      </c>
      <c r="M535" s="25">
        <v>1.1200000000000001</v>
      </c>
      <c r="N535" s="25">
        <v>0</v>
      </c>
      <c r="O535" s="25">
        <v>29.7</v>
      </c>
      <c r="P535" s="25">
        <v>38.606000000000002</v>
      </c>
    </row>
    <row r="536" spans="1:16" x14ac:dyDescent="0.25">
      <c r="A536" s="26">
        <v>43626</v>
      </c>
      <c r="B536" s="25" t="s">
        <v>1107</v>
      </c>
      <c r="C536" s="25" t="s">
        <v>17</v>
      </c>
      <c r="D536" s="25">
        <v>590</v>
      </c>
      <c r="E536" s="25">
        <v>189</v>
      </c>
      <c r="F536" s="25">
        <v>111510</v>
      </c>
      <c r="G536" s="25" t="s">
        <v>1111</v>
      </c>
      <c r="H536" s="25">
        <v>2019108</v>
      </c>
      <c r="I536" s="25" t="s">
        <v>19</v>
      </c>
      <c r="J536" s="25" t="s">
        <v>20</v>
      </c>
      <c r="K536" s="25" t="s">
        <v>25</v>
      </c>
      <c r="L536" s="25">
        <v>0</v>
      </c>
      <c r="M536" s="25">
        <v>4.01</v>
      </c>
      <c r="N536" s="25">
        <v>27</v>
      </c>
      <c r="O536" s="25">
        <v>66.510000000000005</v>
      </c>
      <c r="P536" s="25">
        <v>97.5244</v>
      </c>
    </row>
    <row r="537" spans="1:16" x14ac:dyDescent="0.25">
      <c r="A537" s="26">
        <v>43626</v>
      </c>
      <c r="B537" s="25" t="s">
        <v>1105</v>
      </c>
      <c r="C537" s="25" t="s">
        <v>17</v>
      </c>
      <c r="D537" s="25">
        <v>100</v>
      </c>
      <c r="E537" s="25">
        <v>962.6</v>
      </c>
      <c r="F537" s="25">
        <v>96260</v>
      </c>
      <c r="G537" s="25" t="s">
        <v>1112</v>
      </c>
      <c r="H537" s="25">
        <v>2019108</v>
      </c>
      <c r="I537" s="25" t="s">
        <v>19</v>
      </c>
      <c r="J537" s="25" t="s">
        <v>20</v>
      </c>
      <c r="K537" s="25" t="s">
        <v>25</v>
      </c>
      <c r="L537" s="25">
        <v>0</v>
      </c>
      <c r="M537" s="25">
        <v>3.47</v>
      </c>
      <c r="N537" s="25">
        <v>0</v>
      </c>
      <c r="O537" s="25">
        <v>57.42</v>
      </c>
      <c r="P537" s="25">
        <v>60.885399999999997</v>
      </c>
    </row>
    <row r="538" spans="1:16" x14ac:dyDescent="0.25">
      <c r="A538" s="26">
        <v>43626</v>
      </c>
      <c r="B538" s="25" t="s">
        <v>1096</v>
      </c>
      <c r="C538" s="25" t="s">
        <v>23</v>
      </c>
      <c r="D538" s="25">
        <v>10</v>
      </c>
      <c r="E538" s="25">
        <v>3511</v>
      </c>
      <c r="F538" s="25">
        <v>35110</v>
      </c>
      <c r="G538" s="25" t="s">
        <v>1113</v>
      </c>
      <c r="H538" s="25">
        <v>2019108</v>
      </c>
      <c r="I538" s="25" t="s">
        <v>19</v>
      </c>
      <c r="J538" s="25" t="s">
        <v>20</v>
      </c>
      <c r="K538" s="25" t="s">
        <v>25</v>
      </c>
      <c r="L538" s="25">
        <v>8.81</v>
      </c>
      <c r="M538" s="25">
        <v>1.26</v>
      </c>
      <c r="N538" s="25">
        <v>0</v>
      </c>
      <c r="O538" s="25">
        <v>29.73</v>
      </c>
      <c r="P538" s="25">
        <v>39.804000000000002</v>
      </c>
    </row>
    <row r="539" spans="1:16" x14ac:dyDescent="0.25">
      <c r="A539" s="26">
        <v>43626</v>
      </c>
      <c r="B539" s="25" t="s">
        <v>1109</v>
      </c>
      <c r="C539" s="25" t="s">
        <v>17</v>
      </c>
      <c r="D539" s="25">
        <v>200</v>
      </c>
      <c r="E539" s="25">
        <v>156.68</v>
      </c>
      <c r="F539" s="25">
        <v>31335.599999999999</v>
      </c>
      <c r="G539" s="25" t="s">
        <v>1114</v>
      </c>
      <c r="H539" s="25">
        <v>2019108</v>
      </c>
      <c r="I539" s="25" t="s">
        <v>19</v>
      </c>
      <c r="J539" s="25" t="s">
        <v>20</v>
      </c>
      <c r="K539" s="25" t="s">
        <v>25</v>
      </c>
      <c r="L539" s="25">
        <v>0</v>
      </c>
      <c r="M539" s="25">
        <v>1.1299999999999999</v>
      </c>
      <c r="N539" s="25">
        <v>0</v>
      </c>
      <c r="O539" s="25">
        <v>29.71</v>
      </c>
      <c r="P539" s="25">
        <v>30.838200000000001</v>
      </c>
    </row>
    <row r="540" spans="1:16" x14ac:dyDescent="0.25">
      <c r="A540" s="26">
        <v>43623</v>
      </c>
      <c r="B540" s="25" t="s">
        <v>1115</v>
      </c>
      <c r="C540" s="25" t="s">
        <v>17</v>
      </c>
      <c r="D540" s="25">
        <v>74</v>
      </c>
      <c r="E540" s="25">
        <v>150.25</v>
      </c>
      <c r="F540" s="25">
        <v>11118.5</v>
      </c>
      <c r="G540" s="25" t="s">
        <v>1116</v>
      </c>
      <c r="H540" s="25">
        <v>2019107</v>
      </c>
      <c r="I540" s="25" t="s">
        <v>19</v>
      </c>
      <c r="J540" s="25" t="s">
        <v>20</v>
      </c>
      <c r="K540" s="25" t="s">
        <v>25</v>
      </c>
      <c r="L540" s="25">
        <v>0</v>
      </c>
      <c r="M540" s="25">
        <v>0.4</v>
      </c>
      <c r="N540" s="25">
        <v>0</v>
      </c>
      <c r="O540" s="25">
        <v>29.57</v>
      </c>
      <c r="P540" s="25">
        <v>29.970199999999998</v>
      </c>
    </row>
    <row r="541" spans="1:16" x14ac:dyDescent="0.25">
      <c r="A541" s="26">
        <v>43623</v>
      </c>
      <c r="B541" s="25" t="s">
        <v>1115</v>
      </c>
      <c r="C541" s="25" t="s">
        <v>23</v>
      </c>
      <c r="D541" s="25">
        <v>74</v>
      </c>
      <c r="E541" s="25">
        <v>151.05000000000001</v>
      </c>
      <c r="F541" s="25">
        <v>11177.7</v>
      </c>
      <c r="G541" s="25" t="s">
        <v>1117</v>
      </c>
      <c r="H541" s="25">
        <v>2019107</v>
      </c>
      <c r="I541" s="25" t="s">
        <v>19</v>
      </c>
      <c r="J541" s="25" t="s">
        <v>20</v>
      </c>
      <c r="K541" s="25" t="s">
        <v>25</v>
      </c>
      <c r="L541" s="25">
        <v>2.79</v>
      </c>
      <c r="M541" s="25">
        <v>0.4</v>
      </c>
      <c r="N541" s="25">
        <v>0</v>
      </c>
      <c r="O541" s="25">
        <v>29.57</v>
      </c>
      <c r="P541" s="25">
        <v>32.7624</v>
      </c>
    </row>
    <row r="542" spans="1:16" x14ac:dyDescent="0.25">
      <c r="A542" s="26">
        <v>43623</v>
      </c>
      <c r="B542" s="25" t="s">
        <v>1054</v>
      </c>
      <c r="C542" s="25" t="s">
        <v>23</v>
      </c>
      <c r="D542" s="25">
        <v>100</v>
      </c>
      <c r="E542" s="25">
        <v>485.5</v>
      </c>
      <c r="F542" s="25">
        <v>48550</v>
      </c>
      <c r="G542" s="25" t="s">
        <v>1118</v>
      </c>
      <c r="H542" s="25">
        <v>2019107</v>
      </c>
      <c r="I542" s="25" t="s">
        <v>19</v>
      </c>
      <c r="J542" s="25" t="s">
        <v>20</v>
      </c>
      <c r="K542" s="25" t="s">
        <v>25</v>
      </c>
      <c r="L542" s="25">
        <v>12.1</v>
      </c>
      <c r="M542" s="25">
        <v>1.75</v>
      </c>
      <c r="N542" s="25">
        <v>6.6</v>
      </c>
      <c r="O542" s="25">
        <v>29.82</v>
      </c>
      <c r="P542" s="25">
        <v>50.267800000000001</v>
      </c>
    </row>
    <row r="543" spans="1:16" x14ac:dyDescent="0.25">
      <c r="A543" s="26">
        <v>43623</v>
      </c>
      <c r="B543" s="25" t="s">
        <v>1054</v>
      </c>
      <c r="C543" s="25" t="s">
        <v>17</v>
      </c>
      <c r="D543" s="25">
        <v>200</v>
      </c>
      <c r="E543" s="25">
        <v>483</v>
      </c>
      <c r="F543" s="25">
        <v>96600</v>
      </c>
      <c r="G543" s="25" t="s">
        <v>1119</v>
      </c>
      <c r="H543" s="25">
        <v>2019107</v>
      </c>
      <c r="I543" s="25" t="s">
        <v>19</v>
      </c>
      <c r="J543" s="25" t="s">
        <v>20</v>
      </c>
      <c r="K543" s="25" t="s">
        <v>25</v>
      </c>
      <c r="L543" s="25">
        <v>0</v>
      </c>
      <c r="M543" s="25">
        <v>3.48</v>
      </c>
      <c r="N543" s="25">
        <v>0</v>
      </c>
      <c r="O543" s="25">
        <v>57.62</v>
      </c>
      <c r="P543" s="25">
        <v>61.0976</v>
      </c>
    </row>
    <row r="544" spans="1:16" x14ac:dyDescent="0.25">
      <c r="A544" s="26">
        <v>43623</v>
      </c>
      <c r="B544" s="25" t="s">
        <v>1054</v>
      </c>
      <c r="C544" s="25" t="s">
        <v>23</v>
      </c>
      <c r="D544" s="25">
        <v>100</v>
      </c>
      <c r="E544" s="25">
        <v>487</v>
      </c>
      <c r="F544" s="25">
        <v>48700</v>
      </c>
      <c r="G544" s="25" t="s">
        <v>1120</v>
      </c>
      <c r="H544" s="25">
        <v>2019107</v>
      </c>
      <c r="I544" s="25" t="s">
        <v>19</v>
      </c>
      <c r="J544" s="25" t="s">
        <v>20</v>
      </c>
      <c r="K544" s="25" t="s">
        <v>25</v>
      </c>
      <c r="L544" s="25">
        <v>12.12</v>
      </c>
      <c r="M544" s="25">
        <v>1.75</v>
      </c>
      <c r="N544" s="25">
        <v>0</v>
      </c>
      <c r="O544" s="25">
        <v>29.81</v>
      </c>
      <c r="P544" s="25">
        <v>43.683300000000003</v>
      </c>
    </row>
    <row r="545" spans="1:16" x14ac:dyDescent="0.25">
      <c r="A545" s="26">
        <v>43622</v>
      </c>
      <c r="B545" s="25" t="s">
        <v>1121</v>
      </c>
      <c r="C545" s="25" t="s">
        <v>23</v>
      </c>
      <c r="D545" s="25">
        <v>100</v>
      </c>
      <c r="E545" s="25">
        <v>1635.07</v>
      </c>
      <c r="F545" s="25">
        <v>163507.4</v>
      </c>
      <c r="G545" s="25" t="s">
        <v>1122</v>
      </c>
      <c r="H545" s="25">
        <v>2019106</v>
      </c>
      <c r="I545" s="25" t="s">
        <v>19</v>
      </c>
      <c r="J545" s="25" t="s">
        <v>20</v>
      </c>
      <c r="K545" s="25" t="s">
        <v>25</v>
      </c>
      <c r="L545" s="25">
        <v>40.69</v>
      </c>
      <c r="M545" s="25">
        <v>5.89</v>
      </c>
      <c r="N545" s="25">
        <v>0</v>
      </c>
      <c r="O545" s="25">
        <v>97.55</v>
      </c>
      <c r="P545" s="25">
        <v>144.126</v>
      </c>
    </row>
    <row r="546" spans="1:16" x14ac:dyDescent="0.25">
      <c r="A546" s="26">
        <v>43622</v>
      </c>
      <c r="B546" s="25" t="s">
        <v>1121</v>
      </c>
      <c r="C546" s="25" t="s">
        <v>17</v>
      </c>
      <c r="D546" s="25">
        <v>100</v>
      </c>
      <c r="E546" s="25">
        <v>1639</v>
      </c>
      <c r="F546" s="25">
        <v>163900</v>
      </c>
      <c r="G546" s="25" t="s">
        <v>1123</v>
      </c>
      <c r="H546" s="25">
        <v>2019106</v>
      </c>
      <c r="I546" s="25" t="s">
        <v>19</v>
      </c>
      <c r="J546" s="25" t="s">
        <v>20</v>
      </c>
      <c r="K546" s="25" t="s">
        <v>25</v>
      </c>
      <c r="L546" s="25">
        <v>0</v>
      </c>
      <c r="M546" s="25">
        <v>5.9</v>
      </c>
      <c r="N546" s="25">
        <v>0</v>
      </c>
      <c r="O546" s="25">
        <v>97.77</v>
      </c>
      <c r="P546" s="25">
        <v>103.6704</v>
      </c>
    </row>
    <row r="547" spans="1:16" x14ac:dyDescent="0.25">
      <c r="A547" s="26">
        <v>43622</v>
      </c>
      <c r="B547" s="25" t="s">
        <v>1121</v>
      </c>
      <c r="C547" s="25" t="s">
        <v>23</v>
      </c>
      <c r="D547" s="25">
        <v>200</v>
      </c>
      <c r="E547" s="25">
        <v>1635.78</v>
      </c>
      <c r="F547" s="25">
        <v>327156.40000000002</v>
      </c>
      <c r="G547" s="25" t="s">
        <v>1124</v>
      </c>
      <c r="H547" s="25">
        <v>2019106</v>
      </c>
      <c r="I547" s="25" t="s">
        <v>19</v>
      </c>
      <c r="J547" s="25" t="s">
        <v>20</v>
      </c>
      <c r="K547" s="25" t="s">
        <v>25</v>
      </c>
      <c r="L547" s="25">
        <v>81.73</v>
      </c>
      <c r="M547" s="25">
        <v>11.78</v>
      </c>
      <c r="N547" s="25">
        <v>0</v>
      </c>
      <c r="O547" s="25">
        <v>195.14</v>
      </c>
      <c r="P547" s="25">
        <v>288.64749999999998</v>
      </c>
    </row>
    <row r="548" spans="1:16" x14ac:dyDescent="0.25">
      <c r="A548" s="26">
        <v>43622</v>
      </c>
      <c r="B548" s="25" t="s">
        <v>1121</v>
      </c>
      <c r="C548" s="25" t="s">
        <v>17</v>
      </c>
      <c r="D548" s="25">
        <v>200</v>
      </c>
      <c r="E548" s="25">
        <v>1631</v>
      </c>
      <c r="F548" s="25">
        <v>326200</v>
      </c>
      <c r="G548" s="25" t="s">
        <v>1125</v>
      </c>
      <c r="H548" s="25">
        <v>2019106</v>
      </c>
      <c r="I548" s="25" t="s">
        <v>19</v>
      </c>
      <c r="J548" s="25" t="s">
        <v>20</v>
      </c>
      <c r="K548" s="25" t="s">
        <v>25</v>
      </c>
      <c r="L548" s="25">
        <v>0</v>
      </c>
      <c r="M548" s="25">
        <v>11.74</v>
      </c>
      <c r="N548" s="25">
        <v>0</v>
      </c>
      <c r="O548" s="25">
        <v>194.57</v>
      </c>
      <c r="P548" s="25">
        <v>206.31309999999999</v>
      </c>
    </row>
    <row r="549" spans="1:16" x14ac:dyDescent="0.25">
      <c r="A549" s="26">
        <v>43622</v>
      </c>
      <c r="B549" s="25" t="s">
        <v>1037</v>
      </c>
      <c r="C549" s="25" t="s">
        <v>23</v>
      </c>
      <c r="D549" s="25">
        <v>100</v>
      </c>
      <c r="E549" s="25">
        <v>638</v>
      </c>
      <c r="F549" s="25">
        <v>63800</v>
      </c>
      <c r="G549" s="25" t="s">
        <v>1126</v>
      </c>
      <c r="H549" s="25">
        <v>2019106</v>
      </c>
      <c r="I549" s="25" t="s">
        <v>19</v>
      </c>
      <c r="J549" s="25" t="s">
        <v>20</v>
      </c>
      <c r="K549" s="25" t="s">
        <v>25</v>
      </c>
      <c r="L549" s="25">
        <v>15.93</v>
      </c>
      <c r="M549" s="25">
        <v>2.2999999999999998</v>
      </c>
      <c r="N549" s="25">
        <v>0</v>
      </c>
      <c r="O549" s="25">
        <v>38.06</v>
      </c>
      <c r="P549" s="25">
        <v>56.286799999999999</v>
      </c>
    </row>
    <row r="550" spans="1:16" x14ac:dyDescent="0.25">
      <c r="A550" s="26">
        <v>43622</v>
      </c>
      <c r="B550" s="25" t="s">
        <v>1037</v>
      </c>
      <c r="C550" s="25" t="s">
        <v>17</v>
      </c>
      <c r="D550" s="25">
        <v>100</v>
      </c>
      <c r="E550" s="25">
        <v>636.5</v>
      </c>
      <c r="F550" s="25">
        <v>63650</v>
      </c>
      <c r="G550" s="25" t="s">
        <v>1127</v>
      </c>
      <c r="H550" s="25">
        <v>2019106</v>
      </c>
      <c r="I550" s="25" t="s">
        <v>19</v>
      </c>
      <c r="J550" s="25" t="s">
        <v>20</v>
      </c>
      <c r="K550" s="25" t="s">
        <v>25</v>
      </c>
      <c r="L550" s="25">
        <v>0</v>
      </c>
      <c r="M550" s="25">
        <v>2.29</v>
      </c>
      <c r="N550" s="25">
        <v>0</v>
      </c>
      <c r="O550" s="25">
        <v>37.96</v>
      </c>
      <c r="P550" s="25">
        <v>40.251300000000001</v>
      </c>
    </row>
    <row r="551" spans="1:16" x14ac:dyDescent="0.25">
      <c r="A551" s="26">
        <v>43622</v>
      </c>
      <c r="B551" s="25" t="s">
        <v>1128</v>
      </c>
      <c r="C551" s="25" t="s">
        <v>23</v>
      </c>
      <c r="D551" s="25">
        <v>500</v>
      </c>
      <c r="E551" s="25">
        <v>136</v>
      </c>
      <c r="F551" s="25">
        <v>68000</v>
      </c>
      <c r="G551" s="25" t="s">
        <v>1129</v>
      </c>
      <c r="H551" s="25">
        <v>2019106</v>
      </c>
      <c r="I551" s="25" t="s">
        <v>19</v>
      </c>
      <c r="J551" s="25" t="s">
        <v>20</v>
      </c>
      <c r="K551" s="25" t="s">
        <v>25</v>
      </c>
      <c r="L551" s="25">
        <v>16.84</v>
      </c>
      <c r="M551" s="25">
        <v>2.4500000000000002</v>
      </c>
      <c r="N551" s="25">
        <v>0</v>
      </c>
      <c r="O551" s="25">
        <v>40.56</v>
      </c>
      <c r="P551" s="25">
        <v>59.847900000000003</v>
      </c>
    </row>
    <row r="552" spans="1:16" x14ac:dyDescent="0.25">
      <c r="A552" s="26">
        <v>43622</v>
      </c>
      <c r="B552" s="25" t="s">
        <v>1128</v>
      </c>
      <c r="C552" s="25" t="s">
        <v>17</v>
      </c>
      <c r="D552" s="25">
        <v>500</v>
      </c>
      <c r="E552" s="25">
        <v>133.5</v>
      </c>
      <c r="F552" s="25">
        <v>66750</v>
      </c>
      <c r="G552" s="25" t="s">
        <v>1130</v>
      </c>
      <c r="H552" s="25">
        <v>2019106</v>
      </c>
      <c r="I552" s="25" t="s">
        <v>19</v>
      </c>
      <c r="J552" s="25" t="s">
        <v>20</v>
      </c>
      <c r="K552" s="25" t="s">
        <v>25</v>
      </c>
      <c r="L552" s="25">
        <v>0</v>
      </c>
      <c r="M552" s="25">
        <v>2.4</v>
      </c>
      <c r="N552" s="25">
        <v>0</v>
      </c>
      <c r="O552" s="25">
        <v>39.81</v>
      </c>
      <c r="P552" s="25">
        <v>42.213099999999997</v>
      </c>
    </row>
    <row r="553" spans="1:16" x14ac:dyDescent="0.25">
      <c r="A553" s="26">
        <v>43622</v>
      </c>
      <c r="B553" s="25" t="s">
        <v>1131</v>
      </c>
      <c r="C553" s="25" t="s">
        <v>17</v>
      </c>
      <c r="D553" s="25">
        <v>100</v>
      </c>
      <c r="E553" s="25">
        <v>379.8</v>
      </c>
      <c r="F553" s="25">
        <v>37980</v>
      </c>
      <c r="G553" s="25" t="s">
        <v>1132</v>
      </c>
      <c r="H553" s="25">
        <v>2019106</v>
      </c>
      <c r="I553" s="25" t="s">
        <v>19</v>
      </c>
      <c r="J553" s="25" t="s">
        <v>20</v>
      </c>
      <c r="K553" s="25" t="s">
        <v>25</v>
      </c>
      <c r="L553" s="25">
        <v>0</v>
      </c>
      <c r="M553" s="25">
        <v>1.37</v>
      </c>
      <c r="N553" s="25">
        <v>0</v>
      </c>
      <c r="O553" s="25">
        <v>29.75</v>
      </c>
      <c r="P553" s="25">
        <v>31.1173</v>
      </c>
    </row>
    <row r="554" spans="1:16" x14ac:dyDescent="0.25">
      <c r="A554" s="26">
        <v>43622</v>
      </c>
      <c r="B554" s="25" t="s">
        <v>1115</v>
      </c>
      <c r="C554" s="25" t="s">
        <v>23</v>
      </c>
      <c r="D554" s="25">
        <v>500</v>
      </c>
      <c r="E554" s="25">
        <v>152.25</v>
      </c>
      <c r="F554" s="25">
        <v>76125</v>
      </c>
      <c r="G554" s="25" t="s">
        <v>1133</v>
      </c>
      <c r="H554" s="25">
        <v>2019106</v>
      </c>
      <c r="I554" s="25" t="s">
        <v>19</v>
      </c>
      <c r="J554" s="25" t="s">
        <v>20</v>
      </c>
      <c r="K554" s="25" t="s">
        <v>25</v>
      </c>
      <c r="L554" s="25">
        <v>18.95</v>
      </c>
      <c r="M554" s="25">
        <v>2.74</v>
      </c>
      <c r="N554" s="25">
        <v>0</v>
      </c>
      <c r="O554" s="25">
        <v>45.41</v>
      </c>
      <c r="P554" s="25">
        <v>67.1006</v>
      </c>
    </row>
    <row r="555" spans="1:16" x14ac:dyDescent="0.25">
      <c r="A555" s="26">
        <v>43622</v>
      </c>
      <c r="B555" s="25" t="s">
        <v>1115</v>
      </c>
      <c r="C555" s="25" t="s">
        <v>17</v>
      </c>
      <c r="D555" s="25">
        <v>500</v>
      </c>
      <c r="E555" s="25">
        <v>151</v>
      </c>
      <c r="F555" s="25">
        <v>75500</v>
      </c>
      <c r="G555" s="25" t="s">
        <v>1134</v>
      </c>
      <c r="H555" s="25">
        <v>2019106</v>
      </c>
      <c r="I555" s="25" t="s">
        <v>19</v>
      </c>
      <c r="J555" s="25" t="s">
        <v>20</v>
      </c>
      <c r="K555" s="25" t="s">
        <v>25</v>
      </c>
      <c r="L555" s="25">
        <v>0</v>
      </c>
      <c r="M555" s="25">
        <v>2.72</v>
      </c>
      <c r="N555" s="25">
        <v>0</v>
      </c>
      <c r="O555" s="25">
        <v>45.03</v>
      </c>
      <c r="P555" s="25">
        <v>47.747999999999998</v>
      </c>
    </row>
    <row r="556" spans="1:16" x14ac:dyDescent="0.25">
      <c r="A556" s="26">
        <v>43622</v>
      </c>
      <c r="B556" s="25" t="s">
        <v>1131</v>
      </c>
      <c r="C556" s="25" t="s">
        <v>17</v>
      </c>
      <c r="D556" s="25">
        <v>100</v>
      </c>
      <c r="E556" s="25">
        <v>378.72</v>
      </c>
      <c r="F556" s="25">
        <v>37871.599999999999</v>
      </c>
      <c r="G556" s="25" t="s">
        <v>1135</v>
      </c>
      <c r="H556" s="25">
        <v>2019106</v>
      </c>
      <c r="I556" s="25" t="s">
        <v>19</v>
      </c>
      <c r="J556" s="25" t="s">
        <v>20</v>
      </c>
      <c r="K556" s="25" t="s">
        <v>25</v>
      </c>
      <c r="L556" s="25">
        <v>0</v>
      </c>
      <c r="M556" s="25">
        <v>1.36</v>
      </c>
      <c r="N556" s="25">
        <v>0</v>
      </c>
      <c r="O556" s="25">
        <v>29.75</v>
      </c>
      <c r="P556" s="25">
        <v>31.113399999999999</v>
      </c>
    </row>
    <row r="557" spans="1:16" x14ac:dyDescent="0.25">
      <c r="A557" s="26">
        <v>43622</v>
      </c>
      <c r="B557" s="25" t="s">
        <v>1136</v>
      </c>
      <c r="C557" s="25" t="s">
        <v>23</v>
      </c>
      <c r="D557" s="25">
        <v>200</v>
      </c>
      <c r="E557" s="25">
        <v>238.8</v>
      </c>
      <c r="F557" s="25">
        <v>47760</v>
      </c>
      <c r="G557" s="25" t="s">
        <v>1137</v>
      </c>
      <c r="H557" s="25">
        <v>2019106</v>
      </c>
      <c r="I557" s="25" t="s">
        <v>19</v>
      </c>
      <c r="J557" s="25" t="s">
        <v>20</v>
      </c>
      <c r="K557" s="25" t="s">
        <v>25</v>
      </c>
      <c r="L557" s="25">
        <v>11.94</v>
      </c>
      <c r="M557" s="25">
        <v>1.72</v>
      </c>
      <c r="N557" s="25">
        <v>0</v>
      </c>
      <c r="O557" s="25">
        <v>29.81</v>
      </c>
      <c r="P557" s="25">
        <v>43.4694</v>
      </c>
    </row>
    <row r="558" spans="1:16" x14ac:dyDescent="0.25">
      <c r="A558" s="26">
        <v>43622</v>
      </c>
      <c r="B558" s="25" t="s">
        <v>1136</v>
      </c>
      <c r="C558" s="25" t="s">
        <v>17</v>
      </c>
      <c r="D558" s="25">
        <v>300</v>
      </c>
      <c r="E558" s="25">
        <v>238.6</v>
      </c>
      <c r="F558" s="25">
        <v>71580</v>
      </c>
      <c r="G558" s="25" t="s">
        <v>1138</v>
      </c>
      <c r="H558" s="25">
        <v>2019106</v>
      </c>
      <c r="I558" s="25" t="s">
        <v>19</v>
      </c>
      <c r="J558" s="25" t="s">
        <v>20</v>
      </c>
      <c r="K558" s="25" t="s">
        <v>25</v>
      </c>
      <c r="L558" s="25">
        <v>0</v>
      </c>
      <c r="M558" s="25">
        <v>2.58</v>
      </c>
      <c r="N558" s="25">
        <v>81.900000000000006</v>
      </c>
      <c r="O558" s="25">
        <v>42.69</v>
      </c>
      <c r="P558" s="25">
        <v>127.167</v>
      </c>
    </row>
    <row r="559" spans="1:16" x14ac:dyDescent="0.25">
      <c r="A559" s="26">
        <v>43622</v>
      </c>
      <c r="B559" s="25" t="s">
        <v>1136</v>
      </c>
      <c r="C559" s="25" t="s">
        <v>23</v>
      </c>
      <c r="D559" s="25">
        <v>100</v>
      </c>
      <c r="E559" s="25">
        <v>239.5</v>
      </c>
      <c r="F559" s="25">
        <v>23950</v>
      </c>
      <c r="G559" s="25" t="s">
        <v>1139</v>
      </c>
      <c r="H559" s="25">
        <v>2019106</v>
      </c>
      <c r="I559" s="25" t="s">
        <v>19</v>
      </c>
      <c r="J559" s="25" t="s">
        <v>20</v>
      </c>
      <c r="K559" s="25" t="s">
        <v>25</v>
      </c>
      <c r="L559" s="25">
        <v>5.97</v>
      </c>
      <c r="M559" s="25">
        <v>0.86</v>
      </c>
      <c r="N559" s="25">
        <v>0</v>
      </c>
      <c r="O559" s="25">
        <v>29.66</v>
      </c>
      <c r="P559" s="25">
        <v>36.4923</v>
      </c>
    </row>
    <row r="560" spans="1:16" x14ac:dyDescent="0.25">
      <c r="A560" s="26">
        <v>43622</v>
      </c>
      <c r="B560" s="25" t="s">
        <v>1109</v>
      </c>
      <c r="C560" s="25" t="s">
        <v>23</v>
      </c>
      <c r="D560" s="25">
        <v>200</v>
      </c>
      <c r="E560" s="25">
        <v>159.5</v>
      </c>
      <c r="F560" s="25">
        <v>31900</v>
      </c>
      <c r="G560" s="25" t="s">
        <v>1140</v>
      </c>
      <c r="H560" s="25">
        <v>2019106</v>
      </c>
      <c r="I560" s="25" t="s">
        <v>19</v>
      </c>
      <c r="J560" s="25" t="s">
        <v>20</v>
      </c>
      <c r="K560" s="25" t="s">
        <v>25</v>
      </c>
      <c r="L560" s="25">
        <v>7.95</v>
      </c>
      <c r="M560" s="25">
        <v>1.1499999999999999</v>
      </c>
      <c r="N560" s="25">
        <v>0</v>
      </c>
      <c r="O560" s="25">
        <v>29.71</v>
      </c>
      <c r="P560" s="25">
        <v>38.808399999999999</v>
      </c>
    </row>
    <row r="561" spans="1:16" x14ac:dyDescent="0.25">
      <c r="A561" s="26">
        <v>43622</v>
      </c>
      <c r="B561" s="25" t="s">
        <v>1109</v>
      </c>
      <c r="C561" s="25" t="s">
        <v>17</v>
      </c>
      <c r="D561" s="25">
        <v>200</v>
      </c>
      <c r="E561" s="25">
        <v>158.6</v>
      </c>
      <c r="F561" s="25">
        <v>31720</v>
      </c>
      <c r="G561" s="25" t="s">
        <v>1141</v>
      </c>
      <c r="H561" s="25">
        <v>2019106</v>
      </c>
      <c r="I561" s="25" t="s">
        <v>19</v>
      </c>
      <c r="J561" s="25" t="s">
        <v>20</v>
      </c>
      <c r="K561" s="25" t="s">
        <v>25</v>
      </c>
      <c r="L561" s="25">
        <v>0</v>
      </c>
      <c r="M561" s="25">
        <v>1.1399999999999999</v>
      </c>
      <c r="N561" s="25">
        <v>0</v>
      </c>
      <c r="O561" s="25">
        <v>29.71</v>
      </c>
      <c r="P561" s="25">
        <v>30.852</v>
      </c>
    </row>
    <row r="562" spans="1:16" x14ac:dyDescent="0.25">
      <c r="A562" s="26">
        <v>43622</v>
      </c>
      <c r="B562" s="25" t="s">
        <v>1131</v>
      </c>
      <c r="C562" s="25" t="s">
        <v>17</v>
      </c>
      <c r="D562" s="25">
        <v>150</v>
      </c>
      <c r="E562" s="25">
        <v>376.5</v>
      </c>
      <c r="F562" s="25">
        <v>56475</v>
      </c>
      <c r="G562" s="25" t="s">
        <v>1142</v>
      </c>
      <c r="H562" s="25">
        <v>2019106</v>
      </c>
      <c r="I562" s="25" t="s">
        <v>19</v>
      </c>
      <c r="J562" s="25" t="s">
        <v>20</v>
      </c>
      <c r="K562" s="25" t="s">
        <v>25</v>
      </c>
      <c r="L562" s="25">
        <v>0</v>
      </c>
      <c r="M562" s="25">
        <v>2.0299999999999998</v>
      </c>
      <c r="N562" s="25">
        <v>0</v>
      </c>
      <c r="O562" s="25">
        <v>33.69</v>
      </c>
      <c r="P562" s="25">
        <v>35.723100000000002</v>
      </c>
    </row>
    <row r="563" spans="1:16" x14ac:dyDescent="0.25">
      <c r="A563" s="26">
        <v>43622</v>
      </c>
      <c r="B563" s="25" t="s">
        <v>1131</v>
      </c>
      <c r="C563" s="25" t="s">
        <v>17</v>
      </c>
      <c r="D563" s="25">
        <v>150</v>
      </c>
      <c r="E563" s="25">
        <v>375.25</v>
      </c>
      <c r="F563" s="25">
        <v>56287.5</v>
      </c>
      <c r="G563" s="25" t="s">
        <v>1143</v>
      </c>
      <c r="H563" s="25">
        <v>2019106</v>
      </c>
      <c r="I563" s="25" t="s">
        <v>19</v>
      </c>
      <c r="J563" s="25" t="s">
        <v>20</v>
      </c>
      <c r="K563" s="25" t="s">
        <v>25</v>
      </c>
      <c r="L563" s="25">
        <v>0</v>
      </c>
      <c r="M563" s="25">
        <v>2.0299999999999998</v>
      </c>
      <c r="N563" s="25">
        <v>0</v>
      </c>
      <c r="O563" s="25">
        <v>33.57</v>
      </c>
      <c r="P563" s="25">
        <v>35.596400000000003</v>
      </c>
    </row>
    <row r="564" spans="1:16" x14ac:dyDescent="0.25">
      <c r="A564" s="26">
        <v>43622</v>
      </c>
      <c r="B564" s="25" t="s">
        <v>1131</v>
      </c>
      <c r="C564" s="25" t="s">
        <v>17</v>
      </c>
      <c r="D564" s="25">
        <v>1000</v>
      </c>
      <c r="E564" s="25">
        <v>373</v>
      </c>
      <c r="F564" s="25">
        <v>373000</v>
      </c>
      <c r="G564" s="25" t="s">
        <v>1144</v>
      </c>
      <c r="H564" s="25">
        <v>2019106</v>
      </c>
      <c r="I564" s="25" t="s">
        <v>19</v>
      </c>
      <c r="J564" s="25" t="s">
        <v>20</v>
      </c>
      <c r="K564" s="25" t="s">
        <v>25</v>
      </c>
      <c r="L564" s="25">
        <v>0</v>
      </c>
      <c r="M564" s="25">
        <v>13.43</v>
      </c>
      <c r="N564" s="25">
        <v>0</v>
      </c>
      <c r="O564" s="25">
        <v>222.49</v>
      </c>
      <c r="P564" s="25">
        <v>235.91800000000001</v>
      </c>
    </row>
    <row r="565" spans="1:16" x14ac:dyDescent="0.25">
      <c r="A565" s="26">
        <v>43622</v>
      </c>
      <c r="B565" s="25" t="s">
        <v>1131</v>
      </c>
      <c r="C565" s="25" t="s">
        <v>23</v>
      </c>
      <c r="D565" s="25">
        <v>1500</v>
      </c>
      <c r="E565" s="25">
        <v>375.75</v>
      </c>
      <c r="F565" s="25">
        <v>563625</v>
      </c>
      <c r="G565" s="25" t="s">
        <v>1145</v>
      </c>
      <c r="H565" s="25">
        <v>2019106</v>
      </c>
      <c r="I565" s="25" t="s">
        <v>19</v>
      </c>
      <c r="J565" s="25" t="s">
        <v>20</v>
      </c>
      <c r="K565" s="25" t="s">
        <v>25</v>
      </c>
      <c r="L565" s="25">
        <v>140.65</v>
      </c>
      <c r="M565" s="25">
        <v>20.29</v>
      </c>
      <c r="N565" s="25">
        <v>0</v>
      </c>
      <c r="O565" s="25">
        <v>336.18</v>
      </c>
      <c r="P565" s="25">
        <v>497.12079999999997</v>
      </c>
    </row>
    <row r="566" spans="1:16" x14ac:dyDescent="0.25">
      <c r="A566" s="26">
        <v>43622</v>
      </c>
      <c r="B566" s="25" t="s">
        <v>849</v>
      </c>
      <c r="C566" s="25" t="s">
        <v>17</v>
      </c>
      <c r="D566" s="25">
        <v>10</v>
      </c>
      <c r="E566" s="25">
        <v>133.44999999999999</v>
      </c>
      <c r="F566" s="25">
        <v>1334.5</v>
      </c>
      <c r="G566" s="25" t="s">
        <v>1146</v>
      </c>
      <c r="H566" s="25">
        <v>2019106</v>
      </c>
      <c r="I566" s="25" t="s">
        <v>19</v>
      </c>
      <c r="J566" s="25" t="s">
        <v>20</v>
      </c>
      <c r="K566" s="25" t="s">
        <v>25</v>
      </c>
      <c r="L566" s="25">
        <v>1.33</v>
      </c>
      <c r="M566" s="25">
        <v>0.05</v>
      </c>
      <c r="N566" s="25">
        <v>0</v>
      </c>
      <c r="O566" s="25">
        <v>39.380000000000003</v>
      </c>
      <c r="P566" s="25">
        <v>40.758000000000003</v>
      </c>
    </row>
    <row r="567" spans="1:16" x14ac:dyDescent="0.25">
      <c r="A567" s="26">
        <v>43616</v>
      </c>
      <c r="B567" s="25" t="s">
        <v>1147</v>
      </c>
      <c r="C567" s="25" t="s">
        <v>23</v>
      </c>
      <c r="D567" s="25">
        <v>100</v>
      </c>
      <c r="E567" s="25">
        <v>259</v>
      </c>
      <c r="F567" s="25">
        <v>25900</v>
      </c>
      <c r="G567" s="25" t="s">
        <v>1148</v>
      </c>
      <c r="H567" s="25">
        <v>2019103</v>
      </c>
      <c r="I567" s="25" t="s">
        <v>19</v>
      </c>
      <c r="J567" s="25" t="s">
        <v>20</v>
      </c>
      <c r="K567" s="25" t="s">
        <v>25</v>
      </c>
      <c r="L567" s="25">
        <v>6.26</v>
      </c>
      <c r="M567" s="25">
        <v>0.93</v>
      </c>
      <c r="N567" s="25">
        <v>0</v>
      </c>
      <c r="O567" s="25">
        <v>29.67</v>
      </c>
      <c r="P567" s="25">
        <v>36.862400000000001</v>
      </c>
    </row>
    <row r="568" spans="1:16" x14ac:dyDescent="0.25">
      <c r="A568" s="26">
        <v>43616</v>
      </c>
      <c r="B568" s="25" t="s">
        <v>1147</v>
      </c>
      <c r="C568" s="25" t="s">
        <v>17</v>
      </c>
      <c r="D568" s="25">
        <v>100</v>
      </c>
      <c r="E568" s="25">
        <v>257.5</v>
      </c>
      <c r="F568" s="25">
        <v>25750</v>
      </c>
      <c r="G568" s="25" t="s">
        <v>1149</v>
      </c>
      <c r="H568" s="25">
        <v>2019103</v>
      </c>
      <c r="I568" s="25" t="s">
        <v>19</v>
      </c>
      <c r="J568" s="25" t="s">
        <v>20</v>
      </c>
      <c r="K568" s="25" t="s">
        <v>25</v>
      </c>
      <c r="L568" s="25">
        <v>0</v>
      </c>
      <c r="M568" s="25">
        <v>0.93</v>
      </c>
      <c r="N568" s="25">
        <v>0</v>
      </c>
      <c r="O568" s="25">
        <v>29.67</v>
      </c>
      <c r="P568" s="25">
        <v>30.597100000000001</v>
      </c>
    </row>
    <row r="569" spans="1:16" x14ac:dyDescent="0.25">
      <c r="A569" s="26">
        <v>43616</v>
      </c>
      <c r="B569" s="25" t="s">
        <v>1086</v>
      </c>
      <c r="C569" s="25" t="s">
        <v>17</v>
      </c>
      <c r="D569" s="25">
        <v>1000</v>
      </c>
      <c r="E569" s="25">
        <v>104</v>
      </c>
      <c r="F569" s="25">
        <v>104000</v>
      </c>
      <c r="G569" s="25" t="s">
        <v>1150</v>
      </c>
      <c r="H569" s="25">
        <v>2019103</v>
      </c>
      <c r="I569" s="25" t="s">
        <v>19</v>
      </c>
      <c r="J569" s="25" t="s">
        <v>20</v>
      </c>
      <c r="K569" s="25" t="s">
        <v>25</v>
      </c>
      <c r="L569" s="25">
        <v>0</v>
      </c>
      <c r="M569" s="25">
        <v>3.74</v>
      </c>
      <c r="N569" s="25">
        <v>0</v>
      </c>
      <c r="O569" s="25">
        <v>62.03</v>
      </c>
      <c r="P569" s="25">
        <v>65.774000000000001</v>
      </c>
    </row>
    <row r="570" spans="1:16" x14ac:dyDescent="0.25">
      <c r="A570" s="26">
        <v>43616</v>
      </c>
      <c r="B570" s="25" t="s">
        <v>1086</v>
      </c>
      <c r="C570" s="25" t="s">
        <v>17</v>
      </c>
      <c r="D570" s="25">
        <v>1500</v>
      </c>
      <c r="E570" s="25">
        <v>96.95</v>
      </c>
      <c r="F570" s="25">
        <v>145425</v>
      </c>
      <c r="G570" s="25" t="s">
        <v>1151</v>
      </c>
      <c r="H570" s="25">
        <v>2019103</v>
      </c>
      <c r="I570" s="25" t="s">
        <v>19</v>
      </c>
      <c r="J570" s="25" t="s">
        <v>20</v>
      </c>
      <c r="K570" s="25" t="s">
        <v>25</v>
      </c>
      <c r="L570" s="25">
        <v>0</v>
      </c>
      <c r="M570" s="25">
        <v>5.24</v>
      </c>
      <c r="N570" s="25">
        <v>16.5</v>
      </c>
      <c r="O570" s="25">
        <v>86.74</v>
      </c>
      <c r="P570" s="25">
        <v>108.4753</v>
      </c>
    </row>
    <row r="571" spans="1:16" x14ac:dyDescent="0.25">
      <c r="A571" s="26">
        <v>43616</v>
      </c>
      <c r="B571" s="25" t="s">
        <v>1086</v>
      </c>
      <c r="C571" s="25" t="s">
        <v>23</v>
      </c>
      <c r="D571" s="25">
        <v>2500</v>
      </c>
      <c r="E571" s="25">
        <v>97.8</v>
      </c>
      <c r="F571" s="25">
        <v>244505.4</v>
      </c>
      <c r="G571" s="25" t="s">
        <v>1152</v>
      </c>
      <c r="H571" s="25">
        <v>2019103</v>
      </c>
      <c r="I571" s="25" t="s">
        <v>19</v>
      </c>
      <c r="J571" s="25" t="s">
        <v>20</v>
      </c>
      <c r="K571" s="25" t="s">
        <v>25</v>
      </c>
      <c r="L571" s="25">
        <v>61.74</v>
      </c>
      <c r="M571" s="25">
        <v>8.8000000000000007</v>
      </c>
      <c r="N571" s="25">
        <v>0</v>
      </c>
      <c r="O571" s="25">
        <v>145.84</v>
      </c>
      <c r="P571" s="25">
        <v>216.38220000000001</v>
      </c>
    </row>
    <row r="572" spans="1:16" x14ac:dyDescent="0.25">
      <c r="A572" s="26">
        <v>43615</v>
      </c>
      <c r="B572" s="25" t="s">
        <v>1153</v>
      </c>
      <c r="C572" s="25" t="s">
        <v>17</v>
      </c>
      <c r="D572" s="25">
        <v>100</v>
      </c>
      <c r="E572" s="25">
        <v>1095.9000000000001</v>
      </c>
      <c r="F572" s="25">
        <v>109590.35</v>
      </c>
      <c r="G572" s="25" t="s">
        <v>1154</v>
      </c>
      <c r="H572" s="25">
        <v>2019102</v>
      </c>
      <c r="I572" s="25" t="s">
        <v>19</v>
      </c>
      <c r="J572" s="25" t="s">
        <v>20</v>
      </c>
      <c r="K572" s="25" t="s">
        <v>25</v>
      </c>
      <c r="L572" s="25">
        <v>0</v>
      </c>
      <c r="M572" s="25">
        <v>3.95</v>
      </c>
      <c r="N572" s="25">
        <v>0</v>
      </c>
      <c r="O572" s="25">
        <v>65.349999999999994</v>
      </c>
      <c r="P572" s="25">
        <v>69.295299999999997</v>
      </c>
    </row>
    <row r="573" spans="1:16" x14ac:dyDescent="0.25">
      <c r="A573" s="26">
        <v>43615</v>
      </c>
      <c r="B573" s="25" t="s">
        <v>1153</v>
      </c>
      <c r="C573" s="25" t="s">
        <v>23</v>
      </c>
      <c r="D573" s="25">
        <v>100</v>
      </c>
      <c r="E573" s="25">
        <v>1090.02</v>
      </c>
      <c r="F573" s="25">
        <v>109002.2</v>
      </c>
      <c r="G573" s="25" t="s">
        <v>1155</v>
      </c>
      <c r="H573" s="25">
        <v>2019102</v>
      </c>
      <c r="I573" s="25" t="s">
        <v>19</v>
      </c>
      <c r="J573" s="25" t="s">
        <v>20</v>
      </c>
      <c r="K573" s="25" t="s">
        <v>25</v>
      </c>
      <c r="L573" s="25">
        <v>27.81</v>
      </c>
      <c r="M573" s="25">
        <v>3.92</v>
      </c>
      <c r="N573" s="25">
        <v>30.3</v>
      </c>
      <c r="O573" s="25">
        <v>65.02</v>
      </c>
      <c r="P573" s="25">
        <v>127.0545</v>
      </c>
    </row>
    <row r="574" spans="1:16" x14ac:dyDescent="0.25">
      <c r="A574" s="26">
        <v>43615</v>
      </c>
      <c r="B574" s="25" t="s">
        <v>1156</v>
      </c>
      <c r="C574" s="25" t="s">
        <v>17</v>
      </c>
      <c r="D574" s="25">
        <v>1000</v>
      </c>
      <c r="E574" s="25">
        <v>79.75</v>
      </c>
      <c r="F574" s="25">
        <v>79750</v>
      </c>
      <c r="G574" s="25" t="s">
        <v>1157</v>
      </c>
      <c r="H574" s="25">
        <v>2019102</v>
      </c>
      <c r="I574" s="25" t="s">
        <v>19</v>
      </c>
      <c r="J574" s="25" t="s">
        <v>20</v>
      </c>
      <c r="K574" s="25" t="s">
        <v>25</v>
      </c>
      <c r="L574" s="25">
        <v>0</v>
      </c>
      <c r="M574" s="25">
        <v>2.87</v>
      </c>
      <c r="N574" s="25">
        <v>0</v>
      </c>
      <c r="O574" s="25">
        <v>47.56</v>
      </c>
      <c r="P574" s="25">
        <v>50.431100000000001</v>
      </c>
    </row>
    <row r="575" spans="1:16" x14ac:dyDescent="0.25">
      <c r="A575" s="26">
        <v>43615</v>
      </c>
      <c r="B575" s="25" t="s">
        <v>1156</v>
      </c>
      <c r="C575" s="25" t="s">
        <v>23</v>
      </c>
      <c r="D575" s="25">
        <v>1000</v>
      </c>
      <c r="E575" s="25">
        <v>79.05</v>
      </c>
      <c r="F575" s="25">
        <v>79050</v>
      </c>
      <c r="G575" s="25" t="s">
        <v>1158</v>
      </c>
      <c r="H575" s="25">
        <v>2019102</v>
      </c>
      <c r="I575" s="25" t="s">
        <v>19</v>
      </c>
      <c r="J575" s="25" t="s">
        <v>20</v>
      </c>
      <c r="K575" s="25" t="s">
        <v>25</v>
      </c>
      <c r="L575" s="25">
        <v>19.77</v>
      </c>
      <c r="M575" s="25">
        <v>2.85</v>
      </c>
      <c r="N575" s="25">
        <v>0</v>
      </c>
      <c r="O575" s="25">
        <v>47.15</v>
      </c>
      <c r="P575" s="25">
        <v>69.765900000000002</v>
      </c>
    </row>
    <row r="576" spans="1:16" x14ac:dyDescent="0.25">
      <c r="A576" s="26">
        <v>43615</v>
      </c>
      <c r="B576" s="25" t="s">
        <v>1156</v>
      </c>
      <c r="C576" s="25" t="s">
        <v>23</v>
      </c>
      <c r="D576" s="25">
        <v>2500</v>
      </c>
      <c r="E576" s="25">
        <v>79</v>
      </c>
      <c r="F576" s="25">
        <v>197500</v>
      </c>
      <c r="G576" s="25" t="s">
        <v>1159</v>
      </c>
      <c r="H576" s="25">
        <v>2019102</v>
      </c>
      <c r="I576" s="25" t="s">
        <v>19</v>
      </c>
      <c r="J576" s="25" t="s">
        <v>20</v>
      </c>
      <c r="K576" s="25" t="s">
        <v>25</v>
      </c>
      <c r="L576" s="25">
        <v>49.42</v>
      </c>
      <c r="M576" s="25">
        <v>7.11</v>
      </c>
      <c r="N576" s="25">
        <v>0</v>
      </c>
      <c r="O576" s="25">
        <v>117.8</v>
      </c>
      <c r="P576" s="25">
        <v>174.33</v>
      </c>
    </row>
    <row r="577" spans="1:16" x14ac:dyDescent="0.25">
      <c r="A577" s="26">
        <v>43615</v>
      </c>
      <c r="B577" s="25" t="s">
        <v>1156</v>
      </c>
      <c r="C577" s="25" t="s">
        <v>17</v>
      </c>
      <c r="D577" s="25">
        <v>2500</v>
      </c>
      <c r="E577" s="25">
        <v>78.900000000000006</v>
      </c>
      <c r="F577" s="25">
        <v>197250</v>
      </c>
      <c r="G577" s="25" t="s">
        <v>1160</v>
      </c>
      <c r="H577" s="25">
        <v>2019102</v>
      </c>
      <c r="I577" s="25" t="s">
        <v>19</v>
      </c>
      <c r="J577" s="25" t="s">
        <v>20</v>
      </c>
      <c r="K577" s="25" t="s">
        <v>25</v>
      </c>
      <c r="L577" s="25">
        <v>0</v>
      </c>
      <c r="M577" s="25">
        <v>7.1</v>
      </c>
      <c r="N577" s="25">
        <v>0</v>
      </c>
      <c r="O577" s="25">
        <v>117.66</v>
      </c>
      <c r="P577" s="25">
        <v>124.761</v>
      </c>
    </row>
    <row r="578" spans="1:16" x14ac:dyDescent="0.25">
      <c r="A578" s="26">
        <v>43615</v>
      </c>
      <c r="B578" s="25" t="s">
        <v>1086</v>
      </c>
      <c r="C578" s="25" t="s">
        <v>17</v>
      </c>
      <c r="D578" s="25">
        <v>1000</v>
      </c>
      <c r="E578" s="25">
        <v>115</v>
      </c>
      <c r="F578" s="25">
        <v>115000</v>
      </c>
      <c r="G578" s="25" t="s">
        <v>1161</v>
      </c>
      <c r="H578" s="25">
        <v>2019102</v>
      </c>
      <c r="I578" s="25" t="s">
        <v>19</v>
      </c>
      <c r="J578" s="25" t="s">
        <v>20</v>
      </c>
      <c r="K578" s="25" t="s">
        <v>25</v>
      </c>
      <c r="L578" s="25">
        <v>0</v>
      </c>
      <c r="M578" s="25">
        <v>4.1399999999999997</v>
      </c>
      <c r="N578" s="25">
        <v>0</v>
      </c>
      <c r="O578" s="25">
        <v>68.599999999999994</v>
      </c>
      <c r="P578" s="25">
        <v>72.739999999999995</v>
      </c>
    </row>
    <row r="579" spans="1:16" x14ac:dyDescent="0.25">
      <c r="A579" s="26">
        <v>43615</v>
      </c>
      <c r="B579" s="25" t="s">
        <v>1086</v>
      </c>
      <c r="C579" s="25" t="s">
        <v>23</v>
      </c>
      <c r="D579" s="25">
        <v>1000</v>
      </c>
      <c r="E579" s="25">
        <v>117</v>
      </c>
      <c r="F579" s="25">
        <v>117000</v>
      </c>
      <c r="G579" s="25" t="s">
        <v>1162</v>
      </c>
      <c r="H579" s="25">
        <v>2019102</v>
      </c>
      <c r="I579" s="25" t="s">
        <v>19</v>
      </c>
      <c r="J579" s="25" t="s">
        <v>20</v>
      </c>
      <c r="K579" s="25" t="s">
        <v>25</v>
      </c>
      <c r="L579" s="25">
        <v>29</v>
      </c>
      <c r="M579" s="25">
        <v>4.21</v>
      </c>
      <c r="N579" s="25">
        <v>0</v>
      </c>
      <c r="O579" s="25">
        <v>69.790000000000006</v>
      </c>
      <c r="P579" s="25">
        <v>103.002</v>
      </c>
    </row>
    <row r="580" spans="1:16" x14ac:dyDescent="0.25">
      <c r="A580" s="26">
        <v>43614</v>
      </c>
      <c r="B580" s="25" t="s">
        <v>111</v>
      </c>
      <c r="C580" s="25" t="s">
        <v>23</v>
      </c>
      <c r="D580" s="25">
        <v>500</v>
      </c>
      <c r="E580" s="25">
        <v>410.15</v>
      </c>
      <c r="F580" s="25">
        <v>205075</v>
      </c>
      <c r="G580" s="25" t="s">
        <v>1163</v>
      </c>
      <c r="H580" s="25">
        <v>2019101</v>
      </c>
      <c r="I580" s="25" t="s">
        <v>19</v>
      </c>
      <c r="J580" s="25" t="s">
        <v>20</v>
      </c>
      <c r="K580" s="25" t="s">
        <v>25</v>
      </c>
      <c r="L580" s="25">
        <v>50.57</v>
      </c>
      <c r="M580" s="25">
        <v>7.38</v>
      </c>
      <c r="N580" s="25">
        <v>22.2</v>
      </c>
      <c r="O580" s="25">
        <v>122.32</v>
      </c>
      <c r="P580" s="25">
        <v>202.4726</v>
      </c>
    </row>
    <row r="581" spans="1:16" x14ac:dyDescent="0.25">
      <c r="A581" s="26">
        <v>43614</v>
      </c>
      <c r="B581" s="25" t="s">
        <v>111</v>
      </c>
      <c r="C581" s="25" t="s">
        <v>17</v>
      </c>
      <c r="D581" s="25">
        <v>500</v>
      </c>
      <c r="E581" s="25">
        <v>405</v>
      </c>
      <c r="F581" s="25">
        <v>202500</v>
      </c>
      <c r="G581" s="25" t="s">
        <v>1164</v>
      </c>
      <c r="H581" s="25">
        <v>2019101</v>
      </c>
      <c r="I581" s="25" t="s">
        <v>19</v>
      </c>
      <c r="J581" s="25" t="s">
        <v>20</v>
      </c>
      <c r="K581" s="25" t="s">
        <v>25</v>
      </c>
      <c r="L581" s="25">
        <v>0</v>
      </c>
      <c r="M581" s="25">
        <v>7.29</v>
      </c>
      <c r="N581" s="25">
        <v>0</v>
      </c>
      <c r="O581" s="25">
        <v>120.79</v>
      </c>
      <c r="P581" s="25">
        <v>128.08000000000001</v>
      </c>
    </row>
    <row r="582" spans="1:16" x14ac:dyDescent="0.25">
      <c r="A582" s="26">
        <v>43614</v>
      </c>
      <c r="B582" s="25" t="s">
        <v>1165</v>
      </c>
      <c r="C582" s="25" t="s">
        <v>23</v>
      </c>
      <c r="D582" s="25">
        <v>100</v>
      </c>
      <c r="E582" s="25">
        <v>532</v>
      </c>
      <c r="F582" s="25">
        <v>53200</v>
      </c>
      <c r="G582" s="25" t="s">
        <v>1166</v>
      </c>
      <c r="H582" s="25">
        <v>2019101</v>
      </c>
      <c r="I582" s="25" t="s">
        <v>19</v>
      </c>
      <c r="J582" s="25" t="s">
        <v>20</v>
      </c>
      <c r="K582" s="25" t="s">
        <v>25</v>
      </c>
      <c r="L582" s="25">
        <v>13.48</v>
      </c>
      <c r="M582" s="25">
        <v>1.92</v>
      </c>
      <c r="N582" s="25">
        <v>0</v>
      </c>
      <c r="O582" s="25">
        <v>31.73</v>
      </c>
      <c r="P582" s="25">
        <v>47.1252</v>
      </c>
    </row>
    <row r="583" spans="1:16" x14ac:dyDescent="0.25">
      <c r="A583" s="26">
        <v>43614</v>
      </c>
      <c r="B583" s="25" t="s">
        <v>1165</v>
      </c>
      <c r="C583" s="25" t="s">
        <v>23</v>
      </c>
      <c r="D583" s="25">
        <v>200</v>
      </c>
      <c r="E583" s="25">
        <v>539.5</v>
      </c>
      <c r="F583" s="25">
        <v>107900</v>
      </c>
      <c r="G583" s="25" t="s">
        <v>1167</v>
      </c>
      <c r="H583" s="25">
        <v>2019101</v>
      </c>
      <c r="I583" s="25" t="s">
        <v>19</v>
      </c>
      <c r="J583" s="25" t="s">
        <v>20</v>
      </c>
      <c r="K583" s="25" t="s">
        <v>25</v>
      </c>
      <c r="L583" s="25">
        <v>26.96</v>
      </c>
      <c r="M583" s="25">
        <v>3.88</v>
      </c>
      <c r="N583" s="25">
        <v>0</v>
      </c>
      <c r="O583" s="25">
        <v>64.36</v>
      </c>
      <c r="P583" s="25">
        <v>95.204400000000007</v>
      </c>
    </row>
    <row r="584" spans="1:16" x14ac:dyDescent="0.25">
      <c r="A584" s="26">
        <v>43614</v>
      </c>
      <c r="B584" s="25" t="s">
        <v>1165</v>
      </c>
      <c r="C584" s="25" t="s">
        <v>17</v>
      </c>
      <c r="D584" s="25">
        <v>300</v>
      </c>
      <c r="E584" s="25">
        <v>541.20000000000005</v>
      </c>
      <c r="F584" s="25">
        <v>162360</v>
      </c>
      <c r="G584" s="25" t="s">
        <v>1168</v>
      </c>
      <c r="H584" s="25">
        <v>2019101</v>
      </c>
      <c r="I584" s="25" t="s">
        <v>19</v>
      </c>
      <c r="J584" s="25" t="s">
        <v>20</v>
      </c>
      <c r="K584" s="25" t="s">
        <v>25</v>
      </c>
      <c r="L584" s="25">
        <v>0</v>
      </c>
      <c r="M584" s="25">
        <v>5.85</v>
      </c>
      <c r="N584" s="25">
        <v>0</v>
      </c>
      <c r="O584" s="25">
        <v>96.84</v>
      </c>
      <c r="P584" s="25">
        <v>102.685</v>
      </c>
    </row>
    <row r="585" spans="1:16" x14ac:dyDescent="0.25">
      <c r="A585" s="26">
        <v>43613</v>
      </c>
      <c r="B585" s="25" t="s">
        <v>981</v>
      </c>
      <c r="C585" s="25" t="s">
        <v>23</v>
      </c>
      <c r="D585" s="25">
        <v>250</v>
      </c>
      <c r="E585" s="25">
        <v>160.5</v>
      </c>
      <c r="F585" s="25">
        <v>40125</v>
      </c>
      <c r="G585" s="25" t="s">
        <v>1169</v>
      </c>
      <c r="H585" s="25">
        <v>2019100</v>
      </c>
      <c r="I585" s="25" t="s">
        <v>19</v>
      </c>
      <c r="J585" s="25" t="s">
        <v>20</v>
      </c>
      <c r="K585" s="25" t="s">
        <v>25</v>
      </c>
      <c r="L585" s="25">
        <v>10.119999999999999</v>
      </c>
      <c r="M585" s="25">
        <v>1.44</v>
      </c>
      <c r="N585" s="25">
        <v>0</v>
      </c>
      <c r="O585" s="25">
        <v>29.76</v>
      </c>
      <c r="P585" s="25">
        <v>41.3245</v>
      </c>
    </row>
    <row r="586" spans="1:16" x14ac:dyDescent="0.25">
      <c r="A586" s="26">
        <v>43613</v>
      </c>
      <c r="B586" s="25" t="s">
        <v>981</v>
      </c>
      <c r="C586" s="25" t="s">
        <v>23</v>
      </c>
      <c r="D586" s="25">
        <v>250</v>
      </c>
      <c r="E586" s="25">
        <v>162.5</v>
      </c>
      <c r="F586" s="25">
        <v>40625</v>
      </c>
      <c r="G586" s="25" t="s">
        <v>1170</v>
      </c>
      <c r="H586" s="25">
        <v>2019100</v>
      </c>
      <c r="I586" s="25" t="s">
        <v>19</v>
      </c>
      <c r="J586" s="25" t="s">
        <v>20</v>
      </c>
      <c r="K586" s="25" t="s">
        <v>25</v>
      </c>
      <c r="L586" s="25">
        <v>10.119999999999999</v>
      </c>
      <c r="M586" s="25">
        <v>1.46</v>
      </c>
      <c r="N586" s="25">
        <v>0</v>
      </c>
      <c r="O586" s="25">
        <v>29.76</v>
      </c>
      <c r="P586" s="25">
        <v>41.342700000000001</v>
      </c>
    </row>
    <row r="587" spans="1:16" x14ac:dyDescent="0.25">
      <c r="A587" s="26">
        <v>43613</v>
      </c>
      <c r="B587" s="25" t="s">
        <v>981</v>
      </c>
      <c r="C587" s="25" t="s">
        <v>17</v>
      </c>
      <c r="D587" s="25">
        <v>500</v>
      </c>
      <c r="E587" s="25">
        <v>161.75</v>
      </c>
      <c r="F587" s="25">
        <v>80875</v>
      </c>
      <c r="G587" s="25" t="s">
        <v>1171</v>
      </c>
      <c r="H587" s="25">
        <v>2019100</v>
      </c>
      <c r="I587" s="25" t="s">
        <v>19</v>
      </c>
      <c r="J587" s="25" t="s">
        <v>20</v>
      </c>
      <c r="K587" s="25" t="s">
        <v>25</v>
      </c>
      <c r="L587" s="25">
        <v>0</v>
      </c>
      <c r="M587" s="25">
        <v>2.91</v>
      </c>
      <c r="N587" s="25">
        <v>0</v>
      </c>
      <c r="O587" s="25">
        <v>48.24</v>
      </c>
      <c r="P587" s="25">
        <v>51.151499999999999</v>
      </c>
    </row>
    <row r="588" spans="1:16" x14ac:dyDescent="0.25">
      <c r="A588" s="26">
        <v>43613</v>
      </c>
      <c r="B588" s="25" t="s">
        <v>981</v>
      </c>
      <c r="C588" s="25" t="s">
        <v>17</v>
      </c>
      <c r="D588" s="25">
        <v>1500</v>
      </c>
      <c r="E588" s="25">
        <v>162</v>
      </c>
      <c r="F588" s="25">
        <v>243000</v>
      </c>
      <c r="G588" s="25" t="s">
        <v>1172</v>
      </c>
      <c r="H588" s="25">
        <v>2019100</v>
      </c>
      <c r="I588" s="25" t="s">
        <v>19</v>
      </c>
      <c r="J588" s="25" t="s">
        <v>20</v>
      </c>
      <c r="K588" s="25" t="s">
        <v>25</v>
      </c>
      <c r="L588" s="25">
        <v>0</v>
      </c>
      <c r="M588" s="25">
        <v>8.75</v>
      </c>
      <c r="N588" s="25">
        <v>0</v>
      </c>
      <c r="O588" s="25">
        <v>144.94</v>
      </c>
      <c r="P588" s="25">
        <v>153.68799999999999</v>
      </c>
    </row>
    <row r="589" spans="1:16" x14ac:dyDescent="0.25">
      <c r="A589" s="26">
        <v>43613</v>
      </c>
      <c r="B589" s="25" t="s">
        <v>981</v>
      </c>
      <c r="C589" s="25" t="s">
        <v>23</v>
      </c>
      <c r="D589" s="25">
        <v>1500</v>
      </c>
      <c r="E589" s="25">
        <v>162.19999999999999</v>
      </c>
      <c r="F589" s="25">
        <v>243300</v>
      </c>
      <c r="G589" s="25" t="s">
        <v>1173</v>
      </c>
      <c r="H589" s="25">
        <v>2019100</v>
      </c>
      <c r="I589" s="25" t="s">
        <v>19</v>
      </c>
      <c r="J589" s="25" t="s">
        <v>20</v>
      </c>
      <c r="K589" s="25" t="s">
        <v>25</v>
      </c>
      <c r="L589" s="25">
        <v>60.39</v>
      </c>
      <c r="M589" s="25">
        <v>8.76</v>
      </c>
      <c r="N589" s="25">
        <v>32.700000000000003</v>
      </c>
      <c r="O589" s="25">
        <v>145.13</v>
      </c>
      <c r="P589" s="25">
        <v>246.97890000000001</v>
      </c>
    </row>
    <row r="590" spans="1:16" x14ac:dyDescent="0.25">
      <c r="A590" s="26">
        <v>43613</v>
      </c>
      <c r="B590" s="25" t="s">
        <v>1174</v>
      </c>
      <c r="C590" s="25" t="s">
        <v>17</v>
      </c>
      <c r="D590" s="25">
        <v>500</v>
      </c>
      <c r="E590" s="25">
        <v>141</v>
      </c>
      <c r="F590" s="25">
        <v>70501.600000000006</v>
      </c>
      <c r="G590" s="25" t="s">
        <v>1175</v>
      </c>
      <c r="H590" s="25">
        <v>2019100</v>
      </c>
      <c r="I590" s="25" t="s">
        <v>19</v>
      </c>
      <c r="J590" s="25" t="s">
        <v>20</v>
      </c>
      <c r="K590" s="25" t="s">
        <v>25</v>
      </c>
      <c r="L590" s="25">
        <v>0</v>
      </c>
      <c r="M590" s="25">
        <v>2.54</v>
      </c>
      <c r="N590" s="25">
        <v>0</v>
      </c>
      <c r="O590" s="25">
        <v>42.05</v>
      </c>
      <c r="P590" s="25">
        <v>44.588099999999997</v>
      </c>
    </row>
    <row r="591" spans="1:16" x14ac:dyDescent="0.25">
      <c r="A591" s="26">
        <v>43613</v>
      </c>
      <c r="B591" s="25" t="s">
        <v>1174</v>
      </c>
      <c r="C591" s="25" t="s">
        <v>23</v>
      </c>
      <c r="D591" s="25">
        <v>500</v>
      </c>
      <c r="E591" s="25">
        <v>143</v>
      </c>
      <c r="F591" s="25">
        <v>71500</v>
      </c>
      <c r="G591" s="25" t="s">
        <v>1176</v>
      </c>
      <c r="H591" s="25">
        <v>2019100</v>
      </c>
      <c r="I591" s="25" t="s">
        <v>19</v>
      </c>
      <c r="J591" s="25" t="s">
        <v>20</v>
      </c>
      <c r="K591" s="25" t="s">
        <v>25</v>
      </c>
      <c r="L591" s="25">
        <v>17.75</v>
      </c>
      <c r="M591" s="25">
        <v>2.57</v>
      </c>
      <c r="N591" s="25">
        <v>0</v>
      </c>
      <c r="O591" s="25">
        <v>42.65</v>
      </c>
      <c r="P591" s="25">
        <v>62.973999999999997</v>
      </c>
    </row>
    <row r="592" spans="1:16" x14ac:dyDescent="0.25">
      <c r="A592" s="26">
        <v>43613</v>
      </c>
      <c r="B592" s="25" t="s">
        <v>237</v>
      </c>
      <c r="C592" s="25" t="s">
        <v>23</v>
      </c>
      <c r="D592" s="25">
        <v>500</v>
      </c>
      <c r="E592" s="25">
        <v>292.64999999999998</v>
      </c>
      <c r="F592" s="25">
        <v>146325</v>
      </c>
      <c r="G592" s="25" t="s">
        <v>1177</v>
      </c>
      <c r="H592" s="25">
        <v>2019100</v>
      </c>
      <c r="I592" s="25" t="s">
        <v>19</v>
      </c>
      <c r="J592" s="25" t="s">
        <v>20</v>
      </c>
      <c r="K592" s="25" t="s">
        <v>25</v>
      </c>
      <c r="L592" s="25">
        <v>36.619999999999997</v>
      </c>
      <c r="M592" s="25">
        <v>5.27</v>
      </c>
      <c r="N592" s="25">
        <v>0</v>
      </c>
      <c r="O592" s="25">
        <v>87.28</v>
      </c>
      <c r="P592" s="25">
        <v>129.1677</v>
      </c>
    </row>
    <row r="593" spans="1:16" x14ac:dyDescent="0.25">
      <c r="A593" s="26">
        <v>43613</v>
      </c>
      <c r="B593" s="25" t="s">
        <v>237</v>
      </c>
      <c r="C593" s="25" t="s">
        <v>17</v>
      </c>
      <c r="D593" s="25">
        <v>500</v>
      </c>
      <c r="E593" s="25">
        <v>293.2</v>
      </c>
      <c r="F593" s="25">
        <v>146600</v>
      </c>
      <c r="G593" s="25" t="s">
        <v>1178</v>
      </c>
      <c r="H593" s="25">
        <v>2019100</v>
      </c>
      <c r="I593" s="25" t="s">
        <v>19</v>
      </c>
      <c r="J593" s="25" t="s">
        <v>20</v>
      </c>
      <c r="K593" s="25" t="s">
        <v>25</v>
      </c>
      <c r="L593" s="25">
        <v>0</v>
      </c>
      <c r="M593" s="25">
        <v>5.28</v>
      </c>
      <c r="N593" s="25">
        <v>0</v>
      </c>
      <c r="O593" s="25">
        <v>87.44</v>
      </c>
      <c r="P593" s="25">
        <v>92.717600000000004</v>
      </c>
    </row>
    <row r="594" spans="1:16" x14ac:dyDescent="0.25">
      <c r="A594" s="26">
        <v>43612</v>
      </c>
      <c r="B594" s="25" t="s">
        <v>981</v>
      </c>
      <c r="C594" s="25" t="s">
        <v>17</v>
      </c>
      <c r="D594" s="25">
        <v>500</v>
      </c>
      <c r="E594" s="25">
        <v>156</v>
      </c>
      <c r="F594" s="25">
        <v>78000</v>
      </c>
      <c r="G594" s="25" t="s">
        <v>1179</v>
      </c>
      <c r="H594" s="25">
        <v>2019099</v>
      </c>
      <c r="I594" s="25" t="s">
        <v>19</v>
      </c>
      <c r="J594" s="25" t="s">
        <v>20</v>
      </c>
      <c r="K594" s="25" t="s">
        <v>25</v>
      </c>
      <c r="L594" s="25">
        <v>0</v>
      </c>
      <c r="M594" s="25">
        <v>2.81</v>
      </c>
      <c r="N594" s="25">
        <v>0</v>
      </c>
      <c r="O594" s="25">
        <v>46.53</v>
      </c>
      <c r="P594" s="25">
        <v>49.338000000000001</v>
      </c>
    </row>
    <row r="595" spans="1:16" x14ac:dyDescent="0.25">
      <c r="A595" s="26">
        <v>43612</v>
      </c>
      <c r="B595" s="25" t="s">
        <v>981</v>
      </c>
      <c r="C595" s="25" t="s">
        <v>23</v>
      </c>
      <c r="D595" s="25">
        <v>700</v>
      </c>
      <c r="E595" s="25">
        <v>158.9</v>
      </c>
      <c r="F595" s="25">
        <v>111230</v>
      </c>
      <c r="G595" s="25" t="s">
        <v>1180</v>
      </c>
      <c r="H595" s="25">
        <v>2019099</v>
      </c>
      <c r="I595" s="25" t="s">
        <v>19</v>
      </c>
      <c r="J595" s="25" t="s">
        <v>20</v>
      </c>
      <c r="K595" s="25" t="s">
        <v>25</v>
      </c>
      <c r="L595" s="25">
        <v>27.48</v>
      </c>
      <c r="M595" s="25">
        <v>4</v>
      </c>
      <c r="N595" s="25">
        <v>0</v>
      </c>
      <c r="O595" s="25">
        <v>66.349999999999994</v>
      </c>
      <c r="P595" s="25">
        <v>97.834299999999999</v>
      </c>
    </row>
    <row r="596" spans="1:16" x14ac:dyDescent="0.25">
      <c r="A596" s="26">
        <v>43612</v>
      </c>
      <c r="B596" s="25" t="s">
        <v>237</v>
      </c>
      <c r="C596" s="25" t="s">
        <v>17</v>
      </c>
      <c r="D596" s="25">
        <v>500</v>
      </c>
      <c r="E596" s="25">
        <v>281.60000000000002</v>
      </c>
      <c r="F596" s="25">
        <v>140800</v>
      </c>
      <c r="G596" s="25" t="s">
        <v>1181</v>
      </c>
      <c r="H596" s="25">
        <v>2019099</v>
      </c>
      <c r="I596" s="25" t="s">
        <v>19</v>
      </c>
      <c r="J596" s="25" t="s">
        <v>20</v>
      </c>
      <c r="K596" s="25" t="s">
        <v>25</v>
      </c>
      <c r="L596" s="25">
        <v>0</v>
      </c>
      <c r="M596" s="25">
        <v>5.07</v>
      </c>
      <c r="N596" s="25">
        <v>0</v>
      </c>
      <c r="O596" s="25">
        <v>83.98</v>
      </c>
      <c r="P596" s="25">
        <v>89.0488</v>
      </c>
    </row>
    <row r="597" spans="1:16" x14ac:dyDescent="0.25">
      <c r="A597" s="26">
        <v>43612</v>
      </c>
      <c r="B597" s="25" t="s">
        <v>237</v>
      </c>
      <c r="C597" s="25" t="s">
        <v>23</v>
      </c>
      <c r="D597" s="25">
        <v>500</v>
      </c>
      <c r="E597" s="25">
        <v>286</v>
      </c>
      <c r="F597" s="25">
        <v>143000</v>
      </c>
      <c r="G597" s="25" t="s">
        <v>1182</v>
      </c>
      <c r="H597" s="25">
        <v>2019099</v>
      </c>
      <c r="I597" s="25" t="s">
        <v>19</v>
      </c>
      <c r="J597" s="25" t="s">
        <v>20</v>
      </c>
      <c r="K597" s="25" t="s">
        <v>25</v>
      </c>
      <c r="L597" s="25">
        <v>35.479999999999997</v>
      </c>
      <c r="M597" s="25">
        <v>5.15</v>
      </c>
      <c r="N597" s="25">
        <v>0</v>
      </c>
      <c r="O597" s="25">
        <v>85.3</v>
      </c>
      <c r="P597" s="25">
        <v>125.928</v>
      </c>
    </row>
    <row r="598" spans="1:16" x14ac:dyDescent="0.25">
      <c r="A598" s="26">
        <v>43612</v>
      </c>
      <c r="B598" s="25" t="s">
        <v>981</v>
      </c>
      <c r="C598" s="25" t="s">
        <v>17</v>
      </c>
      <c r="D598" s="25">
        <v>100</v>
      </c>
      <c r="E598" s="25">
        <v>157.44999999999999</v>
      </c>
      <c r="F598" s="25">
        <v>15745</v>
      </c>
      <c r="G598" s="25" t="s">
        <v>1183</v>
      </c>
      <c r="H598" s="25">
        <v>2019099</v>
      </c>
      <c r="I598" s="25" t="s">
        <v>19</v>
      </c>
      <c r="J598" s="25" t="s">
        <v>20</v>
      </c>
      <c r="K598" s="25" t="s">
        <v>25</v>
      </c>
      <c r="L598" s="25">
        <v>0</v>
      </c>
      <c r="M598" s="25">
        <v>0.56999999999999995</v>
      </c>
      <c r="N598" s="25">
        <v>0</v>
      </c>
      <c r="O598" s="25">
        <v>29.6</v>
      </c>
      <c r="P598" s="25">
        <v>30.166799999999999</v>
      </c>
    </row>
    <row r="599" spans="1:16" x14ac:dyDescent="0.25">
      <c r="A599" s="26">
        <v>43612</v>
      </c>
      <c r="B599" s="25" t="s">
        <v>981</v>
      </c>
      <c r="C599" s="25" t="s">
        <v>17</v>
      </c>
      <c r="D599" s="25">
        <v>100</v>
      </c>
      <c r="E599" s="25">
        <v>157.25</v>
      </c>
      <c r="F599" s="25">
        <v>15725</v>
      </c>
      <c r="G599" s="25" t="s">
        <v>1184</v>
      </c>
      <c r="H599" s="25">
        <v>2019099</v>
      </c>
      <c r="I599" s="25" t="s">
        <v>19</v>
      </c>
      <c r="J599" s="25" t="s">
        <v>20</v>
      </c>
      <c r="K599" s="25" t="s">
        <v>25</v>
      </c>
      <c r="L599" s="25">
        <v>0</v>
      </c>
      <c r="M599" s="25">
        <v>0.56999999999999995</v>
      </c>
      <c r="N599" s="25">
        <v>25.5</v>
      </c>
      <c r="O599" s="25">
        <v>29.6</v>
      </c>
      <c r="P599" s="25">
        <v>55.6661</v>
      </c>
    </row>
    <row r="600" spans="1:16" x14ac:dyDescent="0.25">
      <c r="A600" s="26">
        <v>43612</v>
      </c>
      <c r="B600" s="25" t="s">
        <v>849</v>
      </c>
      <c r="C600" s="25" t="s">
        <v>17</v>
      </c>
      <c r="D600" s="25">
        <v>1000</v>
      </c>
      <c r="E600" s="25">
        <v>152</v>
      </c>
      <c r="F600" s="25">
        <v>151997.5</v>
      </c>
      <c r="G600" s="25" t="s">
        <v>1185</v>
      </c>
      <c r="H600" s="25">
        <v>2019099</v>
      </c>
      <c r="I600" s="25" t="s">
        <v>19</v>
      </c>
      <c r="J600" s="25" t="s">
        <v>20</v>
      </c>
      <c r="K600" s="25" t="s">
        <v>25</v>
      </c>
      <c r="L600" s="25">
        <v>0</v>
      </c>
      <c r="M600" s="25">
        <v>5.47</v>
      </c>
      <c r="N600" s="25">
        <v>0</v>
      </c>
      <c r="O600" s="25">
        <v>90.66</v>
      </c>
      <c r="P600" s="25">
        <v>96.131900000000002</v>
      </c>
    </row>
    <row r="601" spans="1:16" x14ac:dyDescent="0.25">
      <c r="A601" s="26">
        <v>43612</v>
      </c>
      <c r="B601" s="25" t="s">
        <v>849</v>
      </c>
      <c r="C601" s="25" t="s">
        <v>23</v>
      </c>
      <c r="D601" s="25">
        <v>1000</v>
      </c>
      <c r="E601" s="25">
        <v>152.5</v>
      </c>
      <c r="F601" s="25">
        <v>152500</v>
      </c>
      <c r="G601" s="25" t="s">
        <v>1186</v>
      </c>
      <c r="H601" s="25">
        <v>2019099</v>
      </c>
      <c r="I601" s="25" t="s">
        <v>19</v>
      </c>
      <c r="J601" s="25" t="s">
        <v>20</v>
      </c>
      <c r="K601" s="25" t="s">
        <v>25</v>
      </c>
      <c r="L601" s="25">
        <v>38.06</v>
      </c>
      <c r="M601" s="25">
        <v>5.49</v>
      </c>
      <c r="N601" s="25">
        <v>0</v>
      </c>
      <c r="O601" s="25">
        <v>90.96</v>
      </c>
      <c r="P601" s="25">
        <v>134.51</v>
      </c>
    </row>
    <row r="602" spans="1:16" x14ac:dyDescent="0.25">
      <c r="A602" s="26">
        <v>43612</v>
      </c>
      <c r="B602" s="25" t="s">
        <v>16</v>
      </c>
      <c r="C602" s="25" t="s">
        <v>17</v>
      </c>
      <c r="D602" s="25">
        <v>500</v>
      </c>
      <c r="E602" s="25">
        <v>30.5</v>
      </c>
      <c r="F602" s="25">
        <v>15250</v>
      </c>
      <c r="G602" s="25" t="s">
        <v>1187</v>
      </c>
      <c r="H602" s="25">
        <v>2019099</v>
      </c>
      <c r="I602" s="25" t="s">
        <v>19</v>
      </c>
      <c r="J602" s="25" t="s">
        <v>20</v>
      </c>
      <c r="K602" s="25" t="s">
        <v>25</v>
      </c>
      <c r="L602" s="25">
        <v>0</v>
      </c>
      <c r="M602" s="25">
        <v>0.55000000000000004</v>
      </c>
      <c r="N602" s="25">
        <v>0</v>
      </c>
      <c r="O602" s="25">
        <v>70.900000000000006</v>
      </c>
      <c r="P602" s="25">
        <v>71.449100000000001</v>
      </c>
    </row>
    <row r="603" spans="1:16" x14ac:dyDescent="0.25">
      <c r="A603" s="26">
        <v>43612</v>
      </c>
      <c r="B603" s="25" t="s">
        <v>16</v>
      </c>
      <c r="C603" s="25" t="s">
        <v>23</v>
      </c>
      <c r="D603" s="25">
        <v>500</v>
      </c>
      <c r="E603" s="25">
        <v>31.5</v>
      </c>
      <c r="F603" s="25">
        <v>15750</v>
      </c>
      <c r="G603" s="25" t="s">
        <v>1188</v>
      </c>
      <c r="H603" s="25">
        <v>2019099</v>
      </c>
      <c r="I603" s="25" t="s">
        <v>19</v>
      </c>
      <c r="J603" s="25" t="s">
        <v>20</v>
      </c>
      <c r="K603" s="25" t="s">
        <v>25</v>
      </c>
      <c r="L603" s="25">
        <v>3.88</v>
      </c>
      <c r="M603" s="25">
        <v>0.56999999999999995</v>
      </c>
      <c r="N603" s="25">
        <v>0</v>
      </c>
      <c r="O603" s="25">
        <v>29.6</v>
      </c>
      <c r="P603" s="25">
        <v>34.046999999999997</v>
      </c>
    </row>
    <row r="604" spans="1:16" x14ac:dyDescent="0.25">
      <c r="A604" s="26">
        <v>43612</v>
      </c>
      <c r="B604" s="25" t="s">
        <v>16</v>
      </c>
      <c r="C604" s="25" t="s">
        <v>17</v>
      </c>
      <c r="D604" s="25">
        <v>100</v>
      </c>
      <c r="E604" s="25">
        <v>31.5</v>
      </c>
      <c r="F604" s="25">
        <v>3150</v>
      </c>
      <c r="G604" s="25" t="s">
        <v>1189</v>
      </c>
      <c r="H604" s="25">
        <v>2019099</v>
      </c>
      <c r="I604" s="25" t="s">
        <v>19</v>
      </c>
      <c r="J604" s="25" t="s">
        <v>20</v>
      </c>
      <c r="K604" s="25" t="s">
        <v>25</v>
      </c>
      <c r="L604" s="25">
        <v>3.1</v>
      </c>
      <c r="M604" s="25">
        <v>0.11</v>
      </c>
      <c r="N604" s="25">
        <v>0</v>
      </c>
      <c r="O604" s="25">
        <v>29.52</v>
      </c>
      <c r="P604" s="25">
        <v>32.733400000000003</v>
      </c>
    </row>
    <row r="605" spans="1:16" x14ac:dyDescent="0.25">
      <c r="A605" s="26">
        <v>43609</v>
      </c>
      <c r="B605" s="25" t="s">
        <v>100</v>
      </c>
      <c r="C605" s="25" t="s">
        <v>23</v>
      </c>
      <c r="D605" s="25">
        <v>250</v>
      </c>
      <c r="E605" s="25">
        <v>90</v>
      </c>
      <c r="F605" s="25">
        <v>22500</v>
      </c>
      <c r="G605" s="25" t="s">
        <v>1190</v>
      </c>
      <c r="H605" s="25">
        <v>2019098</v>
      </c>
      <c r="I605" s="25" t="s">
        <v>19</v>
      </c>
      <c r="J605" s="25" t="s">
        <v>20</v>
      </c>
      <c r="K605" s="25" t="s">
        <v>25</v>
      </c>
      <c r="L605" s="25">
        <v>5.84</v>
      </c>
      <c r="M605" s="25">
        <v>0.81</v>
      </c>
      <c r="N605" s="25">
        <v>0</v>
      </c>
      <c r="O605" s="25">
        <v>29.65</v>
      </c>
      <c r="P605" s="25">
        <v>36.299999999999997</v>
      </c>
    </row>
    <row r="606" spans="1:16" x14ac:dyDescent="0.25">
      <c r="A606" s="26">
        <v>43609</v>
      </c>
      <c r="B606" s="25" t="s">
        <v>100</v>
      </c>
      <c r="C606" s="25" t="s">
        <v>23</v>
      </c>
      <c r="D606" s="25">
        <v>100</v>
      </c>
      <c r="E606" s="25">
        <v>91</v>
      </c>
      <c r="F606" s="25">
        <v>9100</v>
      </c>
      <c r="G606" s="25" t="s">
        <v>1191</v>
      </c>
      <c r="H606" s="25">
        <v>2019098</v>
      </c>
      <c r="I606" s="25" t="s">
        <v>19</v>
      </c>
      <c r="J606" s="25" t="s">
        <v>20</v>
      </c>
      <c r="K606" s="25" t="s">
        <v>25</v>
      </c>
      <c r="L606" s="25">
        <v>2.34</v>
      </c>
      <c r="M606" s="25">
        <v>0.33</v>
      </c>
      <c r="N606" s="25">
        <v>0</v>
      </c>
      <c r="O606" s="25">
        <v>29.56</v>
      </c>
      <c r="P606" s="25">
        <v>32.227600000000002</v>
      </c>
    </row>
    <row r="607" spans="1:16" x14ac:dyDescent="0.25">
      <c r="A607" s="26">
        <v>43609</v>
      </c>
      <c r="B607" s="25" t="s">
        <v>100</v>
      </c>
      <c r="C607" s="25" t="s">
        <v>23</v>
      </c>
      <c r="D607" s="25">
        <v>100</v>
      </c>
      <c r="E607" s="25">
        <v>92</v>
      </c>
      <c r="F607" s="25">
        <v>9200</v>
      </c>
      <c r="G607" s="25" t="s">
        <v>1192</v>
      </c>
      <c r="H607" s="25">
        <v>2019098</v>
      </c>
      <c r="I607" s="25" t="s">
        <v>19</v>
      </c>
      <c r="J607" s="25" t="s">
        <v>20</v>
      </c>
      <c r="K607" s="25" t="s">
        <v>25</v>
      </c>
      <c r="L607" s="25">
        <v>2.34</v>
      </c>
      <c r="M607" s="25">
        <v>0.33</v>
      </c>
      <c r="N607" s="25">
        <v>0</v>
      </c>
      <c r="O607" s="25">
        <v>29.56</v>
      </c>
      <c r="P607" s="25">
        <v>32.231200000000001</v>
      </c>
    </row>
    <row r="608" spans="1:16" x14ac:dyDescent="0.25">
      <c r="A608" s="26">
        <v>43609</v>
      </c>
      <c r="B608" s="25" t="s">
        <v>100</v>
      </c>
      <c r="C608" s="25" t="s">
        <v>23</v>
      </c>
      <c r="D608" s="25">
        <v>100</v>
      </c>
      <c r="E608" s="25">
        <v>93</v>
      </c>
      <c r="F608" s="25">
        <v>9300</v>
      </c>
      <c r="G608" s="25" t="s">
        <v>1193</v>
      </c>
      <c r="H608" s="25">
        <v>2019098</v>
      </c>
      <c r="I608" s="25" t="s">
        <v>19</v>
      </c>
      <c r="J608" s="25" t="s">
        <v>20</v>
      </c>
      <c r="K608" s="25" t="s">
        <v>25</v>
      </c>
      <c r="L608" s="25">
        <v>2.34</v>
      </c>
      <c r="M608" s="25">
        <v>0.33</v>
      </c>
      <c r="N608" s="25">
        <v>0</v>
      </c>
      <c r="O608" s="25">
        <v>29.56</v>
      </c>
      <c r="P608" s="25">
        <v>32.2348</v>
      </c>
    </row>
    <row r="609" spans="1:16" x14ac:dyDescent="0.25">
      <c r="A609" s="26">
        <v>43609</v>
      </c>
      <c r="B609" s="25" t="s">
        <v>100</v>
      </c>
      <c r="C609" s="25" t="s">
        <v>23</v>
      </c>
      <c r="D609" s="25">
        <v>200</v>
      </c>
      <c r="E609" s="25">
        <v>94.5</v>
      </c>
      <c r="F609" s="25">
        <v>18900</v>
      </c>
      <c r="G609" s="25" t="s">
        <v>1194</v>
      </c>
      <c r="H609" s="25">
        <v>2019098</v>
      </c>
      <c r="I609" s="25" t="s">
        <v>19</v>
      </c>
      <c r="J609" s="25" t="s">
        <v>20</v>
      </c>
      <c r="K609" s="25" t="s">
        <v>25</v>
      </c>
      <c r="L609" s="25">
        <v>4.78</v>
      </c>
      <c r="M609" s="25">
        <v>0.68</v>
      </c>
      <c r="N609" s="25">
        <v>18.3</v>
      </c>
      <c r="O609" s="25">
        <v>29.62</v>
      </c>
      <c r="P609" s="25">
        <v>53.380400000000002</v>
      </c>
    </row>
    <row r="610" spans="1:16" x14ac:dyDescent="0.25">
      <c r="A610" s="26">
        <v>43609</v>
      </c>
      <c r="B610" s="25" t="s">
        <v>100</v>
      </c>
      <c r="C610" s="25" t="s">
        <v>17</v>
      </c>
      <c r="D610" s="25">
        <v>750</v>
      </c>
      <c r="E610" s="25">
        <v>93.75</v>
      </c>
      <c r="F610" s="25">
        <v>70312.5</v>
      </c>
      <c r="G610" s="25" t="s">
        <v>1195</v>
      </c>
      <c r="H610" s="25">
        <v>2019098</v>
      </c>
      <c r="I610" s="25" t="s">
        <v>19</v>
      </c>
      <c r="J610" s="25" t="s">
        <v>20</v>
      </c>
      <c r="K610" s="25" t="s">
        <v>25</v>
      </c>
      <c r="L610" s="25">
        <v>0</v>
      </c>
      <c r="M610" s="25">
        <v>2.5299999999999998</v>
      </c>
      <c r="N610" s="25">
        <v>0</v>
      </c>
      <c r="O610" s="25">
        <v>41.94</v>
      </c>
      <c r="P610" s="25">
        <v>44.471200000000003</v>
      </c>
    </row>
    <row r="611" spans="1:16" x14ac:dyDescent="0.25">
      <c r="A611" s="26">
        <v>43609</v>
      </c>
      <c r="B611" s="25" t="s">
        <v>100</v>
      </c>
      <c r="C611" s="25" t="s">
        <v>23</v>
      </c>
      <c r="D611" s="25">
        <v>2500</v>
      </c>
      <c r="E611" s="25">
        <v>93.54</v>
      </c>
      <c r="F611" s="25">
        <v>233839.8</v>
      </c>
      <c r="G611" s="25" t="s">
        <v>1196</v>
      </c>
      <c r="H611" s="25">
        <v>2019098</v>
      </c>
      <c r="I611" s="25" t="s">
        <v>19</v>
      </c>
      <c r="J611" s="25" t="s">
        <v>20</v>
      </c>
      <c r="K611" s="25" t="s">
        <v>25</v>
      </c>
      <c r="L611" s="25">
        <v>58.38</v>
      </c>
      <c r="M611" s="25">
        <v>8.42</v>
      </c>
      <c r="N611" s="25">
        <v>0</v>
      </c>
      <c r="O611" s="25">
        <v>139.47</v>
      </c>
      <c r="P611" s="25">
        <v>206.26830000000001</v>
      </c>
    </row>
    <row r="612" spans="1:16" x14ac:dyDescent="0.25">
      <c r="A612" s="26">
        <v>43609</v>
      </c>
      <c r="B612" s="25" t="s">
        <v>100</v>
      </c>
      <c r="C612" s="25" t="s">
        <v>17</v>
      </c>
      <c r="D612" s="25">
        <v>2500</v>
      </c>
      <c r="E612" s="25">
        <v>93.6</v>
      </c>
      <c r="F612" s="25">
        <v>234000</v>
      </c>
      <c r="G612" s="25" t="s">
        <v>1197</v>
      </c>
      <c r="H612" s="25">
        <v>2019098</v>
      </c>
      <c r="I612" s="25" t="s">
        <v>19</v>
      </c>
      <c r="J612" s="25" t="s">
        <v>20</v>
      </c>
      <c r="K612" s="25" t="s">
        <v>25</v>
      </c>
      <c r="L612" s="25">
        <v>0</v>
      </c>
      <c r="M612" s="25">
        <v>8.42</v>
      </c>
      <c r="N612" s="25">
        <v>0</v>
      </c>
      <c r="O612" s="25">
        <v>139.58000000000001</v>
      </c>
      <c r="P612" s="25">
        <v>148.00399999999999</v>
      </c>
    </row>
    <row r="613" spans="1:16" x14ac:dyDescent="0.25">
      <c r="A613" s="26">
        <v>43608</v>
      </c>
      <c r="B613" s="25" t="s">
        <v>480</v>
      </c>
      <c r="C613" s="25" t="s">
        <v>23</v>
      </c>
      <c r="D613" s="25">
        <v>500</v>
      </c>
      <c r="E613" s="25">
        <v>103.5</v>
      </c>
      <c r="F613" s="25">
        <v>51750</v>
      </c>
      <c r="G613" s="25" t="s">
        <v>1198</v>
      </c>
      <c r="H613" s="25">
        <v>2019097</v>
      </c>
      <c r="I613" s="25" t="s">
        <v>19</v>
      </c>
      <c r="J613" s="25" t="s">
        <v>20</v>
      </c>
      <c r="K613" s="25" t="s">
        <v>25</v>
      </c>
      <c r="L613" s="25">
        <v>13.04</v>
      </c>
      <c r="M613" s="25">
        <v>1.86</v>
      </c>
      <c r="N613" s="25">
        <v>0</v>
      </c>
      <c r="O613" s="25">
        <v>30.87</v>
      </c>
      <c r="P613" s="25">
        <v>45.773000000000003</v>
      </c>
    </row>
    <row r="614" spans="1:16" x14ac:dyDescent="0.25">
      <c r="A614" s="26">
        <v>43608</v>
      </c>
      <c r="B614" s="25" t="s">
        <v>480</v>
      </c>
      <c r="C614" s="25" t="s">
        <v>23</v>
      </c>
      <c r="D614" s="25">
        <v>250</v>
      </c>
      <c r="E614" s="25">
        <v>104</v>
      </c>
      <c r="F614" s="25">
        <v>26000</v>
      </c>
      <c r="G614" s="25" t="s">
        <v>1199</v>
      </c>
      <c r="H614" s="25">
        <v>2019097</v>
      </c>
      <c r="I614" s="25" t="s">
        <v>19</v>
      </c>
      <c r="J614" s="25" t="s">
        <v>20</v>
      </c>
      <c r="K614" s="25" t="s">
        <v>25</v>
      </c>
      <c r="L614" s="25">
        <v>6.52</v>
      </c>
      <c r="M614" s="25">
        <v>0.94</v>
      </c>
      <c r="N614" s="25">
        <v>0</v>
      </c>
      <c r="O614" s="25">
        <v>29.66</v>
      </c>
      <c r="P614" s="25">
        <v>37.116</v>
      </c>
    </row>
    <row r="615" spans="1:16" x14ac:dyDescent="0.25">
      <c r="A615" s="26">
        <v>43608</v>
      </c>
      <c r="B615" s="25" t="s">
        <v>270</v>
      </c>
      <c r="C615" s="25" t="s">
        <v>23</v>
      </c>
      <c r="D615" s="25">
        <v>100</v>
      </c>
      <c r="E615" s="25">
        <v>134</v>
      </c>
      <c r="F615" s="25">
        <v>13400</v>
      </c>
      <c r="G615" s="25" t="s">
        <v>1200</v>
      </c>
      <c r="H615" s="25">
        <v>2019097</v>
      </c>
      <c r="I615" s="25" t="s">
        <v>19</v>
      </c>
      <c r="J615" s="25" t="s">
        <v>20</v>
      </c>
      <c r="K615" s="25" t="s">
        <v>25</v>
      </c>
      <c r="L615" s="25">
        <v>3.45</v>
      </c>
      <c r="M615" s="25">
        <v>0.48</v>
      </c>
      <c r="N615" s="25">
        <v>0</v>
      </c>
      <c r="O615" s="25">
        <v>29.59</v>
      </c>
      <c r="P615" s="25">
        <v>33.522399999999998</v>
      </c>
    </row>
    <row r="616" spans="1:16" x14ac:dyDescent="0.25">
      <c r="A616" s="26">
        <v>43608</v>
      </c>
      <c r="B616" s="25" t="s">
        <v>270</v>
      </c>
      <c r="C616" s="25" t="s">
        <v>23</v>
      </c>
      <c r="D616" s="25">
        <v>200</v>
      </c>
      <c r="E616" s="25">
        <v>136.5</v>
      </c>
      <c r="F616" s="25">
        <v>27300</v>
      </c>
      <c r="G616" s="25" t="s">
        <v>1201</v>
      </c>
      <c r="H616" s="25">
        <v>2019097</v>
      </c>
      <c r="I616" s="25" t="s">
        <v>19</v>
      </c>
      <c r="J616" s="25" t="s">
        <v>20</v>
      </c>
      <c r="K616" s="25" t="s">
        <v>25</v>
      </c>
      <c r="L616" s="25">
        <v>6.91</v>
      </c>
      <c r="M616" s="25">
        <v>0.98</v>
      </c>
      <c r="N616" s="25">
        <v>0</v>
      </c>
      <c r="O616" s="25">
        <v>29.67</v>
      </c>
      <c r="P616" s="25">
        <v>37.562800000000003</v>
      </c>
    </row>
    <row r="617" spans="1:16" x14ac:dyDescent="0.25">
      <c r="A617" s="26">
        <v>43608</v>
      </c>
      <c r="B617" s="25" t="s">
        <v>270</v>
      </c>
      <c r="C617" s="25" t="s">
        <v>23</v>
      </c>
      <c r="D617" s="25">
        <v>200</v>
      </c>
      <c r="E617" s="25">
        <v>138.5</v>
      </c>
      <c r="F617" s="25">
        <v>27700</v>
      </c>
      <c r="G617" s="25" t="s">
        <v>1202</v>
      </c>
      <c r="H617" s="25">
        <v>2019097</v>
      </c>
      <c r="I617" s="25" t="s">
        <v>19</v>
      </c>
      <c r="J617" s="25" t="s">
        <v>20</v>
      </c>
      <c r="K617" s="25" t="s">
        <v>25</v>
      </c>
      <c r="L617" s="25">
        <v>6.91</v>
      </c>
      <c r="M617" s="25">
        <v>1</v>
      </c>
      <c r="N617" s="25">
        <v>0</v>
      </c>
      <c r="O617" s="25">
        <v>29.68</v>
      </c>
      <c r="P617" s="25">
        <v>37.587200000000003</v>
      </c>
    </row>
    <row r="618" spans="1:16" x14ac:dyDescent="0.25">
      <c r="A618" s="26">
        <v>43608</v>
      </c>
      <c r="B618" s="25" t="s">
        <v>480</v>
      </c>
      <c r="C618" s="25" t="s">
        <v>23</v>
      </c>
      <c r="D618" s="25">
        <v>250</v>
      </c>
      <c r="E618" s="25">
        <v>106</v>
      </c>
      <c r="F618" s="25">
        <v>26500</v>
      </c>
      <c r="G618" s="25" t="s">
        <v>1203</v>
      </c>
      <c r="H618" s="25">
        <v>2019097</v>
      </c>
      <c r="I618" s="25" t="s">
        <v>19</v>
      </c>
      <c r="J618" s="25" t="s">
        <v>20</v>
      </c>
      <c r="K618" s="25" t="s">
        <v>25</v>
      </c>
      <c r="L618" s="25">
        <v>6.5</v>
      </c>
      <c r="M618" s="25">
        <v>0.95</v>
      </c>
      <c r="N618" s="25">
        <v>15.9</v>
      </c>
      <c r="O618" s="25">
        <v>29.67</v>
      </c>
      <c r="P618" s="25">
        <v>53.024000000000001</v>
      </c>
    </row>
    <row r="619" spans="1:16" x14ac:dyDescent="0.25">
      <c r="A619" s="26">
        <v>43608</v>
      </c>
      <c r="B619" s="25" t="s">
        <v>270</v>
      </c>
      <c r="C619" s="25" t="s">
        <v>23</v>
      </c>
      <c r="D619" s="25">
        <v>250</v>
      </c>
      <c r="E619" s="25">
        <v>143</v>
      </c>
      <c r="F619" s="25">
        <v>35750</v>
      </c>
      <c r="G619" s="25" t="s">
        <v>1204</v>
      </c>
      <c r="H619" s="25">
        <v>2019097</v>
      </c>
      <c r="I619" s="25" t="s">
        <v>19</v>
      </c>
      <c r="J619" s="25" t="s">
        <v>20</v>
      </c>
      <c r="K619" s="25" t="s">
        <v>25</v>
      </c>
      <c r="L619" s="25">
        <v>8.64</v>
      </c>
      <c r="M619" s="25">
        <v>1.29</v>
      </c>
      <c r="N619" s="25">
        <v>0</v>
      </c>
      <c r="O619" s="25">
        <v>29.72</v>
      </c>
      <c r="P619" s="25">
        <v>39.646999999999998</v>
      </c>
    </row>
    <row r="620" spans="1:16" x14ac:dyDescent="0.25">
      <c r="A620" s="26">
        <v>43608</v>
      </c>
      <c r="B620" s="25" t="s">
        <v>270</v>
      </c>
      <c r="C620" s="25" t="s">
        <v>17</v>
      </c>
      <c r="D620" s="25">
        <v>750</v>
      </c>
      <c r="E620" s="25">
        <v>137.5</v>
      </c>
      <c r="F620" s="25">
        <v>103125</v>
      </c>
      <c r="G620" s="25" t="s">
        <v>1205</v>
      </c>
      <c r="H620" s="25">
        <v>2019097</v>
      </c>
      <c r="I620" s="25" t="s">
        <v>19</v>
      </c>
      <c r="J620" s="25" t="s">
        <v>20</v>
      </c>
      <c r="K620" s="25" t="s">
        <v>25</v>
      </c>
      <c r="L620" s="25">
        <v>0</v>
      </c>
      <c r="M620" s="25">
        <v>3.71</v>
      </c>
      <c r="N620" s="25">
        <v>0</v>
      </c>
      <c r="O620" s="25">
        <v>61.51</v>
      </c>
      <c r="P620" s="25">
        <v>65.222499999999997</v>
      </c>
    </row>
    <row r="621" spans="1:16" x14ac:dyDescent="0.25">
      <c r="A621" s="26">
        <v>43608</v>
      </c>
      <c r="B621" s="25" t="s">
        <v>480</v>
      </c>
      <c r="C621" s="25" t="s">
        <v>17</v>
      </c>
      <c r="D621" s="25">
        <v>1500</v>
      </c>
      <c r="E621" s="25">
        <v>103.5</v>
      </c>
      <c r="F621" s="25">
        <v>155250</v>
      </c>
      <c r="G621" s="25" t="s">
        <v>1206</v>
      </c>
      <c r="H621" s="25">
        <v>2019097</v>
      </c>
      <c r="I621" s="25" t="s">
        <v>19</v>
      </c>
      <c r="J621" s="25" t="s">
        <v>20</v>
      </c>
      <c r="K621" s="25" t="s">
        <v>25</v>
      </c>
      <c r="L621" s="25">
        <v>0</v>
      </c>
      <c r="M621" s="25">
        <v>5.59</v>
      </c>
      <c r="N621" s="25">
        <v>0</v>
      </c>
      <c r="O621" s="25">
        <v>92.6</v>
      </c>
      <c r="P621" s="25">
        <v>98.189099999999996</v>
      </c>
    </row>
    <row r="622" spans="1:16" x14ac:dyDescent="0.25">
      <c r="A622" s="26">
        <v>43608</v>
      </c>
      <c r="B622" s="25" t="s">
        <v>480</v>
      </c>
      <c r="C622" s="25" t="s">
        <v>23</v>
      </c>
      <c r="D622" s="25">
        <v>500</v>
      </c>
      <c r="E622" s="25">
        <v>106.7</v>
      </c>
      <c r="F622" s="25">
        <v>53350</v>
      </c>
      <c r="G622" s="25" t="s">
        <v>1207</v>
      </c>
      <c r="H622" s="25">
        <v>2019097</v>
      </c>
      <c r="I622" s="25" t="s">
        <v>19</v>
      </c>
      <c r="J622" s="25" t="s">
        <v>20</v>
      </c>
      <c r="K622" s="25" t="s">
        <v>25</v>
      </c>
      <c r="L622" s="25">
        <v>13.04</v>
      </c>
      <c r="M622" s="25">
        <v>1.92</v>
      </c>
      <c r="N622" s="25">
        <v>0</v>
      </c>
      <c r="O622" s="25">
        <v>31.82</v>
      </c>
      <c r="P622" s="25">
        <v>46.780700000000003</v>
      </c>
    </row>
    <row r="623" spans="1:16" x14ac:dyDescent="0.25">
      <c r="A623" s="26">
        <v>43607</v>
      </c>
      <c r="B623" s="25" t="s">
        <v>16</v>
      </c>
      <c r="C623" s="25" t="s">
        <v>17</v>
      </c>
      <c r="D623" s="25">
        <v>1000</v>
      </c>
      <c r="E623" s="25">
        <v>28.5</v>
      </c>
      <c r="F623" s="25">
        <v>28500</v>
      </c>
      <c r="G623" s="25" t="s">
        <v>1208</v>
      </c>
      <c r="H623" s="25">
        <v>2019096</v>
      </c>
      <c r="I623" s="25" t="s">
        <v>19</v>
      </c>
      <c r="J623" s="25" t="s">
        <v>20</v>
      </c>
      <c r="K623" s="25" t="s">
        <v>25</v>
      </c>
      <c r="L623" s="25">
        <v>0</v>
      </c>
      <c r="M623" s="25">
        <v>1.03</v>
      </c>
      <c r="N623" s="25">
        <v>0</v>
      </c>
      <c r="O623" s="25">
        <v>29.68</v>
      </c>
      <c r="P623" s="25">
        <v>30.706</v>
      </c>
    </row>
    <row r="624" spans="1:16" x14ac:dyDescent="0.25">
      <c r="A624" s="26">
        <v>43607</v>
      </c>
      <c r="B624" s="25" t="s">
        <v>981</v>
      </c>
      <c r="C624" s="25" t="s">
        <v>17</v>
      </c>
      <c r="D624" s="25">
        <v>500</v>
      </c>
      <c r="E624" s="25">
        <v>154</v>
      </c>
      <c r="F624" s="25">
        <v>77000</v>
      </c>
      <c r="G624" s="25" t="s">
        <v>1209</v>
      </c>
      <c r="H624" s="25">
        <v>2019096</v>
      </c>
      <c r="I624" s="25" t="s">
        <v>19</v>
      </c>
      <c r="J624" s="25" t="s">
        <v>20</v>
      </c>
      <c r="K624" s="25" t="s">
        <v>25</v>
      </c>
      <c r="L624" s="25">
        <v>0</v>
      </c>
      <c r="M624" s="25">
        <v>2.77</v>
      </c>
      <c r="N624" s="25">
        <v>0</v>
      </c>
      <c r="O624" s="25">
        <v>45.93</v>
      </c>
      <c r="P624" s="25">
        <v>48.701999999999998</v>
      </c>
    </row>
    <row r="625" spans="1:16" x14ac:dyDescent="0.25">
      <c r="A625" s="26">
        <v>43607</v>
      </c>
      <c r="B625" s="25" t="s">
        <v>849</v>
      </c>
      <c r="C625" s="25" t="s">
        <v>23</v>
      </c>
      <c r="D625" s="25">
        <v>250</v>
      </c>
      <c r="E625" s="25">
        <v>147</v>
      </c>
      <c r="F625" s="25">
        <v>36750</v>
      </c>
      <c r="G625" s="25" t="s">
        <v>1210</v>
      </c>
      <c r="H625" s="25">
        <v>2019096</v>
      </c>
      <c r="I625" s="25" t="s">
        <v>19</v>
      </c>
      <c r="J625" s="25" t="s">
        <v>20</v>
      </c>
      <c r="K625" s="25" t="s">
        <v>25</v>
      </c>
      <c r="L625" s="25">
        <v>9.75</v>
      </c>
      <c r="M625" s="25">
        <v>1.32</v>
      </c>
      <c r="N625" s="25">
        <v>0</v>
      </c>
      <c r="O625" s="25">
        <v>29.74</v>
      </c>
      <c r="P625" s="25">
        <v>40.813099999999999</v>
      </c>
    </row>
    <row r="626" spans="1:16" x14ac:dyDescent="0.25">
      <c r="A626" s="26">
        <v>43607</v>
      </c>
      <c r="B626" s="25" t="s">
        <v>849</v>
      </c>
      <c r="C626" s="25" t="s">
        <v>23</v>
      </c>
      <c r="D626" s="25">
        <v>500</v>
      </c>
      <c r="E626" s="25">
        <v>162</v>
      </c>
      <c r="F626" s="25">
        <v>81000</v>
      </c>
      <c r="G626" s="25" t="s">
        <v>1211</v>
      </c>
      <c r="H626" s="25">
        <v>2019096</v>
      </c>
      <c r="I626" s="25" t="s">
        <v>19</v>
      </c>
      <c r="J626" s="25" t="s">
        <v>20</v>
      </c>
      <c r="K626" s="25" t="s">
        <v>25</v>
      </c>
      <c r="L626" s="25">
        <v>19.5</v>
      </c>
      <c r="M626" s="25">
        <v>2.92</v>
      </c>
      <c r="N626" s="25">
        <v>0</v>
      </c>
      <c r="O626" s="25">
        <v>48.31</v>
      </c>
      <c r="P626" s="25">
        <v>70.726200000000006</v>
      </c>
    </row>
    <row r="627" spans="1:16" x14ac:dyDescent="0.25">
      <c r="A627" s="26">
        <v>43607</v>
      </c>
      <c r="B627" s="25" t="s">
        <v>981</v>
      </c>
      <c r="C627" s="25" t="s">
        <v>23</v>
      </c>
      <c r="D627" s="25">
        <v>500</v>
      </c>
      <c r="E627" s="25">
        <v>155</v>
      </c>
      <c r="F627" s="25">
        <v>77500</v>
      </c>
      <c r="G627" s="25" t="s">
        <v>1212</v>
      </c>
      <c r="H627" s="25">
        <v>2019096</v>
      </c>
      <c r="I627" s="25" t="s">
        <v>19</v>
      </c>
      <c r="J627" s="25" t="s">
        <v>20</v>
      </c>
      <c r="K627" s="25" t="s">
        <v>25</v>
      </c>
      <c r="L627" s="25">
        <v>19.010000000000002</v>
      </c>
      <c r="M627" s="25">
        <v>2.79</v>
      </c>
      <c r="N627" s="25">
        <v>13.5</v>
      </c>
      <c r="O627" s="25">
        <v>46.21</v>
      </c>
      <c r="P627" s="25">
        <v>81.510800000000003</v>
      </c>
    </row>
    <row r="628" spans="1:16" x14ac:dyDescent="0.25">
      <c r="A628" s="26">
        <v>43607</v>
      </c>
      <c r="B628" s="25" t="s">
        <v>16</v>
      </c>
      <c r="C628" s="25" t="s">
        <v>23</v>
      </c>
      <c r="D628" s="25">
        <v>1000</v>
      </c>
      <c r="E628" s="25">
        <v>29</v>
      </c>
      <c r="F628" s="25">
        <v>29000</v>
      </c>
      <c r="G628" s="25" t="s">
        <v>1213</v>
      </c>
      <c r="H628" s="25">
        <v>2019096</v>
      </c>
      <c r="I628" s="25" t="s">
        <v>19</v>
      </c>
      <c r="J628" s="25" t="s">
        <v>20</v>
      </c>
      <c r="K628" s="25" t="s">
        <v>25</v>
      </c>
      <c r="L628" s="25">
        <v>7.19</v>
      </c>
      <c r="M628" s="25">
        <v>1.04</v>
      </c>
      <c r="N628" s="25">
        <v>0</v>
      </c>
      <c r="O628" s="25">
        <v>29.69</v>
      </c>
      <c r="P628" s="25">
        <v>37.923999999999999</v>
      </c>
    </row>
    <row r="629" spans="1:16" x14ac:dyDescent="0.25">
      <c r="A629" s="26">
        <v>43607</v>
      </c>
      <c r="B629" s="25" t="s">
        <v>849</v>
      </c>
      <c r="C629" s="25" t="s">
        <v>17</v>
      </c>
      <c r="D629" s="25">
        <v>10</v>
      </c>
      <c r="E629" s="25">
        <v>154</v>
      </c>
      <c r="F629" s="25">
        <v>1540</v>
      </c>
      <c r="G629" s="25" t="s">
        <v>1214</v>
      </c>
      <c r="H629" s="25">
        <v>2019096</v>
      </c>
      <c r="I629" s="25" t="s">
        <v>19</v>
      </c>
      <c r="J629" s="25" t="s">
        <v>20</v>
      </c>
      <c r="K629" s="25" t="s">
        <v>25</v>
      </c>
      <c r="L629" s="25">
        <v>1.56</v>
      </c>
      <c r="M629" s="25">
        <v>0.06</v>
      </c>
      <c r="N629" s="25">
        <v>0</v>
      </c>
      <c r="O629" s="25">
        <v>41.32</v>
      </c>
      <c r="P629" s="25">
        <v>42.935600000000001</v>
      </c>
    </row>
    <row r="630" spans="1:16" x14ac:dyDescent="0.25">
      <c r="A630" s="26">
        <v>43607</v>
      </c>
      <c r="B630" s="25" t="s">
        <v>849</v>
      </c>
      <c r="C630" s="25" t="s">
        <v>17</v>
      </c>
      <c r="D630" s="25">
        <v>750</v>
      </c>
      <c r="E630" s="25">
        <v>155</v>
      </c>
      <c r="F630" s="25">
        <v>116250</v>
      </c>
      <c r="G630" s="25" t="s">
        <v>1215</v>
      </c>
      <c r="H630" s="25">
        <v>2019096</v>
      </c>
      <c r="I630" s="25" t="s">
        <v>19</v>
      </c>
      <c r="J630" s="25" t="s">
        <v>20</v>
      </c>
      <c r="K630" s="25" t="s">
        <v>25</v>
      </c>
      <c r="L630" s="25">
        <v>0</v>
      </c>
      <c r="M630" s="25">
        <v>4.1900000000000004</v>
      </c>
      <c r="N630" s="25">
        <v>0</v>
      </c>
      <c r="O630" s="25">
        <v>69.34</v>
      </c>
      <c r="P630" s="25">
        <v>73.525099999999995</v>
      </c>
    </row>
    <row r="631" spans="1:16" x14ac:dyDescent="0.25">
      <c r="A631" s="26">
        <v>43606</v>
      </c>
      <c r="B631" s="25" t="s">
        <v>981</v>
      </c>
      <c r="C631" s="25" t="s">
        <v>23</v>
      </c>
      <c r="D631" s="25">
        <v>250</v>
      </c>
      <c r="E631" s="25">
        <v>155.25</v>
      </c>
      <c r="F631" s="25">
        <v>38812.5</v>
      </c>
      <c r="G631" s="25" t="s">
        <v>1216</v>
      </c>
      <c r="H631" s="25">
        <v>2019095</v>
      </c>
      <c r="I631" s="25" t="s">
        <v>19</v>
      </c>
      <c r="J631" s="25" t="s">
        <v>20</v>
      </c>
      <c r="K631" s="25" t="s">
        <v>25</v>
      </c>
      <c r="L631" s="25">
        <v>9.6300000000000008</v>
      </c>
      <c r="M631" s="25">
        <v>1.4</v>
      </c>
      <c r="N631" s="25">
        <v>0</v>
      </c>
      <c r="O631" s="25">
        <v>29.75</v>
      </c>
      <c r="P631" s="25">
        <v>40.777200000000001</v>
      </c>
    </row>
    <row r="632" spans="1:16" x14ac:dyDescent="0.25">
      <c r="A632" s="26">
        <v>43606</v>
      </c>
      <c r="B632" s="25" t="s">
        <v>981</v>
      </c>
      <c r="C632" s="25" t="s">
        <v>23</v>
      </c>
      <c r="D632" s="25">
        <v>1064</v>
      </c>
      <c r="E632" s="25">
        <v>155</v>
      </c>
      <c r="F632" s="25">
        <v>164920</v>
      </c>
      <c r="G632" s="25" t="s">
        <v>1217</v>
      </c>
      <c r="H632" s="25">
        <v>2019095</v>
      </c>
      <c r="I632" s="25" t="s">
        <v>19</v>
      </c>
      <c r="J632" s="25" t="s">
        <v>20</v>
      </c>
      <c r="K632" s="25" t="s">
        <v>25</v>
      </c>
      <c r="L632" s="25">
        <v>41.37</v>
      </c>
      <c r="M632" s="25">
        <v>5.94</v>
      </c>
      <c r="N632" s="25">
        <v>12.3</v>
      </c>
      <c r="O632" s="25">
        <v>98.33</v>
      </c>
      <c r="P632" s="25">
        <v>157.93780000000001</v>
      </c>
    </row>
    <row r="633" spans="1:16" x14ac:dyDescent="0.25">
      <c r="A633" s="26">
        <v>43606</v>
      </c>
      <c r="B633" s="25" t="s">
        <v>981</v>
      </c>
      <c r="C633" s="25" t="s">
        <v>17</v>
      </c>
      <c r="D633" s="25">
        <v>1314</v>
      </c>
      <c r="E633" s="25">
        <v>153.25</v>
      </c>
      <c r="F633" s="25">
        <v>201370.5</v>
      </c>
      <c r="G633" s="25" t="s">
        <v>1218</v>
      </c>
      <c r="H633" s="25">
        <v>2019095</v>
      </c>
      <c r="I633" s="25" t="s">
        <v>19</v>
      </c>
      <c r="J633" s="25" t="s">
        <v>20</v>
      </c>
      <c r="K633" s="25" t="s">
        <v>25</v>
      </c>
      <c r="L633" s="25">
        <v>0</v>
      </c>
      <c r="M633" s="25">
        <v>7.25</v>
      </c>
      <c r="N633" s="25">
        <v>0</v>
      </c>
      <c r="O633" s="25">
        <v>120.11</v>
      </c>
      <c r="P633" s="25">
        <v>127.35939999999999</v>
      </c>
    </row>
    <row r="634" spans="1:16" x14ac:dyDescent="0.25">
      <c r="A634" s="26">
        <v>43605</v>
      </c>
      <c r="B634" s="25" t="s">
        <v>981</v>
      </c>
      <c r="C634" s="25" t="s">
        <v>23</v>
      </c>
      <c r="D634" s="25">
        <v>100</v>
      </c>
      <c r="E634" s="25">
        <v>155.5</v>
      </c>
      <c r="F634" s="25">
        <v>15550</v>
      </c>
      <c r="G634" s="25" t="s">
        <v>1219</v>
      </c>
      <c r="H634" s="25">
        <v>2019094</v>
      </c>
      <c r="I634" s="25" t="s">
        <v>19</v>
      </c>
      <c r="J634" s="25" t="s">
        <v>20</v>
      </c>
      <c r="K634" s="25" t="s">
        <v>25</v>
      </c>
      <c r="L634" s="25">
        <v>3.95</v>
      </c>
      <c r="M634" s="25">
        <v>0.56000000000000005</v>
      </c>
      <c r="N634" s="25">
        <v>0</v>
      </c>
      <c r="O634" s="25">
        <v>29.6</v>
      </c>
      <c r="P634" s="25">
        <v>34.109900000000003</v>
      </c>
    </row>
    <row r="635" spans="1:16" x14ac:dyDescent="0.25">
      <c r="A635" s="26">
        <v>43605</v>
      </c>
      <c r="B635" s="25" t="s">
        <v>16</v>
      </c>
      <c r="C635" s="25" t="s">
        <v>17</v>
      </c>
      <c r="D635" s="25">
        <v>1000</v>
      </c>
      <c r="E635" s="25">
        <v>28.5</v>
      </c>
      <c r="F635" s="25">
        <v>28500</v>
      </c>
      <c r="G635" s="25" t="s">
        <v>1220</v>
      </c>
      <c r="H635" s="25">
        <v>2019094</v>
      </c>
      <c r="I635" s="25" t="s">
        <v>19</v>
      </c>
      <c r="J635" s="25" t="s">
        <v>20</v>
      </c>
      <c r="K635" s="25" t="s">
        <v>25</v>
      </c>
      <c r="L635" s="25">
        <v>0</v>
      </c>
      <c r="M635" s="25">
        <v>1.03</v>
      </c>
      <c r="N635" s="25">
        <v>0</v>
      </c>
      <c r="O635" s="25">
        <v>29.69</v>
      </c>
      <c r="P635" s="25">
        <v>30.716200000000001</v>
      </c>
    </row>
    <row r="636" spans="1:16" x14ac:dyDescent="0.25">
      <c r="A636" s="26">
        <v>43605</v>
      </c>
      <c r="B636" s="25" t="s">
        <v>981</v>
      </c>
      <c r="C636" s="25" t="s">
        <v>23</v>
      </c>
      <c r="D636" s="25">
        <v>100</v>
      </c>
      <c r="E636" s="25">
        <v>155</v>
      </c>
      <c r="F636" s="25">
        <v>15500</v>
      </c>
      <c r="G636" s="25" t="s">
        <v>1221</v>
      </c>
      <c r="H636" s="25">
        <v>2019094</v>
      </c>
      <c r="I636" s="25" t="s">
        <v>19</v>
      </c>
      <c r="J636" s="25" t="s">
        <v>20</v>
      </c>
      <c r="K636" s="25" t="s">
        <v>25</v>
      </c>
      <c r="L636" s="25">
        <v>3.95</v>
      </c>
      <c r="M636" s="25">
        <v>0.56000000000000005</v>
      </c>
      <c r="N636" s="25">
        <v>0</v>
      </c>
      <c r="O636" s="25">
        <v>29.6</v>
      </c>
      <c r="P636" s="25">
        <v>34.107999999999997</v>
      </c>
    </row>
    <row r="637" spans="1:16" x14ac:dyDescent="0.25">
      <c r="A637" s="26">
        <v>43605</v>
      </c>
      <c r="B637" s="25" t="s">
        <v>16</v>
      </c>
      <c r="C637" s="25" t="s">
        <v>23</v>
      </c>
      <c r="D637" s="25">
        <v>1000</v>
      </c>
      <c r="E637" s="25">
        <v>28.65</v>
      </c>
      <c r="F637" s="25">
        <v>28650</v>
      </c>
      <c r="G637" s="25" t="s">
        <v>1222</v>
      </c>
      <c r="H637" s="25">
        <v>2019094</v>
      </c>
      <c r="I637" s="25" t="s">
        <v>19</v>
      </c>
      <c r="J637" s="25" t="s">
        <v>20</v>
      </c>
      <c r="K637" s="25" t="s">
        <v>25</v>
      </c>
      <c r="L637" s="25">
        <v>7.43</v>
      </c>
      <c r="M637" s="25">
        <v>1.03</v>
      </c>
      <c r="N637" s="25">
        <v>0</v>
      </c>
      <c r="O637" s="25">
        <v>29.69</v>
      </c>
      <c r="P637" s="25">
        <v>38.151400000000002</v>
      </c>
    </row>
    <row r="638" spans="1:16" x14ac:dyDescent="0.25">
      <c r="A638" s="26">
        <v>43605</v>
      </c>
      <c r="B638" s="25" t="s">
        <v>981</v>
      </c>
      <c r="C638" s="25" t="s">
        <v>17</v>
      </c>
      <c r="D638" s="25">
        <v>200</v>
      </c>
      <c r="E638" s="25">
        <v>158.5</v>
      </c>
      <c r="F638" s="25">
        <v>31700</v>
      </c>
      <c r="G638" s="25" t="s">
        <v>1223</v>
      </c>
      <c r="H638" s="25">
        <v>2019094</v>
      </c>
      <c r="I638" s="25" t="s">
        <v>19</v>
      </c>
      <c r="J638" s="25" t="s">
        <v>20</v>
      </c>
      <c r="K638" s="25" t="s">
        <v>25</v>
      </c>
      <c r="L638" s="25">
        <v>0</v>
      </c>
      <c r="M638" s="25">
        <v>1.1399999999999999</v>
      </c>
      <c r="N638" s="25">
        <v>0</v>
      </c>
      <c r="O638" s="25">
        <v>29.71</v>
      </c>
      <c r="P638" s="25">
        <v>30.851199999999999</v>
      </c>
    </row>
    <row r="639" spans="1:16" x14ac:dyDescent="0.25">
      <c r="A639" s="26">
        <v>43605</v>
      </c>
      <c r="B639" s="25" t="s">
        <v>981</v>
      </c>
      <c r="C639" s="25" t="s">
        <v>17</v>
      </c>
      <c r="D639" s="25">
        <v>1000</v>
      </c>
      <c r="E639" s="25">
        <v>158.5</v>
      </c>
      <c r="F639" s="25">
        <v>158500</v>
      </c>
      <c r="G639" s="25" t="s">
        <v>1224</v>
      </c>
      <c r="H639" s="25">
        <v>2019094</v>
      </c>
      <c r="I639" s="25" t="s">
        <v>19</v>
      </c>
      <c r="J639" s="25" t="s">
        <v>20</v>
      </c>
      <c r="K639" s="25" t="s">
        <v>25</v>
      </c>
      <c r="L639" s="25">
        <v>0</v>
      </c>
      <c r="M639" s="25">
        <v>5.71</v>
      </c>
      <c r="N639" s="25">
        <v>27.3</v>
      </c>
      <c r="O639" s="25">
        <v>94.54</v>
      </c>
      <c r="P639" s="25">
        <v>127.5459</v>
      </c>
    </row>
    <row r="640" spans="1:16" x14ac:dyDescent="0.25">
      <c r="A640" s="26">
        <v>43605</v>
      </c>
      <c r="B640" s="25" t="s">
        <v>981</v>
      </c>
      <c r="C640" s="25" t="s">
        <v>17</v>
      </c>
      <c r="D640" s="25">
        <v>1000</v>
      </c>
      <c r="E640" s="25">
        <v>157.94999999999999</v>
      </c>
      <c r="F640" s="25">
        <v>157950</v>
      </c>
      <c r="G640" s="25" t="s">
        <v>1225</v>
      </c>
      <c r="H640" s="25">
        <v>2019094</v>
      </c>
      <c r="I640" s="25" t="s">
        <v>19</v>
      </c>
      <c r="J640" s="25" t="s">
        <v>20</v>
      </c>
      <c r="K640" s="25" t="s">
        <v>25</v>
      </c>
      <c r="L640" s="25">
        <v>0</v>
      </c>
      <c r="M640" s="25">
        <v>5.69</v>
      </c>
      <c r="N640" s="25">
        <v>0</v>
      </c>
      <c r="O640" s="25">
        <v>94.21</v>
      </c>
      <c r="P640" s="25">
        <v>99.896199999999993</v>
      </c>
    </row>
    <row r="641" spans="1:16" x14ac:dyDescent="0.25">
      <c r="A641" s="26">
        <v>43605</v>
      </c>
      <c r="B641" s="25" t="s">
        <v>981</v>
      </c>
      <c r="C641" s="25" t="s">
        <v>17</v>
      </c>
      <c r="D641" s="25">
        <v>500</v>
      </c>
      <c r="E641" s="25">
        <v>157.4</v>
      </c>
      <c r="F641" s="25">
        <v>78700</v>
      </c>
      <c r="G641" s="25" t="s">
        <v>1226</v>
      </c>
      <c r="H641" s="25">
        <v>2019094</v>
      </c>
      <c r="I641" s="25" t="s">
        <v>19</v>
      </c>
      <c r="J641" s="25" t="s">
        <v>20</v>
      </c>
      <c r="K641" s="25" t="s">
        <v>25</v>
      </c>
      <c r="L641" s="25">
        <v>0</v>
      </c>
      <c r="M641" s="25">
        <v>2.83</v>
      </c>
      <c r="N641" s="25">
        <v>0</v>
      </c>
      <c r="O641" s="25">
        <v>46.94</v>
      </c>
      <c r="P641" s="25">
        <v>49.773200000000003</v>
      </c>
    </row>
    <row r="642" spans="1:16" x14ac:dyDescent="0.25">
      <c r="A642" s="26">
        <v>43605</v>
      </c>
      <c r="B642" s="25" t="s">
        <v>981</v>
      </c>
      <c r="C642" s="25" t="s">
        <v>23</v>
      </c>
      <c r="D642" s="25">
        <v>2500</v>
      </c>
      <c r="E642" s="25">
        <v>157.87</v>
      </c>
      <c r="F642" s="25">
        <v>394681.85</v>
      </c>
      <c r="G642" s="25" t="s">
        <v>1227</v>
      </c>
      <c r="H642" s="25">
        <v>2019094</v>
      </c>
      <c r="I642" s="25" t="s">
        <v>19</v>
      </c>
      <c r="J642" s="25" t="s">
        <v>20</v>
      </c>
      <c r="K642" s="25" t="s">
        <v>25</v>
      </c>
      <c r="L642" s="25">
        <v>98.68</v>
      </c>
      <c r="M642" s="25">
        <v>14.21</v>
      </c>
      <c r="N642" s="25">
        <v>0</v>
      </c>
      <c r="O642" s="25">
        <v>235.41</v>
      </c>
      <c r="P642" s="25">
        <v>348.29840000000002</v>
      </c>
    </row>
    <row r="643" spans="1:16" x14ac:dyDescent="0.25">
      <c r="A643" s="26">
        <v>43602</v>
      </c>
      <c r="B643" s="25" t="s">
        <v>981</v>
      </c>
      <c r="C643" s="25" t="s">
        <v>23</v>
      </c>
      <c r="D643" s="25">
        <v>500</v>
      </c>
      <c r="E643" s="25">
        <v>150</v>
      </c>
      <c r="F643" s="25">
        <v>75000</v>
      </c>
      <c r="G643" s="25" t="s">
        <v>1228</v>
      </c>
      <c r="H643" s="25">
        <v>2019093</v>
      </c>
      <c r="I643" s="25" t="s">
        <v>19</v>
      </c>
      <c r="J643" s="25" t="s">
        <v>20</v>
      </c>
      <c r="K643" s="25" t="s">
        <v>25</v>
      </c>
      <c r="L643" s="25">
        <v>18.34</v>
      </c>
      <c r="M643" s="25">
        <v>2.7</v>
      </c>
      <c r="N643" s="25">
        <v>0</v>
      </c>
      <c r="O643" s="25">
        <v>44.74</v>
      </c>
      <c r="P643" s="25">
        <v>65.78</v>
      </c>
    </row>
    <row r="644" spans="1:16" x14ac:dyDescent="0.25">
      <c r="A644" s="26">
        <v>43602</v>
      </c>
      <c r="B644" s="25" t="s">
        <v>981</v>
      </c>
      <c r="C644" s="25" t="s">
        <v>23</v>
      </c>
      <c r="D644" s="25">
        <v>250</v>
      </c>
      <c r="E644" s="25">
        <v>149.44999999999999</v>
      </c>
      <c r="F644" s="25">
        <v>37362.5</v>
      </c>
      <c r="G644" s="25" t="s">
        <v>1229</v>
      </c>
      <c r="H644" s="25">
        <v>2019093</v>
      </c>
      <c r="I644" s="25" t="s">
        <v>19</v>
      </c>
      <c r="J644" s="25" t="s">
        <v>20</v>
      </c>
      <c r="K644" s="25" t="s">
        <v>25</v>
      </c>
      <c r="L644" s="25">
        <v>9.3000000000000007</v>
      </c>
      <c r="M644" s="25">
        <v>1.35</v>
      </c>
      <c r="N644" s="25">
        <v>0</v>
      </c>
      <c r="O644" s="25">
        <v>29.74</v>
      </c>
      <c r="P644" s="25">
        <v>40.384999999999998</v>
      </c>
    </row>
    <row r="645" spans="1:16" x14ac:dyDescent="0.25">
      <c r="A645" s="26">
        <v>43602</v>
      </c>
      <c r="B645" s="25" t="s">
        <v>981</v>
      </c>
      <c r="C645" s="25" t="s">
        <v>17</v>
      </c>
      <c r="D645" s="25">
        <v>750</v>
      </c>
      <c r="E645" s="25">
        <v>148.9</v>
      </c>
      <c r="F645" s="25">
        <v>111675</v>
      </c>
      <c r="G645" s="25" t="s">
        <v>1230</v>
      </c>
      <c r="H645" s="25">
        <v>2019093</v>
      </c>
      <c r="I645" s="25" t="s">
        <v>19</v>
      </c>
      <c r="J645" s="25" t="s">
        <v>20</v>
      </c>
      <c r="K645" s="25" t="s">
        <v>25</v>
      </c>
      <c r="L645" s="25">
        <v>0</v>
      </c>
      <c r="M645" s="25">
        <v>4.0199999999999996</v>
      </c>
      <c r="N645" s="25">
        <v>11.4</v>
      </c>
      <c r="O645" s="25">
        <v>66.61</v>
      </c>
      <c r="P645" s="25">
        <v>82.030299999999997</v>
      </c>
    </row>
    <row r="646" spans="1:16" x14ac:dyDescent="0.25">
      <c r="A646" s="26">
        <v>43602</v>
      </c>
      <c r="B646" s="25" t="s">
        <v>16</v>
      </c>
      <c r="C646" s="25" t="s">
        <v>17</v>
      </c>
      <c r="D646" s="25">
        <v>50</v>
      </c>
      <c r="E646" s="25">
        <v>28</v>
      </c>
      <c r="F646" s="25">
        <v>1400</v>
      </c>
      <c r="G646" s="25" t="s">
        <v>1231</v>
      </c>
      <c r="H646" s="25">
        <v>2019093</v>
      </c>
      <c r="I646" s="25" t="s">
        <v>19</v>
      </c>
      <c r="J646" s="25" t="s">
        <v>1634</v>
      </c>
      <c r="K646" s="25" t="s">
        <v>25</v>
      </c>
      <c r="L646" s="25">
        <v>1.38</v>
      </c>
      <c r="M646" s="25">
        <v>0.05</v>
      </c>
      <c r="N646" s="25">
        <v>0</v>
      </c>
      <c r="O646" s="25">
        <v>41.31</v>
      </c>
      <c r="P646" s="25">
        <v>42.740400000000001</v>
      </c>
    </row>
    <row r="647" spans="1:16" x14ac:dyDescent="0.25">
      <c r="A647" s="26">
        <v>43602</v>
      </c>
      <c r="B647" s="25" t="s">
        <v>16</v>
      </c>
      <c r="C647" s="25" t="s">
        <v>17</v>
      </c>
      <c r="D647" s="25">
        <v>50</v>
      </c>
      <c r="E647" s="25">
        <v>27</v>
      </c>
      <c r="F647" s="25">
        <v>1350</v>
      </c>
      <c r="G647" s="25" t="s">
        <v>1232</v>
      </c>
      <c r="H647" s="25">
        <v>2019093</v>
      </c>
      <c r="I647" s="25" t="s">
        <v>19</v>
      </c>
      <c r="J647" s="25" t="s">
        <v>1634</v>
      </c>
      <c r="K647" s="25" t="s">
        <v>25</v>
      </c>
      <c r="L647" s="25">
        <v>1.38</v>
      </c>
      <c r="M647" s="25">
        <v>0.05</v>
      </c>
      <c r="N647" s="25">
        <v>0</v>
      </c>
      <c r="O647" s="25">
        <v>39.83</v>
      </c>
      <c r="P647" s="25">
        <v>41.258699999999997</v>
      </c>
    </row>
    <row r="648" spans="1:16" x14ac:dyDescent="0.25">
      <c r="A648" s="26">
        <v>43602</v>
      </c>
      <c r="B648" s="25" t="s">
        <v>981</v>
      </c>
      <c r="C648" s="25" t="s">
        <v>17</v>
      </c>
      <c r="D648" s="25">
        <v>500</v>
      </c>
      <c r="E648" s="25">
        <v>147.5</v>
      </c>
      <c r="F648" s="25">
        <v>73750</v>
      </c>
      <c r="G648" s="25" t="s">
        <v>1233</v>
      </c>
      <c r="H648" s="25">
        <v>2019093</v>
      </c>
      <c r="I648" s="25" t="s">
        <v>19</v>
      </c>
      <c r="J648" s="25" t="s">
        <v>20</v>
      </c>
      <c r="K648" s="25" t="s">
        <v>25</v>
      </c>
      <c r="L648" s="25">
        <v>0</v>
      </c>
      <c r="M648" s="25">
        <v>2.66</v>
      </c>
      <c r="N648" s="25">
        <v>0</v>
      </c>
      <c r="O648" s="25">
        <v>43.99</v>
      </c>
      <c r="P648" s="25">
        <v>46.645099999999999</v>
      </c>
    </row>
    <row r="649" spans="1:16" x14ac:dyDescent="0.25">
      <c r="A649" s="26">
        <v>43602</v>
      </c>
      <c r="B649" s="25" t="s">
        <v>981</v>
      </c>
      <c r="C649" s="25" t="s">
        <v>23</v>
      </c>
      <c r="D649" s="25">
        <v>500</v>
      </c>
      <c r="E649" s="25">
        <v>148.75</v>
      </c>
      <c r="F649" s="25">
        <v>74375</v>
      </c>
      <c r="G649" s="25" t="s">
        <v>1234</v>
      </c>
      <c r="H649" s="25">
        <v>2019093</v>
      </c>
      <c r="I649" s="25" t="s">
        <v>19</v>
      </c>
      <c r="J649" s="25" t="s">
        <v>20</v>
      </c>
      <c r="K649" s="25" t="s">
        <v>25</v>
      </c>
      <c r="L649" s="25">
        <v>18.61</v>
      </c>
      <c r="M649" s="25">
        <v>2.68</v>
      </c>
      <c r="N649" s="25">
        <v>0</v>
      </c>
      <c r="O649" s="25">
        <v>44.36</v>
      </c>
      <c r="P649" s="25">
        <v>65.647400000000005</v>
      </c>
    </row>
    <row r="650" spans="1:16" x14ac:dyDescent="0.25">
      <c r="A650" s="26">
        <v>43601</v>
      </c>
      <c r="B650" s="25" t="s">
        <v>321</v>
      </c>
      <c r="C650" s="25" t="s">
        <v>23</v>
      </c>
      <c r="D650" s="25">
        <v>100</v>
      </c>
      <c r="E650" s="25">
        <v>266.5</v>
      </c>
      <c r="F650" s="25">
        <v>26650</v>
      </c>
      <c r="G650" s="25" t="s">
        <v>1235</v>
      </c>
      <c r="H650" s="25">
        <v>2019092</v>
      </c>
      <c r="I650" s="25" t="s">
        <v>19</v>
      </c>
      <c r="J650" s="25" t="s">
        <v>20</v>
      </c>
      <c r="K650" s="25" t="s">
        <v>25</v>
      </c>
      <c r="L650" s="25">
        <v>7.17</v>
      </c>
      <c r="M650" s="25">
        <v>0.96</v>
      </c>
      <c r="N650" s="25">
        <v>0</v>
      </c>
      <c r="O650" s="25">
        <v>29.67</v>
      </c>
      <c r="P650" s="25">
        <v>37.799300000000002</v>
      </c>
    </row>
    <row r="651" spans="1:16" x14ac:dyDescent="0.25">
      <c r="A651" s="26">
        <v>43601</v>
      </c>
      <c r="B651" s="25" t="s">
        <v>321</v>
      </c>
      <c r="C651" s="25" t="s">
        <v>23</v>
      </c>
      <c r="D651" s="25">
        <v>100</v>
      </c>
      <c r="E651" s="25">
        <v>268</v>
      </c>
      <c r="F651" s="25">
        <v>26800</v>
      </c>
      <c r="G651" s="25" t="s">
        <v>1236</v>
      </c>
      <c r="H651" s="25">
        <v>2019092</v>
      </c>
      <c r="I651" s="25" t="s">
        <v>19</v>
      </c>
      <c r="J651" s="25" t="s">
        <v>20</v>
      </c>
      <c r="K651" s="25" t="s">
        <v>25</v>
      </c>
      <c r="L651" s="25">
        <v>6.81</v>
      </c>
      <c r="M651" s="25">
        <v>0.96</v>
      </c>
      <c r="N651" s="25">
        <v>0</v>
      </c>
      <c r="O651" s="25">
        <v>29.67</v>
      </c>
      <c r="P651" s="25">
        <v>37.444800000000001</v>
      </c>
    </row>
    <row r="652" spans="1:16" x14ac:dyDescent="0.25">
      <c r="A652" s="26">
        <v>43601</v>
      </c>
      <c r="B652" s="25" t="s">
        <v>321</v>
      </c>
      <c r="C652" s="25" t="s">
        <v>23</v>
      </c>
      <c r="D652" s="25">
        <v>100</v>
      </c>
      <c r="E652" s="25">
        <v>271</v>
      </c>
      <c r="F652" s="25">
        <v>27100</v>
      </c>
      <c r="G652" s="25" t="s">
        <v>1237</v>
      </c>
      <c r="H652" s="25">
        <v>2019092</v>
      </c>
      <c r="I652" s="25" t="s">
        <v>19</v>
      </c>
      <c r="J652" s="25" t="s">
        <v>20</v>
      </c>
      <c r="K652" s="25" t="s">
        <v>25</v>
      </c>
      <c r="L652" s="25">
        <v>6.81</v>
      </c>
      <c r="M652" s="25">
        <v>0.98</v>
      </c>
      <c r="N652" s="25">
        <v>0</v>
      </c>
      <c r="O652" s="25">
        <v>29.68</v>
      </c>
      <c r="P652" s="25">
        <v>37.465600000000002</v>
      </c>
    </row>
    <row r="653" spans="1:16" x14ac:dyDescent="0.25">
      <c r="A653" s="26">
        <v>43601</v>
      </c>
      <c r="B653" s="25" t="s">
        <v>321</v>
      </c>
      <c r="C653" s="25" t="s">
        <v>23</v>
      </c>
      <c r="D653" s="25">
        <v>150</v>
      </c>
      <c r="E653" s="25">
        <v>270</v>
      </c>
      <c r="F653" s="25">
        <v>40500</v>
      </c>
      <c r="G653" s="25" t="s">
        <v>1238</v>
      </c>
      <c r="H653" s="25">
        <v>2019092</v>
      </c>
      <c r="I653" s="25" t="s">
        <v>19</v>
      </c>
      <c r="J653" s="25" t="s">
        <v>20</v>
      </c>
      <c r="K653" s="25" t="s">
        <v>25</v>
      </c>
      <c r="L653" s="25">
        <v>10.220000000000001</v>
      </c>
      <c r="M653" s="25">
        <v>1.46</v>
      </c>
      <c r="N653" s="25">
        <v>0</v>
      </c>
      <c r="O653" s="25">
        <v>29.76</v>
      </c>
      <c r="P653" s="25">
        <v>41.438000000000002</v>
      </c>
    </row>
    <row r="654" spans="1:16" x14ac:dyDescent="0.25">
      <c r="A654" s="26">
        <v>43601</v>
      </c>
      <c r="B654" s="25" t="s">
        <v>321</v>
      </c>
      <c r="C654" s="25" t="s">
        <v>17</v>
      </c>
      <c r="D654" s="25">
        <v>650</v>
      </c>
      <c r="E654" s="25">
        <v>274.5</v>
      </c>
      <c r="F654" s="25">
        <v>178425</v>
      </c>
      <c r="G654" s="25" t="s">
        <v>1239</v>
      </c>
      <c r="H654" s="25">
        <v>2019092</v>
      </c>
      <c r="I654" s="25" t="s">
        <v>19</v>
      </c>
      <c r="J654" s="25" t="s">
        <v>20</v>
      </c>
      <c r="K654" s="25" t="s">
        <v>25</v>
      </c>
      <c r="L654" s="25">
        <v>0</v>
      </c>
      <c r="M654" s="25">
        <v>6.42</v>
      </c>
      <c r="N654" s="25">
        <v>19.8</v>
      </c>
      <c r="O654" s="25">
        <v>106.43</v>
      </c>
      <c r="P654" s="25">
        <v>132.6533</v>
      </c>
    </row>
    <row r="655" spans="1:16" x14ac:dyDescent="0.25">
      <c r="A655" s="26">
        <v>43601</v>
      </c>
      <c r="B655" s="25" t="s">
        <v>321</v>
      </c>
      <c r="C655" s="25" t="s">
        <v>23</v>
      </c>
      <c r="D655" s="25">
        <v>200</v>
      </c>
      <c r="E655" s="25">
        <v>274</v>
      </c>
      <c r="F655" s="25">
        <v>54800</v>
      </c>
      <c r="G655" s="25" t="s">
        <v>1240</v>
      </c>
      <c r="H655" s="25">
        <v>2019092</v>
      </c>
      <c r="I655" s="25" t="s">
        <v>19</v>
      </c>
      <c r="J655" s="25" t="s">
        <v>20</v>
      </c>
      <c r="K655" s="25" t="s">
        <v>25</v>
      </c>
      <c r="L655" s="25">
        <v>13.63</v>
      </c>
      <c r="M655" s="25">
        <v>1.97</v>
      </c>
      <c r="N655" s="25">
        <v>0</v>
      </c>
      <c r="O655" s="25">
        <v>32.69</v>
      </c>
      <c r="P655" s="25">
        <v>48.2928</v>
      </c>
    </row>
    <row r="656" spans="1:16" x14ac:dyDescent="0.25">
      <c r="A656" s="26">
        <v>43601</v>
      </c>
      <c r="B656" s="25" t="s">
        <v>981</v>
      </c>
      <c r="C656" s="25" t="s">
        <v>17</v>
      </c>
      <c r="D656" s="25">
        <v>1000</v>
      </c>
      <c r="E656" s="25">
        <v>148.9</v>
      </c>
      <c r="F656" s="25">
        <v>148900</v>
      </c>
      <c r="G656" s="25" t="s">
        <v>1241</v>
      </c>
      <c r="H656" s="25">
        <v>2019092</v>
      </c>
      <c r="I656" s="25" t="s">
        <v>19</v>
      </c>
      <c r="J656" s="25" t="s">
        <v>20</v>
      </c>
      <c r="K656" s="25" t="s">
        <v>25</v>
      </c>
      <c r="L656" s="25">
        <v>0</v>
      </c>
      <c r="M656" s="25">
        <v>5.36</v>
      </c>
      <c r="N656" s="25">
        <v>0</v>
      </c>
      <c r="O656" s="25">
        <v>88.82</v>
      </c>
      <c r="P656" s="25">
        <v>94.180400000000006</v>
      </c>
    </row>
    <row r="657" spans="1:16" x14ac:dyDescent="0.25">
      <c r="A657" s="26">
        <v>43601</v>
      </c>
      <c r="B657" s="25" t="s">
        <v>981</v>
      </c>
      <c r="C657" s="25" t="s">
        <v>23</v>
      </c>
      <c r="D657" s="25">
        <v>1000</v>
      </c>
      <c r="E657" s="25">
        <v>150</v>
      </c>
      <c r="F657" s="25">
        <v>150000</v>
      </c>
      <c r="G657" s="25" t="s">
        <v>1242</v>
      </c>
      <c r="H657" s="25">
        <v>2019092</v>
      </c>
      <c r="I657" s="25" t="s">
        <v>19</v>
      </c>
      <c r="J657" s="25" t="s">
        <v>20</v>
      </c>
      <c r="K657" s="25" t="s">
        <v>25</v>
      </c>
      <c r="L657" s="25">
        <v>37.36</v>
      </c>
      <c r="M657" s="25">
        <v>5.4</v>
      </c>
      <c r="N657" s="25">
        <v>0</v>
      </c>
      <c r="O657" s="25">
        <v>89.48</v>
      </c>
      <c r="P657" s="25">
        <v>132.24019999999999</v>
      </c>
    </row>
    <row r="658" spans="1:16" x14ac:dyDescent="0.25">
      <c r="A658" s="26">
        <v>43600</v>
      </c>
      <c r="B658" s="25" t="s">
        <v>288</v>
      </c>
      <c r="C658" s="25" t="s">
        <v>17</v>
      </c>
      <c r="D658" s="25">
        <v>50</v>
      </c>
      <c r="E658" s="25">
        <v>50</v>
      </c>
      <c r="F658" s="25">
        <v>2500</v>
      </c>
      <c r="G658" s="25" t="s">
        <v>1243</v>
      </c>
      <c r="H658" s="25">
        <v>2019091</v>
      </c>
      <c r="I658" s="25" t="s">
        <v>19</v>
      </c>
      <c r="J658" s="25" t="s">
        <v>20</v>
      </c>
      <c r="K658" s="25" t="s">
        <v>25</v>
      </c>
      <c r="L658" s="25">
        <v>2.5</v>
      </c>
      <c r="M658" s="25">
        <v>0.09</v>
      </c>
      <c r="N658" s="25">
        <v>0</v>
      </c>
      <c r="O658" s="25">
        <v>41.32</v>
      </c>
      <c r="P658" s="25">
        <v>43.91</v>
      </c>
    </row>
    <row r="659" spans="1:16" x14ac:dyDescent="0.25">
      <c r="A659" s="26">
        <v>43600</v>
      </c>
      <c r="B659" s="25" t="s">
        <v>981</v>
      </c>
      <c r="C659" s="25" t="s">
        <v>23</v>
      </c>
      <c r="D659" s="25">
        <v>500</v>
      </c>
      <c r="E659" s="25">
        <v>144.80000000000001</v>
      </c>
      <c r="F659" s="25">
        <v>72400</v>
      </c>
      <c r="G659" s="25" t="s">
        <v>1244</v>
      </c>
      <c r="H659" s="25">
        <v>2019091</v>
      </c>
      <c r="I659" s="25" t="s">
        <v>19</v>
      </c>
      <c r="J659" s="25" t="s">
        <v>20</v>
      </c>
      <c r="K659" s="25" t="s">
        <v>25</v>
      </c>
      <c r="L659" s="25">
        <v>18.5</v>
      </c>
      <c r="M659" s="25">
        <v>2.61</v>
      </c>
      <c r="N659" s="25">
        <v>0</v>
      </c>
      <c r="O659" s="25">
        <v>43.19</v>
      </c>
      <c r="P659" s="25">
        <v>64.296400000000006</v>
      </c>
    </row>
    <row r="660" spans="1:16" x14ac:dyDescent="0.25">
      <c r="A660" s="26">
        <v>43600</v>
      </c>
      <c r="B660" s="25" t="s">
        <v>981</v>
      </c>
      <c r="C660" s="25" t="s">
        <v>17</v>
      </c>
      <c r="D660" s="25">
        <v>500</v>
      </c>
      <c r="E660" s="25">
        <v>144.44999999999999</v>
      </c>
      <c r="F660" s="25">
        <v>72225</v>
      </c>
      <c r="G660" s="25" t="s">
        <v>1245</v>
      </c>
      <c r="H660" s="25">
        <v>2019091</v>
      </c>
      <c r="I660" s="25" t="s">
        <v>19</v>
      </c>
      <c r="J660" s="25" t="s">
        <v>20</v>
      </c>
      <c r="K660" s="25" t="s">
        <v>25</v>
      </c>
      <c r="L660" s="25">
        <v>0</v>
      </c>
      <c r="M660" s="25">
        <v>2.6</v>
      </c>
      <c r="N660" s="25">
        <v>4.5</v>
      </c>
      <c r="O660" s="25">
        <v>43.08</v>
      </c>
      <c r="P660" s="25">
        <v>50.18</v>
      </c>
    </row>
    <row r="661" spans="1:16" x14ac:dyDescent="0.25">
      <c r="A661" s="26">
        <v>43599</v>
      </c>
      <c r="B661" s="25" t="s">
        <v>321</v>
      </c>
      <c r="C661" s="25" t="s">
        <v>23</v>
      </c>
      <c r="D661" s="25">
        <v>250</v>
      </c>
      <c r="E661" s="25">
        <v>262.25</v>
      </c>
      <c r="F661" s="25">
        <v>65562.5</v>
      </c>
      <c r="G661" s="25" t="s">
        <v>1246</v>
      </c>
      <c r="H661" s="25">
        <v>2019090</v>
      </c>
      <c r="I661" s="25" t="s">
        <v>19</v>
      </c>
      <c r="J661" s="25" t="s">
        <v>20</v>
      </c>
      <c r="K661" s="25" t="s">
        <v>25</v>
      </c>
      <c r="L661" s="25">
        <v>16.420000000000002</v>
      </c>
      <c r="M661" s="25">
        <v>2.36</v>
      </c>
      <c r="N661" s="25">
        <v>0</v>
      </c>
      <c r="O661" s="25">
        <v>39.1</v>
      </c>
      <c r="P661" s="25">
        <v>57.880200000000002</v>
      </c>
    </row>
    <row r="662" spans="1:16" x14ac:dyDescent="0.25">
      <c r="A662" s="26">
        <v>43599</v>
      </c>
      <c r="B662" s="25" t="s">
        <v>321</v>
      </c>
      <c r="C662" s="25" t="s">
        <v>17</v>
      </c>
      <c r="D662" s="25">
        <v>350</v>
      </c>
      <c r="E662" s="25">
        <v>262.25</v>
      </c>
      <c r="F662" s="25">
        <v>91787.5</v>
      </c>
      <c r="G662" s="25" t="s">
        <v>1247</v>
      </c>
      <c r="H662" s="25">
        <v>2019090</v>
      </c>
      <c r="I662" s="25" t="s">
        <v>19</v>
      </c>
      <c r="J662" s="25" t="s">
        <v>20</v>
      </c>
      <c r="K662" s="25" t="s">
        <v>25</v>
      </c>
      <c r="L662" s="25">
        <v>0</v>
      </c>
      <c r="M662" s="25">
        <v>3.3</v>
      </c>
      <c r="N662" s="25">
        <v>0</v>
      </c>
      <c r="O662" s="25">
        <v>54.74</v>
      </c>
      <c r="P662" s="25">
        <v>58.044400000000003</v>
      </c>
    </row>
    <row r="663" spans="1:16" x14ac:dyDescent="0.25">
      <c r="A663" s="26">
        <v>43599</v>
      </c>
      <c r="B663" s="25" t="s">
        <v>321</v>
      </c>
      <c r="C663" s="25" t="s">
        <v>23</v>
      </c>
      <c r="D663" s="25">
        <v>100</v>
      </c>
      <c r="E663" s="25">
        <v>265</v>
      </c>
      <c r="F663" s="25">
        <v>26500</v>
      </c>
      <c r="G663" s="25" t="s">
        <v>1248</v>
      </c>
      <c r="H663" s="25">
        <v>2019090</v>
      </c>
      <c r="I663" s="25" t="s">
        <v>19</v>
      </c>
      <c r="J663" s="25" t="s">
        <v>20</v>
      </c>
      <c r="K663" s="25" t="s">
        <v>25</v>
      </c>
      <c r="L663" s="25">
        <v>6.58</v>
      </c>
      <c r="M663" s="25">
        <v>0.95</v>
      </c>
      <c r="N663" s="25">
        <v>5.7</v>
      </c>
      <c r="O663" s="25">
        <v>29.67</v>
      </c>
      <c r="P663" s="25">
        <v>42.904000000000003</v>
      </c>
    </row>
    <row r="664" spans="1:16" x14ac:dyDescent="0.25">
      <c r="A664" s="26">
        <v>43598</v>
      </c>
      <c r="B664" s="25" t="s">
        <v>321</v>
      </c>
      <c r="C664" s="25" t="s">
        <v>23</v>
      </c>
      <c r="D664" s="25">
        <v>1000</v>
      </c>
      <c r="E664" s="25">
        <v>274</v>
      </c>
      <c r="F664" s="25">
        <v>274000</v>
      </c>
      <c r="G664" s="25" t="s">
        <v>1249</v>
      </c>
      <c r="H664" s="25">
        <v>2019089</v>
      </c>
      <c r="I664" s="25" t="s">
        <v>19</v>
      </c>
      <c r="J664" s="25" t="s">
        <v>20</v>
      </c>
      <c r="K664" s="25" t="s">
        <v>25</v>
      </c>
      <c r="L664" s="25">
        <v>68.55</v>
      </c>
      <c r="M664" s="25">
        <v>9.86</v>
      </c>
      <c r="N664" s="25">
        <v>16.5</v>
      </c>
      <c r="O664" s="25">
        <v>163.43</v>
      </c>
      <c r="P664" s="25">
        <v>258.34410000000003</v>
      </c>
    </row>
    <row r="665" spans="1:16" x14ac:dyDescent="0.25">
      <c r="A665" s="26">
        <v>43598</v>
      </c>
      <c r="B665" s="25" t="s">
        <v>321</v>
      </c>
      <c r="C665" s="25" t="s">
        <v>17</v>
      </c>
      <c r="D665" s="25">
        <v>1000</v>
      </c>
      <c r="E665" s="25">
        <v>273</v>
      </c>
      <c r="F665" s="25">
        <v>273000</v>
      </c>
      <c r="G665" s="25" t="s">
        <v>1250</v>
      </c>
      <c r="H665" s="25">
        <v>2019089</v>
      </c>
      <c r="I665" s="25" t="s">
        <v>19</v>
      </c>
      <c r="J665" s="25" t="s">
        <v>20</v>
      </c>
      <c r="K665" s="25" t="s">
        <v>25</v>
      </c>
      <c r="L665" s="25">
        <v>0</v>
      </c>
      <c r="M665" s="25">
        <v>9.83</v>
      </c>
      <c r="N665" s="25">
        <v>0</v>
      </c>
      <c r="O665" s="25">
        <v>162.84</v>
      </c>
      <c r="P665" s="25">
        <v>172.66800000000001</v>
      </c>
    </row>
    <row r="666" spans="1:16" x14ac:dyDescent="0.25">
      <c r="A666" s="26">
        <v>43598</v>
      </c>
      <c r="B666" s="25" t="s">
        <v>981</v>
      </c>
      <c r="C666" s="25" t="s">
        <v>17</v>
      </c>
      <c r="D666" s="25">
        <v>10</v>
      </c>
      <c r="E666" s="25">
        <v>145</v>
      </c>
      <c r="F666" s="25">
        <v>1450</v>
      </c>
      <c r="G666" s="25" t="s">
        <v>1251</v>
      </c>
      <c r="H666" s="25">
        <v>2019089</v>
      </c>
      <c r="I666" s="25" t="s">
        <v>19</v>
      </c>
      <c r="J666" s="25" t="s">
        <v>1634</v>
      </c>
      <c r="K666" s="25" t="s">
        <v>25</v>
      </c>
      <c r="L666" s="25">
        <v>1.45</v>
      </c>
      <c r="M666" s="25">
        <v>0.05</v>
      </c>
      <c r="N666" s="25">
        <v>0</v>
      </c>
      <c r="O666" s="25">
        <v>41.31</v>
      </c>
      <c r="P666" s="25">
        <v>42.8123</v>
      </c>
    </row>
    <row r="667" spans="1:16" x14ac:dyDescent="0.25">
      <c r="A667" s="26">
        <v>43595</v>
      </c>
      <c r="B667" s="25" t="s">
        <v>981</v>
      </c>
      <c r="C667" s="25" t="s">
        <v>17</v>
      </c>
      <c r="D667" s="25">
        <v>250</v>
      </c>
      <c r="E667" s="25">
        <v>149</v>
      </c>
      <c r="F667" s="25">
        <v>37250</v>
      </c>
      <c r="G667" s="25" t="s">
        <v>1252</v>
      </c>
      <c r="H667" s="25">
        <v>2019088</v>
      </c>
      <c r="I667" s="25" t="s">
        <v>19</v>
      </c>
      <c r="J667" s="25" t="s">
        <v>20</v>
      </c>
      <c r="K667" s="25" t="s">
        <v>25</v>
      </c>
      <c r="L667" s="25">
        <v>0</v>
      </c>
      <c r="M667" s="25">
        <v>1.34</v>
      </c>
      <c r="N667" s="25">
        <v>0</v>
      </c>
      <c r="O667" s="25">
        <v>29.74</v>
      </c>
      <c r="P667" s="25">
        <v>31.081099999999999</v>
      </c>
    </row>
    <row r="668" spans="1:16" x14ac:dyDescent="0.25">
      <c r="A668" s="26">
        <v>43595</v>
      </c>
      <c r="B668" s="25" t="s">
        <v>981</v>
      </c>
      <c r="C668" s="25" t="s">
        <v>17</v>
      </c>
      <c r="D668" s="25">
        <v>50</v>
      </c>
      <c r="E668" s="25">
        <v>148.5</v>
      </c>
      <c r="F668" s="25">
        <v>7425</v>
      </c>
      <c r="G668" s="25" t="s">
        <v>1253</v>
      </c>
      <c r="H668" s="25">
        <v>2019088</v>
      </c>
      <c r="I668" s="25" t="s">
        <v>19</v>
      </c>
      <c r="J668" s="25" t="s">
        <v>20</v>
      </c>
      <c r="K668" s="25" t="s">
        <v>25</v>
      </c>
      <c r="L668" s="25">
        <v>0</v>
      </c>
      <c r="M668" s="25">
        <v>0.27</v>
      </c>
      <c r="N668" s="25">
        <v>0</v>
      </c>
      <c r="O668" s="25">
        <v>29.55</v>
      </c>
      <c r="P668" s="25">
        <v>29.817299999999999</v>
      </c>
    </row>
    <row r="669" spans="1:16" x14ac:dyDescent="0.25">
      <c r="A669" s="26">
        <v>43595</v>
      </c>
      <c r="B669" s="25" t="s">
        <v>981</v>
      </c>
      <c r="C669" s="25" t="s">
        <v>17</v>
      </c>
      <c r="D669" s="25">
        <v>50</v>
      </c>
      <c r="E669" s="25">
        <v>148</v>
      </c>
      <c r="F669" s="25">
        <v>7400</v>
      </c>
      <c r="G669" s="25" t="s">
        <v>1254</v>
      </c>
      <c r="H669" s="25">
        <v>2019088</v>
      </c>
      <c r="I669" s="25" t="s">
        <v>19</v>
      </c>
      <c r="J669" s="25" t="s">
        <v>20</v>
      </c>
      <c r="K669" s="25" t="s">
        <v>25</v>
      </c>
      <c r="L669" s="25">
        <v>0</v>
      </c>
      <c r="M669" s="25">
        <v>0.27</v>
      </c>
      <c r="N669" s="25">
        <v>0</v>
      </c>
      <c r="O669" s="25">
        <v>29.55</v>
      </c>
      <c r="P669" s="25">
        <v>29.816400000000002</v>
      </c>
    </row>
    <row r="670" spans="1:16" x14ac:dyDescent="0.25">
      <c r="A670" s="26">
        <v>43595</v>
      </c>
      <c r="B670" s="25" t="s">
        <v>981</v>
      </c>
      <c r="C670" s="25" t="s">
        <v>23</v>
      </c>
      <c r="D670" s="25">
        <v>350</v>
      </c>
      <c r="E670" s="25">
        <v>149</v>
      </c>
      <c r="F670" s="25">
        <v>52150</v>
      </c>
      <c r="G670" s="25" t="s">
        <v>1255</v>
      </c>
      <c r="H670" s="25">
        <v>2019088</v>
      </c>
      <c r="I670" s="25" t="s">
        <v>19</v>
      </c>
      <c r="J670" s="25" t="s">
        <v>20</v>
      </c>
      <c r="K670" s="25" t="s">
        <v>25</v>
      </c>
      <c r="L670" s="25">
        <v>13.01</v>
      </c>
      <c r="M670" s="25">
        <v>1.88</v>
      </c>
      <c r="N670" s="25">
        <v>0</v>
      </c>
      <c r="O670" s="25">
        <v>31.1</v>
      </c>
      <c r="P670" s="25">
        <v>45.987499999999997</v>
      </c>
    </row>
    <row r="671" spans="1:16" x14ac:dyDescent="0.25">
      <c r="A671" s="26">
        <v>43595</v>
      </c>
      <c r="B671" s="25" t="s">
        <v>981</v>
      </c>
      <c r="C671" s="25" t="s">
        <v>23</v>
      </c>
      <c r="D671" s="25">
        <v>250</v>
      </c>
      <c r="E671" s="25">
        <v>149.05000000000001</v>
      </c>
      <c r="F671" s="25">
        <v>37262.5</v>
      </c>
      <c r="G671" s="25" t="s">
        <v>1256</v>
      </c>
      <c r="H671" s="25">
        <v>2019088</v>
      </c>
      <c r="I671" s="25" t="s">
        <v>19</v>
      </c>
      <c r="J671" s="25" t="s">
        <v>20</v>
      </c>
      <c r="K671" s="25" t="s">
        <v>25</v>
      </c>
      <c r="L671" s="25">
        <v>8.99</v>
      </c>
      <c r="M671" s="25">
        <v>1.34</v>
      </c>
      <c r="N671" s="25">
        <v>5.4</v>
      </c>
      <c r="O671" s="25">
        <v>29.74</v>
      </c>
      <c r="P671" s="25">
        <v>45.471499999999999</v>
      </c>
    </row>
    <row r="672" spans="1:16" x14ac:dyDescent="0.25">
      <c r="A672" s="26">
        <v>43595</v>
      </c>
      <c r="B672" s="25" t="s">
        <v>981</v>
      </c>
      <c r="C672" s="25" t="s">
        <v>17</v>
      </c>
      <c r="D672" s="25">
        <v>250</v>
      </c>
      <c r="E672" s="25">
        <v>147.9</v>
      </c>
      <c r="F672" s="25">
        <v>36975</v>
      </c>
      <c r="G672" s="25" t="s">
        <v>1257</v>
      </c>
      <c r="H672" s="25">
        <v>2019088</v>
      </c>
      <c r="I672" s="25" t="s">
        <v>19</v>
      </c>
      <c r="J672" s="25" t="s">
        <v>20</v>
      </c>
      <c r="K672" s="25" t="s">
        <v>25</v>
      </c>
      <c r="L672" s="25">
        <v>0</v>
      </c>
      <c r="M672" s="25">
        <v>1.33</v>
      </c>
      <c r="N672" s="25">
        <v>0</v>
      </c>
      <c r="O672" s="25">
        <v>29.74</v>
      </c>
      <c r="P672" s="25">
        <v>31.071100000000001</v>
      </c>
    </row>
    <row r="673" spans="1:16" x14ac:dyDescent="0.25">
      <c r="A673" s="26">
        <v>43591</v>
      </c>
      <c r="B673" s="25" t="s">
        <v>981</v>
      </c>
      <c r="C673" s="25" t="s">
        <v>17</v>
      </c>
      <c r="D673" s="25">
        <v>1000</v>
      </c>
      <c r="E673" s="25">
        <v>157.19999999999999</v>
      </c>
      <c r="F673" s="25">
        <v>157204.45000000001</v>
      </c>
      <c r="G673" s="25" t="s">
        <v>1258</v>
      </c>
      <c r="H673" s="25">
        <v>2019084</v>
      </c>
      <c r="I673" s="25" t="s">
        <v>19</v>
      </c>
      <c r="J673" s="25" t="s">
        <v>20</v>
      </c>
      <c r="K673" s="25" t="s">
        <v>25</v>
      </c>
      <c r="L673" s="25">
        <v>0</v>
      </c>
      <c r="M673" s="25">
        <v>5.66</v>
      </c>
      <c r="N673" s="25">
        <v>0</v>
      </c>
      <c r="O673" s="25">
        <v>93.79</v>
      </c>
      <c r="P673" s="25">
        <v>99.449200000000005</v>
      </c>
    </row>
    <row r="674" spans="1:16" x14ac:dyDescent="0.25">
      <c r="A674" s="26">
        <v>43591</v>
      </c>
      <c r="B674" s="25" t="s">
        <v>981</v>
      </c>
      <c r="C674" s="25" t="s">
        <v>23</v>
      </c>
      <c r="D674" s="25">
        <v>1000</v>
      </c>
      <c r="E674" s="25">
        <v>157.5</v>
      </c>
      <c r="F674" s="25">
        <v>157500</v>
      </c>
      <c r="G674" s="25" t="s">
        <v>1259</v>
      </c>
      <c r="H674" s="25">
        <v>2019084</v>
      </c>
      <c r="I674" s="25" t="s">
        <v>19</v>
      </c>
      <c r="J674" s="25" t="s">
        <v>20</v>
      </c>
      <c r="K674" s="25" t="s">
        <v>25</v>
      </c>
      <c r="L674" s="25">
        <v>39.340000000000003</v>
      </c>
      <c r="M674" s="25">
        <v>5.67</v>
      </c>
      <c r="N674" s="25">
        <v>0</v>
      </c>
      <c r="O674" s="25">
        <v>93.95</v>
      </c>
      <c r="P674" s="25">
        <v>138.96</v>
      </c>
    </row>
    <row r="675" spans="1:16" x14ac:dyDescent="0.25">
      <c r="A675" s="26">
        <v>43591</v>
      </c>
      <c r="B675" s="25" t="s">
        <v>16</v>
      </c>
      <c r="C675" s="25" t="s">
        <v>17</v>
      </c>
      <c r="D675" s="25">
        <v>250</v>
      </c>
      <c r="E675" s="25">
        <v>33.9</v>
      </c>
      <c r="F675" s="25">
        <v>8475</v>
      </c>
      <c r="G675" s="25" t="s">
        <v>1260</v>
      </c>
      <c r="H675" s="25">
        <v>2019084</v>
      </c>
      <c r="I675" s="25" t="s">
        <v>19</v>
      </c>
      <c r="J675" s="25" t="s">
        <v>20</v>
      </c>
      <c r="K675" s="25" t="s">
        <v>25</v>
      </c>
      <c r="L675" s="25">
        <v>0</v>
      </c>
      <c r="M675" s="25">
        <v>0.31</v>
      </c>
      <c r="N675" s="25">
        <v>0</v>
      </c>
      <c r="O675" s="25">
        <v>29.56</v>
      </c>
      <c r="P675" s="25">
        <v>29.865100000000002</v>
      </c>
    </row>
    <row r="676" spans="1:16" x14ac:dyDescent="0.25">
      <c r="A676" s="26">
        <v>43591</v>
      </c>
      <c r="B676" s="25" t="s">
        <v>16</v>
      </c>
      <c r="C676" s="25" t="s">
        <v>23</v>
      </c>
      <c r="D676" s="25">
        <v>250</v>
      </c>
      <c r="E676" s="25">
        <v>33.700000000000003</v>
      </c>
      <c r="F676" s="25">
        <v>8425</v>
      </c>
      <c r="G676" s="25" t="s">
        <v>1261</v>
      </c>
      <c r="H676" s="25">
        <v>2019084</v>
      </c>
      <c r="I676" s="25" t="s">
        <v>19</v>
      </c>
      <c r="J676" s="25" t="s">
        <v>20</v>
      </c>
      <c r="K676" s="25" t="s">
        <v>25</v>
      </c>
      <c r="L676" s="25">
        <v>1.87</v>
      </c>
      <c r="M676" s="25">
        <v>0.3</v>
      </c>
      <c r="N676" s="25">
        <v>10.199999999999999</v>
      </c>
      <c r="O676" s="25">
        <v>29.55</v>
      </c>
      <c r="P676" s="25">
        <v>41.923299999999998</v>
      </c>
    </row>
    <row r="677" spans="1:16" x14ac:dyDescent="0.25">
      <c r="A677" s="26">
        <v>43591</v>
      </c>
      <c r="B677" s="25" t="s">
        <v>179</v>
      </c>
      <c r="C677" s="25" t="s">
        <v>17</v>
      </c>
      <c r="D677" s="25">
        <v>50</v>
      </c>
      <c r="E677" s="25">
        <v>35.75</v>
      </c>
      <c r="F677" s="25">
        <v>1787.5</v>
      </c>
      <c r="G677" s="25" t="s">
        <v>1262</v>
      </c>
      <c r="H677" s="25">
        <v>2019084</v>
      </c>
      <c r="I677" s="25" t="s">
        <v>19</v>
      </c>
      <c r="J677" s="25" t="s">
        <v>20</v>
      </c>
      <c r="K677" s="25" t="s">
        <v>25</v>
      </c>
      <c r="L677" s="25">
        <v>1.79</v>
      </c>
      <c r="M677" s="25">
        <v>0.06</v>
      </c>
      <c r="N677" s="25">
        <v>0</v>
      </c>
      <c r="O677" s="25">
        <v>41.31</v>
      </c>
      <c r="P677" s="25">
        <v>43.164400000000001</v>
      </c>
    </row>
    <row r="678" spans="1:16" x14ac:dyDescent="0.25">
      <c r="A678" s="26">
        <v>43587</v>
      </c>
      <c r="B678" s="25" t="s">
        <v>282</v>
      </c>
      <c r="C678" s="25" t="s">
        <v>17</v>
      </c>
      <c r="D678" s="25">
        <v>10</v>
      </c>
      <c r="E678" s="25">
        <v>560</v>
      </c>
      <c r="F678" s="25">
        <v>5600</v>
      </c>
      <c r="G678" s="25" t="s">
        <v>1263</v>
      </c>
      <c r="H678" s="25">
        <v>2019082</v>
      </c>
      <c r="I678" s="25" t="s">
        <v>19</v>
      </c>
      <c r="J678" s="25" t="s">
        <v>20</v>
      </c>
      <c r="K678" s="25" t="s">
        <v>25</v>
      </c>
      <c r="L678" s="25">
        <v>6</v>
      </c>
      <c r="M678" s="25">
        <v>0.2</v>
      </c>
      <c r="N678" s="25">
        <v>0.3</v>
      </c>
      <c r="O678" s="25">
        <v>41.34</v>
      </c>
      <c r="P678" s="25">
        <v>47.8416</v>
      </c>
    </row>
    <row r="679" spans="1:16" x14ac:dyDescent="0.25">
      <c r="A679" s="26">
        <v>43580</v>
      </c>
      <c r="B679" s="25" t="s">
        <v>205</v>
      </c>
      <c r="C679" s="25" t="s">
        <v>17</v>
      </c>
      <c r="D679" s="25">
        <v>100</v>
      </c>
      <c r="E679" s="25">
        <v>18.25</v>
      </c>
      <c r="F679" s="25">
        <v>1825</v>
      </c>
      <c r="G679" s="25" t="s">
        <v>1264</v>
      </c>
      <c r="H679" s="25">
        <v>2019079</v>
      </c>
      <c r="I679" s="25" t="s">
        <v>19</v>
      </c>
      <c r="J679" s="25" t="s">
        <v>20</v>
      </c>
      <c r="K679" s="25" t="s">
        <v>25</v>
      </c>
      <c r="L679" s="25">
        <v>2</v>
      </c>
      <c r="M679" s="25">
        <v>7.0000000000000007E-2</v>
      </c>
      <c r="N679" s="25">
        <v>0.3</v>
      </c>
      <c r="O679" s="25">
        <v>41.31</v>
      </c>
      <c r="P679" s="25">
        <v>43.675699999999999</v>
      </c>
    </row>
    <row r="680" spans="1:16" x14ac:dyDescent="0.25">
      <c r="A680" s="26">
        <v>43579</v>
      </c>
      <c r="B680" s="25" t="s">
        <v>288</v>
      </c>
      <c r="C680" s="25" t="s">
        <v>17</v>
      </c>
      <c r="D680" s="25">
        <v>25</v>
      </c>
      <c r="E680" s="25">
        <v>60</v>
      </c>
      <c r="F680" s="25">
        <v>1500</v>
      </c>
      <c r="G680" s="25" t="s">
        <v>1265</v>
      </c>
      <c r="H680" s="25">
        <v>2019078</v>
      </c>
      <c r="I680" s="25" t="s">
        <v>19</v>
      </c>
      <c r="J680" s="25" t="s">
        <v>20</v>
      </c>
      <c r="K680" s="25" t="s">
        <v>25</v>
      </c>
      <c r="L680" s="25">
        <v>2</v>
      </c>
      <c r="M680" s="25">
        <v>0.05</v>
      </c>
      <c r="N680" s="25">
        <v>0.3</v>
      </c>
      <c r="O680" s="25">
        <v>41.31</v>
      </c>
      <c r="P680" s="25">
        <v>43.664000000000001</v>
      </c>
    </row>
    <row r="681" spans="1:16" x14ac:dyDescent="0.25">
      <c r="A681" s="26">
        <v>43578</v>
      </c>
      <c r="B681" s="25" t="s">
        <v>862</v>
      </c>
      <c r="C681" s="25" t="s">
        <v>23</v>
      </c>
      <c r="D681" s="25">
        <v>100</v>
      </c>
      <c r="E681" s="25">
        <v>287</v>
      </c>
      <c r="F681" s="25">
        <v>28700</v>
      </c>
      <c r="G681" s="25" t="s">
        <v>1266</v>
      </c>
      <c r="H681" s="25">
        <v>2019077</v>
      </c>
      <c r="I681" s="25" t="s">
        <v>19</v>
      </c>
      <c r="J681" s="25" t="s">
        <v>20</v>
      </c>
      <c r="K681" s="25" t="s">
        <v>25</v>
      </c>
      <c r="L681" s="25">
        <v>6.87</v>
      </c>
      <c r="M681" s="25">
        <v>1.03</v>
      </c>
      <c r="N681" s="25">
        <v>0</v>
      </c>
      <c r="O681" s="25">
        <v>29.69</v>
      </c>
      <c r="P681" s="25">
        <v>37.593200000000003</v>
      </c>
    </row>
    <row r="682" spans="1:16" x14ac:dyDescent="0.25">
      <c r="A682" s="26">
        <v>43578</v>
      </c>
      <c r="B682" s="25" t="s">
        <v>862</v>
      </c>
      <c r="C682" s="25" t="s">
        <v>23</v>
      </c>
      <c r="D682" s="25">
        <v>100</v>
      </c>
      <c r="E682" s="25">
        <v>289</v>
      </c>
      <c r="F682" s="25">
        <v>28900</v>
      </c>
      <c r="G682" s="25" t="s">
        <v>1267</v>
      </c>
      <c r="H682" s="25">
        <v>2019077</v>
      </c>
      <c r="I682" s="25" t="s">
        <v>19</v>
      </c>
      <c r="J682" s="25" t="s">
        <v>20</v>
      </c>
      <c r="K682" s="25" t="s">
        <v>25</v>
      </c>
      <c r="L682" s="25">
        <v>7.35</v>
      </c>
      <c r="M682" s="25">
        <v>1.04</v>
      </c>
      <c r="N682" s="25">
        <v>0</v>
      </c>
      <c r="O682" s="25">
        <v>29.69</v>
      </c>
      <c r="P682" s="25">
        <v>38.080399999999997</v>
      </c>
    </row>
    <row r="683" spans="1:16" x14ac:dyDescent="0.25">
      <c r="A683" s="26">
        <v>43578</v>
      </c>
      <c r="B683" s="25" t="s">
        <v>862</v>
      </c>
      <c r="C683" s="25" t="s">
        <v>17</v>
      </c>
      <c r="D683" s="25">
        <v>100</v>
      </c>
      <c r="E683" s="25">
        <v>284</v>
      </c>
      <c r="F683" s="25">
        <v>28400</v>
      </c>
      <c r="G683" s="25" t="s">
        <v>1268</v>
      </c>
      <c r="H683" s="25">
        <v>2019077</v>
      </c>
      <c r="I683" s="25" t="s">
        <v>19</v>
      </c>
      <c r="J683" s="25" t="s">
        <v>20</v>
      </c>
      <c r="K683" s="25" t="s">
        <v>25</v>
      </c>
      <c r="L683" s="25">
        <v>0</v>
      </c>
      <c r="M683" s="25">
        <v>1.02</v>
      </c>
      <c r="N683" s="25">
        <v>15</v>
      </c>
      <c r="O683" s="25">
        <v>29.68</v>
      </c>
      <c r="P683" s="25">
        <v>45.702399999999997</v>
      </c>
    </row>
    <row r="684" spans="1:16" x14ac:dyDescent="0.25">
      <c r="A684" s="26">
        <v>43578</v>
      </c>
      <c r="B684" s="25" t="s">
        <v>862</v>
      </c>
      <c r="C684" s="25" t="s">
        <v>23</v>
      </c>
      <c r="D684" s="25">
        <v>100</v>
      </c>
      <c r="E684" s="25">
        <v>290</v>
      </c>
      <c r="F684" s="25">
        <v>29000</v>
      </c>
      <c r="G684" s="25" t="s">
        <v>1269</v>
      </c>
      <c r="H684" s="25">
        <v>2019077</v>
      </c>
      <c r="I684" s="25" t="s">
        <v>19</v>
      </c>
      <c r="J684" s="25" t="s">
        <v>20</v>
      </c>
      <c r="K684" s="25" t="s">
        <v>25</v>
      </c>
      <c r="L684" s="25">
        <v>7.35</v>
      </c>
      <c r="M684" s="25">
        <v>1.04</v>
      </c>
      <c r="N684" s="25">
        <v>0</v>
      </c>
      <c r="O684" s="25">
        <v>29.69</v>
      </c>
      <c r="P684" s="25">
        <v>38.084000000000003</v>
      </c>
    </row>
    <row r="685" spans="1:16" x14ac:dyDescent="0.25">
      <c r="A685" s="26">
        <v>43578</v>
      </c>
      <c r="B685" s="25" t="s">
        <v>981</v>
      </c>
      <c r="C685" s="25" t="s">
        <v>17</v>
      </c>
      <c r="D685" s="25">
        <v>100</v>
      </c>
      <c r="E685" s="25">
        <v>148</v>
      </c>
      <c r="F685" s="25">
        <v>14800</v>
      </c>
      <c r="G685" s="25" t="s">
        <v>1270</v>
      </c>
      <c r="H685" s="25">
        <v>2019077</v>
      </c>
      <c r="I685" s="25" t="s">
        <v>19</v>
      </c>
      <c r="J685" s="25" t="s">
        <v>20</v>
      </c>
      <c r="K685" s="25" t="s">
        <v>25</v>
      </c>
      <c r="L685" s="25">
        <v>0</v>
      </c>
      <c r="M685" s="25">
        <v>0.53</v>
      </c>
      <c r="N685" s="25">
        <v>0</v>
      </c>
      <c r="O685" s="25">
        <v>29.6</v>
      </c>
      <c r="P685" s="25">
        <v>30.1328</v>
      </c>
    </row>
    <row r="686" spans="1:16" x14ac:dyDescent="0.25">
      <c r="A686" s="26">
        <v>43578</v>
      </c>
      <c r="B686" s="25" t="s">
        <v>981</v>
      </c>
      <c r="C686" s="25" t="s">
        <v>23</v>
      </c>
      <c r="D686" s="25">
        <v>100</v>
      </c>
      <c r="E686" s="25">
        <v>148.5</v>
      </c>
      <c r="F686" s="25">
        <v>14850</v>
      </c>
      <c r="G686" s="25" t="s">
        <v>1271</v>
      </c>
      <c r="H686" s="25">
        <v>2019077</v>
      </c>
      <c r="I686" s="25" t="s">
        <v>19</v>
      </c>
      <c r="J686" s="25" t="s">
        <v>20</v>
      </c>
      <c r="K686" s="25" t="s">
        <v>25</v>
      </c>
      <c r="L686" s="25">
        <v>3.71</v>
      </c>
      <c r="M686" s="25">
        <v>0.53</v>
      </c>
      <c r="N686" s="25">
        <v>0</v>
      </c>
      <c r="O686" s="25">
        <v>29.6</v>
      </c>
      <c r="P686" s="25">
        <v>33.844700000000003</v>
      </c>
    </row>
    <row r="687" spans="1:16" x14ac:dyDescent="0.25">
      <c r="A687" s="26">
        <v>43578</v>
      </c>
      <c r="B687" s="25" t="s">
        <v>862</v>
      </c>
      <c r="C687" s="25" t="s">
        <v>23</v>
      </c>
      <c r="D687" s="25">
        <v>100</v>
      </c>
      <c r="E687" s="25">
        <v>291</v>
      </c>
      <c r="F687" s="25">
        <v>29100</v>
      </c>
      <c r="G687" s="25" t="s">
        <v>1272</v>
      </c>
      <c r="H687" s="25">
        <v>2019077</v>
      </c>
      <c r="I687" s="25" t="s">
        <v>19</v>
      </c>
      <c r="J687" s="25" t="s">
        <v>20</v>
      </c>
      <c r="K687" s="25" t="s">
        <v>25</v>
      </c>
      <c r="L687" s="25">
        <v>7.35</v>
      </c>
      <c r="M687" s="25">
        <v>1.05</v>
      </c>
      <c r="N687" s="25">
        <v>0</v>
      </c>
      <c r="O687" s="25">
        <v>29.69</v>
      </c>
      <c r="P687" s="25">
        <v>38.087600000000002</v>
      </c>
    </row>
    <row r="688" spans="1:16" x14ac:dyDescent="0.25">
      <c r="A688" s="26">
        <v>43578</v>
      </c>
      <c r="B688" s="25" t="s">
        <v>862</v>
      </c>
      <c r="C688" s="25" t="s">
        <v>23</v>
      </c>
      <c r="D688" s="25">
        <v>100</v>
      </c>
      <c r="E688" s="25">
        <v>292.3</v>
      </c>
      <c r="F688" s="25">
        <v>29230</v>
      </c>
      <c r="G688" s="25" t="s">
        <v>1273</v>
      </c>
      <c r="H688" s="25">
        <v>2019077</v>
      </c>
      <c r="I688" s="25" t="s">
        <v>19</v>
      </c>
      <c r="J688" s="25" t="s">
        <v>20</v>
      </c>
      <c r="K688" s="25" t="s">
        <v>25</v>
      </c>
      <c r="L688" s="25">
        <v>7.35</v>
      </c>
      <c r="M688" s="25">
        <v>1.05</v>
      </c>
      <c r="N688" s="25">
        <v>0</v>
      </c>
      <c r="O688" s="25">
        <v>29.69</v>
      </c>
      <c r="P688" s="25">
        <v>38.092300000000002</v>
      </c>
    </row>
    <row r="689" spans="1:16" x14ac:dyDescent="0.25">
      <c r="A689" s="26">
        <v>43578</v>
      </c>
      <c r="B689" s="25" t="s">
        <v>862</v>
      </c>
      <c r="C689" s="25" t="s">
        <v>23</v>
      </c>
      <c r="D689" s="25">
        <v>100</v>
      </c>
      <c r="E689" s="25">
        <v>295</v>
      </c>
      <c r="F689" s="25">
        <v>29500</v>
      </c>
      <c r="G689" s="25" t="s">
        <v>1274</v>
      </c>
      <c r="H689" s="25">
        <v>2019077</v>
      </c>
      <c r="I689" s="25" t="s">
        <v>19</v>
      </c>
      <c r="J689" s="25" t="s">
        <v>20</v>
      </c>
      <c r="K689" s="25" t="s">
        <v>25</v>
      </c>
      <c r="L689" s="25">
        <v>7.35</v>
      </c>
      <c r="M689" s="25">
        <v>1.06</v>
      </c>
      <c r="N689" s="25">
        <v>0</v>
      </c>
      <c r="O689" s="25">
        <v>29.69</v>
      </c>
      <c r="P689" s="25">
        <v>38.101999999999997</v>
      </c>
    </row>
    <row r="690" spans="1:16" x14ac:dyDescent="0.25">
      <c r="A690" s="26">
        <v>43578</v>
      </c>
      <c r="B690" s="25" t="s">
        <v>862</v>
      </c>
      <c r="C690" s="25" t="s">
        <v>23</v>
      </c>
      <c r="D690" s="25">
        <v>200</v>
      </c>
      <c r="E690" s="25">
        <v>293.5</v>
      </c>
      <c r="F690" s="25">
        <v>58700</v>
      </c>
      <c r="G690" s="25" t="s">
        <v>1275</v>
      </c>
      <c r="H690" s="25">
        <v>2019077</v>
      </c>
      <c r="I690" s="25" t="s">
        <v>19</v>
      </c>
      <c r="J690" s="25" t="s">
        <v>20</v>
      </c>
      <c r="K690" s="25" t="s">
        <v>25</v>
      </c>
      <c r="L690" s="25">
        <v>14.69</v>
      </c>
      <c r="M690" s="25">
        <v>2.11</v>
      </c>
      <c r="N690" s="25">
        <v>0</v>
      </c>
      <c r="O690" s="25">
        <v>35.01</v>
      </c>
      <c r="P690" s="25">
        <v>51.813200000000002</v>
      </c>
    </row>
    <row r="691" spans="1:16" x14ac:dyDescent="0.25">
      <c r="A691" s="26">
        <v>43578</v>
      </c>
      <c r="B691" s="25" t="s">
        <v>862</v>
      </c>
      <c r="C691" s="25" t="s">
        <v>17</v>
      </c>
      <c r="D691" s="25">
        <v>700</v>
      </c>
      <c r="E691" s="25">
        <v>298</v>
      </c>
      <c r="F691" s="25">
        <v>208600</v>
      </c>
      <c r="G691" s="25" t="s">
        <v>1276</v>
      </c>
      <c r="H691" s="25">
        <v>2019077</v>
      </c>
      <c r="I691" s="25" t="s">
        <v>19</v>
      </c>
      <c r="J691" s="25" t="s">
        <v>20</v>
      </c>
      <c r="K691" s="25" t="s">
        <v>25</v>
      </c>
      <c r="L691" s="25">
        <v>0</v>
      </c>
      <c r="M691" s="25">
        <v>7.51</v>
      </c>
      <c r="N691" s="25">
        <v>0</v>
      </c>
      <c r="O691" s="25">
        <v>124.43</v>
      </c>
      <c r="P691" s="25">
        <v>131.93960000000001</v>
      </c>
    </row>
    <row r="692" spans="1:16" x14ac:dyDescent="0.25">
      <c r="A692" s="26">
        <v>43577</v>
      </c>
      <c r="B692" s="25" t="s">
        <v>981</v>
      </c>
      <c r="C692" s="25" t="s">
        <v>17</v>
      </c>
      <c r="D692" s="25">
        <v>100</v>
      </c>
      <c r="E692" s="25">
        <v>151</v>
      </c>
      <c r="F692" s="25">
        <v>15100</v>
      </c>
      <c r="G692" s="25" t="s">
        <v>1277</v>
      </c>
      <c r="H692" s="25">
        <v>2019076</v>
      </c>
      <c r="I692" s="25" t="s">
        <v>19</v>
      </c>
      <c r="J692" s="25" t="s">
        <v>20</v>
      </c>
      <c r="K692" s="25" t="s">
        <v>25</v>
      </c>
      <c r="L692" s="25">
        <v>0</v>
      </c>
      <c r="M692" s="25">
        <v>0.54</v>
      </c>
      <c r="N692" s="25">
        <v>0</v>
      </c>
      <c r="O692" s="25">
        <v>29.6</v>
      </c>
      <c r="P692" s="25">
        <v>30.143599999999999</v>
      </c>
    </row>
    <row r="693" spans="1:16" x14ac:dyDescent="0.25">
      <c r="A693" s="26">
        <v>43577</v>
      </c>
      <c r="B693" s="25" t="s">
        <v>981</v>
      </c>
      <c r="C693" s="25" t="s">
        <v>17</v>
      </c>
      <c r="D693" s="25">
        <v>100</v>
      </c>
      <c r="E693" s="25">
        <v>150</v>
      </c>
      <c r="F693" s="25">
        <v>15000</v>
      </c>
      <c r="G693" s="25" t="s">
        <v>1278</v>
      </c>
      <c r="H693" s="25">
        <v>2019076</v>
      </c>
      <c r="I693" s="25" t="s">
        <v>19</v>
      </c>
      <c r="J693" s="25" t="s">
        <v>20</v>
      </c>
      <c r="K693" s="25" t="s">
        <v>25</v>
      </c>
      <c r="L693" s="25">
        <v>0</v>
      </c>
      <c r="M693" s="25">
        <v>0.54</v>
      </c>
      <c r="N693" s="25">
        <v>0</v>
      </c>
      <c r="O693" s="25">
        <v>29.6</v>
      </c>
      <c r="P693" s="25">
        <v>30.14</v>
      </c>
    </row>
    <row r="694" spans="1:16" x14ac:dyDescent="0.25">
      <c r="A694" s="26">
        <v>43577</v>
      </c>
      <c r="B694" s="25" t="s">
        <v>981</v>
      </c>
      <c r="C694" s="25" t="s">
        <v>23</v>
      </c>
      <c r="D694" s="25">
        <v>200</v>
      </c>
      <c r="E694" s="25">
        <v>150</v>
      </c>
      <c r="F694" s="25">
        <v>30000</v>
      </c>
      <c r="G694" s="25" t="s">
        <v>1279</v>
      </c>
      <c r="H694" s="25">
        <v>2019076</v>
      </c>
      <c r="I694" s="25" t="s">
        <v>19</v>
      </c>
      <c r="J694" s="25" t="s">
        <v>20</v>
      </c>
      <c r="K694" s="25" t="s">
        <v>25</v>
      </c>
      <c r="L694" s="25">
        <v>7.51</v>
      </c>
      <c r="M694" s="25">
        <v>1.08</v>
      </c>
      <c r="N694" s="25">
        <v>0</v>
      </c>
      <c r="O694" s="25">
        <v>29.7</v>
      </c>
      <c r="P694" s="25">
        <v>38.290199999999999</v>
      </c>
    </row>
    <row r="695" spans="1:16" x14ac:dyDescent="0.25">
      <c r="A695" s="26">
        <v>43577</v>
      </c>
      <c r="B695" s="25" t="s">
        <v>379</v>
      </c>
      <c r="C695" s="25" t="s">
        <v>17</v>
      </c>
      <c r="D695" s="25">
        <v>250</v>
      </c>
      <c r="E695" s="25">
        <v>151</v>
      </c>
      <c r="F695" s="25">
        <v>37750</v>
      </c>
      <c r="G695" s="25" t="s">
        <v>1280</v>
      </c>
      <c r="H695" s="25">
        <v>2019076</v>
      </c>
      <c r="I695" s="25" t="s">
        <v>19</v>
      </c>
      <c r="J695" s="25" t="s">
        <v>20</v>
      </c>
      <c r="K695" s="25" t="s">
        <v>25</v>
      </c>
      <c r="L695" s="25">
        <v>0</v>
      </c>
      <c r="M695" s="25">
        <v>1.36</v>
      </c>
      <c r="N695" s="25">
        <v>0</v>
      </c>
      <c r="O695" s="25">
        <v>29.74</v>
      </c>
      <c r="P695" s="25">
        <v>31.0991</v>
      </c>
    </row>
    <row r="696" spans="1:16" x14ac:dyDescent="0.25">
      <c r="A696" s="26">
        <v>43577</v>
      </c>
      <c r="B696" s="25" t="s">
        <v>379</v>
      </c>
      <c r="C696" s="25" t="s">
        <v>23</v>
      </c>
      <c r="D696" s="25">
        <v>1000</v>
      </c>
      <c r="E696" s="25">
        <v>148.9</v>
      </c>
      <c r="F696" s="25">
        <v>148900</v>
      </c>
      <c r="G696" s="25" t="s">
        <v>1281</v>
      </c>
      <c r="H696" s="25">
        <v>2019076</v>
      </c>
      <c r="I696" s="25" t="s">
        <v>19</v>
      </c>
      <c r="J696" s="25" t="s">
        <v>20</v>
      </c>
      <c r="K696" s="25" t="s">
        <v>25</v>
      </c>
      <c r="L696" s="25">
        <v>37.29</v>
      </c>
      <c r="M696" s="25">
        <v>5.36</v>
      </c>
      <c r="N696" s="25">
        <v>0</v>
      </c>
      <c r="O696" s="25">
        <v>88.81</v>
      </c>
      <c r="P696" s="25">
        <v>131.46029999999999</v>
      </c>
    </row>
    <row r="697" spans="1:16" x14ac:dyDescent="0.25">
      <c r="A697" s="26">
        <v>43577</v>
      </c>
      <c r="B697" s="25" t="s">
        <v>247</v>
      </c>
      <c r="C697" s="25" t="s">
        <v>23</v>
      </c>
      <c r="D697" s="25">
        <v>100</v>
      </c>
      <c r="E697" s="25">
        <v>480</v>
      </c>
      <c r="F697" s="25">
        <v>48000</v>
      </c>
      <c r="G697" s="25" t="s">
        <v>1282</v>
      </c>
      <c r="H697" s="25">
        <v>2019076</v>
      </c>
      <c r="I697" s="25" t="s">
        <v>19</v>
      </c>
      <c r="J697" s="25" t="s">
        <v>20</v>
      </c>
      <c r="K697" s="25" t="s">
        <v>25</v>
      </c>
      <c r="L697" s="25">
        <v>12.2</v>
      </c>
      <c r="M697" s="25">
        <v>1.73</v>
      </c>
      <c r="N697" s="25">
        <v>13.8</v>
      </c>
      <c r="O697" s="25">
        <v>29.81</v>
      </c>
      <c r="P697" s="25">
        <v>57.537999999999997</v>
      </c>
    </row>
    <row r="698" spans="1:16" x14ac:dyDescent="0.25">
      <c r="A698" s="26">
        <v>43577</v>
      </c>
      <c r="B698" s="25" t="s">
        <v>247</v>
      </c>
      <c r="C698" s="25" t="s">
        <v>17</v>
      </c>
      <c r="D698" s="25">
        <v>100</v>
      </c>
      <c r="E698" s="25">
        <v>474</v>
      </c>
      <c r="F698" s="25">
        <v>47400</v>
      </c>
      <c r="G698" s="25" t="s">
        <v>1283</v>
      </c>
      <c r="H698" s="25">
        <v>2019076</v>
      </c>
      <c r="I698" s="25" t="s">
        <v>19</v>
      </c>
      <c r="J698" s="25" t="s">
        <v>20</v>
      </c>
      <c r="K698" s="25" t="s">
        <v>25</v>
      </c>
      <c r="L698" s="25">
        <v>0</v>
      </c>
      <c r="M698" s="25">
        <v>1.71</v>
      </c>
      <c r="N698" s="25">
        <v>0</v>
      </c>
      <c r="O698" s="25">
        <v>29.81</v>
      </c>
      <c r="P698" s="25">
        <v>31.516400000000001</v>
      </c>
    </row>
    <row r="699" spans="1:16" x14ac:dyDescent="0.25">
      <c r="A699" s="26">
        <v>43577</v>
      </c>
      <c r="B699" s="25" t="s">
        <v>379</v>
      </c>
      <c r="C699" s="25" t="s">
        <v>17</v>
      </c>
      <c r="D699" s="25">
        <v>100</v>
      </c>
      <c r="E699" s="25">
        <v>149</v>
      </c>
      <c r="F699" s="25">
        <v>14900</v>
      </c>
      <c r="G699" s="25" t="s">
        <v>1284</v>
      </c>
      <c r="H699" s="25">
        <v>2019076</v>
      </c>
      <c r="I699" s="25" t="s">
        <v>19</v>
      </c>
      <c r="J699" s="25" t="s">
        <v>20</v>
      </c>
      <c r="K699" s="25" t="s">
        <v>25</v>
      </c>
      <c r="L699" s="25">
        <v>0</v>
      </c>
      <c r="M699" s="25">
        <v>0.54</v>
      </c>
      <c r="N699" s="25">
        <v>0</v>
      </c>
      <c r="O699" s="25">
        <v>29.6</v>
      </c>
      <c r="P699" s="25">
        <v>30.136399999999998</v>
      </c>
    </row>
    <row r="700" spans="1:16" x14ac:dyDescent="0.25">
      <c r="A700" s="26">
        <v>43577</v>
      </c>
      <c r="B700" s="25" t="s">
        <v>379</v>
      </c>
      <c r="C700" s="25" t="s">
        <v>17</v>
      </c>
      <c r="D700" s="25">
        <v>250</v>
      </c>
      <c r="E700" s="25">
        <v>149</v>
      </c>
      <c r="F700" s="25">
        <v>37250</v>
      </c>
      <c r="G700" s="25" t="s">
        <v>1285</v>
      </c>
      <c r="H700" s="25">
        <v>2019076</v>
      </c>
      <c r="I700" s="25" t="s">
        <v>19</v>
      </c>
      <c r="J700" s="25" t="s">
        <v>20</v>
      </c>
      <c r="K700" s="25" t="s">
        <v>25</v>
      </c>
      <c r="L700" s="25">
        <v>0</v>
      </c>
      <c r="M700" s="25">
        <v>1.34</v>
      </c>
      <c r="N700" s="25">
        <v>0</v>
      </c>
      <c r="O700" s="25">
        <v>29.74</v>
      </c>
      <c r="P700" s="25">
        <v>31.081099999999999</v>
      </c>
    </row>
    <row r="701" spans="1:16" x14ac:dyDescent="0.25">
      <c r="A701" s="26">
        <v>43577</v>
      </c>
      <c r="B701" s="25" t="s">
        <v>379</v>
      </c>
      <c r="C701" s="25" t="s">
        <v>17</v>
      </c>
      <c r="D701" s="25">
        <v>400</v>
      </c>
      <c r="E701" s="25">
        <v>148.79</v>
      </c>
      <c r="F701" s="25">
        <v>59516.85</v>
      </c>
      <c r="G701" s="25" t="s">
        <v>1286</v>
      </c>
      <c r="H701" s="25">
        <v>2019076</v>
      </c>
      <c r="I701" s="25" t="s">
        <v>19</v>
      </c>
      <c r="J701" s="25" t="s">
        <v>20</v>
      </c>
      <c r="K701" s="25" t="s">
        <v>25</v>
      </c>
      <c r="L701" s="25">
        <v>0</v>
      </c>
      <c r="M701" s="25">
        <v>2.14</v>
      </c>
      <c r="N701" s="25">
        <v>0</v>
      </c>
      <c r="O701" s="25">
        <v>35.5</v>
      </c>
      <c r="P701" s="25">
        <v>37.642499999999998</v>
      </c>
    </row>
    <row r="702" spans="1:16" x14ac:dyDescent="0.25">
      <c r="A702" s="26">
        <v>43573</v>
      </c>
      <c r="B702" s="25" t="s">
        <v>56</v>
      </c>
      <c r="C702" s="25" t="s">
        <v>17</v>
      </c>
      <c r="D702" s="25">
        <v>100</v>
      </c>
      <c r="E702" s="25">
        <v>966.44</v>
      </c>
      <c r="F702" s="25">
        <v>96644.3</v>
      </c>
      <c r="G702" s="25" t="s">
        <v>1287</v>
      </c>
      <c r="H702" s="25">
        <v>2019075</v>
      </c>
      <c r="I702" s="25" t="s">
        <v>19</v>
      </c>
      <c r="J702" s="25" t="s">
        <v>20</v>
      </c>
      <c r="K702" s="25" t="s">
        <v>25</v>
      </c>
      <c r="L702" s="25">
        <v>0</v>
      </c>
      <c r="M702" s="25">
        <v>3.48</v>
      </c>
      <c r="N702" s="25">
        <v>0</v>
      </c>
      <c r="O702" s="25">
        <v>57.65</v>
      </c>
      <c r="P702" s="25">
        <v>61.129199999999997</v>
      </c>
    </row>
    <row r="703" spans="1:16" x14ac:dyDescent="0.25">
      <c r="A703" s="26">
        <v>43573</v>
      </c>
      <c r="B703" s="25" t="s">
        <v>56</v>
      </c>
      <c r="C703" s="25" t="s">
        <v>23</v>
      </c>
      <c r="D703" s="25">
        <v>200</v>
      </c>
      <c r="E703" s="25">
        <v>976</v>
      </c>
      <c r="F703" s="25">
        <v>195200</v>
      </c>
      <c r="G703" s="25" t="s">
        <v>1288</v>
      </c>
      <c r="H703" s="25">
        <v>2019075</v>
      </c>
      <c r="I703" s="25" t="s">
        <v>19</v>
      </c>
      <c r="J703" s="25" t="s">
        <v>20</v>
      </c>
      <c r="K703" s="25" t="s">
        <v>25</v>
      </c>
      <c r="L703" s="25">
        <v>48.47</v>
      </c>
      <c r="M703" s="25">
        <v>7.03</v>
      </c>
      <c r="N703" s="25">
        <v>0</v>
      </c>
      <c r="O703" s="25">
        <v>116.43</v>
      </c>
      <c r="P703" s="25">
        <v>171.9272</v>
      </c>
    </row>
    <row r="704" spans="1:16" x14ac:dyDescent="0.25">
      <c r="A704" s="26">
        <v>43573</v>
      </c>
      <c r="B704" s="25" t="s">
        <v>56</v>
      </c>
      <c r="C704" s="25" t="s">
        <v>17</v>
      </c>
      <c r="D704" s="25">
        <v>50</v>
      </c>
      <c r="E704" s="25">
        <v>981</v>
      </c>
      <c r="F704" s="25">
        <v>49050</v>
      </c>
      <c r="G704" s="25" t="s">
        <v>1289</v>
      </c>
      <c r="H704" s="25">
        <v>2019075</v>
      </c>
      <c r="I704" s="25" t="s">
        <v>19</v>
      </c>
      <c r="J704" s="25" t="s">
        <v>20</v>
      </c>
      <c r="K704" s="25" t="s">
        <v>25</v>
      </c>
      <c r="L704" s="25">
        <v>0</v>
      </c>
      <c r="M704" s="25">
        <v>1.77</v>
      </c>
      <c r="N704" s="25">
        <v>0</v>
      </c>
      <c r="O704" s="25">
        <v>29.82</v>
      </c>
      <c r="P704" s="25">
        <v>31.585899999999999</v>
      </c>
    </row>
    <row r="705" spans="1:16" x14ac:dyDescent="0.25">
      <c r="A705" s="26">
        <v>43573</v>
      </c>
      <c r="B705" s="25" t="s">
        <v>56</v>
      </c>
      <c r="C705" s="25" t="s">
        <v>17</v>
      </c>
      <c r="D705" s="25">
        <v>50</v>
      </c>
      <c r="E705" s="25">
        <v>978.5</v>
      </c>
      <c r="F705" s="25">
        <v>48925</v>
      </c>
      <c r="G705" s="25" t="s">
        <v>1290</v>
      </c>
      <c r="H705" s="25">
        <v>2019075</v>
      </c>
      <c r="I705" s="25" t="s">
        <v>19</v>
      </c>
      <c r="J705" s="25" t="s">
        <v>20</v>
      </c>
      <c r="K705" s="25" t="s">
        <v>25</v>
      </c>
      <c r="L705" s="25">
        <v>0</v>
      </c>
      <c r="M705" s="25">
        <v>1.76</v>
      </c>
      <c r="N705" s="25">
        <v>0</v>
      </c>
      <c r="O705" s="25">
        <v>29.82</v>
      </c>
      <c r="P705" s="25">
        <v>31.581299999999999</v>
      </c>
    </row>
    <row r="706" spans="1:16" x14ac:dyDescent="0.25">
      <c r="A706" s="26">
        <v>43573</v>
      </c>
      <c r="B706" s="25" t="s">
        <v>56</v>
      </c>
      <c r="C706" s="25" t="s">
        <v>17</v>
      </c>
      <c r="D706" s="25">
        <v>50</v>
      </c>
      <c r="E706" s="25">
        <v>976.4</v>
      </c>
      <c r="F706" s="25">
        <v>48820</v>
      </c>
      <c r="G706" s="25" t="s">
        <v>1291</v>
      </c>
      <c r="H706" s="25">
        <v>2019075</v>
      </c>
      <c r="I706" s="25" t="s">
        <v>19</v>
      </c>
      <c r="J706" s="25" t="s">
        <v>20</v>
      </c>
      <c r="K706" s="25" t="s">
        <v>25</v>
      </c>
      <c r="L706" s="25">
        <v>0</v>
      </c>
      <c r="M706" s="25">
        <v>1.76</v>
      </c>
      <c r="N706" s="25">
        <v>0</v>
      </c>
      <c r="O706" s="25">
        <v>29.82</v>
      </c>
      <c r="P706" s="25">
        <v>31.577500000000001</v>
      </c>
    </row>
    <row r="707" spans="1:16" x14ac:dyDescent="0.25">
      <c r="A707" s="26">
        <v>43573</v>
      </c>
      <c r="B707" s="25" t="s">
        <v>56</v>
      </c>
      <c r="C707" s="25" t="s">
        <v>17</v>
      </c>
      <c r="D707" s="25">
        <v>200</v>
      </c>
      <c r="E707" s="25">
        <v>979</v>
      </c>
      <c r="F707" s="25">
        <v>195800</v>
      </c>
      <c r="G707" s="25" t="s">
        <v>1292</v>
      </c>
      <c r="H707" s="25">
        <v>2019075</v>
      </c>
      <c r="I707" s="25" t="s">
        <v>19</v>
      </c>
      <c r="J707" s="25" t="s">
        <v>20</v>
      </c>
      <c r="K707" s="25" t="s">
        <v>25</v>
      </c>
      <c r="L707" s="25">
        <v>0</v>
      </c>
      <c r="M707" s="25">
        <v>7.05</v>
      </c>
      <c r="N707" s="25">
        <v>0</v>
      </c>
      <c r="O707" s="25">
        <v>116.79</v>
      </c>
      <c r="P707" s="25">
        <v>123.83880000000001</v>
      </c>
    </row>
    <row r="708" spans="1:16" x14ac:dyDescent="0.25">
      <c r="A708" s="26">
        <v>43573</v>
      </c>
      <c r="B708" s="25" t="s">
        <v>56</v>
      </c>
      <c r="C708" s="25" t="s">
        <v>17</v>
      </c>
      <c r="D708" s="25">
        <v>1000</v>
      </c>
      <c r="E708" s="25">
        <v>974</v>
      </c>
      <c r="F708" s="25">
        <v>974000</v>
      </c>
      <c r="G708" s="25" t="s">
        <v>1293</v>
      </c>
      <c r="H708" s="25">
        <v>2019075</v>
      </c>
      <c r="I708" s="25" t="s">
        <v>19</v>
      </c>
      <c r="J708" s="25" t="s">
        <v>20</v>
      </c>
      <c r="K708" s="25" t="s">
        <v>25</v>
      </c>
      <c r="L708" s="25">
        <v>0</v>
      </c>
      <c r="M708" s="25">
        <v>35.06</v>
      </c>
      <c r="N708" s="25">
        <v>0</v>
      </c>
      <c r="O708" s="25">
        <v>580.97</v>
      </c>
      <c r="P708" s="25">
        <v>616.03420000000006</v>
      </c>
    </row>
    <row r="709" spans="1:16" x14ac:dyDescent="0.25">
      <c r="A709" s="26">
        <v>43573</v>
      </c>
      <c r="B709" s="25" t="s">
        <v>56</v>
      </c>
      <c r="C709" s="25" t="s">
        <v>23</v>
      </c>
      <c r="D709" s="25">
        <v>1250</v>
      </c>
      <c r="E709" s="25">
        <v>962.11</v>
      </c>
      <c r="F709" s="25">
        <v>1202633.6499999999</v>
      </c>
      <c r="G709" s="25" t="s">
        <v>1294</v>
      </c>
      <c r="H709" s="25">
        <v>2019075</v>
      </c>
      <c r="I709" s="25" t="s">
        <v>19</v>
      </c>
      <c r="J709" s="25" t="s">
        <v>20</v>
      </c>
      <c r="K709" s="25" t="s">
        <v>25</v>
      </c>
      <c r="L709" s="25">
        <v>302.52999999999997</v>
      </c>
      <c r="M709" s="25">
        <v>43.29</v>
      </c>
      <c r="N709" s="25">
        <v>84.6</v>
      </c>
      <c r="O709" s="25">
        <v>717.35</v>
      </c>
      <c r="P709" s="25">
        <v>1147.7748999999999</v>
      </c>
    </row>
    <row r="710" spans="1:16" x14ac:dyDescent="0.25">
      <c r="A710" s="26">
        <v>43571</v>
      </c>
      <c r="B710" s="25" t="s">
        <v>379</v>
      </c>
      <c r="C710" s="25" t="s">
        <v>23</v>
      </c>
      <c r="D710" s="25">
        <v>1872</v>
      </c>
      <c r="E710" s="25">
        <v>158.75</v>
      </c>
      <c r="F710" s="25">
        <v>297180</v>
      </c>
      <c r="G710" s="25" t="s">
        <v>1295</v>
      </c>
      <c r="H710" s="25">
        <v>201920014</v>
      </c>
      <c r="I710" s="25" t="s">
        <v>19</v>
      </c>
      <c r="J710" s="25" t="s">
        <v>20</v>
      </c>
      <c r="K710" s="25" t="s">
        <v>21</v>
      </c>
      <c r="L710" s="25">
        <v>74</v>
      </c>
      <c r="M710" s="25">
        <v>8.82</v>
      </c>
      <c r="N710" s="25">
        <v>0</v>
      </c>
      <c r="O710" s="25">
        <v>176.97</v>
      </c>
      <c r="P710" s="25">
        <v>259.791</v>
      </c>
    </row>
    <row r="711" spans="1:16" x14ac:dyDescent="0.25">
      <c r="A711" s="26">
        <v>43571</v>
      </c>
      <c r="B711" s="25" t="s">
        <v>379</v>
      </c>
      <c r="C711" s="25" t="s">
        <v>17</v>
      </c>
      <c r="D711" s="25">
        <v>1238</v>
      </c>
      <c r="E711" s="25">
        <v>158.04</v>
      </c>
      <c r="F711" s="25">
        <v>195651</v>
      </c>
      <c r="G711" s="25" t="s">
        <v>1296</v>
      </c>
      <c r="H711" s="25">
        <v>201920014</v>
      </c>
      <c r="I711" s="25" t="s">
        <v>19</v>
      </c>
      <c r="J711" s="25" t="s">
        <v>20</v>
      </c>
      <c r="K711" s="25" t="s">
        <v>21</v>
      </c>
      <c r="L711" s="25">
        <v>0</v>
      </c>
      <c r="M711" s="25">
        <v>5.56</v>
      </c>
      <c r="N711" s="25">
        <v>18</v>
      </c>
      <c r="O711" s="25">
        <v>116.44</v>
      </c>
      <c r="P711" s="25">
        <v>139.9983</v>
      </c>
    </row>
    <row r="712" spans="1:16" x14ac:dyDescent="0.25">
      <c r="A712" s="26">
        <v>43571</v>
      </c>
      <c r="B712" s="25" t="s">
        <v>379</v>
      </c>
      <c r="C712" s="25" t="s">
        <v>17</v>
      </c>
      <c r="D712" s="25">
        <v>634</v>
      </c>
      <c r="E712" s="25">
        <v>158.80000000000001</v>
      </c>
      <c r="F712" s="25">
        <v>100681.4</v>
      </c>
      <c r="G712" s="25" t="s">
        <v>1297</v>
      </c>
      <c r="H712" s="25">
        <v>201920014</v>
      </c>
      <c r="I712" s="25" t="s">
        <v>19</v>
      </c>
      <c r="J712" s="25" t="s">
        <v>20</v>
      </c>
      <c r="K712" s="25" t="s">
        <v>21</v>
      </c>
      <c r="L712" s="25">
        <v>0</v>
      </c>
      <c r="M712" s="25">
        <v>2.88</v>
      </c>
      <c r="N712" s="25">
        <v>0</v>
      </c>
      <c r="O712" s="25">
        <v>59.92</v>
      </c>
      <c r="P712" s="25">
        <v>62.799100000000003</v>
      </c>
    </row>
    <row r="713" spans="1:16" x14ac:dyDescent="0.25">
      <c r="A713" s="26">
        <v>43571</v>
      </c>
      <c r="B713" s="25" t="s">
        <v>379</v>
      </c>
      <c r="C713" s="25" t="s">
        <v>17</v>
      </c>
      <c r="D713" s="25">
        <v>100</v>
      </c>
      <c r="E713" s="25">
        <v>162</v>
      </c>
      <c r="F713" s="25">
        <v>16200</v>
      </c>
      <c r="G713" s="25" t="s">
        <v>1298</v>
      </c>
      <c r="H713" s="25">
        <v>2019074</v>
      </c>
      <c r="I713" s="25" t="s">
        <v>19</v>
      </c>
      <c r="J713" s="25" t="s">
        <v>20</v>
      </c>
      <c r="K713" s="25" t="s">
        <v>25</v>
      </c>
      <c r="L713" s="25">
        <v>0</v>
      </c>
      <c r="M713" s="25">
        <v>0.57999999999999996</v>
      </c>
      <c r="N713" s="25">
        <v>3.9</v>
      </c>
      <c r="O713" s="25">
        <v>29.61</v>
      </c>
      <c r="P713" s="25">
        <v>34.093200000000003</v>
      </c>
    </row>
    <row r="714" spans="1:16" x14ac:dyDescent="0.25">
      <c r="A714" s="26">
        <v>43571</v>
      </c>
      <c r="B714" s="25" t="s">
        <v>379</v>
      </c>
      <c r="C714" s="25" t="s">
        <v>17</v>
      </c>
      <c r="D714" s="25">
        <v>200</v>
      </c>
      <c r="E714" s="25">
        <v>159</v>
      </c>
      <c r="F714" s="25">
        <v>31800</v>
      </c>
      <c r="G714" s="25" t="s">
        <v>1299</v>
      </c>
      <c r="H714" s="25">
        <v>2019074</v>
      </c>
      <c r="I714" s="25" t="s">
        <v>19</v>
      </c>
      <c r="J714" s="25" t="s">
        <v>20</v>
      </c>
      <c r="K714" s="25" t="s">
        <v>25</v>
      </c>
      <c r="L714" s="25">
        <v>0</v>
      </c>
      <c r="M714" s="25">
        <v>1.1399999999999999</v>
      </c>
      <c r="N714" s="25">
        <v>0</v>
      </c>
      <c r="O714" s="25">
        <v>29.71</v>
      </c>
      <c r="P714" s="25">
        <v>30.854800000000001</v>
      </c>
    </row>
    <row r="715" spans="1:16" x14ac:dyDescent="0.25">
      <c r="A715" s="26">
        <v>43571</v>
      </c>
      <c r="B715" s="25" t="s">
        <v>379</v>
      </c>
      <c r="C715" s="25" t="s">
        <v>17</v>
      </c>
      <c r="D715" s="25">
        <v>100</v>
      </c>
      <c r="E715" s="25">
        <v>158</v>
      </c>
      <c r="F715" s="25">
        <v>15800</v>
      </c>
      <c r="G715" s="25" t="s">
        <v>1300</v>
      </c>
      <c r="H715" s="25">
        <v>2019074</v>
      </c>
      <c r="I715" s="25" t="s">
        <v>19</v>
      </c>
      <c r="J715" s="25" t="s">
        <v>20</v>
      </c>
      <c r="K715" s="25" t="s">
        <v>25</v>
      </c>
      <c r="L715" s="25">
        <v>0</v>
      </c>
      <c r="M715" s="25">
        <v>0.56999999999999995</v>
      </c>
      <c r="N715" s="25">
        <v>0</v>
      </c>
      <c r="O715" s="25">
        <v>29.6</v>
      </c>
      <c r="P715" s="25">
        <v>30.168800000000001</v>
      </c>
    </row>
    <row r="716" spans="1:16" x14ac:dyDescent="0.25">
      <c r="A716" s="26">
        <v>43571</v>
      </c>
      <c r="B716" s="25" t="s">
        <v>379</v>
      </c>
      <c r="C716" s="25" t="s">
        <v>23</v>
      </c>
      <c r="D716" s="25">
        <v>400</v>
      </c>
      <c r="E716" s="25">
        <v>158.69999999999999</v>
      </c>
      <c r="F716" s="25">
        <v>63480</v>
      </c>
      <c r="G716" s="25" t="s">
        <v>1301</v>
      </c>
      <c r="H716" s="25">
        <v>2019074</v>
      </c>
      <c r="I716" s="25" t="s">
        <v>19</v>
      </c>
      <c r="J716" s="25" t="s">
        <v>20</v>
      </c>
      <c r="K716" s="25" t="s">
        <v>25</v>
      </c>
      <c r="L716" s="25">
        <v>16</v>
      </c>
      <c r="M716" s="25">
        <v>2.29</v>
      </c>
      <c r="N716" s="25">
        <v>0</v>
      </c>
      <c r="O716" s="25">
        <v>37.86</v>
      </c>
      <c r="P716" s="25">
        <v>56.145299999999999</v>
      </c>
    </row>
    <row r="717" spans="1:16" x14ac:dyDescent="0.25">
      <c r="A717" s="26">
        <v>43570</v>
      </c>
      <c r="B717" s="25" t="s">
        <v>379</v>
      </c>
      <c r="C717" s="25" t="s">
        <v>23</v>
      </c>
      <c r="D717" s="25">
        <v>100</v>
      </c>
      <c r="E717" s="25">
        <v>164.95</v>
      </c>
      <c r="F717" s="25">
        <v>16495</v>
      </c>
      <c r="G717" s="25" t="s">
        <v>1302</v>
      </c>
      <c r="H717" s="25">
        <v>2019073</v>
      </c>
      <c r="I717" s="25" t="s">
        <v>19</v>
      </c>
      <c r="J717" s="25" t="s">
        <v>20</v>
      </c>
      <c r="K717" s="25" t="s">
        <v>25</v>
      </c>
      <c r="L717" s="25">
        <v>4.13</v>
      </c>
      <c r="M717" s="25">
        <v>0.59</v>
      </c>
      <c r="N717" s="25">
        <v>0</v>
      </c>
      <c r="O717" s="25">
        <v>29.61</v>
      </c>
      <c r="P717" s="25">
        <v>34.333799999999997</v>
      </c>
    </row>
    <row r="718" spans="1:16" x14ac:dyDescent="0.25">
      <c r="A718" s="26">
        <v>43570</v>
      </c>
      <c r="B718" s="25" t="s">
        <v>379</v>
      </c>
      <c r="C718" s="25" t="s">
        <v>23</v>
      </c>
      <c r="D718" s="25">
        <v>500</v>
      </c>
      <c r="E718" s="25">
        <v>165.5</v>
      </c>
      <c r="F718" s="25">
        <v>82750</v>
      </c>
      <c r="G718" s="25" t="s">
        <v>1303</v>
      </c>
      <c r="H718" s="25">
        <v>2019073</v>
      </c>
      <c r="I718" s="25" t="s">
        <v>19</v>
      </c>
      <c r="J718" s="25" t="s">
        <v>20</v>
      </c>
      <c r="K718" s="25" t="s">
        <v>25</v>
      </c>
      <c r="L718" s="25">
        <v>20.63</v>
      </c>
      <c r="M718" s="25">
        <v>2.98</v>
      </c>
      <c r="N718" s="25">
        <v>0</v>
      </c>
      <c r="O718" s="25">
        <v>49.36</v>
      </c>
      <c r="P718" s="25">
        <v>72.969099999999997</v>
      </c>
    </row>
    <row r="719" spans="1:16" x14ac:dyDescent="0.25">
      <c r="A719" s="26">
        <v>43570</v>
      </c>
      <c r="B719" s="25" t="s">
        <v>379</v>
      </c>
      <c r="C719" s="25" t="s">
        <v>17</v>
      </c>
      <c r="D719" s="25">
        <v>850</v>
      </c>
      <c r="E719" s="25">
        <v>164.5</v>
      </c>
      <c r="F719" s="25">
        <v>139825</v>
      </c>
      <c r="G719" s="25" t="s">
        <v>1304</v>
      </c>
      <c r="H719" s="25">
        <v>2019073</v>
      </c>
      <c r="I719" s="25" t="s">
        <v>19</v>
      </c>
      <c r="J719" s="25" t="s">
        <v>20</v>
      </c>
      <c r="K719" s="25" t="s">
        <v>25</v>
      </c>
      <c r="L719" s="25">
        <v>0</v>
      </c>
      <c r="M719" s="25">
        <v>5.03</v>
      </c>
      <c r="N719" s="25">
        <v>8.6999999999999993</v>
      </c>
      <c r="O719" s="25">
        <v>83.4</v>
      </c>
      <c r="P719" s="25">
        <v>97.133799999999994</v>
      </c>
    </row>
    <row r="720" spans="1:16" x14ac:dyDescent="0.25">
      <c r="A720" s="26">
        <v>43570</v>
      </c>
      <c r="B720" s="25" t="s">
        <v>379</v>
      </c>
      <c r="C720" s="25" t="s">
        <v>23</v>
      </c>
      <c r="D720" s="25">
        <v>250</v>
      </c>
      <c r="E720" s="25">
        <v>166</v>
      </c>
      <c r="F720" s="25">
        <v>41500</v>
      </c>
      <c r="G720" s="25" t="s">
        <v>1305</v>
      </c>
      <c r="H720" s="25">
        <v>2019073</v>
      </c>
      <c r="I720" s="25" t="s">
        <v>19</v>
      </c>
      <c r="J720" s="25" t="s">
        <v>20</v>
      </c>
      <c r="K720" s="25" t="s">
        <v>25</v>
      </c>
      <c r="L720" s="25">
        <v>10.24</v>
      </c>
      <c r="M720" s="25">
        <v>1.49</v>
      </c>
      <c r="N720" s="25">
        <v>0</v>
      </c>
      <c r="O720" s="25">
        <v>29.77</v>
      </c>
      <c r="P720" s="25">
        <v>41.503999999999998</v>
      </c>
    </row>
    <row r="721" spans="1:16" x14ac:dyDescent="0.25">
      <c r="A721" s="26">
        <v>43567</v>
      </c>
      <c r="B721" s="25" t="s">
        <v>379</v>
      </c>
      <c r="C721" s="25" t="s">
        <v>23</v>
      </c>
      <c r="D721" s="25">
        <v>1000</v>
      </c>
      <c r="E721" s="25">
        <v>162</v>
      </c>
      <c r="F721" s="25">
        <v>162000</v>
      </c>
      <c r="G721" s="25" t="s">
        <v>1306</v>
      </c>
      <c r="H721" s="25">
        <v>2019072</v>
      </c>
      <c r="I721" s="25" t="s">
        <v>19</v>
      </c>
      <c r="J721" s="25" t="s">
        <v>20</v>
      </c>
      <c r="K721" s="25" t="s">
        <v>25</v>
      </c>
      <c r="L721" s="25">
        <v>40.68</v>
      </c>
      <c r="M721" s="25">
        <v>5.83</v>
      </c>
      <c r="N721" s="25">
        <v>0</v>
      </c>
      <c r="O721" s="25">
        <v>96.63</v>
      </c>
      <c r="P721" s="25">
        <v>143.142</v>
      </c>
    </row>
    <row r="722" spans="1:16" x14ac:dyDescent="0.25">
      <c r="A722" s="26">
        <v>43567</v>
      </c>
      <c r="B722" s="25" t="s">
        <v>379</v>
      </c>
      <c r="C722" s="25" t="s">
        <v>23</v>
      </c>
      <c r="D722" s="25">
        <v>100</v>
      </c>
      <c r="E722" s="25">
        <v>159.65</v>
      </c>
      <c r="F722" s="25">
        <v>15964.75</v>
      </c>
      <c r="G722" s="25" t="s">
        <v>1307</v>
      </c>
      <c r="H722" s="25">
        <v>2019072</v>
      </c>
      <c r="I722" s="25" t="s">
        <v>19</v>
      </c>
      <c r="J722" s="25" t="s">
        <v>20</v>
      </c>
      <c r="K722" s="25" t="s">
        <v>25</v>
      </c>
      <c r="L722" s="25">
        <v>4.07</v>
      </c>
      <c r="M722" s="25">
        <v>0.56999999999999995</v>
      </c>
      <c r="N722" s="25">
        <v>0</v>
      </c>
      <c r="O722" s="25">
        <v>29.6</v>
      </c>
      <c r="P722" s="25">
        <v>34.244700000000002</v>
      </c>
    </row>
    <row r="723" spans="1:16" x14ac:dyDescent="0.25">
      <c r="A723" s="26">
        <v>43567</v>
      </c>
      <c r="B723" s="25" t="s">
        <v>379</v>
      </c>
      <c r="C723" s="25" t="s">
        <v>17</v>
      </c>
      <c r="D723" s="25">
        <v>3250</v>
      </c>
      <c r="E723" s="25">
        <v>162.5</v>
      </c>
      <c r="F723" s="25">
        <v>528125</v>
      </c>
      <c r="G723" s="25" t="s">
        <v>1308</v>
      </c>
      <c r="H723" s="25">
        <v>2019072</v>
      </c>
      <c r="I723" s="25" t="s">
        <v>19</v>
      </c>
      <c r="J723" s="25" t="s">
        <v>20</v>
      </c>
      <c r="K723" s="25" t="s">
        <v>25</v>
      </c>
      <c r="L723" s="25">
        <v>0</v>
      </c>
      <c r="M723" s="25">
        <v>19.010000000000002</v>
      </c>
      <c r="N723" s="25">
        <v>0</v>
      </c>
      <c r="O723" s="25">
        <v>315.02999999999997</v>
      </c>
      <c r="P723" s="25">
        <v>334.04309999999998</v>
      </c>
    </row>
    <row r="724" spans="1:16" x14ac:dyDescent="0.25">
      <c r="A724" s="26">
        <v>43567</v>
      </c>
      <c r="B724" s="25" t="s">
        <v>379</v>
      </c>
      <c r="C724" s="25" t="s">
        <v>23</v>
      </c>
      <c r="D724" s="25">
        <v>150</v>
      </c>
      <c r="E724" s="25">
        <v>160.5</v>
      </c>
      <c r="F724" s="25">
        <v>24075</v>
      </c>
      <c r="G724" s="25" t="s">
        <v>1309</v>
      </c>
      <c r="H724" s="25">
        <v>2019072</v>
      </c>
      <c r="I724" s="25" t="s">
        <v>19</v>
      </c>
      <c r="J724" s="25" t="s">
        <v>20</v>
      </c>
      <c r="K724" s="25" t="s">
        <v>25</v>
      </c>
      <c r="L724" s="25">
        <v>6.1</v>
      </c>
      <c r="M724" s="25">
        <v>0.87</v>
      </c>
      <c r="N724" s="25">
        <v>0</v>
      </c>
      <c r="O724" s="25">
        <v>29.66</v>
      </c>
      <c r="P724" s="25">
        <v>36.6267</v>
      </c>
    </row>
    <row r="725" spans="1:16" x14ac:dyDescent="0.25">
      <c r="A725" s="26">
        <v>43567</v>
      </c>
      <c r="B725" s="25" t="s">
        <v>379</v>
      </c>
      <c r="C725" s="25" t="s">
        <v>23</v>
      </c>
      <c r="D725" s="25">
        <v>2000</v>
      </c>
      <c r="E725" s="25">
        <v>163.72999999999999</v>
      </c>
      <c r="F725" s="25">
        <v>327465</v>
      </c>
      <c r="G725" s="25" t="s">
        <v>1310</v>
      </c>
      <c r="H725" s="25">
        <v>2019072</v>
      </c>
      <c r="I725" s="25" t="s">
        <v>19</v>
      </c>
      <c r="J725" s="25" t="s">
        <v>20</v>
      </c>
      <c r="K725" s="25" t="s">
        <v>25</v>
      </c>
      <c r="L725" s="25">
        <v>81.36</v>
      </c>
      <c r="M725" s="25">
        <v>11.79</v>
      </c>
      <c r="N725" s="25">
        <v>0</v>
      </c>
      <c r="O725" s="25">
        <v>195.32</v>
      </c>
      <c r="P725" s="25">
        <v>288.46899999999999</v>
      </c>
    </row>
    <row r="726" spans="1:16" x14ac:dyDescent="0.25">
      <c r="A726" s="26">
        <v>43567</v>
      </c>
      <c r="B726" s="25" t="s">
        <v>981</v>
      </c>
      <c r="C726" s="25" t="s">
        <v>17</v>
      </c>
      <c r="D726" s="25">
        <v>10</v>
      </c>
      <c r="E726" s="25">
        <v>155.55000000000001</v>
      </c>
      <c r="F726" s="25">
        <v>1555.5</v>
      </c>
      <c r="G726" s="25" t="s">
        <v>1311</v>
      </c>
      <c r="H726" s="25">
        <v>2019072</v>
      </c>
      <c r="I726" s="25" t="s">
        <v>19</v>
      </c>
      <c r="J726" s="25" t="s">
        <v>1634</v>
      </c>
      <c r="K726" s="25" t="s">
        <v>25</v>
      </c>
      <c r="L726" s="25">
        <v>1.8</v>
      </c>
      <c r="M726" s="25">
        <v>0.06</v>
      </c>
      <c r="N726" s="25">
        <v>31.8</v>
      </c>
      <c r="O726" s="25">
        <v>41.31</v>
      </c>
      <c r="P726" s="25">
        <v>74.965999999999994</v>
      </c>
    </row>
    <row r="727" spans="1:16" x14ac:dyDescent="0.25">
      <c r="A727" s="26">
        <v>43566</v>
      </c>
      <c r="B727" s="25" t="s">
        <v>862</v>
      </c>
      <c r="C727" s="25" t="s">
        <v>23</v>
      </c>
      <c r="D727" s="25">
        <v>100</v>
      </c>
      <c r="E727" s="25">
        <v>283</v>
      </c>
      <c r="F727" s="25">
        <v>28300</v>
      </c>
      <c r="G727" s="25" t="s">
        <v>1312</v>
      </c>
      <c r="H727" s="25">
        <v>2019071</v>
      </c>
      <c r="I727" s="25" t="s">
        <v>19</v>
      </c>
      <c r="J727" s="25" t="s">
        <v>20</v>
      </c>
      <c r="K727" s="25" t="s">
        <v>25</v>
      </c>
      <c r="L727" s="25">
        <v>6.98</v>
      </c>
      <c r="M727" s="25">
        <v>1.02</v>
      </c>
      <c r="N727" s="25">
        <v>0</v>
      </c>
      <c r="O727" s="25">
        <v>29.69</v>
      </c>
      <c r="P727" s="25">
        <v>37.688800000000001</v>
      </c>
    </row>
    <row r="728" spans="1:16" x14ac:dyDescent="0.25">
      <c r="A728" s="26">
        <v>43566</v>
      </c>
      <c r="B728" s="25" t="s">
        <v>862</v>
      </c>
      <c r="C728" s="25" t="s">
        <v>17</v>
      </c>
      <c r="D728" s="25">
        <v>100</v>
      </c>
      <c r="E728" s="25">
        <v>278.5</v>
      </c>
      <c r="F728" s="25">
        <v>27850</v>
      </c>
      <c r="G728" s="25" t="s">
        <v>1313</v>
      </c>
      <c r="H728" s="25">
        <v>2019071</v>
      </c>
      <c r="I728" s="25" t="s">
        <v>19</v>
      </c>
      <c r="J728" s="25" t="s">
        <v>20</v>
      </c>
      <c r="K728" s="25" t="s">
        <v>25</v>
      </c>
      <c r="L728" s="25">
        <v>0</v>
      </c>
      <c r="M728" s="25">
        <v>1</v>
      </c>
      <c r="N728" s="25">
        <v>11.1</v>
      </c>
      <c r="O728" s="25">
        <v>29.68</v>
      </c>
      <c r="P728" s="25">
        <v>41.782600000000002</v>
      </c>
    </row>
    <row r="729" spans="1:16" x14ac:dyDescent="0.25">
      <c r="A729" s="26">
        <v>43566</v>
      </c>
      <c r="B729" s="25" t="s">
        <v>862</v>
      </c>
      <c r="C729" s="25" t="s">
        <v>17</v>
      </c>
      <c r="D729" s="25">
        <v>552</v>
      </c>
      <c r="E729" s="25">
        <v>278</v>
      </c>
      <c r="F729" s="25">
        <v>153454.75</v>
      </c>
      <c r="G729" s="25" t="s">
        <v>1314</v>
      </c>
      <c r="H729" s="25">
        <v>2019071</v>
      </c>
      <c r="I729" s="25" t="s">
        <v>19</v>
      </c>
      <c r="J729" s="25" t="s">
        <v>20</v>
      </c>
      <c r="K729" s="25" t="s">
        <v>25</v>
      </c>
      <c r="L729" s="25">
        <v>0</v>
      </c>
      <c r="M729" s="25">
        <v>5.52</v>
      </c>
      <c r="N729" s="25">
        <v>0</v>
      </c>
      <c r="O729" s="25">
        <v>91.53</v>
      </c>
      <c r="P729" s="25">
        <v>97.054299999999998</v>
      </c>
    </row>
    <row r="730" spans="1:16" x14ac:dyDescent="0.25">
      <c r="A730" s="26">
        <v>43566</v>
      </c>
      <c r="B730" s="25" t="s">
        <v>862</v>
      </c>
      <c r="C730" s="25" t="s">
        <v>23</v>
      </c>
      <c r="D730" s="25">
        <v>552</v>
      </c>
      <c r="E730" s="25">
        <v>280</v>
      </c>
      <c r="F730" s="25">
        <v>154560</v>
      </c>
      <c r="G730" s="25" t="s">
        <v>1315</v>
      </c>
      <c r="H730" s="25">
        <v>2019071</v>
      </c>
      <c r="I730" s="25" t="s">
        <v>19</v>
      </c>
      <c r="J730" s="25" t="s">
        <v>20</v>
      </c>
      <c r="K730" s="25" t="s">
        <v>25</v>
      </c>
      <c r="L730" s="25">
        <v>39.020000000000003</v>
      </c>
      <c r="M730" s="25">
        <v>5.56</v>
      </c>
      <c r="N730" s="25">
        <v>0</v>
      </c>
      <c r="O730" s="25">
        <v>92.19</v>
      </c>
      <c r="P730" s="25">
        <v>136.77420000000001</v>
      </c>
    </row>
    <row r="731" spans="1:16" x14ac:dyDescent="0.25">
      <c r="A731" s="26">
        <v>43560</v>
      </c>
      <c r="B731" s="25" t="s">
        <v>205</v>
      </c>
      <c r="C731" s="25" t="s">
        <v>17</v>
      </c>
      <c r="D731" s="25">
        <v>100</v>
      </c>
      <c r="E731" s="25">
        <v>19</v>
      </c>
      <c r="F731" s="25">
        <v>1900</v>
      </c>
      <c r="G731" s="25" t="s">
        <v>1014</v>
      </c>
      <c r="H731" s="25">
        <v>2019067</v>
      </c>
      <c r="I731" s="25" t="s">
        <v>19</v>
      </c>
      <c r="J731" s="25" t="s">
        <v>20</v>
      </c>
      <c r="K731" s="25" t="s">
        <v>25</v>
      </c>
      <c r="L731" s="25">
        <v>2</v>
      </c>
      <c r="M731" s="25">
        <v>7.0000000000000007E-2</v>
      </c>
      <c r="N731" s="25">
        <v>0.3</v>
      </c>
      <c r="O731" s="25">
        <v>41.31</v>
      </c>
      <c r="P731" s="25">
        <v>43.678400000000003</v>
      </c>
    </row>
    <row r="732" spans="1:16" x14ac:dyDescent="0.25">
      <c r="A732" s="26">
        <v>43559</v>
      </c>
      <c r="B732" s="25" t="s">
        <v>397</v>
      </c>
      <c r="C732" s="25" t="s">
        <v>17</v>
      </c>
      <c r="D732" s="25">
        <v>500</v>
      </c>
      <c r="E732" s="25">
        <v>252.59</v>
      </c>
      <c r="F732" s="25">
        <v>126296.65</v>
      </c>
      <c r="G732" s="25" t="s">
        <v>1015</v>
      </c>
      <c r="H732" s="25">
        <v>2019066</v>
      </c>
      <c r="I732" s="25" t="s">
        <v>19</v>
      </c>
      <c r="J732" s="25" t="s">
        <v>20</v>
      </c>
      <c r="K732" s="25" t="s">
        <v>25</v>
      </c>
      <c r="L732" s="25">
        <v>0</v>
      </c>
      <c r="M732" s="25">
        <v>4.55</v>
      </c>
      <c r="N732" s="25">
        <v>27.9</v>
      </c>
      <c r="O732" s="25">
        <v>75.34</v>
      </c>
      <c r="P732" s="25">
        <v>107.78660000000001</v>
      </c>
    </row>
    <row r="733" spans="1:16" x14ac:dyDescent="0.25">
      <c r="A733" s="26">
        <v>43559</v>
      </c>
      <c r="B733" s="25" t="s">
        <v>862</v>
      </c>
      <c r="C733" s="25" t="s">
        <v>23</v>
      </c>
      <c r="D733" s="25">
        <v>1000</v>
      </c>
      <c r="E733" s="25">
        <v>286</v>
      </c>
      <c r="F733" s="25">
        <v>286000</v>
      </c>
      <c r="G733" s="25" t="s">
        <v>1016</v>
      </c>
      <c r="H733" s="25">
        <v>2019066</v>
      </c>
      <c r="I733" s="25" t="s">
        <v>19</v>
      </c>
      <c r="J733" s="25" t="s">
        <v>20</v>
      </c>
      <c r="K733" s="25" t="s">
        <v>25</v>
      </c>
      <c r="L733" s="25">
        <v>71.33</v>
      </c>
      <c r="M733" s="25">
        <v>10.3</v>
      </c>
      <c r="N733" s="25">
        <v>0</v>
      </c>
      <c r="O733" s="25">
        <v>170.59</v>
      </c>
      <c r="P733" s="25">
        <v>252.21600000000001</v>
      </c>
    </row>
    <row r="734" spans="1:16" x14ac:dyDescent="0.25">
      <c r="A734" s="26">
        <v>43559</v>
      </c>
      <c r="B734" s="25" t="s">
        <v>862</v>
      </c>
      <c r="C734" s="25" t="s">
        <v>17</v>
      </c>
      <c r="D734" s="25">
        <v>1000</v>
      </c>
      <c r="E734" s="25">
        <v>285</v>
      </c>
      <c r="F734" s="25">
        <v>285000</v>
      </c>
      <c r="G734" s="25" t="s">
        <v>1017</v>
      </c>
      <c r="H734" s="25">
        <v>2019066</v>
      </c>
      <c r="I734" s="25" t="s">
        <v>19</v>
      </c>
      <c r="J734" s="25" t="s">
        <v>20</v>
      </c>
      <c r="K734" s="25" t="s">
        <v>25</v>
      </c>
      <c r="L734" s="25">
        <v>0</v>
      </c>
      <c r="M734" s="25">
        <v>10.26</v>
      </c>
      <c r="N734" s="25">
        <v>0</v>
      </c>
      <c r="O734" s="25">
        <v>170</v>
      </c>
      <c r="P734" s="25">
        <v>180.26070000000001</v>
      </c>
    </row>
    <row r="735" spans="1:16" x14ac:dyDescent="0.25">
      <c r="A735" s="26">
        <v>43559</v>
      </c>
      <c r="B735" s="25" t="s">
        <v>397</v>
      </c>
      <c r="C735" s="25" t="s">
        <v>17</v>
      </c>
      <c r="D735" s="25">
        <v>100</v>
      </c>
      <c r="E735" s="25">
        <v>248.59</v>
      </c>
      <c r="F735" s="25">
        <v>24858.85</v>
      </c>
      <c r="G735" s="25" t="s">
        <v>1018</v>
      </c>
      <c r="H735" s="25">
        <v>2019066</v>
      </c>
      <c r="I735" s="25" t="s">
        <v>19</v>
      </c>
      <c r="J735" s="25" t="s">
        <v>20</v>
      </c>
      <c r="K735" s="25" t="s">
        <v>25</v>
      </c>
      <c r="L735" s="25">
        <v>0</v>
      </c>
      <c r="M735" s="25">
        <v>0.9</v>
      </c>
      <c r="N735" s="25">
        <v>0</v>
      </c>
      <c r="O735" s="25">
        <v>29.67</v>
      </c>
      <c r="P735" s="25">
        <v>30.565000000000001</v>
      </c>
    </row>
    <row r="736" spans="1:16" x14ac:dyDescent="0.25">
      <c r="A736" s="26">
        <v>43559</v>
      </c>
      <c r="B736" s="25" t="s">
        <v>397</v>
      </c>
      <c r="C736" s="25" t="s">
        <v>17</v>
      </c>
      <c r="D736" s="25">
        <v>100</v>
      </c>
      <c r="E736" s="25">
        <v>248.39</v>
      </c>
      <c r="F736" s="25">
        <v>24839.05</v>
      </c>
      <c r="G736" s="25" t="s">
        <v>1019</v>
      </c>
      <c r="H736" s="25">
        <v>2019066</v>
      </c>
      <c r="I736" s="25" t="s">
        <v>19</v>
      </c>
      <c r="J736" s="25" t="s">
        <v>20</v>
      </c>
      <c r="K736" s="25" t="s">
        <v>25</v>
      </c>
      <c r="L736" s="25">
        <v>0</v>
      </c>
      <c r="M736" s="25">
        <v>0.89</v>
      </c>
      <c r="N736" s="25">
        <v>0</v>
      </c>
      <c r="O736" s="25">
        <v>29.67</v>
      </c>
      <c r="P736" s="25">
        <v>30.5642</v>
      </c>
    </row>
    <row r="737" spans="1:16" x14ac:dyDescent="0.25">
      <c r="A737" s="26">
        <v>43559</v>
      </c>
      <c r="B737" s="25" t="s">
        <v>397</v>
      </c>
      <c r="C737" s="25" t="s">
        <v>23</v>
      </c>
      <c r="D737" s="25">
        <v>700</v>
      </c>
      <c r="E737" s="25">
        <v>247.65</v>
      </c>
      <c r="F737" s="25">
        <v>173354.75</v>
      </c>
      <c r="G737" s="25" t="s">
        <v>1020</v>
      </c>
      <c r="H737" s="25">
        <v>2019066</v>
      </c>
      <c r="I737" s="25" t="s">
        <v>19</v>
      </c>
      <c r="J737" s="25" t="s">
        <v>20</v>
      </c>
      <c r="K737" s="25" t="s">
        <v>25</v>
      </c>
      <c r="L737" s="25">
        <v>43.67</v>
      </c>
      <c r="M737" s="25">
        <v>6.24</v>
      </c>
      <c r="N737" s="25">
        <v>0</v>
      </c>
      <c r="O737" s="25">
        <v>103.41</v>
      </c>
      <c r="P737" s="25">
        <v>153.32079999999999</v>
      </c>
    </row>
    <row r="738" spans="1:16" x14ac:dyDescent="0.25">
      <c r="A738" s="26">
        <v>43558</v>
      </c>
      <c r="B738" s="25" t="s">
        <v>849</v>
      </c>
      <c r="C738" s="25" t="s">
        <v>17</v>
      </c>
      <c r="D738" s="25">
        <v>100</v>
      </c>
      <c r="E738" s="25">
        <v>256.5</v>
      </c>
      <c r="F738" s="25">
        <v>25649.95</v>
      </c>
      <c r="G738" s="25" t="s">
        <v>964</v>
      </c>
      <c r="H738" s="25">
        <v>2019065</v>
      </c>
      <c r="I738" s="25" t="s">
        <v>19</v>
      </c>
      <c r="J738" s="25" t="s">
        <v>20</v>
      </c>
      <c r="K738" s="25" t="s">
        <v>25</v>
      </c>
      <c r="L738" s="25">
        <v>0</v>
      </c>
      <c r="M738" s="25">
        <v>0.94</v>
      </c>
      <c r="N738" s="25">
        <v>0</v>
      </c>
      <c r="O738" s="25">
        <v>29.67</v>
      </c>
      <c r="P738" s="25">
        <v>30.606300000000001</v>
      </c>
    </row>
    <row r="739" spans="1:16" x14ac:dyDescent="0.25">
      <c r="A739" s="26">
        <v>43558</v>
      </c>
      <c r="B739" s="25" t="s">
        <v>849</v>
      </c>
      <c r="C739" s="25" t="s">
        <v>23</v>
      </c>
      <c r="D739" s="25">
        <v>100</v>
      </c>
      <c r="E739" s="25">
        <v>261</v>
      </c>
      <c r="F739" s="25">
        <v>26100</v>
      </c>
      <c r="G739" s="25" t="s">
        <v>965</v>
      </c>
      <c r="H739" s="25">
        <v>2019065</v>
      </c>
      <c r="I739" s="25" t="s">
        <v>19</v>
      </c>
      <c r="J739" s="25" t="s">
        <v>20</v>
      </c>
      <c r="K739" s="25" t="s">
        <v>25</v>
      </c>
      <c r="L739" s="25">
        <v>5.95</v>
      </c>
      <c r="M739" s="25">
        <v>0.95</v>
      </c>
      <c r="N739" s="25">
        <v>29.1</v>
      </c>
      <c r="O739" s="25">
        <v>29.67</v>
      </c>
      <c r="P739" s="25">
        <v>65.672700000000006</v>
      </c>
    </row>
    <row r="740" spans="1:16" x14ac:dyDescent="0.25">
      <c r="A740" s="26">
        <v>43558</v>
      </c>
      <c r="B740" s="25" t="s">
        <v>738</v>
      </c>
      <c r="C740" s="25" t="s">
        <v>17</v>
      </c>
      <c r="D740" s="25">
        <v>500</v>
      </c>
      <c r="E740" s="25">
        <v>397</v>
      </c>
      <c r="F740" s="25">
        <v>198500</v>
      </c>
      <c r="G740" s="25" t="s">
        <v>966</v>
      </c>
      <c r="H740" s="25">
        <v>2019065</v>
      </c>
      <c r="I740" s="25" t="s">
        <v>19</v>
      </c>
      <c r="J740" s="25" t="s">
        <v>20</v>
      </c>
      <c r="K740" s="25" t="s">
        <v>25</v>
      </c>
      <c r="L740" s="25">
        <v>0</v>
      </c>
      <c r="M740" s="25">
        <v>7.25</v>
      </c>
      <c r="N740" s="25">
        <v>0</v>
      </c>
      <c r="O740" s="25">
        <v>118.42</v>
      </c>
      <c r="P740" s="25">
        <v>125.6652</v>
      </c>
    </row>
    <row r="741" spans="1:16" x14ac:dyDescent="0.25">
      <c r="A741" s="26">
        <v>43558</v>
      </c>
      <c r="B741" s="25" t="s">
        <v>849</v>
      </c>
      <c r="C741" s="25" t="s">
        <v>17</v>
      </c>
      <c r="D741" s="25">
        <v>250</v>
      </c>
      <c r="E741" s="25">
        <v>249</v>
      </c>
      <c r="F741" s="25">
        <v>62250</v>
      </c>
      <c r="G741" s="25" t="s">
        <v>967</v>
      </c>
      <c r="H741" s="25">
        <v>2019065</v>
      </c>
      <c r="I741" s="25" t="s">
        <v>19</v>
      </c>
      <c r="J741" s="25" t="s">
        <v>20</v>
      </c>
      <c r="K741" s="25" t="s">
        <v>25</v>
      </c>
      <c r="L741" s="25">
        <v>0</v>
      </c>
      <c r="M741" s="25">
        <v>2.27</v>
      </c>
      <c r="N741" s="25">
        <v>0</v>
      </c>
      <c r="O741" s="25">
        <v>37.14</v>
      </c>
      <c r="P741" s="25">
        <v>39.412199999999999</v>
      </c>
    </row>
    <row r="742" spans="1:16" x14ac:dyDescent="0.25">
      <c r="A742" s="26">
        <v>43558</v>
      </c>
      <c r="B742" s="25" t="s">
        <v>849</v>
      </c>
      <c r="C742" s="25" t="s">
        <v>23</v>
      </c>
      <c r="D742" s="25">
        <v>250</v>
      </c>
      <c r="E742" s="25">
        <v>253</v>
      </c>
      <c r="F742" s="25">
        <v>63250</v>
      </c>
      <c r="G742" s="25" t="s">
        <v>968</v>
      </c>
      <c r="H742" s="25">
        <v>2019065</v>
      </c>
      <c r="I742" s="25" t="s">
        <v>19</v>
      </c>
      <c r="J742" s="25" t="s">
        <v>20</v>
      </c>
      <c r="K742" s="25" t="s">
        <v>25</v>
      </c>
      <c r="L742" s="25">
        <v>15.83</v>
      </c>
      <c r="M742" s="25">
        <v>2.31</v>
      </c>
      <c r="N742" s="25">
        <v>0</v>
      </c>
      <c r="O742" s="25">
        <v>37.729999999999997</v>
      </c>
      <c r="P742" s="25">
        <v>55.868699999999997</v>
      </c>
    </row>
    <row r="743" spans="1:16" x14ac:dyDescent="0.25">
      <c r="A743" s="26">
        <v>43558</v>
      </c>
      <c r="B743" s="25" t="s">
        <v>738</v>
      </c>
      <c r="C743" s="25" t="s">
        <v>17</v>
      </c>
      <c r="D743" s="25">
        <v>500</v>
      </c>
      <c r="E743" s="25">
        <v>392</v>
      </c>
      <c r="F743" s="25">
        <v>196000</v>
      </c>
      <c r="G743" s="25" t="s">
        <v>969</v>
      </c>
      <c r="H743" s="25">
        <v>2019065</v>
      </c>
      <c r="I743" s="25" t="s">
        <v>19</v>
      </c>
      <c r="J743" s="25" t="s">
        <v>20</v>
      </c>
      <c r="K743" s="25" t="s">
        <v>25</v>
      </c>
      <c r="L743" s="25">
        <v>0</v>
      </c>
      <c r="M743" s="25">
        <v>7.15</v>
      </c>
      <c r="N743" s="25">
        <v>0</v>
      </c>
      <c r="O743" s="25">
        <v>116.93</v>
      </c>
      <c r="P743" s="25">
        <v>124.084</v>
      </c>
    </row>
    <row r="744" spans="1:16" x14ac:dyDescent="0.25">
      <c r="A744" s="26">
        <v>43558</v>
      </c>
      <c r="B744" s="25" t="s">
        <v>738</v>
      </c>
      <c r="C744" s="25" t="s">
        <v>23</v>
      </c>
      <c r="D744" s="25">
        <v>1000</v>
      </c>
      <c r="E744" s="25">
        <v>391.3</v>
      </c>
      <c r="F744" s="25">
        <v>391300</v>
      </c>
      <c r="G744" s="25" t="s">
        <v>970</v>
      </c>
      <c r="H744" s="25">
        <v>2019065</v>
      </c>
      <c r="I744" s="25" t="s">
        <v>19</v>
      </c>
      <c r="J744" s="25" t="s">
        <v>20</v>
      </c>
      <c r="K744" s="25" t="s">
        <v>25</v>
      </c>
      <c r="L744" s="25">
        <v>98.23</v>
      </c>
      <c r="M744" s="25">
        <v>14.28</v>
      </c>
      <c r="N744" s="25">
        <v>0</v>
      </c>
      <c r="O744" s="25">
        <v>233.44</v>
      </c>
      <c r="P744" s="25">
        <v>345.95249999999999</v>
      </c>
    </row>
    <row r="745" spans="1:16" x14ac:dyDescent="0.25">
      <c r="A745" s="26">
        <v>43557</v>
      </c>
      <c r="B745" s="25" t="s">
        <v>849</v>
      </c>
      <c r="C745" s="25" t="s">
        <v>23</v>
      </c>
      <c r="D745" s="25">
        <v>50</v>
      </c>
      <c r="E745" s="25">
        <v>268.3</v>
      </c>
      <c r="F745" s="25">
        <v>13415</v>
      </c>
      <c r="G745" s="25" t="s">
        <v>971</v>
      </c>
      <c r="H745" s="25">
        <v>2019064</v>
      </c>
      <c r="I745" s="25" t="s">
        <v>19</v>
      </c>
      <c r="J745" s="25" t="s">
        <v>20</v>
      </c>
      <c r="K745" s="25" t="s">
        <v>25</v>
      </c>
      <c r="L745" s="25">
        <v>3.33</v>
      </c>
      <c r="M745" s="25">
        <v>0.49</v>
      </c>
      <c r="N745" s="25">
        <v>0</v>
      </c>
      <c r="O745" s="25">
        <v>29.59</v>
      </c>
      <c r="P745" s="25">
        <v>33.409599999999998</v>
      </c>
    </row>
    <row r="746" spans="1:16" x14ac:dyDescent="0.25">
      <c r="A746" s="26">
        <v>43557</v>
      </c>
      <c r="B746" s="25" t="s">
        <v>849</v>
      </c>
      <c r="C746" s="25" t="s">
        <v>17</v>
      </c>
      <c r="D746" s="25">
        <v>50</v>
      </c>
      <c r="E746" s="25">
        <v>264.5</v>
      </c>
      <c r="F746" s="25">
        <v>13225</v>
      </c>
      <c r="G746" s="25" t="s">
        <v>972</v>
      </c>
      <c r="H746" s="25">
        <v>2019064</v>
      </c>
      <c r="I746" s="25" t="s">
        <v>19</v>
      </c>
      <c r="J746" s="25" t="s">
        <v>20</v>
      </c>
      <c r="K746" s="25" t="s">
        <v>25</v>
      </c>
      <c r="L746" s="25">
        <v>0</v>
      </c>
      <c r="M746" s="25">
        <v>0.48</v>
      </c>
      <c r="N746" s="25">
        <v>0</v>
      </c>
      <c r="O746" s="25">
        <v>29.59</v>
      </c>
      <c r="P746" s="25">
        <v>30.072700000000001</v>
      </c>
    </row>
    <row r="747" spans="1:16" x14ac:dyDescent="0.25">
      <c r="A747" s="26">
        <v>43557</v>
      </c>
      <c r="B747" s="25" t="s">
        <v>738</v>
      </c>
      <c r="C747" s="25" t="s">
        <v>17</v>
      </c>
      <c r="D747" s="25">
        <v>100</v>
      </c>
      <c r="E747" s="25">
        <v>394</v>
      </c>
      <c r="F747" s="25">
        <v>39400</v>
      </c>
      <c r="G747" s="25" t="s">
        <v>973</v>
      </c>
      <c r="H747" s="25">
        <v>2019064</v>
      </c>
      <c r="I747" s="25" t="s">
        <v>19</v>
      </c>
      <c r="J747" s="25" t="s">
        <v>20</v>
      </c>
      <c r="K747" s="25" t="s">
        <v>25</v>
      </c>
      <c r="L747" s="25">
        <v>0</v>
      </c>
      <c r="M747" s="25">
        <v>1.44</v>
      </c>
      <c r="N747" s="25">
        <v>0</v>
      </c>
      <c r="O747" s="25">
        <v>29.76</v>
      </c>
      <c r="P747" s="25">
        <v>31.1981</v>
      </c>
    </row>
    <row r="748" spans="1:16" x14ac:dyDescent="0.25">
      <c r="A748" s="26">
        <v>43557</v>
      </c>
      <c r="B748" s="25" t="s">
        <v>16</v>
      </c>
      <c r="C748" s="25" t="s">
        <v>17</v>
      </c>
      <c r="D748" s="25">
        <v>250</v>
      </c>
      <c r="E748" s="25">
        <v>38</v>
      </c>
      <c r="F748" s="25">
        <v>9500</v>
      </c>
      <c r="G748" s="25" t="s">
        <v>974</v>
      </c>
      <c r="H748" s="25">
        <v>2019064</v>
      </c>
      <c r="I748" s="25" t="s">
        <v>19</v>
      </c>
      <c r="J748" s="25" t="s">
        <v>1634</v>
      </c>
      <c r="K748" s="25" t="s">
        <v>25</v>
      </c>
      <c r="L748" s="25">
        <v>9.5</v>
      </c>
      <c r="M748" s="25">
        <v>0.35</v>
      </c>
      <c r="N748" s="25">
        <v>0</v>
      </c>
      <c r="O748" s="25">
        <v>61.72</v>
      </c>
      <c r="P748" s="25">
        <v>71.566800000000001</v>
      </c>
    </row>
    <row r="749" spans="1:16" x14ac:dyDescent="0.25">
      <c r="A749" s="26">
        <v>43557</v>
      </c>
      <c r="B749" s="25" t="s">
        <v>738</v>
      </c>
      <c r="C749" s="25" t="s">
        <v>23</v>
      </c>
      <c r="D749" s="25">
        <v>100</v>
      </c>
      <c r="E749" s="25">
        <v>397</v>
      </c>
      <c r="F749" s="25">
        <v>39700</v>
      </c>
      <c r="G749" s="25" t="s">
        <v>975</v>
      </c>
      <c r="H749" s="25">
        <v>2019064</v>
      </c>
      <c r="I749" s="25" t="s">
        <v>19</v>
      </c>
      <c r="J749" s="25" t="s">
        <v>20</v>
      </c>
      <c r="K749" s="25" t="s">
        <v>25</v>
      </c>
      <c r="L749" s="25">
        <v>10.17</v>
      </c>
      <c r="M749" s="25">
        <v>1.45</v>
      </c>
      <c r="N749" s="25">
        <v>3.6</v>
      </c>
      <c r="O749" s="25">
        <v>29.76</v>
      </c>
      <c r="P749" s="25">
        <v>44.979100000000003</v>
      </c>
    </row>
    <row r="750" spans="1:16" x14ac:dyDescent="0.25">
      <c r="A750" s="26">
        <v>43556</v>
      </c>
      <c r="B750" s="25" t="s">
        <v>397</v>
      </c>
      <c r="C750" s="25" t="s">
        <v>23</v>
      </c>
      <c r="D750" s="25">
        <v>100</v>
      </c>
      <c r="E750" s="25">
        <v>260</v>
      </c>
      <c r="F750" s="25">
        <v>26000</v>
      </c>
      <c r="G750" s="25" t="s">
        <v>976</v>
      </c>
      <c r="H750" s="25">
        <v>2019063</v>
      </c>
      <c r="I750" s="25" t="s">
        <v>19</v>
      </c>
      <c r="J750" s="25" t="s">
        <v>20</v>
      </c>
      <c r="K750" s="25" t="s">
        <v>25</v>
      </c>
      <c r="L750" s="25">
        <v>26</v>
      </c>
      <c r="M750" s="25">
        <v>0.95</v>
      </c>
      <c r="N750" s="25">
        <v>0</v>
      </c>
      <c r="O750" s="25">
        <v>168.91</v>
      </c>
      <c r="P750" s="25">
        <v>195.85900000000001</v>
      </c>
    </row>
    <row r="751" spans="1:16" x14ac:dyDescent="0.25">
      <c r="A751" s="26">
        <v>43556</v>
      </c>
      <c r="B751" s="25" t="s">
        <v>849</v>
      </c>
      <c r="C751" s="25" t="s">
        <v>23</v>
      </c>
      <c r="D751" s="25">
        <v>100</v>
      </c>
      <c r="E751" s="25">
        <v>266.8</v>
      </c>
      <c r="F751" s="25">
        <v>26680</v>
      </c>
      <c r="G751" s="25" t="s">
        <v>977</v>
      </c>
      <c r="H751" s="25">
        <v>2019063</v>
      </c>
      <c r="I751" s="25" t="s">
        <v>19</v>
      </c>
      <c r="J751" s="25" t="s">
        <v>20</v>
      </c>
      <c r="K751" s="25" t="s">
        <v>25</v>
      </c>
      <c r="L751" s="25">
        <v>6.65</v>
      </c>
      <c r="M751" s="25">
        <v>0.97</v>
      </c>
      <c r="N751" s="25">
        <v>0</v>
      </c>
      <c r="O751" s="25">
        <v>29.68</v>
      </c>
      <c r="P751" s="25">
        <v>37.303800000000003</v>
      </c>
    </row>
    <row r="752" spans="1:16" x14ac:dyDescent="0.25">
      <c r="A752" s="26">
        <v>43556</v>
      </c>
      <c r="B752" s="25" t="s">
        <v>849</v>
      </c>
      <c r="C752" s="25" t="s">
        <v>17</v>
      </c>
      <c r="D752" s="25">
        <v>100</v>
      </c>
      <c r="E752" s="25">
        <v>265.5</v>
      </c>
      <c r="F752" s="25">
        <v>26550</v>
      </c>
      <c r="G752" s="25" t="s">
        <v>978</v>
      </c>
      <c r="H752" s="25">
        <v>2019063</v>
      </c>
      <c r="I752" s="25" t="s">
        <v>19</v>
      </c>
      <c r="J752" s="25" t="s">
        <v>20</v>
      </c>
      <c r="K752" s="25" t="s">
        <v>25</v>
      </c>
      <c r="L752" s="25">
        <v>0</v>
      </c>
      <c r="M752" s="25">
        <v>0.97</v>
      </c>
      <c r="N752" s="25">
        <v>0</v>
      </c>
      <c r="O752" s="25">
        <v>29.67</v>
      </c>
      <c r="P752" s="25">
        <v>30.639099999999999</v>
      </c>
    </row>
    <row r="753" spans="1:16" x14ac:dyDescent="0.25">
      <c r="A753" s="26">
        <v>43556</v>
      </c>
      <c r="B753" s="25" t="s">
        <v>738</v>
      </c>
      <c r="C753" s="25" t="s">
        <v>17</v>
      </c>
      <c r="D753" s="25">
        <v>1000</v>
      </c>
      <c r="E753" s="25">
        <v>405.5</v>
      </c>
      <c r="F753" s="25">
        <v>405500</v>
      </c>
      <c r="G753" s="25" t="s">
        <v>979</v>
      </c>
      <c r="H753" s="25">
        <v>2019063</v>
      </c>
      <c r="I753" s="25" t="s">
        <v>19</v>
      </c>
      <c r="J753" s="25" t="s">
        <v>20</v>
      </c>
      <c r="K753" s="25" t="s">
        <v>25</v>
      </c>
      <c r="L753" s="25">
        <v>0</v>
      </c>
      <c r="M753" s="25">
        <v>14.8</v>
      </c>
      <c r="N753" s="25">
        <v>0</v>
      </c>
      <c r="O753" s="25">
        <v>241.91</v>
      </c>
      <c r="P753" s="25">
        <v>256.71080000000001</v>
      </c>
    </row>
    <row r="754" spans="1:16" x14ac:dyDescent="0.25">
      <c r="A754" s="26">
        <v>43556</v>
      </c>
      <c r="B754" s="25" t="s">
        <v>738</v>
      </c>
      <c r="C754" s="25" t="s">
        <v>23</v>
      </c>
      <c r="D754" s="25">
        <v>1000</v>
      </c>
      <c r="E754" s="25">
        <v>407</v>
      </c>
      <c r="F754" s="25">
        <v>407000</v>
      </c>
      <c r="G754" s="25" t="s">
        <v>980</v>
      </c>
      <c r="H754" s="25">
        <v>2019063</v>
      </c>
      <c r="I754" s="25" t="s">
        <v>19</v>
      </c>
      <c r="J754" s="25" t="s">
        <v>20</v>
      </c>
      <c r="K754" s="25" t="s">
        <v>25</v>
      </c>
      <c r="L754" s="25">
        <v>101.35</v>
      </c>
      <c r="M754" s="25">
        <v>14.86</v>
      </c>
      <c r="N754" s="25">
        <v>27</v>
      </c>
      <c r="O754" s="25">
        <v>242.8</v>
      </c>
      <c r="P754" s="25">
        <v>386.00549999999998</v>
      </c>
    </row>
    <row r="755" spans="1:16" x14ac:dyDescent="0.25">
      <c r="A755" s="26">
        <v>43553</v>
      </c>
      <c r="B755" s="25" t="s">
        <v>981</v>
      </c>
      <c r="C755" s="25" t="s">
        <v>23</v>
      </c>
      <c r="D755" s="25">
        <v>200</v>
      </c>
      <c r="E755" s="25">
        <v>163.35</v>
      </c>
      <c r="F755" s="25">
        <v>32670</v>
      </c>
      <c r="G755" s="25" t="s">
        <v>982</v>
      </c>
      <c r="H755" s="25">
        <v>2019062</v>
      </c>
      <c r="I755" s="25" t="s">
        <v>19</v>
      </c>
      <c r="J755" s="25" t="s">
        <v>20</v>
      </c>
      <c r="K755" s="25" t="s">
        <v>25</v>
      </c>
      <c r="L755" s="25">
        <v>8</v>
      </c>
      <c r="M755" s="25">
        <v>1.19</v>
      </c>
      <c r="N755" s="25">
        <v>2.1</v>
      </c>
      <c r="O755" s="25">
        <v>29.71</v>
      </c>
      <c r="P755" s="25">
        <v>41.002499999999998</v>
      </c>
    </row>
    <row r="756" spans="1:16" x14ac:dyDescent="0.25">
      <c r="A756" s="26">
        <v>43553</v>
      </c>
      <c r="B756" s="25" t="s">
        <v>981</v>
      </c>
      <c r="C756" s="25" t="s">
        <v>17</v>
      </c>
      <c r="D756" s="25">
        <v>200</v>
      </c>
      <c r="E756" s="25">
        <v>162.75</v>
      </c>
      <c r="F756" s="25">
        <v>32550</v>
      </c>
      <c r="G756" s="25" t="s">
        <v>983</v>
      </c>
      <c r="H756" s="25">
        <v>2019062</v>
      </c>
      <c r="I756" s="25" t="s">
        <v>19</v>
      </c>
      <c r="J756" s="25" t="s">
        <v>20</v>
      </c>
      <c r="K756" s="25" t="s">
        <v>25</v>
      </c>
      <c r="L756" s="25">
        <v>0</v>
      </c>
      <c r="M756" s="25">
        <v>1.19</v>
      </c>
      <c r="N756" s="25">
        <v>0</v>
      </c>
      <c r="O756" s="25">
        <v>29.71</v>
      </c>
      <c r="P756" s="25">
        <v>30.898099999999999</v>
      </c>
    </row>
    <row r="757" spans="1:16" x14ac:dyDescent="0.25">
      <c r="A757" s="26">
        <v>43552</v>
      </c>
      <c r="B757" s="25" t="s">
        <v>282</v>
      </c>
      <c r="C757" s="25" t="s">
        <v>23</v>
      </c>
      <c r="D757" s="25">
        <v>50</v>
      </c>
      <c r="E757" s="25">
        <v>605</v>
      </c>
      <c r="F757" s="25">
        <v>30250</v>
      </c>
      <c r="G757" s="25" t="s">
        <v>984</v>
      </c>
      <c r="H757" s="25">
        <v>2019061</v>
      </c>
      <c r="I757" s="25" t="s">
        <v>19</v>
      </c>
      <c r="J757" s="25" t="s">
        <v>20</v>
      </c>
      <c r="K757" s="25" t="s">
        <v>25</v>
      </c>
      <c r="L757" s="25">
        <v>7.53</v>
      </c>
      <c r="M757" s="25">
        <v>1.1000000000000001</v>
      </c>
      <c r="N757" s="25">
        <v>0</v>
      </c>
      <c r="O757" s="25">
        <v>29.7</v>
      </c>
      <c r="P757" s="25">
        <v>38.334200000000003</v>
      </c>
    </row>
    <row r="758" spans="1:16" x14ac:dyDescent="0.25">
      <c r="A758" s="26">
        <v>43552</v>
      </c>
      <c r="B758" s="25" t="s">
        <v>981</v>
      </c>
      <c r="C758" s="25" t="s">
        <v>23</v>
      </c>
      <c r="D758" s="25">
        <v>200</v>
      </c>
      <c r="E758" s="25">
        <v>162.25</v>
      </c>
      <c r="F758" s="25">
        <v>32450</v>
      </c>
      <c r="G758" s="25" t="s">
        <v>985</v>
      </c>
      <c r="H758" s="25">
        <v>2019061</v>
      </c>
      <c r="I758" s="25" t="s">
        <v>19</v>
      </c>
      <c r="J758" s="25" t="s">
        <v>20</v>
      </c>
      <c r="K758" s="25" t="s">
        <v>25</v>
      </c>
      <c r="L758" s="25">
        <v>8.36</v>
      </c>
      <c r="M758" s="25">
        <v>1.18</v>
      </c>
      <c r="N758" s="25">
        <v>0</v>
      </c>
      <c r="O758" s="25">
        <v>29.71</v>
      </c>
      <c r="P758" s="25">
        <v>39.254399999999997</v>
      </c>
    </row>
    <row r="759" spans="1:16" x14ac:dyDescent="0.25">
      <c r="A759" s="26">
        <v>43552</v>
      </c>
      <c r="B759" s="25" t="s">
        <v>981</v>
      </c>
      <c r="C759" s="25" t="s">
        <v>17</v>
      </c>
      <c r="D759" s="25">
        <v>400</v>
      </c>
      <c r="E759" s="25">
        <v>162.75</v>
      </c>
      <c r="F759" s="25">
        <v>65100</v>
      </c>
      <c r="G759" s="25" t="s">
        <v>986</v>
      </c>
      <c r="H759" s="25">
        <v>2019061</v>
      </c>
      <c r="I759" s="25" t="s">
        <v>19</v>
      </c>
      <c r="J759" s="25" t="s">
        <v>20</v>
      </c>
      <c r="K759" s="25" t="s">
        <v>25</v>
      </c>
      <c r="L759" s="25">
        <v>0</v>
      </c>
      <c r="M759" s="25">
        <v>2.38</v>
      </c>
      <c r="N759" s="25">
        <v>6</v>
      </c>
      <c r="O759" s="25">
        <v>59.42</v>
      </c>
      <c r="P759" s="25">
        <v>67.796199999999999</v>
      </c>
    </row>
    <row r="760" spans="1:16" x14ac:dyDescent="0.25">
      <c r="A760" s="26">
        <v>43552</v>
      </c>
      <c r="B760" s="25" t="s">
        <v>981</v>
      </c>
      <c r="C760" s="25" t="s">
        <v>23</v>
      </c>
      <c r="D760" s="25">
        <v>200</v>
      </c>
      <c r="E760" s="25">
        <v>161.25</v>
      </c>
      <c r="F760" s="25">
        <v>32250</v>
      </c>
      <c r="G760" s="25" t="s">
        <v>987</v>
      </c>
      <c r="H760" s="25">
        <v>2019061</v>
      </c>
      <c r="I760" s="25" t="s">
        <v>19</v>
      </c>
      <c r="J760" s="25" t="s">
        <v>20</v>
      </c>
      <c r="K760" s="25" t="s">
        <v>25</v>
      </c>
      <c r="L760" s="25">
        <v>8.11</v>
      </c>
      <c r="M760" s="25">
        <v>1.18</v>
      </c>
      <c r="N760" s="25">
        <v>0</v>
      </c>
      <c r="O760" s="25">
        <v>29.71</v>
      </c>
      <c r="P760" s="25">
        <v>38.997199999999999</v>
      </c>
    </row>
    <row r="761" spans="1:16" x14ac:dyDescent="0.25">
      <c r="A761" s="26">
        <v>43552</v>
      </c>
      <c r="B761" s="25" t="s">
        <v>282</v>
      </c>
      <c r="C761" s="25" t="s">
        <v>17</v>
      </c>
      <c r="D761" s="25">
        <v>50</v>
      </c>
      <c r="E761" s="25">
        <v>600</v>
      </c>
      <c r="F761" s="25">
        <v>30000</v>
      </c>
      <c r="G761" s="25" t="s">
        <v>988</v>
      </c>
      <c r="H761" s="25">
        <v>2019061</v>
      </c>
      <c r="I761" s="25" t="s">
        <v>19</v>
      </c>
      <c r="J761" s="25" t="s">
        <v>20</v>
      </c>
      <c r="K761" s="25" t="s">
        <v>25</v>
      </c>
      <c r="L761" s="25">
        <v>0</v>
      </c>
      <c r="M761" s="25">
        <v>1.1000000000000001</v>
      </c>
      <c r="N761" s="25">
        <v>0</v>
      </c>
      <c r="O761" s="25">
        <v>29.7</v>
      </c>
      <c r="P761" s="25">
        <v>30.795000000000002</v>
      </c>
    </row>
    <row r="762" spans="1:16" x14ac:dyDescent="0.25">
      <c r="A762" s="26">
        <v>43551</v>
      </c>
      <c r="B762" s="25" t="s">
        <v>738</v>
      </c>
      <c r="C762" s="25" t="s">
        <v>17</v>
      </c>
      <c r="D762" s="25">
        <v>100</v>
      </c>
      <c r="E762" s="25">
        <v>393</v>
      </c>
      <c r="F762" s="25">
        <v>39300</v>
      </c>
      <c r="G762" s="25" t="s">
        <v>989</v>
      </c>
      <c r="H762" s="25">
        <v>2019060</v>
      </c>
      <c r="I762" s="25" t="s">
        <v>19</v>
      </c>
      <c r="J762" s="25" t="s">
        <v>20</v>
      </c>
      <c r="K762" s="25" t="s">
        <v>25</v>
      </c>
      <c r="L762" s="25">
        <v>0</v>
      </c>
      <c r="M762" s="25">
        <v>1.43</v>
      </c>
      <c r="N762" s="25">
        <v>0</v>
      </c>
      <c r="O762" s="25">
        <v>29.76</v>
      </c>
      <c r="P762" s="25">
        <v>31.194500000000001</v>
      </c>
    </row>
    <row r="763" spans="1:16" x14ac:dyDescent="0.25">
      <c r="A763" s="26">
        <v>43551</v>
      </c>
      <c r="B763" s="25" t="s">
        <v>738</v>
      </c>
      <c r="C763" s="25" t="s">
        <v>17</v>
      </c>
      <c r="D763" s="25">
        <v>100</v>
      </c>
      <c r="E763" s="25">
        <v>392</v>
      </c>
      <c r="F763" s="25">
        <v>39200</v>
      </c>
      <c r="G763" s="25" t="s">
        <v>990</v>
      </c>
      <c r="H763" s="25">
        <v>2019060</v>
      </c>
      <c r="I763" s="25" t="s">
        <v>19</v>
      </c>
      <c r="J763" s="25" t="s">
        <v>20</v>
      </c>
      <c r="K763" s="25" t="s">
        <v>25</v>
      </c>
      <c r="L763" s="25">
        <v>0</v>
      </c>
      <c r="M763" s="25">
        <v>1.43</v>
      </c>
      <c r="N763" s="25">
        <v>0</v>
      </c>
      <c r="O763" s="25">
        <v>29.76</v>
      </c>
      <c r="P763" s="25">
        <v>31.190799999999999</v>
      </c>
    </row>
    <row r="764" spans="1:16" x14ac:dyDescent="0.25">
      <c r="A764" s="26">
        <v>43551</v>
      </c>
      <c r="B764" s="25" t="s">
        <v>738</v>
      </c>
      <c r="C764" s="25" t="s">
        <v>23</v>
      </c>
      <c r="D764" s="25">
        <v>100</v>
      </c>
      <c r="E764" s="25">
        <v>395</v>
      </c>
      <c r="F764" s="25">
        <v>39500</v>
      </c>
      <c r="G764" s="25" t="s">
        <v>991</v>
      </c>
      <c r="H764" s="25">
        <v>2019060</v>
      </c>
      <c r="I764" s="25" t="s">
        <v>19</v>
      </c>
      <c r="J764" s="25" t="s">
        <v>20</v>
      </c>
      <c r="K764" s="25" t="s">
        <v>25</v>
      </c>
      <c r="L764" s="25">
        <v>9.84</v>
      </c>
      <c r="M764" s="25">
        <v>1.44</v>
      </c>
      <c r="N764" s="25">
        <v>0</v>
      </c>
      <c r="O764" s="25">
        <v>29.76</v>
      </c>
      <c r="P764" s="25">
        <v>41.041800000000002</v>
      </c>
    </row>
    <row r="765" spans="1:16" x14ac:dyDescent="0.25">
      <c r="A765" s="26">
        <v>43551</v>
      </c>
      <c r="B765" s="25" t="s">
        <v>16</v>
      </c>
      <c r="C765" s="25" t="s">
        <v>17</v>
      </c>
      <c r="D765" s="25">
        <v>500</v>
      </c>
      <c r="E765" s="25">
        <v>38.43</v>
      </c>
      <c r="F765" s="25">
        <v>19215.45</v>
      </c>
      <c r="G765" s="25" t="s">
        <v>992</v>
      </c>
      <c r="H765" s="25">
        <v>2019060</v>
      </c>
      <c r="I765" s="25" t="s">
        <v>19</v>
      </c>
      <c r="J765" s="25" t="s">
        <v>20</v>
      </c>
      <c r="K765" s="25" t="s">
        <v>25</v>
      </c>
      <c r="L765" s="25">
        <v>0</v>
      </c>
      <c r="M765" s="25">
        <v>0.7</v>
      </c>
      <c r="N765" s="25">
        <v>0</v>
      </c>
      <c r="O765" s="25">
        <v>29.63</v>
      </c>
      <c r="P765" s="25">
        <v>30.331199999999999</v>
      </c>
    </row>
    <row r="766" spans="1:16" x14ac:dyDescent="0.25">
      <c r="A766" s="26">
        <v>43551</v>
      </c>
      <c r="B766" s="25" t="s">
        <v>981</v>
      </c>
      <c r="C766" s="25" t="s">
        <v>23</v>
      </c>
      <c r="D766" s="25">
        <v>500</v>
      </c>
      <c r="E766" s="25">
        <v>161.25</v>
      </c>
      <c r="F766" s="25">
        <v>80625</v>
      </c>
      <c r="G766" s="25" t="s">
        <v>993</v>
      </c>
      <c r="H766" s="25">
        <v>2019060</v>
      </c>
      <c r="I766" s="25" t="s">
        <v>19</v>
      </c>
      <c r="J766" s="25" t="s">
        <v>20</v>
      </c>
      <c r="K766" s="25" t="s">
        <v>25</v>
      </c>
      <c r="L766" s="25">
        <v>20.170000000000002</v>
      </c>
      <c r="M766" s="25">
        <v>2.94</v>
      </c>
      <c r="N766" s="25">
        <v>0</v>
      </c>
      <c r="O766" s="25">
        <v>48.09</v>
      </c>
      <c r="P766" s="25">
        <v>71.2029</v>
      </c>
    </row>
    <row r="767" spans="1:16" x14ac:dyDescent="0.25">
      <c r="A767" s="26">
        <v>43551</v>
      </c>
      <c r="B767" s="25" t="s">
        <v>738</v>
      </c>
      <c r="C767" s="25" t="s">
        <v>23</v>
      </c>
      <c r="D767" s="25">
        <v>100</v>
      </c>
      <c r="E767" s="25">
        <v>395</v>
      </c>
      <c r="F767" s="25">
        <v>39500</v>
      </c>
      <c r="G767" s="25" t="s">
        <v>994</v>
      </c>
      <c r="H767" s="25">
        <v>2019060</v>
      </c>
      <c r="I767" s="25" t="s">
        <v>19</v>
      </c>
      <c r="J767" s="25" t="s">
        <v>20</v>
      </c>
      <c r="K767" s="25" t="s">
        <v>25</v>
      </c>
      <c r="L767" s="25">
        <v>10.1</v>
      </c>
      <c r="M767" s="25">
        <v>1.44</v>
      </c>
      <c r="N767" s="25">
        <v>0</v>
      </c>
      <c r="O767" s="25">
        <v>29.76</v>
      </c>
      <c r="P767" s="25">
        <v>41.3018</v>
      </c>
    </row>
    <row r="768" spans="1:16" x14ac:dyDescent="0.25">
      <c r="A768" s="26">
        <v>43551</v>
      </c>
      <c r="B768" s="25" t="s">
        <v>16</v>
      </c>
      <c r="C768" s="25" t="s">
        <v>23</v>
      </c>
      <c r="D768" s="25">
        <v>500</v>
      </c>
      <c r="E768" s="25">
        <v>39.75</v>
      </c>
      <c r="F768" s="25">
        <v>19875</v>
      </c>
      <c r="G768" s="25" t="s">
        <v>995</v>
      </c>
      <c r="H768" s="25">
        <v>2019060</v>
      </c>
      <c r="I768" s="25" t="s">
        <v>19</v>
      </c>
      <c r="J768" s="25" t="s">
        <v>20</v>
      </c>
      <c r="K768" s="25" t="s">
        <v>25</v>
      </c>
      <c r="L768" s="25">
        <v>4.8899999999999997</v>
      </c>
      <c r="M768" s="25">
        <v>0.73</v>
      </c>
      <c r="N768" s="25">
        <v>0</v>
      </c>
      <c r="O768" s="25">
        <v>29.63</v>
      </c>
      <c r="P768" s="25">
        <v>35.245399999999997</v>
      </c>
    </row>
    <row r="769" spans="1:16" x14ac:dyDescent="0.25">
      <c r="A769" s="26">
        <v>43551</v>
      </c>
      <c r="B769" s="25" t="s">
        <v>981</v>
      </c>
      <c r="C769" s="25" t="s">
        <v>17</v>
      </c>
      <c r="D769" s="25">
        <v>500</v>
      </c>
      <c r="E769" s="25">
        <v>161.5</v>
      </c>
      <c r="F769" s="25">
        <v>80750</v>
      </c>
      <c r="G769" s="25" t="s">
        <v>996</v>
      </c>
      <c r="H769" s="25">
        <v>2019060</v>
      </c>
      <c r="I769" s="25" t="s">
        <v>19</v>
      </c>
      <c r="J769" s="25" t="s">
        <v>20</v>
      </c>
      <c r="K769" s="25" t="s">
        <v>25</v>
      </c>
      <c r="L769" s="25">
        <v>0</v>
      </c>
      <c r="M769" s="25">
        <v>2.95</v>
      </c>
      <c r="N769" s="25">
        <v>10.8</v>
      </c>
      <c r="O769" s="25">
        <v>48.18</v>
      </c>
      <c r="P769" s="25">
        <v>61.927300000000002</v>
      </c>
    </row>
    <row r="770" spans="1:16" x14ac:dyDescent="0.25">
      <c r="A770" s="26">
        <v>43546</v>
      </c>
      <c r="B770" s="25" t="s">
        <v>849</v>
      </c>
      <c r="C770" s="25" t="s">
        <v>23</v>
      </c>
      <c r="D770" s="25">
        <v>50</v>
      </c>
      <c r="E770" s="25">
        <v>222.5</v>
      </c>
      <c r="F770" s="25">
        <v>11125</v>
      </c>
      <c r="G770" s="25" t="s">
        <v>997</v>
      </c>
      <c r="H770" s="25">
        <v>2019057</v>
      </c>
      <c r="I770" s="25" t="s">
        <v>19</v>
      </c>
      <c r="J770" s="25" t="s">
        <v>20</v>
      </c>
      <c r="K770" s="25" t="s">
        <v>25</v>
      </c>
      <c r="L770" s="25">
        <v>3.29</v>
      </c>
      <c r="M770" s="25">
        <v>0.41</v>
      </c>
      <c r="N770" s="25">
        <v>5.7</v>
      </c>
      <c r="O770" s="25">
        <v>29.58</v>
      </c>
      <c r="P770" s="25">
        <v>38.976100000000002</v>
      </c>
    </row>
    <row r="771" spans="1:16" x14ac:dyDescent="0.25">
      <c r="A771" s="26">
        <v>43546</v>
      </c>
      <c r="B771" s="25" t="s">
        <v>849</v>
      </c>
      <c r="C771" s="25" t="s">
        <v>23</v>
      </c>
      <c r="D771" s="25">
        <v>50</v>
      </c>
      <c r="E771" s="25">
        <v>224.5</v>
      </c>
      <c r="F771" s="25">
        <v>11225</v>
      </c>
      <c r="G771" s="25" t="s">
        <v>998</v>
      </c>
      <c r="H771" s="25">
        <v>2019057</v>
      </c>
      <c r="I771" s="25" t="s">
        <v>19</v>
      </c>
      <c r="J771" s="25" t="s">
        <v>20</v>
      </c>
      <c r="K771" s="25" t="s">
        <v>25</v>
      </c>
      <c r="L771" s="25">
        <v>2.82</v>
      </c>
      <c r="M771" s="25">
        <v>0.41</v>
      </c>
      <c r="N771" s="25">
        <v>0</v>
      </c>
      <c r="O771" s="25">
        <v>29.57</v>
      </c>
      <c r="P771" s="25">
        <v>32.799700000000001</v>
      </c>
    </row>
    <row r="772" spans="1:16" x14ac:dyDescent="0.25">
      <c r="A772" s="26">
        <v>43546</v>
      </c>
      <c r="B772" s="25" t="s">
        <v>849</v>
      </c>
      <c r="C772" s="25" t="s">
        <v>23</v>
      </c>
      <c r="D772" s="25">
        <v>200</v>
      </c>
      <c r="E772" s="25">
        <v>223.5</v>
      </c>
      <c r="F772" s="25">
        <v>44700</v>
      </c>
      <c r="G772" s="25" t="s">
        <v>999</v>
      </c>
      <c r="H772" s="25">
        <v>2019057</v>
      </c>
      <c r="I772" s="25" t="s">
        <v>19</v>
      </c>
      <c r="J772" s="25" t="s">
        <v>20</v>
      </c>
      <c r="K772" s="25" t="s">
        <v>25</v>
      </c>
      <c r="L772" s="25">
        <v>11.26</v>
      </c>
      <c r="M772" s="25">
        <v>1.63</v>
      </c>
      <c r="N772" s="25">
        <v>0</v>
      </c>
      <c r="O772" s="25">
        <v>29.79</v>
      </c>
      <c r="P772" s="25">
        <v>42.681600000000003</v>
      </c>
    </row>
    <row r="773" spans="1:16" x14ac:dyDescent="0.25">
      <c r="A773" s="26">
        <v>43546</v>
      </c>
      <c r="B773" s="25" t="s">
        <v>849</v>
      </c>
      <c r="C773" s="25" t="s">
        <v>23</v>
      </c>
      <c r="D773" s="25">
        <v>50</v>
      </c>
      <c r="E773" s="25">
        <v>226</v>
      </c>
      <c r="F773" s="25">
        <v>11300</v>
      </c>
      <c r="G773" s="25" t="s">
        <v>1000</v>
      </c>
      <c r="H773" s="25">
        <v>2019057</v>
      </c>
      <c r="I773" s="25" t="s">
        <v>19</v>
      </c>
      <c r="J773" s="25" t="s">
        <v>20</v>
      </c>
      <c r="K773" s="25" t="s">
        <v>25</v>
      </c>
      <c r="L773" s="25">
        <v>2.82</v>
      </c>
      <c r="M773" s="25">
        <v>0.41</v>
      </c>
      <c r="N773" s="25">
        <v>0</v>
      </c>
      <c r="O773" s="25">
        <v>29.57</v>
      </c>
      <c r="P773" s="25">
        <v>32.802500000000002</v>
      </c>
    </row>
    <row r="774" spans="1:16" x14ac:dyDescent="0.25">
      <c r="A774" s="26">
        <v>43546</v>
      </c>
      <c r="B774" s="25" t="s">
        <v>849</v>
      </c>
      <c r="C774" s="25" t="s">
        <v>23</v>
      </c>
      <c r="D774" s="25">
        <v>50</v>
      </c>
      <c r="E774" s="25">
        <v>228.3</v>
      </c>
      <c r="F774" s="25">
        <v>11415</v>
      </c>
      <c r="G774" s="25" t="s">
        <v>1001</v>
      </c>
      <c r="H774" s="25">
        <v>2019057</v>
      </c>
      <c r="I774" s="25" t="s">
        <v>19</v>
      </c>
      <c r="J774" s="25" t="s">
        <v>20</v>
      </c>
      <c r="K774" s="25" t="s">
        <v>25</v>
      </c>
      <c r="L774" s="25">
        <v>2.82</v>
      </c>
      <c r="M774" s="25">
        <v>0.42</v>
      </c>
      <c r="N774" s="25">
        <v>0</v>
      </c>
      <c r="O774" s="25">
        <v>29.58</v>
      </c>
      <c r="P774" s="25">
        <v>32.816600000000001</v>
      </c>
    </row>
    <row r="775" spans="1:16" x14ac:dyDescent="0.25">
      <c r="A775" s="26">
        <v>43546</v>
      </c>
      <c r="B775" s="25" t="s">
        <v>849</v>
      </c>
      <c r="C775" s="25" t="s">
        <v>17</v>
      </c>
      <c r="D775" s="25">
        <v>400</v>
      </c>
      <c r="E775" s="25">
        <v>226</v>
      </c>
      <c r="F775" s="25">
        <v>90400</v>
      </c>
      <c r="G775" s="25" t="s">
        <v>1002</v>
      </c>
      <c r="H775" s="25">
        <v>2019057</v>
      </c>
      <c r="I775" s="25" t="s">
        <v>19</v>
      </c>
      <c r="J775" s="25" t="s">
        <v>20</v>
      </c>
      <c r="K775" s="25" t="s">
        <v>25</v>
      </c>
      <c r="L775" s="25">
        <v>0</v>
      </c>
      <c r="M775" s="25">
        <v>3.3</v>
      </c>
      <c r="N775" s="25">
        <v>0</v>
      </c>
      <c r="O775" s="25">
        <v>53.93</v>
      </c>
      <c r="P775" s="25">
        <v>57.229599999999998</v>
      </c>
    </row>
    <row r="776" spans="1:16" x14ac:dyDescent="0.25">
      <c r="A776" s="26">
        <v>43542</v>
      </c>
      <c r="B776" s="25" t="s">
        <v>179</v>
      </c>
      <c r="C776" s="25" t="s">
        <v>17</v>
      </c>
      <c r="D776" s="25">
        <v>100</v>
      </c>
      <c r="E776" s="25">
        <v>40</v>
      </c>
      <c r="F776" s="25">
        <v>4000</v>
      </c>
      <c r="G776" s="25" t="s">
        <v>1003</v>
      </c>
      <c r="H776" s="25">
        <v>2019054</v>
      </c>
      <c r="I776" s="25" t="s">
        <v>19</v>
      </c>
      <c r="J776" s="25" t="s">
        <v>20</v>
      </c>
      <c r="K776" s="25" t="s">
        <v>25</v>
      </c>
      <c r="L776" s="25">
        <v>4</v>
      </c>
      <c r="M776" s="25">
        <v>0.15</v>
      </c>
      <c r="N776" s="25">
        <v>0.3</v>
      </c>
      <c r="O776" s="25">
        <v>41.33</v>
      </c>
      <c r="P776" s="25">
        <v>45.776000000000003</v>
      </c>
    </row>
    <row r="777" spans="1:16" x14ac:dyDescent="0.25">
      <c r="A777" s="26">
        <v>43538</v>
      </c>
      <c r="B777" s="25" t="s">
        <v>871</v>
      </c>
      <c r="C777" s="25" t="s">
        <v>23</v>
      </c>
      <c r="D777" s="25">
        <v>500</v>
      </c>
      <c r="E777" s="25">
        <v>172.5</v>
      </c>
      <c r="F777" s="25">
        <v>86250</v>
      </c>
      <c r="G777" s="25" t="s">
        <v>1004</v>
      </c>
      <c r="H777" s="25">
        <v>2019052</v>
      </c>
      <c r="I777" s="25" t="s">
        <v>19</v>
      </c>
      <c r="J777" s="25" t="s">
        <v>20</v>
      </c>
      <c r="K777" s="25" t="s">
        <v>25</v>
      </c>
      <c r="L777" s="25">
        <v>21.7</v>
      </c>
      <c r="M777" s="25">
        <v>3.15</v>
      </c>
      <c r="N777" s="25">
        <v>0</v>
      </c>
      <c r="O777" s="25">
        <v>51.45</v>
      </c>
      <c r="P777" s="25">
        <v>76.298199999999994</v>
      </c>
    </row>
    <row r="778" spans="1:16" x14ac:dyDescent="0.25">
      <c r="A778" s="26">
        <v>43538</v>
      </c>
      <c r="B778" s="25" t="s">
        <v>871</v>
      </c>
      <c r="C778" s="25" t="s">
        <v>17</v>
      </c>
      <c r="D778" s="25">
        <v>2500</v>
      </c>
      <c r="E778" s="25">
        <v>174</v>
      </c>
      <c r="F778" s="25">
        <v>435000</v>
      </c>
      <c r="G778" s="25" t="s">
        <v>1005</v>
      </c>
      <c r="H778" s="25">
        <v>2019052</v>
      </c>
      <c r="I778" s="25" t="s">
        <v>19</v>
      </c>
      <c r="J778" s="25" t="s">
        <v>20</v>
      </c>
      <c r="K778" s="25" t="s">
        <v>25</v>
      </c>
      <c r="L778" s="25">
        <v>0</v>
      </c>
      <c r="M778" s="25">
        <v>15.88</v>
      </c>
      <c r="N778" s="25">
        <v>0</v>
      </c>
      <c r="O778" s="25">
        <v>259.49</v>
      </c>
      <c r="P778" s="25">
        <v>275.36770000000001</v>
      </c>
    </row>
    <row r="779" spans="1:16" x14ac:dyDescent="0.25">
      <c r="A779" s="26">
        <v>43538</v>
      </c>
      <c r="B779" s="25" t="s">
        <v>871</v>
      </c>
      <c r="C779" s="25" t="s">
        <v>23</v>
      </c>
      <c r="D779" s="25">
        <v>500</v>
      </c>
      <c r="E779" s="25">
        <v>173.5</v>
      </c>
      <c r="F779" s="25">
        <v>86750</v>
      </c>
      <c r="G779" s="25" t="s">
        <v>1006</v>
      </c>
      <c r="H779" s="25">
        <v>2019052</v>
      </c>
      <c r="I779" s="25" t="s">
        <v>19</v>
      </c>
      <c r="J779" s="25" t="s">
        <v>20</v>
      </c>
      <c r="K779" s="25" t="s">
        <v>25</v>
      </c>
      <c r="L779" s="25">
        <v>21.7</v>
      </c>
      <c r="M779" s="25">
        <v>3.17</v>
      </c>
      <c r="N779" s="25">
        <v>0</v>
      </c>
      <c r="O779" s="25">
        <v>51.75</v>
      </c>
      <c r="P779" s="25">
        <v>76.616399999999999</v>
      </c>
    </row>
    <row r="780" spans="1:16" x14ac:dyDescent="0.25">
      <c r="A780" s="26">
        <v>43538</v>
      </c>
      <c r="B780" s="25" t="s">
        <v>871</v>
      </c>
      <c r="C780" s="25" t="s">
        <v>23</v>
      </c>
      <c r="D780" s="25">
        <v>5000</v>
      </c>
      <c r="E780" s="25">
        <v>173.33</v>
      </c>
      <c r="F780" s="25">
        <v>866639.65</v>
      </c>
      <c r="G780" s="25" t="s">
        <v>1007</v>
      </c>
      <c r="H780" s="25">
        <v>2019052</v>
      </c>
      <c r="I780" s="25" t="s">
        <v>19</v>
      </c>
      <c r="J780" s="25" t="s">
        <v>20</v>
      </c>
      <c r="K780" s="25" t="s">
        <v>25</v>
      </c>
      <c r="L780" s="25">
        <v>216.61</v>
      </c>
      <c r="M780" s="25">
        <v>31.63</v>
      </c>
      <c r="N780" s="25">
        <v>62.7</v>
      </c>
      <c r="O780" s="25">
        <v>516.99</v>
      </c>
      <c r="P780" s="25">
        <v>827.93259999999998</v>
      </c>
    </row>
    <row r="781" spans="1:16" x14ac:dyDescent="0.25">
      <c r="A781" s="26">
        <v>43538</v>
      </c>
      <c r="B781" s="25" t="s">
        <v>871</v>
      </c>
      <c r="C781" s="25" t="s">
        <v>17</v>
      </c>
      <c r="D781" s="25">
        <v>3500</v>
      </c>
      <c r="E781" s="25">
        <v>173.76</v>
      </c>
      <c r="F781" s="25">
        <v>608158.55000000005</v>
      </c>
      <c r="G781" s="25" t="s">
        <v>1008</v>
      </c>
      <c r="H781" s="25">
        <v>2019052</v>
      </c>
      <c r="I781" s="25" t="s">
        <v>19</v>
      </c>
      <c r="J781" s="25" t="s">
        <v>20</v>
      </c>
      <c r="K781" s="25" t="s">
        <v>25</v>
      </c>
      <c r="L781" s="25">
        <v>0</v>
      </c>
      <c r="M781" s="25">
        <v>22.2</v>
      </c>
      <c r="N781" s="25">
        <v>0</v>
      </c>
      <c r="O781" s="25">
        <v>362.82</v>
      </c>
      <c r="P781" s="25">
        <v>385.01769999999999</v>
      </c>
    </row>
    <row r="782" spans="1:16" x14ac:dyDescent="0.25">
      <c r="A782" s="26">
        <v>43537</v>
      </c>
      <c r="B782" s="25" t="s">
        <v>397</v>
      </c>
      <c r="C782" s="25" t="s">
        <v>17</v>
      </c>
      <c r="D782" s="25">
        <v>100</v>
      </c>
      <c r="E782" s="25">
        <v>250</v>
      </c>
      <c r="F782" s="25">
        <v>25000</v>
      </c>
      <c r="G782" s="25" t="s">
        <v>1009</v>
      </c>
      <c r="H782" s="25">
        <v>201819239</v>
      </c>
      <c r="I782" s="25" t="s">
        <v>19</v>
      </c>
      <c r="J782" s="25" t="s">
        <v>20</v>
      </c>
      <c r="K782" s="25" t="s">
        <v>21</v>
      </c>
      <c r="L782" s="25">
        <v>25</v>
      </c>
      <c r="M782" s="25">
        <v>0.73</v>
      </c>
      <c r="N782" s="25">
        <v>0.9</v>
      </c>
      <c r="O782" s="25">
        <v>162.38</v>
      </c>
      <c r="P782" s="25">
        <v>189.01249999999999</v>
      </c>
    </row>
    <row r="783" spans="1:16" x14ac:dyDescent="0.25">
      <c r="A783" s="26">
        <v>43537</v>
      </c>
      <c r="B783" s="25" t="s">
        <v>871</v>
      </c>
      <c r="C783" s="25" t="s">
        <v>23</v>
      </c>
      <c r="D783" s="25">
        <v>100</v>
      </c>
      <c r="E783" s="25">
        <v>175.1</v>
      </c>
      <c r="F783" s="25">
        <v>17510</v>
      </c>
      <c r="G783" s="25" t="s">
        <v>1010</v>
      </c>
      <c r="H783" s="25">
        <v>2019051</v>
      </c>
      <c r="I783" s="25" t="s">
        <v>19</v>
      </c>
      <c r="J783" s="25" t="s">
        <v>20</v>
      </c>
      <c r="K783" s="25" t="s">
        <v>25</v>
      </c>
      <c r="L783" s="25">
        <v>4.16</v>
      </c>
      <c r="M783" s="25">
        <v>0.64</v>
      </c>
      <c r="N783" s="25">
        <v>5.0999999999999996</v>
      </c>
      <c r="O783" s="25">
        <v>29.61</v>
      </c>
      <c r="P783" s="25">
        <v>39.509</v>
      </c>
    </row>
    <row r="784" spans="1:16" x14ac:dyDescent="0.25">
      <c r="A784" s="26">
        <v>43537</v>
      </c>
      <c r="B784" s="25" t="s">
        <v>871</v>
      </c>
      <c r="C784" s="25" t="s">
        <v>17</v>
      </c>
      <c r="D784" s="25">
        <v>100</v>
      </c>
      <c r="E784" s="25">
        <v>172.5</v>
      </c>
      <c r="F784" s="25">
        <v>17250</v>
      </c>
      <c r="G784" s="25" t="s">
        <v>1011</v>
      </c>
      <c r="H784" s="25">
        <v>2019051</v>
      </c>
      <c r="I784" s="25" t="s">
        <v>19</v>
      </c>
      <c r="J784" s="25" t="s">
        <v>20</v>
      </c>
      <c r="K784" s="25" t="s">
        <v>25</v>
      </c>
      <c r="L784" s="25">
        <v>0</v>
      </c>
      <c r="M784" s="25">
        <v>0.63</v>
      </c>
      <c r="N784" s="25">
        <v>0</v>
      </c>
      <c r="O784" s="25">
        <v>29.61</v>
      </c>
      <c r="P784" s="25">
        <v>30.239699999999999</v>
      </c>
    </row>
    <row r="785" spans="1:16" x14ac:dyDescent="0.25">
      <c r="A785" s="26">
        <v>43537</v>
      </c>
      <c r="B785" s="25" t="s">
        <v>677</v>
      </c>
      <c r="C785" s="25" t="s">
        <v>23</v>
      </c>
      <c r="D785" s="25">
        <v>250</v>
      </c>
      <c r="E785" s="25">
        <v>251.52</v>
      </c>
      <c r="F785" s="25">
        <v>62879.75</v>
      </c>
      <c r="G785" s="25" t="s">
        <v>1012</v>
      </c>
      <c r="H785" s="25">
        <v>2019051</v>
      </c>
      <c r="I785" s="25" t="s">
        <v>19</v>
      </c>
      <c r="J785" s="25" t="s">
        <v>20</v>
      </c>
      <c r="K785" s="25" t="s">
        <v>25</v>
      </c>
      <c r="L785" s="25">
        <v>15.84</v>
      </c>
      <c r="M785" s="25">
        <v>2.2999999999999998</v>
      </c>
      <c r="N785" s="25">
        <v>0</v>
      </c>
      <c r="O785" s="25">
        <v>37.51</v>
      </c>
      <c r="P785" s="25">
        <v>55.645099999999999</v>
      </c>
    </row>
    <row r="786" spans="1:16" x14ac:dyDescent="0.25">
      <c r="A786" s="26">
        <v>43537</v>
      </c>
      <c r="B786" s="25" t="s">
        <v>677</v>
      </c>
      <c r="C786" s="25" t="s">
        <v>17</v>
      </c>
      <c r="D786" s="25">
        <v>250</v>
      </c>
      <c r="E786" s="25">
        <v>255.25</v>
      </c>
      <c r="F786" s="25">
        <v>63812.5</v>
      </c>
      <c r="G786" s="25" t="s">
        <v>1013</v>
      </c>
      <c r="H786" s="25">
        <v>2019051</v>
      </c>
      <c r="I786" s="25" t="s">
        <v>19</v>
      </c>
      <c r="J786" s="25" t="s">
        <v>20</v>
      </c>
      <c r="K786" s="25" t="s">
        <v>25</v>
      </c>
      <c r="L786" s="25">
        <v>0</v>
      </c>
      <c r="M786" s="25">
        <v>2.33</v>
      </c>
      <c r="N786" s="25">
        <v>0</v>
      </c>
      <c r="O786" s="25">
        <v>38.07</v>
      </c>
      <c r="P786" s="25">
        <v>40.399099999999997</v>
      </c>
    </row>
    <row r="787" spans="1:16" x14ac:dyDescent="0.25">
      <c r="A787" s="26">
        <v>43536</v>
      </c>
      <c r="B787" s="25" t="s">
        <v>397</v>
      </c>
      <c r="C787" s="25" t="s">
        <v>17</v>
      </c>
      <c r="D787" s="25">
        <v>500</v>
      </c>
      <c r="E787" s="25">
        <v>259.76</v>
      </c>
      <c r="F787" s="25">
        <v>129878.8</v>
      </c>
      <c r="G787" s="25" t="s">
        <v>943</v>
      </c>
      <c r="H787" s="25">
        <v>2019050</v>
      </c>
      <c r="I787" s="25" t="s">
        <v>19</v>
      </c>
      <c r="J787" s="25" t="s">
        <v>20</v>
      </c>
      <c r="K787" s="25" t="s">
        <v>25</v>
      </c>
      <c r="L787" s="25">
        <v>0</v>
      </c>
      <c r="M787" s="25">
        <v>4.74</v>
      </c>
      <c r="N787" s="25">
        <v>0</v>
      </c>
      <c r="O787" s="25">
        <v>77.48</v>
      </c>
      <c r="P787" s="25">
        <v>82.220600000000005</v>
      </c>
    </row>
    <row r="788" spans="1:16" x14ac:dyDescent="0.25">
      <c r="A788" s="26">
        <v>43536</v>
      </c>
      <c r="B788" s="25" t="s">
        <v>944</v>
      </c>
      <c r="C788" s="25" t="s">
        <v>23</v>
      </c>
      <c r="D788" s="25">
        <v>1000</v>
      </c>
      <c r="E788" s="25">
        <v>55.15</v>
      </c>
      <c r="F788" s="25">
        <v>55150</v>
      </c>
      <c r="G788" s="25" t="s">
        <v>945</v>
      </c>
      <c r="H788" s="25">
        <v>2019050</v>
      </c>
      <c r="I788" s="25" t="s">
        <v>19</v>
      </c>
      <c r="J788" s="25" t="s">
        <v>20</v>
      </c>
      <c r="K788" s="25" t="s">
        <v>25</v>
      </c>
      <c r="L788" s="25">
        <v>13.64</v>
      </c>
      <c r="M788" s="25">
        <v>2.0099999999999998</v>
      </c>
      <c r="N788" s="25">
        <v>0</v>
      </c>
      <c r="O788" s="25">
        <v>32.9</v>
      </c>
      <c r="P788" s="25">
        <v>48.552999999999997</v>
      </c>
    </row>
    <row r="789" spans="1:16" x14ac:dyDescent="0.25">
      <c r="A789" s="26">
        <v>43536</v>
      </c>
      <c r="B789" s="25" t="s">
        <v>944</v>
      </c>
      <c r="C789" s="25" t="s">
        <v>17</v>
      </c>
      <c r="D789" s="25">
        <v>1000</v>
      </c>
      <c r="E789" s="25">
        <v>54</v>
      </c>
      <c r="F789" s="25">
        <v>54000</v>
      </c>
      <c r="G789" s="25" t="s">
        <v>946</v>
      </c>
      <c r="H789" s="25">
        <v>2019050</v>
      </c>
      <c r="I789" s="25" t="s">
        <v>19</v>
      </c>
      <c r="J789" s="25" t="s">
        <v>20</v>
      </c>
      <c r="K789" s="25" t="s">
        <v>25</v>
      </c>
      <c r="L789" s="25">
        <v>0</v>
      </c>
      <c r="M789" s="25">
        <v>1.97</v>
      </c>
      <c r="N789" s="25">
        <v>0</v>
      </c>
      <c r="O789" s="25">
        <v>32.21</v>
      </c>
      <c r="P789" s="25">
        <v>34.180999999999997</v>
      </c>
    </row>
    <row r="790" spans="1:16" x14ac:dyDescent="0.25">
      <c r="A790" s="26">
        <v>43536</v>
      </c>
      <c r="B790" s="25" t="s">
        <v>397</v>
      </c>
      <c r="C790" s="25" t="s">
        <v>17</v>
      </c>
      <c r="D790" s="25">
        <v>500</v>
      </c>
      <c r="E790" s="25">
        <v>257.48</v>
      </c>
      <c r="F790" s="25">
        <v>128742.05</v>
      </c>
      <c r="G790" s="25" t="s">
        <v>947</v>
      </c>
      <c r="H790" s="25">
        <v>2019050</v>
      </c>
      <c r="I790" s="25" t="s">
        <v>19</v>
      </c>
      <c r="J790" s="25" t="s">
        <v>20</v>
      </c>
      <c r="K790" s="25" t="s">
        <v>25</v>
      </c>
      <c r="L790" s="25">
        <v>0</v>
      </c>
      <c r="M790" s="25">
        <v>4.7</v>
      </c>
      <c r="N790" s="25">
        <v>40.200000000000003</v>
      </c>
      <c r="O790" s="25">
        <v>76.8</v>
      </c>
      <c r="P790" s="25">
        <v>121.69929999999999</v>
      </c>
    </row>
    <row r="791" spans="1:16" x14ac:dyDescent="0.25">
      <c r="A791" s="26">
        <v>43536</v>
      </c>
      <c r="B791" s="25" t="s">
        <v>397</v>
      </c>
      <c r="C791" s="25" t="s">
        <v>17</v>
      </c>
      <c r="D791" s="25">
        <v>250</v>
      </c>
      <c r="E791" s="25">
        <v>255.35</v>
      </c>
      <c r="F791" s="25">
        <v>63837.5</v>
      </c>
      <c r="G791" s="25" t="s">
        <v>948</v>
      </c>
      <c r="H791" s="25">
        <v>2019050</v>
      </c>
      <c r="I791" s="25" t="s">
        <v>19</v>
      </c>
      <c r="J791" s="25" t="s">
        <v>20</v>
      </c>
      <c r="K791" s="25" t="s">
        <v>25</v>
      </c>
      <c r="L791" s="25">
        <v>0</v>
      </c>
      <c r="M791" s="25">
        <v>2.33</v>
      </c>
      <c r="N791" s="25">
        <v>0</v>
      </c>
      <c r="O791" s="25">
        <v>38.08</v>
      </c>
      <c r="P791" s="25">
        <v>40.4101</v>
      </c>
    </row>
    <row r="792" spans="1:16" x14ac:dyDescent="0.25">
      <c r="A792" s="26">
        <v>43536</v>
      </c>
      <c r="B792" s="25" t="s">
        <v>237</v>
      </c>
      <c r="C792" s="25" t="s">
        <v>23</v>
      </c>
      <c r="D792" s="25">
        <v>500</v>
      </c>
      <c r="E792" s="25">
        <v>292.5</v>
      </c>
      <c r="F792" s="25">
        <v>146250</v>
      </c>
      <c r="G792" s="25" t="s">
        <v>949</v>
      </c>
      <c r="H792" s="25">
        <v>2019050</v>
      </c>
      <c r="I792" s="25" t="s">
        <v>19</v>
      </c>
      <c r="J792" s="25" t="s">
        <v>20</v>
      </c>
      <c r="K792" s="25" t="s">
        <v>25</v>
      </c>
      <c r="L792" s="25">
        <v>36.58</v>
      </c>
      <c r="M792" s="25">
        <v>5.34</v>
      </c>
      <c r="N792" s="25">
        <v>0</v>
      </c>
      <c r="O792" s="25">
        <v>87.25</v>
      </c>
      <c r="P792" s="25">
        <v>129.16820000000001</v>
      </c>
    </row>
    <row r="793" spans="1:16" x14ac:dyDescent="0.25">
      <c r="A793" s="26">
        <v>43536</v>
      </c>
      <c r="B793" s="25" t="s">
        <v>237</v>
      </c>
      <c r="C793" s="25" t="s">
        <v>17</v>
      </c>
      <c r="D793" s="25">
        <v>500</v>
      </c>
      <c r="E793" s="25">
        <v>291</v>
      </c>
      <c r="F793" s="25">
        <v>145500</v>
      </c>
      <c r="G793" s="25" t="s">
        <v>950</v>
      </c>
      <c r="H793" s="25">
        <v>2019050</v>
      </c>
      <c r="I793" s="25" t="s">
        <v>19</v>
      </c>
      <c r="J793" s="25" t="s">
        <v>20</v>
      </c>
      <c r="K793" s="25" t="s">
        <v>25</v>
      </c>
      <c r="L793" s="25">
        <v>0</v>
      </c>
      <c r="M793" s="25">
        <v>5.31</v>
      </c>
      <c r="N793" s="25">
        <v>0</v>
      </c>
      <c r="O793" s="25">
        <v>86.8</v>
      </c>
      <c r="P793" s="25">
        <v>92.110799999999998</v>
      </c>
    </row>
    <row r="794" spans="1:16" x14ac:dyDescent="0.25">
      <c r="A794" s="26">
        <v>43536</v>
      </c>
      <c r="B794" s="25" t="s">
        <v>237</v>
      </c>
      <c r="C794" s="25" t="s">
        <v>17</v>
      </c>
      <c r="D794" s="25">
        <v>500</v>
      </c>
      <c r="E794" s="25">
        <v>296.64999999999998</v>
      </c>
      <c r="F794" s="25">
        <v>148325</v>
      </c>
      <c r="G794" s="25" t="s">
        <v>951</v>
      </c>
      <c r="H794" s="25">
        <v>2019050</v>
      </c>
      <c r="I794" s="25" t="s">
        <v>19</v>
      </c>
      <c r="J794" s="25" t="s">
        <v>20</v>
      </c>
      <c r="K794" s="25" t="s">
        <v>25</v>
      </c>
      <c r="L794" s="25">
        <v>0</v>
      </c>
      <c r="M794" s="25">
        <v>5.41</v>
      </c>
      <c r="N794" s="25">
        <v>0</v>
      </c>
      <c r="O794" s="25">
        <v>88.49</v>
      </c>
      <c r="P794" s="25">
        <v>93.903899999999993</v>
      </c>
    </row>
    <row r="795" spans="1:16" x14ac:dyDescent="0.25">
      <c r="A795" s="26">
        <v>43536</v>
      </c>
      <c r="B795" s="25" t="s">
        <v>397</v>
      </c>
      <c r="C795" s="25" t="s">
        <v>23</v>
      </c>
      <c r="D795" s="25">
        <v>1250</v>
      </c>
      <c r="E795" s="25">
        <v>254.23</v>
      </c>
      <c r="F795" s="25">
        <v>317781.5</v>
      </c>
      <c r="G795" s="25" t="s">
        <v>952</v>
      </c>
      <c r="H795" s="25">
        <v>2019050</v>
      </c>
      <c r="I795" s="25" t="s">
        <v>19</v>
      </c>
      <c r="J795" s="25" t="s">
        <v>20</v>
      </c>
      <c r="K795" s="25" t="s">
        <v>25</v>
      </c>
      <c r="L795" s="25">
        <v>80.03</v>
      </c>
      <c r="M795" s="25">
        <v>11.6</v>
      </c>
      <c r="N795" s="25">
        <v>0</v>
      </c>
      <c r="O795" s="25">
        <v>189.58</v>
      </c>
      <c r="P795" s="25">
        <v>281.20949999999999</v>
      </c>
    </row>
    <row r="796" spans="1:16" x14ac:dyDescent="0.25">
      <c r="A796" s="26">
        <v>43536</v>
      </c>
      <c r="B796" s="25" t="s">
        <v>237</v>
      </c>
      <c r="C796" s="25" t="s">
        <v>23</v>
      </c>
      <c r="D796" s="25">
        <v>500</v>
      </c>
      <c r="E796" s="25">
        <v>290.51</v>
      </c>
      <c r="F796" s="25">
        <v>145255.04999999999</v>
      </c>
      <c r="G796" s="25" t="s">
        <v>953</v>
      </c>
      <c r="H796" s="25">
        <v>2019050</v>
      </c>
      <c r="I796" s="25" t="s">
        <v>19</v>
      </c>
      <c r="J796" s="25" t="s">
        <v>20</v>
      </c>
      <c r="K796" s="25" t="s">
        <v>25</v>
      </c>
      <c r="L796" s="25">
        <v>36.74</v>
      </c>
      <c r="M796" s="25">
        <v>5.3</v>
      </c>
      <c r="N796" s="25">
        <v>0</v>
      </c>
      <c r="O796" s="25">
        <v>86.65</v>
      </c>
      <c r="P796" s="25">
        <v>128.6919</v>
      </c>
    </row>
    <row r="797" spans="1:16" x14ac:dyDescent="0.25">
      <c r="A797" s="26">
        <v>43535</v>
      </c>
      <c r="B797" s="25" t="s">
        <v>397</v>
      </c>
      <c r="C797" s="25" t="s">
        <v>17</v>
      </c>
      <c r="D797" s="25">
        <v>332</v>
      </c>
      <c r="E797" s="25">
        <v>256.99</v>
      </c>
      <c r="F797" s="25">
        <v>85321.1</v>
      </c>
      <c r="G797" s="25" t="s">
        <v>954</v>
      </c>
      <c r="H797" s="25">
        <v>2019049</v>
      </c>
      <c r="I797" s="25" t="s">
        <v>19</v>
      </c>
      <c r="J797" s="25" t="s">
        <v>20</v>
      </c>
      <c r="K797" s="25" t="s">
        <v>25</v>
      </c>
      <c r="L797" s="25">
        <v>0</v>
      </c>
      <c r="M797" s="25">
        <v>3.11</v>
      </c>
      <c r="N797" s="25">
        <v>24.3</v>
      </c>
      <c r="O797" s="25">
        <v>50.9</v>
      </c>
      <c r="P797" s="25">
        <v>78.314300000000003</v>
      </c>
    </row>
    <row r="798" spans="1:16" x14ac:dyDescent="0.25">
      <c r="A798" s="26">
        <v>43535</v>
      </c>
      <c r="B798" s="25" t="s">
        <v>738</v>
      </c>
      <c r="C798" s="25" t="s">
        <v>17</v>
      </c>
      <c r="D798" s="25">
        <v>250</v>
      </c>
      <c r="E798" s="25">
        <v>376</v>
      </c>
      <c r="F798" s="25">
        <v>94000</v>
      </c>
      <c r="G798" s="25" t="s">
        <v>955</v>
      </c>
      <c r="H798" s="25">
        <v>2019049</v>
      </c>
      <c r="I798" s="25" t="s">
        <v>19</v>
      </c>
      <c r="J798" s="25" t="s">
        <v>20</v>
      </c>
      <c r="K798" s="25" t="s">
        <v>25</v>
      </c>
      <c r="L798" s="25">
        <v>0</v>
      </c>
      <c r="M798" s="25">
        <v>3.43</v>
      </c>
      <c r="N798" s="25">
        <v>0</v>
      </c>
      <c r="O798" s="25">
        <v>56.08</v>
      </c>
      <c r="P798" s="25">
        <v>59.511000000000003</v>
      </c>
    </row>
    <row r="799" spans="1:16" x14ac:dyDescent="0.25">
      <c r="A799" s="26">
        <v>43535</v>
      </c>
      <c r="B799" s="25" t="s">
        <v>738</v>
      </c>
      <c r="C799" s="25" t="s">
        <v>23</v>
      </c>
      <c r="D799" s="25">
        <v>250</v>
      </c>
      <c r="E799" s="25">
        <v>377</v>
      </c>
      <c r="F799" s="25">
        <v>94250</v>
      </c>
      <c r="G799" s="25" t="s">
        <v>956</v>
      </c>
      <c r="H799" s="25">
        <v>2019049</v>
      </c>
      <c r="I799" s="25" t="s">
        <v>19</v>
      </c>
      <c r="J799" s="25" t="s">
        <v>20</v>
      </c>
      <c r="K799" s="25" t="s">
        <v>25</v>
      </c>
      <c r="L799" s="25">
        <v>23.73</v>
      </c>
      <c r="M799" s="25">
        <v>3.44</v>
      </c>
      <c r="N799" s="25">
        <v>0</v>
      </c>
      <c r="O799" s="25">
        <v>56.22</v>
      </c>
      <c r="P799" s="25">
        <v>83.390100000000004</v>
      </c>
    </row>
    <row r="800" spans="1:16" x14ac:dyDescent="0.25">
      <c r="A800" s="26">
        <v>43535</v>
      </c>
      <c r="B800" s="25" t="s">
        <v>237</v>
      </c>
      <c r="C800" s="25" t="s">
        <v>23</v>
      </c>
      <c r="D800" s="25">
        <v>500</v>
      </c>
      <c r="E800" s="25">
        <v>293</v>
      </c>
      <c r="F800" s="25">
        <v>146500</v>
      </c>
      <c r="G800" s="25" t="s">
        <v>957</v>
      </c>
      <c r="H800" s="25">
        <v>2019049</v>
      </c>
      <c r="I800" s="25" t="s">
        <v>19</v>
      </c>
      <c r="J800" s="25" t="s">
        <v>20</v>
      </c>
      <c r="K800" s="25" t="s">
        <v>25</v>
      </c>
      <c r="L800" s="25">
        <v>36.56</v>
      </c>
      <c r="M800" s="25">
        <v>5.35</v>
      </c>
      <c r="N800" s="25">
        <v>0</v>
      </c>
      <c r="O800" s="25">
        <v>87.4</v>
      </c>
      <c r="P800" s="25">
        <v>129.3073</v>
      </c>
    </row>
    <row r="801" spans="1:16" x14ac:dyDescent="0.25">
      <c r="A801" s="26">
        <v>43535</v>
      </c>
      <c r="B801" s="25" t="s">
        <v>237</v>
      </c>
      <c r="C801" s="25" t="s">
        <v>17</v>
      </c>
      <c r="D801" s="25">
        <v>500</v>
      </c>
      <c r="E801" s="25">
        <v>292</v>
      </c>
      <c r="F801" s="25">
        <v>146000</v>
      </c>
      <c r="G801" s="25" t="s">
        <v>958</v>
      </c>
      <c r="H801" s="25">
        <v>2019049</v>
      </c>
      <c r="I801" s="25" t="s">
        <v>19</v>
      </c>
      <c r="J801" s="25" t="s">
        <v>20</v>
      </c>
      <c r="K801" s="25" t="s">
        <v>25</v>
      </c>
      <c r="L801" s="25">
        <v>0</v>
      </c>
      <c r="M801" s="25">
        <v>5.33</v>
      </c>
      <c r="N801" s="25">
        <v>0</v>
      </c>
      <c r="O801" s="25">
        <v>87.1</v>
      </c>
      <c r="P801" s="25">
        <v>92.429000000000002</v>
      </c>
    </row>
    <row r="802" spans="1:16" x14ac:dyDescent="0.25">
      <c r="A802" s="26">
        <v>43535</v>
      </c>
      <c r="B802" s="25" t="s">
        <v>397</v>
      </c>
      <c r="C802" s="25" t="s">
        <v>17</v>
      </c>
      <c r="D802" s="25">
        <v>300</v>
      </c>
      <c r="E802" s="25">
        <v>258.05</v>
      </c>
      <c r="F802" s="25">
        <v>77415.149999999994</v>
      </c>
      <c r="G802" s="25" t="s">
        <v>959</v>
      </c>
      <c r="H802" s="25">
        <v>2019049</v>
      </c>
      <c r="I802" s="25" t="s">
        <v>19</v>
      </c>
      <c r="J802" s="25" t="s">
        <v>20</v>
      </c>
      <c r="K802" s="25" t="s">
        <v>25</v>
      </c>
      <c r="L802" s="25">
        <v>0</v>
      </c>
      <c r="M802" s="25">
        <v>2.83</v>
      </c>
      <c r="N802" s="25">
        <v>0</v>
      </c>
      <c r="O802" s="25">
        <v>46.18</v>
      </c>
      <c r="P802" s="25">
        <v>49.005699999999997</v>
      </c>
    </row>
    <row r="803" spans="1:16" x14ac:dyDescent="0.25">
      <c r="A803" s="26">
        <v>43535</v>
      </c>
      <c r="B803" s="25" t="s">
        <v>397</v>
      </c>
      <c r="C803" s="25" t="s">
        <v>23</v>
      </c>
      <c r="D803" s="25">
        <v>632</v>
      </c>
      <c r="E803" s="25">
        <v>257.85000000000002</v>
      </c>
      <c r="F803" s="25">
        <v>162961.20000000001</v>
      </c>
      <c r="G803" s="25" t="s">
        <v>960</v>
      </c>
      <c r="H803" s="25">
        <v>2019049</v>
      </c>
      <c r="I803" s="25" t="s">
        <v>19</v>
      </c>
      <c r="J803" s="25" t="s">
        <v>20</v>
      </c>
      <c r="K803" s="25" t="s">
        <v>25</v>
      </c>
      <c r="L803" s="25">
        <v>40.71</v>
      </c>
      <c r="M803" s="25">
        <v>5.95</v>
      </c>
      <c r="N803" s="25">
        <v>0</v>
      </c>
      <c r="O803" s="25">
        <v>97.22</v>
      </c>
      <c r="P803" s="25">
        <v>143.87799999999999</v>
      </c>
    </row>
    <row r="804" spans="1:16" x14ac:dyDescent="0.25">
      <c r="A804" s="26">
        <v>43532</v>
      </c>
      <c r="B804" s="25" t="s">
        <v>677</v>
      </c>
      <c r="C804" s="25" t="s">
        <v>23</v>
      </c>
      <c r="D804" s="25">
        <v>1000</v>
      </c>
      <c r="E804" s="25">
        <v>243.49</v>
      </c>
      <c r="F804" s="25">
        <v>243485.9</v>
      </c>
      <c r="G804" s="25" t="s">
        <v>961</v>
      </c>
      <c r="H804" s="25">
        <v>2019048</v>
      </c>
      <c r="I804" s="25" t="s">
        <v>19</v>
      </c>
      <c r="J804" s="25" t="s">
        <v>20</v>
      </c>
      <c r="K804" s="25" t="s">
        <v>25</v>
      </c>
      <c r="L804" s="25">
        <v>60.75</v>
      </c>
      <c r="M804" s="25">
        <v>8.89</v>
      </c>
      <c r="N804" s="25">
        <v>0</v>
      </c>
      <c r="O804" s="25">
        <v>145.28</v>
      </c>
      <c r="P804" s="25">
        <v>214.91730000000001</v>
      </c>
    </row>
    <row r="805" spans="1:16" x14ac:dyDescent="0.25">
      <c r="A805" s="26">
        <v>43532</v>
      </c>
      <c r="B805" s="25" t="s">
        <v>677</v>
      </c>
      <c r="C805" s="25" t="s">
        <v>17</v>
      </c>
      <c r="D805" s="25">
        <v>1000</v>
      </c>
      <c r="E805" s="25">
        <v>242.5</v>
      </c>
      <c r="F805" s="25">
        <v>242500</v>
      </c>
      <c r="G805" s="25" t="s">
        <v>962</v>
      </c>
      <c r="H805" s="25">
        <v>2019048</v>
      </c>
      <c r="I805" s="25" t="s">
        <v>19</v>
      </c>
      <c r="J805" s="25" t="s">
        <v>20</v>
      </c>
      <c r="K805" s="25" t="s">
        <v>25</v>
      </c>
      <c r="L805" s="25">
        <v>0</v>
      </c>
      <c r="M805" s="25">
        <v>8.85</v>
      </c>
      <c r="N805" s="25">
        <v>0</v>
      </c>
      <c r="O805" s="25">
        <v>144.66999999999999</v>
      </c>
      <c r="P805" s="25">
        <v>153.52119999999999</v>
      </c>
    </row>
    <row r="806" spans="1:16" x14ac:dyDescent="0.25">
      <c r="A806" s="26">
        <v>43532</v>
      </c>
      <c r="B806" s="25" t="s">
        <v>16</v>
      </c>
      <c r="C806" s="25" t="s">
        <v>23</v>
      </c>
      <c r="D806" s="25">
        <v>1000</v>
      </c>
      <c r="E806" s="25">
        <v>36.6</v>
      </c>
      <c r="F806" s="25">
        <v>36595.25</v>
      </c>
      <c r="G806" s="25" t="s">
        <v>963</v>
      </c>
      <c r="H806" s="25">
        <v>2019048</v>
      </c>
      <c r="I806" s="25" t="s">
        <v>19</v>
      </c>
      <c r="J806" s="25" t="s">
        <v>1634</v>
      </c>
      <c r="K806" s="25" t="s">
        <v>25</v>
      </c>
      <c r="L806" s="25">
        <v>36.25</v>
      </c>
      <c r="M806" s="25">
        <v>1.34</v>
      </c>
      <c r="N806" s="25">
        <v>15.9</v>
      </c>
      <c r="O806" s="25">
        <v>237.74</v>
      </c>
      <c r="P806" s="25">
        <v>291.22579999999999</v>
      </c>
    </row>
    <row r="807" spans="1:16" x14ac:dyDescent="0.25">
      <c r="A807" s="26">
        <v>43531</v>
      </c>
      <c r="B807" s="25" t="s">
        <v>282</v>
      </c>
      <c r="C807" s="25" t="s">
        <v>23</v>
      </c>
      <c r="D807" s="25">
        <v>1000</v>
      </c>
      <c r="E807" s="25">
        <v>613.5</v>
      </c>
      <c r="F807" s="25">
        <v>613500</v>
      </c>
      <c r="G807" s="25" t="s">
        <v>900</v>
      </c>
      <c r="H807" s="25">
        <v>201819235</v>
      </c>
      <c r="I807" s="25" t="s">
        <v>19</v>
      </c>
      <c r="J807" s="25" t="s">
        <v>20</v>
      </c>
      <c r="K807" s="25" t="s">
        <v>21</v>
      </c>
      <c r="L807" s="25">
        <v>154</v>
      </c>
      <c r="M807" s="25">
        <v>17.5</v>
      </c>
      <c r="N807" s="25">
        <v>0</v>
      </c>
      <c r="O807" s="25">
        <v>365.12</v>
      </c>
      <c r="P807" s="25">
        <v>536.62480000000005</v>
      </c>
    </row>
    <row r="808" spans="1:16" x14ac:dyDescent="0.25">
      <c r="A808" s="26">
        <v>43531</v>
      </c>
      <c r="B808" s="25" t="s">
        <v>282</v>
      </c>
      <c r="C808" s="25" t="s">
        <v>17</v>
      </c>
      <c r="D808" s="25">
        <v>1000</v>
      </c>
      <c r="E808" s="25">
        <v>614.79999999999995</v>
      </c>
      <c r="F808" s="25">
        <v>614800</v>
      </c>
      <c r="G808" s="25" t="s">
        <v>901</v>
      </c>
      <c r="H808" s="25">
        <v>201819235</v>
      </c>
      <c r="I808" s="25" t="s">
        <v>19</v>
      </c>
      <c r="J808" s="25" t="s">
        <v>20</v>
      </c>
      <c r="K808" s="25" t="s">
        <v>21</v>
      </c>
      <c r="L808" s="25">
        <v>0</v>
      </c>
      <c r="M808" s="25">
        <v>17.62</v>
      </c>
      <c r="N808" s="25">
        <v>36.9</v>
      </c>
      <c r="O808" s="25">
        <v>365.89</v>
      </c>
      <c r="P808" s="25">
        <v>420.4119</v>
      </c>
    </row>
    <row r="809" spans="1:16" x14ac:dyDescent="0.25">
      <c r="A809" s="26">
        <v>43531</v>
      </c>
      <c r="B809" s="25" t="s">
        <v>282</v>
      </c>
      <c r="C809" s="25" t="s">
        <v>23</v>
      </c>
      <c r="D809" s="25">
        <v>100</v>
      </c>
      <c r="E809" s="25">
        <v>613.35</v>
      </c>
      <c r="F809" s="25">
        <v>61335</v>
      </c>
      <c r="G809" s="25" t="s">
        <v>902</v>
      </c>
      <c r="H809" s="25">
        <v>2019047</v>
      </c>
      <c r="I809" s="25" t="s">
        <v>19</v>
      </c>
      <c r="J809" s="25" t="s">
        <v>20</v>
      </c>
      <c r="K809" s="25" t="s">
        <v>25</v>
      </c>
      <c r="L809" s="25">
        <v>15.38</v>
      </c>
      <c r="M809" s="25">
        <v>2.2400000000000002</v>
      </c>
      <c r="N809" s="25">
        <v>0</v>
      </c>
      <c r="O809" s="25">
        <v>36.590000000000003</v>
      </c>
      <c r="P809" s="25">
        <v>54.2087</v>
      </c>
    </row>
    <row r="810" spans="1:16" x14ac:dyDescent="0.25">
      <c r="A810" s="26">
        <v>43531</v>
      </c>
      <c r="B810" s="25" t="s">
        <v>738</v>
      </c>
      <c r="C810" s="25" t="s">
        <v>17</v>
      </c>
      <c r="D810" s="25">
        <v>100</v>
      </c>
      <c r="E810" s="25">
        <v>369.1</v>
      </c>
      <c r="F810" s="25">
        <v>36910</v>
      </c>
      <c r="G810" s="25" t="s">
        <v>903</v>
      </c>
      <c r="H810" s="25">
        <v>2019047</v>
      </c>
      <c r="I810" s="25" t="s">
        <v>19</v>
      </c>
      <c r="J810" s="25" t="s">
        <v>20</v>
      </c>
      <c r="K810" s="25" t="s">
        <v>25</v>
      </c>
      <c r="L810" s="25">
        <v>0</v>
      </c>
      <c r="M810" s="25">
        <v>1.35</v>
      </c>
      <c r="N810" s="25">
        <v>0</v>
      </c>
      <c r="O810" s="25">
        <v>29.74</v>
      </c>
      <c r="P810" s="25">
        <v>31.087299999999999</v>
      </c>
    </row>
    <row r="811" spans="1:16" x14ac:dyDescent="0.25">
      <c r="A811" s="26">
        <v>43531</v>
      </c>
      <c r="B811" s="25" t="s">
        <v>738</v>
      </c>
      <c r="C811" s="25" t="s">
        <v>23</v>
      </c>
      <c r="D811" s="25">
        <v>100</v>
      </c>
      <c r="E811" s="25">
        <v>372</v>
      </c>
      <c r="F811" s="25">
        <v>37200</v>
      </c>
      <c r="G811" s="25" t="s">
        <v>904</v>
      </c>
      <c r="H811" s="25">
        <v>2019047</v>
      </c>
      <c r="I811" s="25" t="s">
        <v>19</v>
      </c>
      <c r="J811" s="25" t="s">
        <v>20</v>
      </c>
      <c r="K811" s="25" t="s">
        <v>25</v>
      </c>
      <c r="L811" s="25">
        <v>9.27</v>
      </c>
      <c r="M811" s="25">
        <v>1.36</v>
      </c>
      <c r="N811" s="25">
        <v>0</v>
      </c>
      <c r="O811" s="25">
        <v>29.74</v>
      </c>
      <c r="P811" s="25">
        <v>40.367800000000003</v>
      </c>
    </row>
    <row r="812" spans="1:16" x14ac:dyDescent="0.25">
      <c r="A812" s="26">
        <v>43531</v>
      </c>
      <c r="B812" s="25" t="s">
        <v>282</v>
      </c>
      <c r="C812" s="25" t="s">
        <v>23</v>
      </c>
      <c r="D812" s="25">
        <v>200</v>
      </c>
      <c r="E812" s="25">
        <v>619</v>
      </c>
      <c r="F812" s="25">
        <v>123800</v>
      </c>
      <c r="G812" s="25" t="s">
        <v>905</v>
      </c>
      <c r="H812" s="25">
        <v>2019047</v>
      </c>
      <c r="I812" s="25" t="s">
        <v>19</v>
      </c>
      <c r="J812" s="25" t="s">
        <v>20</v>
      </c>
      <c r="K812" s="25" t="s">
        <v>25</v>
      </c>
      <c r="L812" s="25">
        <v>30.76</v>
      </c>
      <c r="M812" s="25">
        <v>4.5199999999999996</v>
      </c>
      <c r="N812" s="25">
        <v>0</v>
      </c>
      <c r="O812" s="25">
        <v>73.86</v>
      </c>
      <c r="P812" s="25">
        <v>109.1387</v>
      </c>
    </row>
    <row r="813" spans="1:16" x14ac:dyDescent="0.25">
      <c r="A813" s="26">
        <v>43531</v>
      </c>
      <c r="B813" s="25" t="s">
        <v>282</v>
      </c>
      <c r="C813" s="25" t="s">
        <v>17</v>
      </c>
      <c r="D813" s="25">
        <v>300</v>
      </c>
      <c r="E813" s="25">
        <v>613</v>
      </c>
      <c r="F813" s="25">
        <v>183900</v>
      </c>
      <c r="G813" s="25" t="s">
        <v>906</v>
      </c>
      <c r="H813" s="25">
        <v>2019047</v>
      </c>
      <c r="I813" s="25" t="s">
        <v>19</v>
      </c>
      <c r="J813" s="25" t="s">
        <v>20</v>
      </c>
      <c r="K813" s="25" t="s">
        <v>25</v>
      </c>
      <c r="L813" s="25">
        <v>0</v>
      </c>
      <c r="M813" s="25">
        <v>6.71</v>
      </c>
      <c r="N813" s="25">
        <v>0</v>
      </c>
      <c r="O813" s="25">
        <v>109.71</v>
      </c>
      <c r="P813" s="25">
        <v>116.4224</v>
      </c>
    </row>
    <row r="814" spans="1:16" x14ac:dyDescent="0.25">
      <c r="A814" s="26">
        <v>43531</v>
      </c>
      <c r="B814" s="25" t="s">
        <v>738</v>
      </c>
      <c r="C814" s="25" t="s">
        <v>23</v>
      </c>
      <c r="D814" s="25">
        <v>250</v>
      </c>
      <c r="E814" s="25">
        <v>374</v>
      </c>
      <c r="F814" s="25">
        <v>93500</v>
      </c>
      <c r="G814" s="25" t="s">
        <v>907</v>
      </c>
      <c r="H814" s="25">
        <v>2019047</v>
      </c>
      <c r="I814" s="25" t="s">
        <v>19</v>
      </c>
      <c r="J814" s="25" t="s">
        <v>20</v>
      </c>
      <c r="K814" s="25" t="s">
        <v>25</v>
      </c>
      <c r="L814" s="25">
        <v>23.18</v>
      </c>
      <c r="M814" s="25">
        <v>3.41</v>
      </c>
      <c r="N814" s="25">
        <v>0</v>
      </c>
      <c r="O814" s="25">
        <v>55.78</v>
      </c>
      <c r="P814" s="25">
        <v>82.372799999999998</v>
      </c>
    </row>
    <row r="815" spans="1:16" x14ac:dyDescent="0.25">
      <c r="A815" s="26">
        <v>43531</v>
      </c>
      <c r="B815" s="25" t="s">
        <v>282</v>
      </c>
      <c r="C815" s="25" t="s">
        <v>17</v>
      </c>
      <c r="D815" s="25">
        <v>250</v>
      </c>
      <c r="E815" s="25">
        <v>615</v>
      </c>
      <c r="F815" s="25">
        <v>153750</v>
      </c>
      <c r="G815" s="25" t="s">
        <v>908</v>
      </c>
      <c r="H815" s="25">
        <v>2019047</v>
      </c>
      <c r="I815" s="25" t="s">
        <v>19</v>
      </c>
      <c r="J815" s="25" t="s">
        <v>20</v>
      </c>
      <c r="K815" s="25" t="s">
        <v>25</v>
      </c>
      <c r="L815" s="25">
        <v>0</v>
      </c>
      <c r="M815" s="25">
        <v>5.61</v>
      </c>
      <c r="N815" s="25">
        <v>0</v>
      </c>
      <c r="O815" s="25">
        <v>91.72</v>
      </c>
      <c r="P815" s="25">
        <v>97.331900000000005</v>
      </c>
    </row>
    <row r="816" spans="1:16" x14ac:dyDescent="0.25">
      <c r="A816" s="26">
        <v>43531</v>
      </c>
      <c r="B816" s="25" t="s">
        <v>282</v>
      </c>
      <c r="C816" s="25" t="s">
        <v>23</v>
      </c>
      <c r="D816" s="25">
        <v>250</v>
      </c>
      <c r="E816" s="25">
        <v>616</v>
      </c>
      <c r="F816" s="25">
        <v>154000</v>
      </c>
      <c r="G816" s="25" t="s">
        <v>909</v>
      </c>
      <c r="H816" s="25">
        <v>2019047</v>
      </c>
      <c r="I816" s="25" t="s">
        <v>19</v>
      </c>
      <c r="J816" s="25" t="s">
        <v>20</v>
      </c>
      <c r="K816" s="25" t="s">
        <v>25</v>
      </c>
      <c r="L816" s="25">
        <v>38.450000000000003</v>
      </c>
      <c r="M816" s="25">
        <v>5.62</v>
      </c>
      <c r="N816" s="25">
        <v>0</v>
      </c>
      <c r="O816" s="25">
        <v>91.87</v>
      </c>
      <c r="P816" s="25">
        <v>135.941</v>
      </c>
    </row>
    <row r="817" spans="1:16" x14ac:dyDescent="0.25">
      <c r="A817" s="26">
        <v>43531</v>
      </c>
      <c r="B817" s="25" t="s">
        <v>738</v>
      </c>
      <c r="C817" s="25" t="s">
        <v>17</v>
      </c>
      <c r="D817" s="25">
        <v>250</v>
      </c>
      <c r="E817" s="25">
        <v>371.75</v>
      </c>
      <c r="F817" s="25">
        <v>92937.5</v>
      </c>
      <c r="G817" s="25" t="s">
        <v>910</v>
      </c>
      <c r="H817" s="25">
        <v>2019047</v>
      </c>
      <c r="I817" s="25" t="s">
        <v>19</v>
      </c>
      <c r="J817" s="25" t="s">
        <v>20</v>
      </c>
      <c r="K817" s="25" t="s">
        <v>25</v>
      </c>
      <c r="L817" s="25">
        <v>0</v>
      </c>
      <c r="M817" s="25">
        <v>3.39</v>
      </c>
      <c r="N817" s="25">
        <v>0</v>
      </c>
      <c r="O817" s="25">
        <v>55.44</v>
      </c>
      <c r="P817" s="25">
        <v>58.8322</v>
      </c>
    </row>
    <row r="818" spans="1:16" x14ac:dyDescent="0.25">
      <c r="A818" s="26">
        <v>43531</v>
      </c>
      <c r="B818" s="25" t="s">
        <v>738</v>
      </c>
      <c r="C818" s="25" t="s">
        <v>17</v>
      </c>
      <c r="D818" s="25">
        <v>5000</v>
      </c>
      <c r="E818" s="25">
        <v>371</v>
      </c>
      <c r="F818" s="25">
        <v>1855000</v>
      </c>
      <c r="G818" s="25" t="s">
        <v>911</v>
      </c>
      <c r="H818" s="25">
        <v>2019047</v>
      </c>
      <c r="I818" s="25" t="s">
        <v>19</v>
      </c>
      <c r="J818" s="25" t="s">
        <v>20</v>
      </c>
      <c r="K818" s="25" t="s">
        <v>25</v>
      </c>
      <c r="L818" s="25">
        <v>0</v>
      </c>
      <c r="M818" s="25">
        <v>67.709999999999994</v>
      </c>
      <c r="N818" s="25">
        <v>0</v>
      </c>
      <c r="O818" s="25">
        <v>1106.6400000000001</v>
      </c>
      <c r="P818" s="25">
        <v>1174.3475000000001</v>
      </c>
    </row>
    <row r="819" spans="1:16" x14ac:dyDescent="0.25">
      <c r="A819" s="26">
        <v>43531</v>
      </c>
      <c r="B819" s="25" t="s">
        <v>738</v>
      </c>
      <c r="C819" s="25" t="s">
        <v>23</v>
      </c>
      <c r="D819" s="25">
        <v>5000</v>
      </c>
      <c r="E819" s="25">
        <v>370.64</v>
      </c>
      <c r="F819" s="25">
        <v>1853197.5</v>
      </c>
      <c r="G819" s="25" t="s">
        <v>912</v>
      </c>
      <c r="H819" s="25">
        <v>2019047</v>
      </c>
      <c r="I819" s="25" t="s">
        <v>19</v>
      </c>
      <c r="J819" s="25" t="s">
        <v>20</v>
      </c>
      <c r="K819" s="25" t="s">
        <v>25</v>
      </c>
      <c r="L819" s="25">
        <v>463.95</v>
      </c>
      <c r="M819" s="25">
        <v>67.64</v>
      </c>
      <c r="N819" s="25">
        <v>139.5</v>
      </c>
      <c r="O819" s="25">
        <v>1105.57</v>
      </c>
      <c r="P819" s="25">
        <v>1776.6614999999999</v>
      </c>
    </row>
    <row r="820" spans="1:16" x14ac:dyDescent="0.25">
      <c r="A820" s="26">
        <v>43530</v>
      </c>
      <c r="B820" s="25" t="s">
        <v>738</v>
      </c>
      <c r="C820" s="25" t="s">
        <v>23</v>
      </c>
      <c r="D820" s="25">
        <v>2500</v>
      </c>
      <c r="E820" s="25">
        <v>369.29</v>
      </c>
      <c r="F820" s="25">
        <v>923233.65</v>
      </c>
      <c r="G820" s="25" t="s">
        <v>913</v>
      </c>
      <c r="H820" s="25">
        <v>2019046</v>
      </c>
      <c r="I820" s="25" t="s">
        <v>19</v>
      </c>
      <c r="J820" s="25" t="s">
        <v>20</v>
      </c>
      <c r="K820" s="25" t="s">
        <v>25</v>
      </c>
      <c r="L820" s="25">
        <v>230.65</v>
      </c>
      <c r="M820" s="25">
        <v>33.700000000000003</v>
      </c>
      <c r="N820" s="25">
        <v>77.7</v>
      </c>
      <c r="O820" s="25">
        <v>550.75</v>
      </c>
      <c r="P820" s="25">
        <v>892.79809999999998</v>
      </c>
    </row>
    <row r="821" spans="1:16" x14ac:dyDescent="0.25">
      <c r="A821" s="26">
        <v>43530</v>
      </c>
      <c r="B821" s="25" t="s">
        <v>738</v>
      </c>
      <c r="C821" s="25" t="s">
        <v>23</v>
      </c>
      <c r="D821" s="25">
        <v>1000</v>
      </c>
      <c r="E821" s="25">
        <v>371</v>
      </c>
      <c r="F821" s="25">
        <v>371000</v>
      </c>
      <c r="G821" s="25" t="s">
        <v>914</v>
      </c>
      <c r="H821" s="25">
        <v>2019046</v>
      </c>
      <c r="I821" s="25" t="s">
        <v>19</v>
      </c>
      <c r="J821" s="25" t="s">
        <v>20</v>
      </c>
      <c r="K821" s="25" t="s">
        <v>25</v>
      </c>
      <c r="L821" s="25">
        <v>92.35</v>
      </c>
      <c r="M821" s="25">
        <v>13.54</v>
      </c>
      <c r="N821" s="25">
        <v>0</v>
      </c>
      <c r="O821" s="25">
        <v>221.32</v>
      </c>
      <c r="P821" s="25">
        <v>327.2115</v>
      </c>
    </row>
    <row r="822" spans="1:16" x14ac:dyDescent="0.25">
      <c r="A822" s="26">
        <v>43530</v>
      </c>
      <c r="B822" s="25" t="s">
        <v>738</v>
      </c>
      <c r="C822" s="25" t="s">
        <v>17</v>
      </c>
      <c r="D822" s="25">
        <v>3500</v>
      </c>
      <c r="E822" s="25">
        <v>369</v>
      </c>
      <c r="F822" s="25">
        <v>1291500</v>
      </c>
      <c r="G822" s="25" t="s">
        <v>915</v>
      </c>
      <c r="H822" s="25">
        <v>2019046</v>
      </c>
      <c r="I822" s="25" t="s">
        <v>19</v>
      </c>
      <c r="J822" s="25" t="s">
        <v>20</v>
      </c>
      <c r="K822" s="25" t="s">
        <v>25</v>
      </c>
      <c r="L822" s="25">
        <v>0</v>
      </c>
      <c r="M822" s="25">
        <v>47.14</v>
      </c>
      <c r="N822" s="25">
        <v>0</v>
      </c>
      <c r="O822" s="25">
        <v>770.47</v>
      </c>
      <c r="P822" s="25">
        <v>817.60979999999995</v>
      </c>
    </row>
    <row r="823" spans="1:16" x14ac:dyDescent="0.25">
      <c r="A823" s="26">
        <v>43529</v>
      </c>
      <c r="B823" s="25" t="s">
        <v>738</v>
      </c>
      <c r="C823" s="25" t="s">
        <v>17</v>
      </c>
      <c r="D823" s="25">
        <v>500</v>
      </c>
      <c r="E823" s="25">
        <v>355.05</v>
      </c>
      <c r="F823" s="25">
        <v>177525</v>
      </c>
      <c r="G823" s="25" t="s">
        <v>916</v>
      </c>
      <c r="H823" s="25">
        <v>2019045</v>
      </c>
      <c r="I823" s="25" t="s">
        <v>19</v>
      </c>
      <c r="J823" s="25" t="s">
        <v>20</v>
      </c>
      <c r="K823" s="25" t="s">
        <v>25</v>
      </c>
      <c r="L823" s="25">
        <v>0</v>
      </c>
      <c r="M823" s="25">
        <v>6.48</v>
      </c>
      <c r="N823" s="25">
        <v>0</v>
      </c>
      <c r="O823" s="25">
        <v>105.91</v>
      </c>
      <c r="P823" s="25">
        <v>112.3897</v>
      </c>
    </row>
    <row r="824" spans="1:16" x14ac:dyDescent="0.25">
      <c r="A824" s="26">
        <v>43529</v>
      </c>
      <c r="B824" s="25" t="s">
        <v>738</v>
      </c>
      <c r="C824" s="25" t="s">
        <v>23</v>
      </c>
      <c r="D824" s="25">
        <v>500</v>
      </c>
      <c r="E824" s="25">
        <v>357.25</v>
      </c>
      <c r="F824" s="25">
        <v>178625</v>
      </c>
      <c r="G824" s="25" t="s">
        <v>917</v>
      </c>
      <c r="H824" s="25">
        <v>2019045</v>
      </c>
      <c r="I824" s="25" t="s">
        <v>19</v>
      </c>
      <c r="J824" s="25" t="s">
        <v>20</v>
      </c>
      <c r="K824" s="25" t="s">
        <v>25</v>
      </c>
      <c r="L824" s="25">
        <v>45.26</v>
      </c>
      <c r="M824" s="25">
        <v>6.52</v>
      </c>
      <c r="N824" s="25">
        <v>0</v>
      </c>
      <c r="O824" s="25">
        <v>106.56</v>
      </c>
      <c r="P824" s="25">
        <v>158.3398</v>
      </c>
    </row>
    <row r="825" spans="1:16" x14ac:dyDescent="0.25">
      <c r="A825" s="26">
        <v>43529</v>
      </c>
      <c r="B825" s="25" t="s">
        <v>16</v>
      </c>
      <c r="C825" s="25" t="s">
        <v>17</v>
      </c>
      <c r="D825" s="25">
        <v>1000</v>
      </c>
      <c r="E825" s="25">
        <v>34.6</v>
      </c>
      <c r="F825" s="25">
        <v>34600</v>
      </c>
      <c r="G825" s="25" t="s">
        <v>918</v>
      </c>
      <c r="H825" s="25">
        <v>2019045</v>
      </c>
      <c r="I825" s="25" t="s">
        <v>19</v>
      </c>
      <c r="J825" s="25" t="s">
        <v>1634</v>
      </c>
      <c r="K825" s="25" t="s">
        <v>25</v>
      </c>
      <c r="L825" s="25">
        <v>34.6</v>
      </c>
      <c r="M825" s="25">
        <v>1.26</v>
      </c>
      <c r="N825" s="25">
        <v>0</v>
      </c>
      <c r="O825" s="25">
        <v>224.78</v>
      </c>
      <c r="P825" s="25">
        <v>260.6429</v>
      </c>
    </row>
    <row r="826" spans="1:16" x14ac:dyDescent="0.25">
      <c r="A826" s="26">
        <v>43529</v>
      </c>
      <c r="B826" s="25" t="s">
        <v>738</v>
      </c>
      <c r="C826" s="25" t="s">
        <v>23</v>
      </c>
      <c r="D826" s="25">
        <v>5000</v>
      </c>
      <c r="E826" s="25">
        <v>359.76</v>
      </c>
      <c r="F826" s="25">
        <v>1798806.4</v>
      </c>
      <c r="G826" s="25" t="s">
        <v>919</v>
      </c>
      <c r="H826" s="25">
        <v>2019045</v>
      </c>
      <c r="I826" s="25" t="s">
        <v>19</v>
      </c>
      <c r="J826" s="25" t="s">
        <v>20</v>
      </c>
      <c r="K826" s="25" t="s">
        <v>25</v>
      </c>
      <c r="L826" s="25">
        <v>452.59</v>
      </c>
      <c r="M826" s="25">
        <v>65.66</v>
      </c>
      <c r="N826" s="25">
        <v>0</v>
      </c>
      <c r="O826" s="25">
        <v>1072.95</v>
      </c>
      <c r="P826" s="25">
        <v>1591.1962000000001</v>
      </c>
    </row>
    <row r="827" spans="1:16" x14ac:dyDescent="0.25">
      <c r="A827" s="26">
        <v>43529</v>
      </c>
      <c r="B827" s="25" t="s">
        <v>738</v>
      </c>
      <c r="C827" s="25" t="s">
        <v>17</v>
      </c>
      <c r="D827" s="25">
        <v>5000</v>
      </c>
      <c r="E827" s="25">
        <v>362.47</v>
      </c>
      <c r="F827" s="25">
        <v>1812335</v>
      </c>
      <c r="G827" s="25" t="s">
        <v>920</v>
      </c>
      <c r="H827" s="25">
        <v>2019045</v>
      </c>
      <c r="I827" s="25" t="s">
        <v>19</v>
      </c>
      <c r="J827" s="25" t="s">
        <v>20</v>
      </c>
      <c r="K827" s="25" t="s">
        <v>25</v>
      </c>
      <c r="L827" s="25">
        <v>0</v>
      </c>
      <c r="M827" s="25">
        <v>66.150000000000006</v>
      </c>
      <c r="N827" s="25">
        <v>0</v>
      </c>
      <c r="O827" s="25">
        <v>1081.26</v>
      </c>
      <c r="P827" s="25">
        <v>1147.4100000000001</v>
      </c>
    </row>
    <row r="828" spans="1:16" x14ac:dyDescent="0.25">
      <c r="A828" s="26">
        <v>43529</v>
      </c>
      <c r="B828" s="25" t="s">
        <v>738</v>
      </c>
      <c r="C828" s="25" t="s">
        <v>17</v>
      </c>
      <c r="D828" s="25">
        <v>5000</v>
      </c>
      <c r="E828" s="25">
        <v>362.52</v>
      </c>
      <c r="F828" s="25">
        <v>1812597.9</v>
      </c>
      <c r="G828" s="25" t="s">
        <v>921</v>
      </c>
      <c r="H828" s="25">
        <v>2019045</v>
      </c>
      <c r="I828" s="25" t="s">
        <v>19</v>
      </c>
      <c r="J828" s="25" t="s">
        <v>20</v>
      </c>
      <c r="K828" s="25" t="s">
        <v>25</v>
      </c>
      <c r="L828" s="25">
        <v>0</v>
      </c>
      <c r="M828" s="25">
        <v>66.16</v>
      </c>
      <c r="N828" s="25">
        <v>0</v>
      </c>
      <c r="O828" s="25">
        <v>1081.3399999999999</v>
      </c>
      <c r="P828" s="25">
        <v>1147.5</v>
      </c>
    </row>
    <row r="829" spans="1:16" x14ac:dyDescent="0.25">
      <c r="A829" s="26">
        <v>43529</v>
      </c>
      <c r="B829" s="25" t="s">
        <v>738</v>
      </c>
      <c r="C829" s="25" t="s">
        <v>17</v>
      </c>
      <c r="D829" s="25">
        <v>5000</v>
      </c>
      <c r="E829" s="25">
        <v>362.42</v>
      </c>
      <c r="F829" s="25">
        <v>1812080.55</v>
      </c>
      <c r="G829" s="25" t="s">
        <v>922</v>
      </c>
      <c r="H829" s="25">
        <v>2019045</v>
      </c>
      <c r="I829" s="25" t="s">
        <v>19</v>
      </c>
      <c r="J829" s="25" t="s">
        <v>20</v>
      </c>
      <c r="K829" s="25" t="s">
        <v>25</v>
      </c>
      <c r="L829" s="25">
        <v>0</v>
      </c>
      <c r="M829" s="25">
        <v>66.14</v>
      </c>
      <c r="N829" s="25">
        <v>0</v>
      </c>
      <c r="O829" s="25">
        <v>1081.03</v>
      </c>
      <c r="P829" s="25">
        <v>1147.1711</v>
      </c>
    </row>
    <row r="830" spans="1:16" x14ac:dyDescent="0.25">
      <c r="A830" s="26">
        <v>43529</v>
      </c>
      <c r="B830" s="25" t="s">
        <v>738</v>
      </c>
      <c r="C830" s="25" t="s">
        <v>23</v>
      </c>
      <c r="D830" s="25">
        <v>10000</v>
      </c>
      <c r="E830" s="25">
        <v>363.24</v>
      </c>
      <c r="F830" s="25">
        <v>3632393.9</v>
      </c>
      <c r="G830" s="25" t="s">
        <v>923</v>
      </c>
      <c r="H830" s="25">
        <v>2019045</v>
      </c>
      <c r="I830" s="25" t="s">
        <v>19</v>
      </c>
      <c r="J830" s="25" t="s">
        <v>20</v>
      </c>
      <c r="K830" s="25" t="s">
        <v>25</v>
      </c>
      <c r="L830" s="25">
        <v>905.55</v>
      </c>
      <c r="M830" s="25">
        <v>132.58000000000001</v>
      </c>
      <c r="N830" s="25">
        <v>337.8</v>
      </c>
      <c r="O830" s="25">
        <v>2166.94</v>
      </c>
      <c r="P830" s="25">
        <v>3542.8717999999999</v>
      </c>
    </row>
    <row r="831" spans="1:16" x14ac:dyDescent="0.25">
      <c r="A831" s="26">
        <v>43525</v>
      </c>
      <c r="B831" s="25" t="s">
        <v>480</v>
      </c>
      <c r="C831" s="25" t="s">
        <v>23</v>
      </c>
      <c r="D831" s="25">
        <v>1000</v>
      </c>
      <c r="E831" s="25">
        <v>83.95</v>
      </c>
      <c r="F831" s="25">
        <v>83950</v>
      </c>
      <c r="G831" s="25" t="s">
        <v>924</v>
      </c>
      <c r="H831" s="25">
        <v>2019044</v>
      </c>
      <c r="I831" s="25" t="s">
        <v>19</v>
      </c>
      <c r="J831" s="25" t="s">
        <v>20</v>
      </c>
      <c r="K831" s="25" t="s">
        <v>25</v>
      </c>
      <c r="L831" s="25">
        <v>21.32</v>
      </c>
      <c r="M831" s="25">
        <v>3.06</v>
      </c>
      <c r="N831" s="25">
        <v>0</v>
      </c>
      <c r="O831" s="25">
        <v>50.08</v>
      </c>
      <c r="P831" s="25">
        <v>74.464200000000005</v>
      </c>
    </row>
    <row r="832" spans="1:16" x14ac:dyDescent="0.25">
      <c r="A832" s="26">
        <v>43525</v>
      </c>
      <c r="B832" s="25" t="s">
        <v>480</v>
      </c>
      <c r="C832" s="25" t="s">
        <v>17</v>
      </c>
      <c r="D832" s="25">
        <v>3500</v>
      </c>
      <c r="E832" s="25">
        <v>85.8</v>
      </c>
      <c r="F832" s="25">
        <v>300300</v>
      </c>
      <c r="G832" s="25" t="s">
        <v>925</v>
      </c>
      <c r="H832" s="25">
        <v>2019044</v>
      </c>
      <c r="I832" s="25" t="s">
        <v>19</v>
      </c>
      <c r="J832" s="25" t="s">
        <v>20</v>
      </c>
      <c r="K832" s="25" t="s">
        <v>25</v>
      </c>
      <c r="L832" s="25">
        <v>0</v>
      </c>
      <c r="M832" s="25">
        <v>10.96</v>
      </c>
      <c r="N832" s="25">
        <v>0</v>
      </c>
      <c r="O832" s="25">
        <v>179.15</v>
      </c>
      <c r="P832" s="25">
        <v>190.11109999999999</v>
      </c>
    </row>
    <row r="833" spans="1:16" x14ac:dyDescent="0.25">
      <c r="A833" s="26">
        <v>43525</v>
      </c>
      <c r="B833" s="25" t="s">
        <v>480</v>
      </c>
      <c r="C833" s="25" t="s">
        <v>23</v>
      </c>
      <c r="D833" s="25">
        <v>500</v>
      </c>
      <c r="E833" s="25">
        <v>84.76</v>
      </c>
      <c r="F833" s="25">
        <v>42381.7</v>
      </c>
      <c r="G833" s="25" t="s">
        <v>926</v>
      </c>
      <c r="H833" s="25">
        <v>2019044</v>
      </c>
      <c r="I833" s="25" t="s">
        <v>19</v>
      </c>
      <c r="J833" s="25" t="s">
        <v>20</v>
      </c>
      <c r="K833" s="25" t="s">
        <v>25</v>
      </c>
      <c r="L833" s="25">
        <v>11.03</v>
      </c>
      <c r="M833" s="25">
        <v>1.55</v>
      </c>
      <c r="N833" s="25">
        <v>18</v>
      </c>
      <c r="O833" s="25">
        <v>29.78</v>
      </c>
      <c r="P833" s="25">
        <v>60.356999999999999</v>
      </c>
    </row>
    <row r="834" spans="1:16" x14ac:dyDescent="0.25">
      <c r="A834" s="26">
        <v>43525</v>
      </c>
      <c r="B834" s="25" t="s">
        <v>480</v>
      </c>
      <c r="C834" s="25" t="s">
        <v>23</v>
      </c>
      <c r="D834" s="25">
        <v>2000</v>
      </c>
      <c r="E834" s="25">
        <v>85.2</v>
      </c>
      <c r="F834" s="25">
        <v>170400</v>
      </c>
      <c r="G834" s="25" t="s">
        <v>927</v>
      </c>
      <c r="H834" s="25">
        <v>2019044</v>
      </c>
      <c r="I834" s="25" t="s">
        <v>19</v>
      </c>
      <c r="J834" s="25" t="s">
        <v>20</v>
      </c>
      <c r="K834" s="25" t="s">
        <v>25</v>
      </c>
      <c r="L834" s="25">
        <v>42.65</v>
      </c>
      <c r="M834" s="25">
        <v>6.22</v>
      </c>
      <c r="N834" s="25">
        <v>0</v>
      </c>
      <c r="O834" s="25">
        <v>101.66</v>
      </c>
      <c r="P834" s="25">
        <v>150.52959999999999</v>
      </c>
    </row>
    <row r="835" spans="1:16" x14ac:dyDescent="0.25">
      <c r="A835" s="26">
        <v>43514</v>
      </c>
      <c r="B835" s="25" t="s">
        <v>205</v>
      </c>
      <c r="C835" s="25" t="s">
        <v>17</v>
      </c>
      <c r="D835" s="25">
        <v>100</v>
      </c>
      <c r="E835" s="25">
        <v>17.25</v>
      </c>
      <c r="F835" s="25">
        <v>1725</v>
      </c>
      <c r="G835" s="25" t="s">
        <v>928</v>
      </c>
      <c r="H835" s="25">
        <v>2019035</v>
      </c>
      <c r="I835" s="25" t="s">
        <v>19</v>
      </c>
      <c r="J835" s="25" t="s">
        <v>20</v>
      </c>
      <c r="K835" s="25" t="s">
        <v>25</v>
      </c>
      <c r="L835" s="25">
        <v>2</v>
      </c>
      <c r="M835" s="25">
        <v>0.06</v>
      </c>
      <c r="N835" s="25">
        <v>0.3</v>
      </c>
      <c r="O835" s="25">
        <v>41.31</v>
      </c>
      <c r="P835" s="25">
        <v>43.673000000000002</v>
      </c>
    </row>
    <row r="836" spans="1:16" x14ac:dyDescent="0.25">
      <c r="A836" s="26">
        <v>43501</v>
      </c>
      <c r="B836" s="25" t="s">
        <v>433</v>
      </c>
      <c r="C836" s="25" t="s">
        <v>17</v>
      </c>
      <c r="D836" s="25">
        <v>1000</v>
      </c>
      <c r="E836" s="25">
        <v>7.4</v>
      </c>
      <c r="F836" s="25">
        <v>7400</v>
      </c>
      <c r="G836" s="25" t="s">
        <v>929</v>
      </c>
      <c r="H836" s="25">
        <v>2019026</v>
      </c>
      <c r="I836" s="25" t="s">
        <v>19</v>
      </c>
      <c r="J836" s="25" t="s">
        <v>20</v>
      </c>
      <c r="K836" s="25" t="s">
        <v>25</v>
      </c>
      <c r="L836" s="25">
        <v>0</v>
      </c>
      <c r="M836" s="25">
        <v>0.27</v>
      </c>
      <c r="N836" s="25">
        <v>0</v>
      </c>
      <c r="O836" s="25">
        <v>29.55</v>
      </c>
      <c r="P836" s="25">
        <v>29.8201</v>
      </c>
    </row>
    <row r="837" spans="1:16" x14ac:dyDescent="0.25">
      <c r="A837" s="26">
        <v>43501</v>
      </c>
      <c r="B837" s="25" t="s">
        <v>433</v>
      </c>
      <c r="C837" s="25" t="s">
        <v>17</v>
      </c>
      <c r="D837" s="25">
        <v>1000</v>
      </c>
      <c r="E837" s="25">
        <v>6.75</v>
      </c>
      <c r="F837" s="25">
        <v>6750</v>
      </c>
      <c r="G837" s="25" t="s">
        <v>930</v>
      </c>
      <c r="H837" s="25">
        <v>2019026</v>
      </c>
      <c r="I837" s="25" t="s">
        <v>19</v>
      </c>
      <c r="J837" s="25" t="s">
        <v>20</v>
      </c>
      <c r="K837" s="25" t="s">
        <v>25</v>
      </c>
      <c r="L837" s="25">
        <v>0</v>
      </c>
      <c r="M837" s="25">
        <v>0.25</v>
      </c>
      <c r="N837" s="25">
        <v>0.9</v>
      </c>
      <c r="O837" s="25">
        <v>29.54</v>
      </c>
      <c r="P837" s="25">
        <v>30.686399999999999</v>
      </c>
    </row>
    <row r="838" spans="1:16" x14ac:dyDescent="0.25">
      <c r="A838" s="26">
        <v>43501</v>
      </c>
      <c r="B838" s="25" t="s">
        <v>433</v>
      </c>
      <c r="C838" s="25" t="s">
        <v>23</v>
      </c>
      <c r="D838" s="25">
        <v>179</v>
      </c>
      <c r="E838" s="25">
        <v>6.3</v>
      </c>
      <c r="F838" s="25">
        <v>1127.7</v>
      </c>
      <c r="G838" s="25" t="s">
        <v>931</v>
      </c>
      <c r="H838" s="25">
        <v>2019026</v>
      </c>
      <c r="I838" s="25" t="s">
        <v>19</v>
      </c>
      <c r="J838" s="25" t="s">
        <v>20</v>
      </c>
      <c r="K838" s="25" t="s">
        <v>25</v>
      </c>
      <c r="L838" s="25">
        <v>0.28000000000000003</v>
      </c>
      <c r="M838" s="25">
        <v>0.04</v>
      </c>
      <c r="N838" s="25">
        <v>0</v>
      </c>
      <c r="O838" s="25">
        <v>29.51</v>
      </c>
      <c r="P838" s="25">
        <v>29.831199999999999</v>
      </c>
    </row>
    <row r="839" spans="1:16" x14ac:dyDescent="0.25">
      <c r="A839" s="26">
        <v>43501</v>
      </c>
      <c r="B839" s="25" t="s">
        <v>433</v>
      </c>
      <c r="C839" s="25" t="s">
        <v>23</v>
      </c>
      <c r="D839" s="25">
        <v>164</v>
      </c>
      <c r="E839" s="25">
        <v>5.6</v>
      </c>
      <c r="F839" s="25">
        <v>918.4</v>
      </c>
      <c r="G839" s="25" t="s">
        <v>932</v>
      </c>
      <c r="H839" s="25">
        <v>2019026</v>
      </c>
      <c r="I839" s="25" t="s">
        <v>19</v>
      </c>
      <c r="J839" s="25" t="s">
        <v>20</v>
      </c>
      <c r="K839" s="25" t="s">
        <v>25</v>
      </c>
      <c r="L839" s="25">
        <v>0.26</v>
      </c>
      <c r="M839" s="25">
        <v>0.03</v>
      </c>
      <c r="N839" s="25">
        <v>0</v>
      </c>
      <c r="O839" s="25">
        <v>27.1</v>
      </c>
      <c r="P839" s="25">
        <v>27.3935</v>
      </c>
    </row>
    <row r="840" spans="1:16" x14ac:dyDescent="0.25">
      <c r="A840" s="26">
        <v>43501</v>
      </c>
      <c r="B840" s="25" t="s">
        <v>433</v>
      </c>
      <c r="C840" s="25" t="s">
        <v>23</v>
      </c>
      <c r="D840" s="25">
        <v>1657</v>
      </c>
      <c r="E840" s="25">
        <v>5.5</v>
      </c>
      <c r="F840" s="25">
        <v>9113.5</v>
      </c>
      <c r="G840" s="25" t="s">
        <v>933</v>
      </c>
      <c r="H840" s="25">
        <v>2019026</v>
      </c>
      <c r="I840" s="25" t="s">
        <v>19</v>
      </c>
      <c r="J840" s="25" t="s">
        <v>20</v>
      </c>
      <c r="K840" s="25" t="s">
        <v>25</v>
      </c>
      <c r="L840" s="25">
        <v>2.46</v>
      </c>
      <c r="M840" s="25">
        <v>0.33</v>
      </c>
      <c r="N840" s="25">
        <v>0</v>
      </c>
      <c r="O840" s="25">
        <v>29.56</v>
      </c>
      <c r="P840" s="25">
        <v>32.352699999999999</v>
      </c>
    </row>
    <row r="841" spans="1:16" x14ac:dyDescent="0.25">
      <c r="A841" s="26">
        <v>43500</v>
      </c>
      <c r="B841" s="25" t="s">
        <v>665</v>
      </c>
      <c r="C841" s="25" t="s">
        <v>23</v>
      </c>
      <c r="D841" s="25">
        <v>100</v>
      </c>
      <c r="E841" s="25">
        <v>102.05</v>
      </c>
      <c r="F841" s="25">
        <v>10205</v>
      </c>
      <c r="G841" s="25" t="s">
        <v>934</v>
      </c>
      <c r="H841" s="25">
        <v>2019025</v>
      </c>
      <c r="I841" s="25" t="s">
        <v>19</v>
      </c>
      <c r="J841" s="25" t="s">
        <v>20</v>
      </c>
      <c r="K841" s="25" t="s">
        <v>25</v>
      </c>
      <c r="L841" s="25">
        <v>3.09</v>
      </c>
      <c r="M841" s="25">
        <v>0.31</v>
      </c>
      <c r="N841" s="25">
        <v>4.8</v>
      </c>
      <c r="O841" s="25">
        <v>29.56</v>
      </c>
      <c r="P841" s="25">
        <v>37.756100000000004</v>
      </c>
    </row>
    <row r="842" spans="1:16" x14ac:dyDescent="0.25">
      <c r="A842" s="26">
        <v>43500</v>
      </c>
      <c r="B842" s="25" t="s">
        <v>665</v>
      </c>
      <c r="C842" s="25" t="s">
        <v>23</v>
      </c>
      <c r="D842" s="25">
        <v>250</v>
      </c>
      <c r="E842" s="25">
        <v>105.85</v>
      </c>
      <c r="F842" s="25">
        <v>26462.5</v>
      </c>
      <c r="G842" s="25" t="s">
        <v>935</v>
      </c>
      <c r="H842" s="25">
        <v>2019025</v>
      </c>
      <c r="I842" s="25" t="s">
        <v>19</v>
      </c>
      <c r="J842" s="25" t="s">
        <v>20</v>
      </c>
      <c r="K842" s="25" t="s">
        <v>25</v>
      </c>
      <c r="L842" s="25">
        <v>7.04</v>
      </c>
      <c r="M842" s="25">
        <v>0.79</v>
      </c>
      <c r="N842" s="25">
        <v>0</v>
      </c>
      <c r="O842" s="25">
        <v>29.64</v>
      </c>
      <c r="P842" s="25">
        <v>37.4739</v>
      </c>
    </row>
    <row r="843" spans="1:16" x14ac:dyDescent="0.25">
      <c r="A843" s="26">
        <v>43500</v>
      </c>
      <c r="B843" s="25" t="s">
        <v>665</v>
      </c>
      <c r="C843" s="25" t="s">
        <v>17</v>
      </c>
      <c r="D843" s="25">
        <v>116</v>
      </c>
      <c r="E843" s="25">
        <v>115.71</v>
      </c>
      <c r="F843" s="25">
        <v>13422.5</v>
      </c>
      <c r="G843" s="25" t="s">
        <v>936</v>
      </c>
      <c r="H843" s="25">
        <v>2019025</v>
      </c>
      <c r="I843" s="25" t="s">
        <v>19</v>
      </c>
      <c r="J843" s="25" t="s">
        <v>20</v>
      </c>
      <c r="K843" s="25" t="s">
        <v>25</v>
      </c>
      <c r="L843" s="25">
        <v>0</v>
      </c>
      <c r="M843" s="25">
        <v>0.4</v>
      </c>
      <c r="N843" s="25">
        <v>0</v>
      </c>
      <c r="O843" s="25">
        <v>29.57</v>
      </c>
      <c r="P843" s="25">
        <v>29.972799999999999</v>
      </c>
    </row>
    <row r="844" spans="1:16" x14ac:dyDescent="0.25">
      <c r="A844" s="26">
        <v>43500</v>
      </c>
      <c r="B844" s="25" t="s">
        <v>665</v>
      </c>
      <c r="C844" s="25" t="s">
        <v>17</v>
      </c>
      <c r="D844" s="25">
        <v>234</v>
      </c>
      <c r="E844" s="25">
        <v>115.9</v>
      </c>
      <c r="F844" s="25">
        <v>27121.7</v>
      </c>
      <c r="G844" s="25" t="s">
        <v>937</v>
      </c>
      <c r="H844" s="25">
        <v>2019025</v>
      </c>
      <c r="I844" s="25" t="s">
        <v>19</v>
      </c>
      <c r="J844" s="25" t="s">
        <v>20</v>
      </c>
      <c r="K844" s="25" t="s">
        <v>25</v>
      </c>
      <c r="L844" s="25">
        <v>0</v>
      </c>
      <c r="M844" s="25">
        <v>0.81</v>
      </c>
      <c r="N844" s="25">
        <v>0</v>
      </c>
      <c r="O844" s="25">
        <v>29.65</v>
      </c>
      <c r="P844" s="25">
        <v>30.4636</v>
      </c>
    </row>
    <row r="845" spans="1:16" x14ac:dyDescent="0.25">
      <c r="A845" s="26">
        <v>43500</v>
      </c>
      <c r="B845" s="25" t="s">
        <v>665</v>
      </c>
      <c r="C845" s="25" t="s">
        <v>23</v>
      </c>
      <c r="D845" s="25">
        <v>350</v>
      </c>
      <c r="E845" s="25">
        <v>114.61</v>
      </c>
      <c r="F845" s="25">
        <v>40114.699999999997</v>
      </c>
      <c r="G845" s="25" t="s">
        <v>938</v>
      </c>
      <c r="H845" s="25">
        <v>2019025</v>
      </c>
      <c r="I845" s="25" t="s">
        <v>19</v>
      </c>
      <c r="J845" s="25" t="s">
        <v>20</v>
      </c>
      <c r="K845" s="25" t="s">
        <v>25</v>
      </c>
      <c r="L845" s="25">
        <v>9.86</v>
      </c>
      <c r="M845" s="25">
        <v>1.2</v>
      </c>
      <c r="N845" s="25">
        <v>0</v>
      </c>
      <c r="O845" s="25">
        <v>29.72</v>
      </c>
      <c r="P845" s="25">
        <v>40.783499999999997</v>
      </c>
    </row>
    <row r="846" spans="1:16" x14ac:dyDescent="0.25">
      <c r="A846" s="26">
        <v>43500</v>
      </c>
      <c r="B846" s="25" t="s">
        <v>665</v>
      </c>
      <c r="C846" s="25" t="s">
        <v>17</v>
      </c>
      <c r="D846" s="25">
        <v>350</v>
      </c>
      <c r="E846" s="25">
        <v>115.65</v>
      </c>
      <c r="F846" s="25">
        <v>40477.5</v>
      </c>
      <c r="G846" s="25" t="s">
        <v>939</v>
      </c>
      <c r="H846" s="25">
        <v>2019025</v>
      </c>
      <c r="I846" s="25" t="s">
        <v>19</v>
      </c>
      <c r="J846" s="25" t="s">
        <v>20</v>
      </c>
      <c r="K846" s="25" t="s">
        <v>25</v>
      </c>
      <c r="L846" s="25">
        <v>0</v>
      </c>
      <c r="M846" s="25">
        <v>1.21</v>
      </c>
      <c r="N846" s="25">
        <v>0</v>
      </c>
      <c r="O846" s="25">
        <v>29.72</v>
      </c>
      <c r="P846" s="25">
        <v>30.9343</v>
      </c>
    </row>
    <row r="847" spans="1:16" x14ac:dyDescent="0.25">
      <c r="A847" s="26">
        <v>43497</v>
      </c>
      <c r="B847" s="25" t="s">
        <v>871</v>
      </c>
      <c r="C847" s="25" t="s">
        <v>17</v>
      </c>
      <c r="D847" s="25">
        <v>100</v>
      </c>
      <c r="E847" s="25">
        <v>163.5</v>
      </c>
      <c r="F847" s="25">
        <v>16350</v>
      </c>
      <c r="G847" s="25" t="s">
        <v>940</v>
      </c>
      <c r="H847" s="25">
        <v>2019024</v>
      </c>
      <c r="I847" s="25" t="s">
        <v>19</v>
      </c>
      <c r="J847" s="25" t="s">
        <v>20</v>
      </c>
      <c r="K847" s="25" t="s">
        <v>25</v>
      </c>
      <c r="L847" s="25">
        <v>0</v>
      </c>
      <c r="M847" s="25">
        <v>0.49</v>
      </c>
      <c r="N847" s="25">
        <v>0</v>
      </c>
      <c r="O847" s="25">
        <v>29.59</v>
      </c>
      <c r="P847" s="25">
        <v>30.080500000000001</v>
      </c>
    </row>
    <row r="848" spans="1:16" x14ac:dyDescent="0.25">
      <c r="A848" s="26">
        <v>43497</v>
      </c>
      <c r="B848" s="25" t="s">
        <v>871</v>
      </c>
      <c r="C848" s="25" t="s">
        <v>17</v>
      </c>
      <c r="D848" s="25">
        <v>150</v>
      </c>
      <c r="E848" s="25">
        <v>160.5</v>
      </c>
      <c r="F848" s="25">
        <v>24075</v>
      </c>
      <c r="G848" s="25" t="s">
        <v>941</v>
      </c>
      <c r="H848" s="25">
        <v>2019024</v>
      </c>
      <c r="I848" s="25" t="s">
        <v>19</v>
      </c>
      <c r="J848" s="25" t="s">
        <v>20</v>
      </c>
      <c r="K848" s="25" t="s">
        <v>25</v>
      </c>
      <c r="L848" s="25">
        <v>0</v>
      </c>
      <c r="M848" s="25">
        <v>0.72</v>
      </c>
      <c r="N848" s="25">
        <v>2.7</v>
      </c>
      <c r="O848" s="25">
        <v>29.63</v>
      </c>
      <c r="P848" s="25">
        <v>33.052199999999999</v>
      </c>
    </row>
    <row r="849" spans="1:16" x14ac:dyDescent="0.25">
      <c r="A849" s="26">
        <v>43497</v>
      </c>
      <c r="B849" s="25" t="s">
        <v>871</v>
      </c>
      <c r="C849" s="25" t="s">
        <v>23</v>
      </c>
      <c r="D849" s="25">
        <v>250</v>
      </c>
      <c r="E849" s="25">
        <v>165</v>
      </c>
      <c r="F849" s="25">
        <v>41250</v>
      </c>
      <c r="G849" s="25" t="s">
        <v>942</v>
      </c>
      <c r="H849" s="25">
        <v>2019024</v>
      </c>
      <c r="I849" s="25" t="s">
        <v>19</v>
      </c>
      <c r="J849" s="25" t="s">
        <v>20</v>
      </c>
      <c r="K849" s="25" t="s">
        <v>25</v>
      </c>
      <c r="L849" s="25">
        <v>10</v>
      </c>
      <c r="M849" s="25">
        <v>1.24</v>
      </c>
      <c r="N849" s="25">
        <v>0</v>
      </c>
      <c r="O849" s="25">
        <v>29.72</v>
      </c>
      <c r="P849" s="25">
        <v>40.957500000000003</v>
      </c>
    </row>
    <row r="850" spans="1:16" x14ac:dyDescent="0.25">
      <c r="A850" s="26">
        <v>43488</v>
      </c>
      <c r="B850" s="25" t="s">
        <v>111</v>
      </c>
      <c r="C850" s="25" t="s">
        <v>23</v>
      </c>
      <c r="D850" s="25">
        <v>50</v>
      </c>
      <c r="E850" s="25">
        <v>417.85</v>
      </c>
      <c r="F850" s="25">
        <v>20892.5</v>
      </c>
      <c r="G850" s="25" t="s">
        <v>834</v>
      </c>
      <c r="H850" s="25">
        <v>2019017</v>
      </c>
      <c r="I850" s="25" t="s">
        <v>19</v>
      </c>
      <c r="J850" s="25" t="s">
        <v>20</v>
      </c>
      <c r="K850" s="25" t="s">
        <v>25</v>
      </c>
      <c r="L850" s="25">
        <v>5.26</v>
      </c>
      <c r="M850" s="25">
        <v>0.63</v>
      </c>
      <c r="N850" s="25">
        <v>0</v>
      </c>
      <c r="O850" s="25">
        <v>29.61</v>
      </c>
      <c r="P850" s="25">
        <v>35.496699999999997</v>
      </c>
    </row>
    <row r="851" spans="1:16" x14ac:dyDescent="0.25">
      <c r="A851" s="26">
        <v>43488</v>
      </c>
      <c r="B851" s="25" t="s">
        <v>111</v>
      </c>
      <c r="C851" s="25" t="s">
        <v>23</v>
      </c>
      <c r="D851" s="25">
        <v>50</v>
      </c>
      <c r="E851" s="25">
        <v>416.05</v>
      </c>
      <c r="F851" s="25">
        <v>20802.5</v>
      </c>
      <c r="G851" s="25" t="s">
        <v>835</v>
      </c>
      <c r="H851" s="25">
        <v>2019017</v>
      </c>
      <c r="I851" s="25" t="s">
        <v>19</v>
      </c>
      <c r="J851" s="25" t="s">
        <v>20</v>
      </c>
      <c r="K851" s="25" t="s">
        <v>25</v>
      </c>
      <c r="L851" s="25">
        <v>5.26</v>
      </c>
      <c r="M851" s="25">
        <v>0.62</v>
      </c>
      <c r="N851" s="25">
        <v>0</v>
      </c>
      <c r="O851" s="25">
        <v>29.61</v>
      </c>
      <c r="P851" s="25">
        <v>35.494100000000003</v>
      </c>
    </row>
    <row r="852" spans="1:16" x14ac:dyDescent="0.25">
      <c r="A852" s="26">
        <v>43488</v>
      </c>
      <c r="B852" s="25" t="s">
        <v>111</v>
      </c>
      <c r="C852" s="25" t="s">
        <v>17</v>
      </c>
      <c r="D852" s="25">
        <v>700</v>
      </c>
      <c r="E852" s="25">
        <v>425.5</v>
      </c>
      <c r="F852" s="25">
        <v>297849</v>
      </c>
      <c r="G852" s="25" t="s">
        <v>836</v>
      </c>
      <c r="H852" s="25">
        <v>2019017</v>
      </c>
      <c r="I852" s="25" t="s">
        <v>19</v>
      </c>
      <c r="J852" s="25" t="s">
        <v>20</v>
      </c>
      <c r="K852" s="25" t="s">
        <v>25</v>
      </c>
      <c r="L852" s="25">
        <v>0</v>
      </c>
      <c r="M852" s="25">
        <v>8.94</v>
      </c>
      <c r="N852" s="25">
        <v>0</v>
      </c>
      <c r="O852" s="25">
        <v>177.34</v>
      </c>
      <c r="P852" s="25">
        <v>186.27549999999999</v>
      </c>
    </row>
    <row r="853" spans="1:16" x14ac:dyDescent="0.25">
      <c r="A853" s="26">
        <v>43488</v>
      </c>
      <c r="B853" s="25" t="s">
        <v>111</v>
      </c>
      <c r="C853" s="25" t="s">
        <v>23</v>
      </c>
      <c r="D853" s="25">
        <v>400</v>
      </c>
      <c r="E853" s="25">
        <v>413.3</v>
      </c>
      <c r="F853" s="25">
        <v>165318.9</v>
      </c>
      <c r="G853" s="25" t="s">
        <v>837</v>
      </c>
      <c r="H853" s="25">
        <v>2019017</v>
      </c>
      <c r="I853" s="25" t="s">
        <v>19</v>
      </c>
      <c r="J853" s="25" t="s">
        <v>20</v>
      </c>
      <c r="K853" s="25" t="s">
        <v>25</v>
      </c>
      <c r="L853" s="25">
        <v>42.46</v>
      </c>
      <c r="M853" s="25">
        <v>4.96</v>
      </c>
      <c r="N853" s="25">
        <v>17.7</v>
      </c>
      <c r="O853" s="25">
        <v>98.43</v>
      </c>
      <c r="P853" s="25">
        <v>163.54949999999999</v>
      </c>
    </row>
    <row r="854" spans="1:16" x14ac:dyDescent="0.25">
      <c r="A854" s="26">
        <v>43488</v>
      </c>
      <c r="B854" s="25" t="s">
        <v>111</v>
      </c>
      <c r="C854" s="25" t="s">
        <v>23</v>
      </c>
      <c r="D854" s="25">
        <v>200</v>
      </c>
      <c r="E854" s="25">
        <v>419.6</v>
      </c>
      <c r="F854" s="25">
        <v>83920.05</v>
      </c>
      <c r="G854" s="25" t="s">
        <v>838</v>
      </c>
      <c r="H854" s="25">
        <v>2019017</v>
      </c>
      <c r="I854" s="25" t="s">
        <v>19</v>
      </c>
      <c r="J854" s="25" t="s">
        <v>20</v>
      </c>
      <c r="K854" s="25" t="s">
        <v>25</v>
      </c>
      <c r="L854" s="25">
        <v>21.03</v>
      </c>
      <c r="M854" s="25">
        <v>2.52</v>
      </c>
      <c r="N854" s="25">
        <v>0</v>
      </c>
      <c r="O854" s="25">
        <v>49.97</v>
      </c>
      <c r="P854" s="25">
        <v>73.517700000000005</v>
      </c>
    </row>
    <row r="855" spans="1:16" x14ac:dyDescent="0.25">
      <c r="A855" s="26">
        <v>43487</v>
      </c>
      <c r="B855" s="25" t="s">
        <v>80</v>
      </c>
      <c r="C855" s="25" t="s">
        <v>23</v>
      </c>
      <c r="D855" s="25">
        <v>100</v>
      </c>
      <c r="E855" s="25">
        <v>181.75</v>
      </c>
      <c r="F855" s="25">
        <v>18175</v>
      </c>
      <c r="G855" s="25" t="s">
        <v>839</v>
      </c>
      <c r="H855" s="25">
        <v>2019016</v>
      </c>
      <c r="I855" s="25" t="s">
        <v>19</v>
      </c>
      <c r="J855" s="25" t="s">
        <v>20</v>
      </c>
      <c r="K855" s="25" t="s">
        <v>25</v>
      </c>
      <c r="L855" s="25">
        <v>4.8600000000000003</v>
      </c>
      <c r="M855" s="25">
        <v>0.55000000000000004</v>
      </c>
      <c r="N855" s="25">
        <v>2.4</v>
      </c>
      <c r="O855" s="25">
        <v>29.6</v>
      </c>
      <c r="P855" s="25">
        <v>37.405299999999997</v>
      </c>
    </row>
    <row r="856" spans="1:16" x14ac:dyDescent="0.25">
      <c r="A856" s="26">
        <v>43487</v>
      </c>
      <c r="B856" s="25" t="s">
        <v>80</v>
      </c>
      <c r="C856" s="25" t="s">
        <v>17</v>
      </c>
      <c r="D856" s="25">
        <v>200</v>
      </c>
      <c r="E856" s="25">
        <v>181</v>
      </c>
      <c r="F856" s="25">
        <v>36200</v>
      </c>
      <c r="G856" s="25" t="s">
        <v>840</v>
      </c>
      <c r="H856" s="25">
        <v>2019016</v>
      </c>
      <c r="I856" s="25" t="s">
        <v>19</v>
      </c>
      <c r="J856" s="25" t="s">
        <v>20</v>
      </c>
      <c r="K856" s="25" t="s">
        <v>25</v>
      </c>
      <c r="L856" s="25">
        <v>0</v>
      </c>
      <c r="M856" s="25">
        <v>1.0900000000000001</v>
      </c>
      <c r="N856" s="25">
        <v>0</v>
      </c>
      <c r="O856" s="25">
        <v>29.7</v>
      </c>
      <c r="P856" s="25">
        <v>30.786000000000001</v>
      </c>
    </row>
    <row r="857" spans="1:16" x14ac:dyDescent="0.25">
      <c r="A857" s="26">
        <v>43487</v>
      </c>
      <c r="B857" s="25" t="s">
        <v>80</v>
      </c>
      <c r="C857" s="25" t="s">
        <v>23</v>
      </c>
      <c r="D857" s="25">
        <v>100</v>
      </c>
      <c r="E857" s="25">
        <v>186</v>
      </c>
      <c r="F857" s="25">
        <v>18600</v>
      </c>
      <c r="G857" s="25" t="s">
        <v>841</v>
      </c>
      <c r="H857" s="25">
        <v>2019016</v>
      </c>
      <c r="I857" s="25" t="s">
        <v>19</v>
      </c>
      <c r="J857" s="25" t="s">
        <v>20</v>
      </c>
      <c r="K857" s="25" t="s">
        <v>25</v>
      </c>
      <c r="L857" s="25">
        <v>4.5599999999999996</v>
      </c>
      <c r="M857" s="25">
        <v>0.56000000000000005</v>
      </c>
      <c r="N857" s="25">
        <v>0</v>
      </c>
      <c r="O857" s="25">
        <v>29.6</v>
      </c>
      <c r="P857" s="25">
        <v>34.718000000000004</v>
      </c>
    </row>
    <row r="858" spans="1:16" x14ac:dyDescent="0.25">
      <c r="A858" s="26">
        <v>43487</v>
      </c>
      <c r="B858" s="25" t="s">
        <v>205</v>
      </c>
      <c r="C858" s="25" t="s">
        <v>17</v>
      </c>
      <c r="D858" s="25">
        <v>25</v>
      </c>
      <c r="E858" s="25">
        <v>23.15</v>
      </c>
      <c r="F858" s="25">
        <v>578.75</v>
      </c>
      <c r="G858" s="25" t="s">
        <v>842</v>
      </c>
      <c r="H858" s="25">
        <v>2019016</v>
      </c>
      <c r="I858" s="25" t="s">
        <v>19</v>
      </c>
      <c r="J858" s="25" t="s">
        <v>20</v>
      </c>
      <c r="K858" s="25" t="s">
        <v>25</v>
      </c>
      <c r="L858" s="25">
        <v>0.57999999999999996</v>
      </c>
      <c r="M858" s="25">
        <v>0.02</v>
      </c>
      <c r="N858" s="25">
        <v>0</v>
      </c>
      <c r="O858" s="25">
        <v>17.079999999999998</v>
      </c>
      <c r="P858" s="25">
        <v>17.677399999999999</v>
      </c>
    </row>
    <row r="859" spans="1:16" x14ac:dyDescent="0.25">
      <c r="A859" s="26">
        <v>43486</v>
      </c>
      <c r="B859" s="25" t="s">
        <v>800</v>
      </c>
      <c r="C859" s="25" t="s">
        <v>17</v>
      </c>
      <c r="D859" s="25">
        <v>100</v>
      </c>
      <c r="E859" s="25">
        <v>338.5</v>
      </c>
      <c r="F859" s="25">
        <v>33850</v>
      </c>
      <c r="G859" s="25" t="s">
        <v>843</v>
      </c>
      <c r="H859" s="25">
        <v>2019015</v>
      </c>
      <c r="I859" s="25" t="s">
        <v>19</v>
      </c>
      <c r="J859" s="25" t="s">
        <v>20</v>
      </c>
      <c r="K859" s="25" t="s">
        <v>25</v>
      </c>
      <c r="L859" s="25">
        <v>0</v>
      </c>
      <c r="M859" s="25">
        <v>1.02</v>
      </c>
      <c r="N859" s="25">
        <v>0</v>
      </c>
      <c r="O859" s="25">
        <v>29.68</v>
      </c>
      <c r="P859" s="25">
        <v>30.695499999999999</v>
      </c>
    </row>
    <row r="860" spans="1:16" x14ac:dyDescent="0.25">
      <c r="A860" s="26">
        <v>43486</v>
      </c>
      <c r="B860" s="25" t="s">
        <v>800</v>
      </c>
      <c r="C860" s="25" t="s">
        <v>23</v>
      </c>
      <c r="D860" s="25">
        <v>100</v>
      </c>
      <c r="E860" s="25">
        <v>343</v>
      </c>
      <c r="F860" s="25">
        <v>34300</v>
      </c>
      <c r="G860" s="25" t="s">
        <v>844</v>
      </c>
      <c r="H860" s="25">
        <v>2019015</v>
      </c>
      <c r="I860" s="25" t="s">
        <v>19</v>
      </c>
      <c r="J860" s="25" t="s">
        <v>20</v>
      </c>
      <c r="K860" s="25" t="s">
        <v>25</v>
      </c>
      <c r="L860" s="25">
        <v>8.99</v>
      </c>
      <c r="M860" s="25">
        <v>1.03</v>
      </c>
      <c r="N860" s="25">
        <v>4.5</v>
      </c>
      <c r="O860" s="25">
        <v>29.69</v>
      </c>
      <c r="P860" s="25">
        <v>44.209099999999999</v>
      </c>
    </row>
    <row r="861" spans="1:16" x14ac:dyDescent="0.25">
      <c r="A861" s="26">
        <v>43486</v>
      </c>
      <c r="B861" s="25" t="s">
        <v>111</v>
      </c>
      <c r="C861" s="25" t="s">
        <v>23</v>
      </c>
      <c r="D861" s="25">
        <v>100</v>
      </c>
      <c r="E861" s="25">
        <v>401</v>
      </c>
      <c r="F861" s="25">
        <v>40100</v>
      </c>
      <c r="G861" s="25" t="s">
        <v>845</v>
      </c>
      <c r="H861" s="25">
        <v>2019015</v>
      </c>
      <c r="I861" s="25" t="s">
        <v>19</v>
      </c>
      <c r="J861" s="25" t="s">
        <v>20</v>
      </c>
      <c r="K861" s="25" t="s">
        <v>25</v>
      </c>
      <c r="L861" s="25">
        <v>10.02</v>
      </c>
      <c r="M861" s="25">
        <v>1.2</v>
      </c>
      <c r="N861" s="25">
        <v>0</v>
      </c>
      <c r="O861" s="25">
        <v>29.72</v>
      </c>
      <c r="P861" s="25">
        <v>40.943100000000001</v>
      </c>
    </row>
    <row r="862" spans="1:16" x14ac:dyDescent="0.25">
      <c r="A862" s="26">
        <v>43486</v>
      </c>
      <c r="B862" s="25" t="s">
        <v>111</v>
      </c>
      <c r="C862" s="25" t="s">
        <v>17</v>
      </c>
      <c r="D862" s="25">
        <v>100</v>
      </c>
      <c r="E862" s="25">
        <v>400.2</v>
      </c>
      <c r="F862" s="25">
        <v>40020</v>
      </c>
      <c r="G862" s="25" t="s">
        <v>846</v>
      </c>
      <c r="H862" s="25">
        <v>2019015</v>
      </c>
      <c r="I862" s="25" t="s">
        <v>19</v>
      </c>
      <c r="J862" s="25" t="s">
        <v>20</v>
      </c>
      <c r="K862" s="25" t="s">
        <v>25</v>
      </c>
      <c r="L862" s="25">
        <v>0</v>
      </c>
      <c r="M862" s="25">
        <v>1.2</v>
      </c>
      <c r="N862" s="25">
        <v>0</v>
      </c>
      <c r="O862" s="25">
        <v>29.72</v>
      </c>
      <c r="P862" s="25">
        <v>30.9206</v>
      </c>
    </row>
    <row r="863" spans="1:16" x14ac:dyDescent="0.25">
      <c r="A863" s="26">
        <v>43483</v>
      </c>
      <c r="B863" s="25" t="s">
        <v>480</v>
      </c>
      <c r="C863" s="25" t="s">
        <v>23</v>
      </c>
      <c r="D863" s="25">
        <v>1000</v>
      </c>
      <c r="E863" s="25">
        <v>90.65</v>
      </c>
      <c r="F863" s="25">
        <v>90650</v>
      </c>
      <c r="G863" s="25" t="s">
        <v>847</v>
      </c>
      <c r="H863" s="25">
        <v>2019014</v>
      </c>
      <c r="I863" s="25" t="s">
        <v>19</v>
      </c>
      <c r="J863" s="25" t="s">
        <v>20</v>
      </c>
      <c r="K863" s="25" t="s">
        <v>25</v>
      </c>
      <c r="L863" s="25">
        <v>22.71</v>
      </c>
      <c r="M863" s="25">
        <v>2.72</v>
      </c>
      <c r="N863" s="25">
        <v>7.2</v>
      </c>
      <c r="O863" s="25">
        <v>53.98</v>
      </c>
      <c r="P863" s="25">
        <v>86.609499999999997</v>
      </c>
    </row>
    <row r="864" spans="1:16" x14ac:dyDescent="0.25">
      <c r="A864" s="26">
        <v>43483</v>
      </c>
      <c r="B864" s="25" t="s">
        <v>205</v>
      </c>
      <c r="C864" s="25" t="s">
        <v>17</v>
      </c>
      <c r="D864" s="25">
        <v>100</v>
      </c>
      <c r="E864" s="25">
        <v>22.9</v>
      </c>
      <c r="F864" s="25">
        <v>2290</v>
      </c>
      <c r="G864" s="25" t="s">
        <v>848</v>
      </c>
      <c r="H864" s="25">
        <v>2019014</v>
      </c>
      <c r="I864" s="25" t="s">
        <v>19</v>
      </c>
      <c r="J864" s="25" t="s">
        <v>20</v>
      </c>
      <c r="K864" s="25" t="s">
        <v>25</v>
      </c>
      <c r="L864" s="25">
        <v>2.29</v>
      </c>
      <c r="M864" s="25">
        <v>7.0000000000000007E-2</v>
      </c>
      <c r="N864" s="25">
        <v>0</v>
      </c>
      <c r="O864" s="25">
        <v>41.31</v>
      </c>
      <c r="P864" s="25">
        <v>43.668700000000001</v>
      </c>
    </row>
    <row r="865" spans="1:16" x14ac:dyDescent="0.25">
      <c r="A865" s="26">
        <v>43483</v>
      </c>
      <c r="B865" s="25" t="s">
        <v>849</v>
      </c>
      <c r="C865" s="25" t="s">
        <v>23</v>
      </c>
      <c r="D865" s="25">
        <v>100</v>
      </c>
      <c r="E865" s="25">
        <v>283.2</v>
      </c>
      <c r="F865" s="25">
        <v>28320</v>
      </c>
      <c r="G865" s="25" t="s">
        <v>850</v>
      </c>
      <c r="H865" s="25">
        <v>2019014</v>
      </c>
      <c r="I865" s="25" t="s">
        <v>19</v>
      </c>
      <c r="J865" s="25" t="s">
        <v>20</v>
      </c>
      <c r="K865" s="25" t="s">
        <v>25</v>
      </c>
      <c r="L865" s="25">
        <v>7</v>
      </c>
      <c r="M865" s="25">
        <v>0.85</v>
      </c>
      <c r="N865" s="25">
        <v>0</v>
      </c>
      <c r="O865" s="25">
        <v>29.65</v>
      </c>
      <c r="P865" s="25">
        <v>37.499600000000001</v>
      </c>
    </row>
    <row r="866" spans="1:16" x14ac:dyDescent="0.25">
      <c r="A866" s="26">
        <v>43483</v>
      </c>
      <c r="B866" s="25" t="s">
        <v>849</v>
      </c>
      <c r="C866" s="25" t="s">
        <v>17</v>
      </c>
      <c r="D866" s="25">
        <v>100</v>
      </c>
      <c r="E866" s="25">
        <v>277</v>
      </c>
      <c r="F866" s="25">
        <v>27700</v>
      </c>
      <c r="G866" s="25" t="s">
        <v>851</v>
      </c>
      <c r="H866" s="25">
        <v>2019014</v>
      </c>
      <c r="I866" s="25" t="s">
        <v>19</v>
      </c>
      <c r="J866" s="25" t="s">
        <v>20</v>
      </c>
      <c r="K866" s="25" t="s">
        <v>25</v>
      </c>
      <c r="L866" s="25">
        <v>0</v>
      </c>
      <c r="M866" s="25">
        <v>0.83</v>
      </c>
      <c r="N866" s="25">
        <v>0</v>
      </c>
      <c r="O866" s="25">
        <v>29.65</v>
      </c>
      <c r="P866" s="25">
        <v>30.481000000000002</v>
      </c>
    </row>
    <row r="867" spans="1:16" x14ac:dyDescent="0.25">
      <c r="A867" s="26">
        <v>43483</v>
      </c>
      <c r="B867" s="25" t="s">
        <v>480</v>
      </c>
      <c r="C867" s="25" t="s">
        <v>17</v>
      </c>
      <c r="D867" s="25">
        <v>1000</v>
      </c>
      <c r="E867" s="25">
        <v>89</v>
      </c>
      <c r="F867" s="25">
        <v>89000</v>
      </c>
      <c r="G867" s="25" t="s">
        <v>852</v>
      </c>
      <c r="H867" s="25">
        <v>2019014</v>
      </c>
      <c r="I867" s="25" t="s">
        <v>19</v>
      </c>
      <c r="J867" s="25" t="s">
        <v>20</v>
      </c>
      <c r="K867" s="25" t="s">
        <v>25</v>
      </c>
      <c r="L867" s="25">
        <v>0</v>
      </c>
      <c r="M867" s="25">
        <v>2.67</v>
      </c>
      <c r="N867" s="25">
        <v>0</v>
      </c>
      <c r="O867" s="25">
        <v>52.99</v>
      </c>
      <c r="P867" s="25">
        <v>55.66</v>
      </c>
    </row>
    <row r="868" spans="1:16" x14ac:dyDescent="0.25">
      <c r="A868" s="26">
        <v>43482</v>
      </c>
      <c r="B868" s="25" t="s">
        <v>56</v>
      </c>
      <c r="C868" s="25" t="s">
        <v>23</v>
      </c>
      <c r="D868" s="25">
        <v>100</v>
      </c>
      <c r="E868" s="25">
        <v>859</v>
      </c>
      <c r="F868" s="25">
        <v>85900</v>
      </c>
      <c r="G868" s="25" t="s">
        <v>853</v>
      </c>
      <c r="H868" s="25">
        <v>201819201</v>
      </c>
      <c r="I868" s="25" t="s">
        <v>19</v>
      </c>
      <c r="J868" s="25" t="s">
        <v>20</v>
      </c>
      <c r="K868" s="25" t="s">
        <v>21</v>
      </c>
      <c r="L868" s="25">
        <v>21.62</v>
      </c>
      <c r="M868" s="25">
        <v>2.4700000000000002</v>
      </c>
      <c r="N868" s="25">
        <v>0</v>
      </c>
      <c r="O868" s="25">
        <v>51.13</v>
      </c>
      <c r="P868" s="25">
        <v>75.218199999999996</v>
      </c>
    </row>
    <row r="869" spans="1:16" x14ac:dyDescent="0.25">
      <c r="A869" s="26">
        <v>43482</v>
      </c>
      <c r="B869" s="25" t="s">
        <v>480</v>
      </c>
      <c r="C869" s="25" t="s">
        <v>23</v>
      </c>
      <c r="D869" s="25">
        <v>1000</v>
      </c>
      <c r="E869" s="25">
        <v>92.3</v>
      </c>
      <c r="F869" s="25">
        <v>92300</v>
      </c>
      <c r="G869" s="25" t="s">
        <v>854</v>
      </c>
      <c r="H869" s="25">
        <v>201819201</v>
      </c>
      <c r="I869" s="25" t="s">
        <v>19</v>
      </c>
      <c r="J869" s="25" t="s">
        <v>20</v>
      </c>
      <c r="K869" s="25" t="s">
        <v>21</v>
      </c>
      <c r="L869" s="25">
        <v>23.38</v>
      </c>
      <c r="M869" s="25">
        <v>2.65</v>
      </c>
      <c r="N869" s="25">
        <v>0</v>
      </c>
      <c r="O869" s="25">
        <v>54.93</v>
      </c>
      <c r="P869" s="25">
        <v>80.960599999999999</v>
      </c>
    </row>
    <row r="870" spans="1:16" x14ac:dyDescent="0.25">
      <c r="A870" s="26">
        <v>43482</v>
      </c>
      <c r="B870" s="25" t="s">
        <v>480</v>
      </c>
      <c r="C870" s="25" t="s">
        <v>17</v>
      </c>
      <c r="D870" s="25">
        <v>1000</v>
      </c>
      <c r="E870" s="25">
        <v>91.25</v>
      </c>
      <c r="F870" s="25">
        <v>91250</v>
      </c>
      <c r="G870" s="25" t="s">
        <v>855</v>
      </c>
      <c r="H870" s="25">
        <v>201819201</v>
      </c>
      <c r="I870" s="25" t="s">
        <v>19</v>
      </c>
      <c r="J870" s="25" t="s">
        <v>20</v>
      </c>
      <c r="K870" s="25" t="s">
        <v>21</v>
      </c>
      <c r="L870" s="25">
        <v>0</v>
      </c>
      <c r="M870" s="25">
        <v>2.64</v>
      </c>
      <c r="N870" s="25">
        <v>10.8</v>
      </c>
      <c r="O870" s="25">
        <v>54.32</v>
      </c>
      <c r="P870" s="25">
        <v>67.7607</v>
      </c>
    </row>
    <row r="871" spans="1:16" x14ac:dyDescent="0.25">
      <c r="A871" s="26">
        <v>43482</v>
      </c>
      <c r="B871" s="25" t="s">
        <v>56</v>
      </c>
      <c r="C871" s="25" t="s">
        <v>17</v>
      </c>
      <c r="D871" s="25">
        <v>100</v>
      </c>
      <c r="E871" s="25">
        <v>870.26</v>
      </c>
      <c r="F871" s="25">
        <v>87026</v>
      </c>
      <c r="G871" s="25" t="s">
        <v>856</v>
      </c>
      <c r="H871" s="25">
        <v>201819201</v>
      </c>
      <c r="I871" s="25" t="s">
        <v>19</v>
      </c>
      <c r="J871" s="25" t="s">
        <v>20</v>
      </c>
      <c r="K871" s="25" t="s">
        <v>21</v>
      </c>
      <c r="L871" s="25">
        <v>0</v>
      </c>
      <c r="M871" s="25">
        <v>2.58</v>
      </c>
      <c r="N871" s="25">
        <v>0</v>
      </c>
      <c r="O871" s="25">
        <v>51.8</v>
      </c>
      <c r="P871" s="25">
        <v>54.380299999999998</v>
      </c>
    </row>
    <row r="872" spans="1:16" x14ac:dyDescent="0.25">
      <c r="A872" s="26">
        <v>43482</v>
      </c>
      <c r="B872" s="25" t="s">
        <v>56</v>
      </c>
      <c r="C872" s="25" t="s">
        <v>23</v>
      </c>
      <c r="D872" s="25">
        <v>50</v>
      </c>
      <c r="E872" s="25">
        <v>843</v>
      </c>
      <c r="F872" s="25">
        <v>42150</v>
      </c>
      <c r="G872" s="25" t="s">
        <v>857</v>
      </c>
      <c r="H872" s="25">
        <v>2019013</v>
      </c>
      <c r="I872" s="25" t="s">
        <v>19</v>
      </c>
      <c r="J872" s="25" t="s">
        <v>20</v>
      </c>
      <c r="K872" s="25" t="s">
        <v>25</v>
      </c>
      <c r="L872" s="25">
        <v>10.45</v>
      </c>
      <c r="M872" s="25">
        <v>1.26</v>
      </c>
      <c r="N872" s="25">
        <v>0</v>
      </c>
      <c r="O872" s="25">
        <v>29.73</v>
      </c>
      <c r="P872" s="25">
        <v>41.444499999999998</v>
      </c>
    </row>
    <row r="873" spans="1:16" x14ac:dyDescent="0.25">
      <c r="A873" s="26">
        <v>43482</v>
      </c>
      <c r="B873" s="25" t="s">
        <v>56</v>
      </c>
      <c r="C873" s="25" t="s">
        <v>17</v>
      </c>
      <c r="D873" s="25">
        <v>50</v>
      </c>
      <c r="E873" s="25">
        <v>829</v>
      </c>
      <c r="F873" s="25">
        <v>41450</v>
      </c>
      <c r="G873" s="25" t="s">
        <v>858</v>
      </c>
      <c r="H873" s="25">
        <v>2019013</v>
      </c>
      <c r="I873" s="25" t="s">
        <v>19</v>
      </c>
      <c r="J873" s="25" t="s">
        <v>20</v>
      </c>
      <c r="K873" s="25" t="s">
        <v>25</v>
      </c>
      <c r="L873" s="25">
        <v>0</v>
      </c>
      <c r="M873" s="25">
        <v>1.24</v>
      </c>
      <c r="N873" s="25">
        <v>0</v>
      </c>
      <c r="O873" s="25">
        <v>29.72</v>
      </c>
      <c r="P873" s="25">
        <v>30.9635</v>
      </c>
    </row>
    <row r="874" spans="1:16" x14ac:dyDescent="0.25">
      <c r="A874" s="26">
        <v>43482</v>
      </c>
      <c r="B874" s="25" t="s">
        <v>480</v>
      </c>
      <c r="C874" s="25" t="s">
        <v>17</v>
      </c>
      <c r="D874" s="25">
        <v>500</v>
      </c>
      <c r="E874" s="25">
        <v>87</v>
      </c>
      <c r="F874" s="25">
        <v>43500</v>
      </c>
      <c r="G874" s="25" t="s">
        <v>859</v>
      </c>
      <c r="H874" s="25">
        <v>2019013</v>
      </c>
      <c r="I874" s="25" t="s">
        <v>19</v>
      </c>
      <c r="J874" s="25" t="s">
        <v>20</v>
      </c>
      <c r="K874" s="25" t="s">
        <v>25</v>
      </c>
      <c r="L874" s="25">
        <v>0</v>
      </c>
      <c r="M874" s="25">
        <v>1.3</v>
      </c>
      <c r="N874" s="25">
        <v>0</v>
      </c>
      <c r="O874" s="25">
        <v>29.74</v>
      </c>
      <c r="P874" s="25">
        <v>31.044899999999998</v>
      </c>
    </row>
    <row r="875" spans="1:16" x14ac:dyDescent="0.25">
      <c r="A875" s="26">
        <v>43482</v>
      </c>
      <c r="B875" s="25" t="s">
        <v>480</v>
      </c>
      <c r="C875" s="25" t="s">
        <v>23</v>
      </c>
      <c r="D875" s="25">
        <v>500</v>
      </c>
      <c r="E875" s="25">
        <v>88.25</v>
      </c>
      <c r="F875" s="25">
        <v>44125</v>
      </c>
      <c r="G875" s="25" t="s">
        <v>860</v>
      </c>
      <c r="H875" s="25">
        <v>2019013</v>
      </c>
      <c r="I875" s="25" t="s">
        <v>19</v>
      </c>
      <c r="J875" s="25" t="s">
        <v>20</v>
      </c>
      <c r="K875" s="25" t="s">
        <v>25</v>
      </c>
      <c r="L875" s="25">
        <v>10.95</v>
      </c>
      <c r="M875" s="25">
        <v>1.32</v>
      </c>
      <c r="N875" s="25">
        <v>0</v>
      </c>
      <c r="O875" s="25">
        <v>29.74</v>
      </c>
      <c r="P875" s="25">
        <v>42.013800000000003</v>
      </c>
    </row>
    <row r="876" spans="1:16" x14ac:dyDescent="0.25">
      <c r="A876" s="26">
        <v>43482</v>
      </c>
      <c r="B876" s="25" t="s">
        <v>205</v>
      </c>
      <c r="C876" s="25" t="s">
        <v>17</v>
      </c>
      <c r="D876" s="25">
        <v>25</v>
      </c>
      <c r="E876" s="25">
        <v>23.05</v>
      </c>
      <c r="F876" s="25">
        <v>576.25</v>
      </c>
      <c r="G876" s="25" t="s">
        <v>861</v>
      </c>
      <c r="H876" s="25">
        <v>2019013</v>
      </c>
      <c r="I876" s="25" t="s">
        <v>19</v>
      </c>
      <c r="J876" s="25" t="s">
        <v>20</v>
      </c>
      <c r="K876" s="25" t="s">
        <v>25</v>
      </c>
      <c r="L876" s="25">
        <v>0.6</v>
      </c>
      <c r="M876" s="25">
        <v>0.02</v>
      </c>
      <c r="N876" s="25">
        <v>5.4</v>
      </c>
      <c r="O876" s="25">
        <v>17</v>
      </c>
      <c r="P876" s="25">
        <v>23.017299999999999</v>
      </c>
    </row>
    <row r="877" spans="1:16" x14ac:dyDescent="0.25">
      <c r="A877" s="26">
        <v>43474</v>
      </c>
      <c r="B877" s="25" t="s">
        <v>862</v>
      </c>
      <c r="C877" s="25" t="s">
        <v>23</v>
      </c>
      <c r="D877" s="25">
        <v>200</v>
      </c>
      <c r="E877" s="25">
        <v>233.35</v>
      </c>
      <c r="F877" s="25">
        <v>46670</v>
      </c>
      <c r="G877" s="25" t="s">
        <v>863</v>
      </c>
      <c r="H877" s="25">
        <v>201819195</v>
      </c>
      <c r="I877" s="25" t="s">
        <v>19</v>
      </c>
      <c r="J877" s="25" t="s">
        <v>20</v>
      </c>
      <c r="K877" s="25" t="s">
        <v>21</v>
      </c>
      <c r="L877" s="25">
        <v>11.88</v>
      </c>
      <c r="M877" s="25">
        <v>1.35</v>
      </c>
      <c r="N877" s="25">
        <v>0</v>
      </c>
      <c r="O877" s="25">
        <v>29.74</v>
      </c>
      <c r="P877" s="25">
        <v>42.970100000000002</v>
      </c>
    </row>
    <row r="878" spans="1:16" x14ac:dyDescent="0.25">
      <c r="A878" s="26">
        <v>43474</v>
      </c>
      <c r="B878" s="25" t="s">
        <v>862</v>
      </c>
      <c r="C878" s="25" t="s">
        <v>23</v>
      </c>
      <c r="D878" s="25">
        <v>100</v>
      </c>
      <c r="E878" s="25">
        <v>234</v>
      </c>
      <c r="F878" s="25">
        <v>23400</v>
      </c>
      <c r="G878" s="25" t="s">
        <v>864</v>
      </c>
      <c r="H878" s="25">
        <v>201819195</v>
      </c>
      <c r="I878" s="25" t="s">
        <v>19</v>
      </c>
      <c r="J878" s="25" t="s">
        <v>20</v>
      </c>
      <c r="K878" s="25" t="s">
        <v>21</v>
      </c>
      <c r="L878" s="25">
        <v>5.94</v>
      </c>
      <c r="M878" s="25">
        <v>0.69</v>
      </c>
      <c r="N878" s="25">
        <v>0</v>
      </c>
      <c r="O878" s="25">
        <v>29.62</v>
      </c>
      <c r="P878" s="25">
        <v>36.246899999999997</v>
      </c>
    </row>
    <row r="879" spans="1:16" x14ac:dyDescent="0.25">
      <c r="A879" s="26">
        <v>43474</v>
      </c>
      <c r="B879" s="25" t="s">
        <v>862</v>
      </c>
      <c r="C879" s="25" t="s">
        <v>23</v>
      </c>
      <c r="D879" s="25">
        <v>100</v>
      </c>
      <c r="E879" s="25">
        <v>237.51</v>
      </c>
      <c r="F879" s="25">
        <v>23751.1</v>
      </c>
      <c r="G879" s="25" t="s">
        <v>865</v>
      </c>
      <c r="H879" s="25">
        <v>201819195</v>
      </c>
      <c r="I879" s="25" t="s">
        <v>19</v>
      </c>
      <c r="J879" s="25" t="s">
        <v>20</v>
      </c>
      <c r="K879" s="25" t="s">
        <v>21</v>
      </c>
      <c r="L879" s="25">
        <v>6.17</v>
      </c>
      <c r="M879" s="25">
        <v>0.72</v>
      </c>
      <c r="N879" s="25">
        <v>0</v>
      </c>
      <c r="O879" s="25">
        <v>29.63</v>
      </c>
      <c r="P879" s="25">
        <v>36.5169</v>
      </c>
    </row>
    <row r="880" spans="1:16" x14ac:dyDescent="0.25">
      <c r="A880" s="26">
        <v>43474</v>
      </c>
      <c r="B880" s="25" t="s">
        <v>862</v>
      </c>
      <c r="C880" s="25" t="s">
        <v>17</v>
      </c>
      <c r="D880" s="25">
        <v>400</v>
      </c>
      <c r="E880" s="25">
        <v>240.8</v>
      </c>
      <c r="F880" s="25">
        <v>96320</v>
      </c>
      <c r="G880" s="25" t="s">
        <v>866</v>
      </c>
      <c r="H880" s="25">
        <v>201819195</v>
      </c>
      <c r="I880" s="25" t="s">
        <v>19</v>
      </c>
      <c r="J880" s="25" t="s">
        <v>20</v>
      </c>
      <c r="K880" s="25" t="s">
        <v>21</v>
      </c>
      <c r="L880" s="25">
        <v>0</v>
      </c>
      <c r="M880" s="25">
        <v>2.79</v>
      </c>
      <c r="N880" s="25">
        <v>6</v>
      </c>
      <c r="O880" s="25">
        <v>57.34</v>
      </c>
      <c r="P880" s="25">
        <v>66.125100000000003</v>
      </c>
    </row>
    <row r="881" spans="1:16" x14ac:dyDescent="0.25">
      <c r="A881" s="26">
        <v>43473</v>
      </c>
      <c r="B881" s="25" t="s">
        <v>862</v>
      </c>
      <c r="C881" s="25" t="s">
        <v>17</v>
      </c>
      <c r="D881" s="25">
        <v>100</v>
      </c>
      <c r="E881" s="25">
        <v>267.7</v>
      </c>
      <c r="F881" s="25">
        <v>26770</v>
      </c>
      <c r="G881" s="25" t="s">
        <v>867</v>
      </c>
      <c r="H881" s="25">
        <v>2019006</v>
      </c>
      <c r="I881" s="25" t="s">
        <v>19</v>
      </c>
      <c r="J881" s="25" t="s">
        <v>20</v>
      </c>
      <c r="K881" s="25" t="s">
        <v>25</v>
      </c>
      <c r="L881" s="25">
        <v>0</v>
      </c>
      <c r="M881" s="25">
        <v>0.8</v>
      </c>
      <c r="N881" s="25">
        <v>0</v>
      </c>
      <c r="O881" s="25">
        <v>29.64</v>
      </c>
      <c r="P881" s="25">
        <v>30.443100000000001</v>
      </c>
    </row>
    <row r="882" spans="1:16" x14ac:dyDescent="0.25">
      <c r="A882" s="26">
        <v>43473</v>
      </c>
      <c r="B882" s="25" t="s">
        <v>862</v>
      </c>
      <c r="C882" s="25" t="s">
        <v>23</v>
      </c>
      <c r="D882" s="25">
        <v>100</v>
      </c>
      <c r="E882" s="25">
        <v>253.05</v>
      </c>
      <c r="F882" s="25">
        <v>25305</v>
      </c>
      <c r="G882" s="25" t="s">
        <v>868</v>
      </c>
      <c r="H882" s="25">
        <v>2019006</v>
      </c>
      <c r="I882" s="25" t="s">
        <v>19</v>
      </c>
      <c r="J882" s="25" t="s">
        <v>20</v>
      </c>
      <c r="K882" s="25" t="s">
        <v>25</v>
      </c>
      <c r="L882" s="25">
        <v>7</v>
      </c>
      <c r="M882" s="25">
        <v>0.76</v>
      </c>
      <c r="N882" s="25">
        <v>1.8</v>
      </c>
      <c r="O882" s="25">
        <v>29.64</v>
      </c>
      <c r="P882" s="25">
        <v>39.199100000000001</v>
      </c>
    </row>
    <row r="883" spans="1:16" x14ac:dyDescent="0.25">
      <c r="A883" s="26">
        <v>43469</v>
      </c>
      <c r="B883" s="25" t="s">
        <v>849</v>
      </c>
      <c r="C883" s="25" t="s">
        <v>17</v>
      </c>
      <c r="D883" s="25">
        <v>200</v>
      </c>
      <c r="E883" s="25">
        <v>241.45</v>
      </c>
      <c r="F883" s="25">
        <v>48290</v>
      </c>
      <c r="G883" s="25" t="s">
        <v>869</v>
      </c>
      <c r="H883" s="25">
        <v>201819192</v>
      </c>
      <c r="I883" s="25" t="s">
        <v>19</v>
      </c>
      <c r="J883" s="25" t="s">
        <v>20</v>
      </c>
      <c r="K883" s="25" t="s">
        <v>21</v>
      </c>
      <c r="L883" s="25">
        <v>0</v>
      </c>
      <c r="M883" s="25">
        <v>1.4</v>
      </c>
      <c r="N883" s="25">
        <v>0</v>
      </c>
      <c r="O883" s="25">
        <v>29.75</v>
      </c>
      <c r="P883" s="25">
        <v>31.1462</v>
      </c>
    </row>
    <row r="884" spans="1:16" x14ac:dyDescent="0.25">
      <c r="A884" s="26">
        <v>43469</v>
      </c>
      <c r="B884" s="25" t="s">
        <v>849</v>
      </c>
      <c r="C884" s="25" t="s">
        <v>23</v>
      </c>
      <c r="D884" s="25">
        <v>200</v>
      </c>
      <c r="E884" s="25">
        <v>238.5</v>
      </c>
      <c r="F884" s="25">
        <v>47700</v>
      </c>
      <c r="G884" s="25" t="s">
        <v>870</v>
      </c>
      <c r="H884" s="25">
        <v>201819192</v>
      </c>
      <c r="I884" s="25" t="s">
        <v>19</v>
      </c>
      <c r="J884" s="25" t="s">
        <v>20</v>
      </c>
      <c r="K884" s="25" t="s">
        <v>21</v>
      </c>
      <c r="L884" s="25">
        <v>12.14</v>
      </c>
      <c r="M884" s="25">
        <v>1.38</v>
      </c>
      <c r="N884" s="25">
        <v>0</v>
      </c>
      <c r="O884" s="25">
        <v>29.75</v>
      </c>
      <c r="P884" s="25">
        <v>43.269500000000001</v>
      </c>
    </row>
    <row r="885" spans="1:16" x14ac:dyDescent="0.25">
      <c r="A885" s="26">
        <v>43469</v>
      </c>
      <c r="B885" s="25" t="s">
        <v>871</v>
      </c>
      <c r="C885" s="25" t="s">
        <v>23</v>
      </c>
      <c r="D885" s="25">
        <v>100</v>
      </c>
      <c r="E885" s="25">
        <v>187.86</v>
      </c>
      <c r="F885" s="25">
        <v>18785.5</v>
      </c>
      <c r="G885" s="25" t="s">
        <v>872</v>
      </c>
      <c r="H885" s="25">
        <v>201819192</v>
      </c>
      <c r="I885" s="25" t="s">
        <v>19</v>
      </c>
      <c r="J885" s="25" t="s">
        <v>20</v>
      </c>
      <c r="K885" s="25" t="s">
        <v>21</v>
      </c>
      <c r="L885" s="25">
        <v>4.6100000000000003</v>
      </c>
      <c r="M885" s="25">
        <v>0.6</v>
      </c>
      <c r="N885" s="25">
        <v>0</v>
      </c>
      <c r="O885" s="25">
        <v>29.6</v>
      </c>
      <c r="P885" s="25">
        <v>34.805300000000003</v>
      </c>
    </row>
    <row r="886" spans="1:16" x14ac:dyDescent="0.25">
      <c r="A886" s="26">
        <v>43469</v>
      </c>
      <c r="B886" s="25" t="s">
        <v>849</v>
      </c>
      <c r="C886" s="25" t="s">
        <v>23</v>
      </c>
      <c r="D886" s="25">
        <v>350</v>
      </c>
      <c r="E886" s="25">
        <v>245</v>
      </c>
      <c r="F886" s="25">
        <v>85750</v>
      </c>
      <c r="G886" s="25" t="s">
        <v>873</v>
      </c>
      <c r="H886" s="25">
        <v>201819192</v>
      </c>
      <c r="I886" s="25" t="s">
        <v>19</v>
      </c>
      <c r="J886" s="25" t="s">
        <v>20</v>
      </c>
      <c r="K886" s="25" t="s">
        <v>21</v>
      </c>
      <c r="L886" s="25">
        <v>21.25</v>
      </c>
      <c r="M886" s="25">
        <v>2.5</v>
      </c>
      <c r="N886" s="25">
        <v>0</v>
      </c>
      <c r="O886" s="25">
        <v>51.05</v>
      </c>
      <c r="P886" s="25">
        <v>74.803899999999999</v>
      </c>
    </row>
    <row r="887" spans="1:16" x14ac:dyDescent="0.25">
      <c r="A887" s="26">
        <v>43469</v>
      </c>
      <c r="B887" s="25" t="s">
        <v>849</v>
      </c>
      <c r="C887" s="25" t="s">
        <v>17</v>
      </c>
      <c r="D887" s="25">
        <v>350</v>
      </c>
      <c r="E887" s="25">
        <v>244</v>
      </c>
      <c r="F887" s="25">
        <v>85400</v>
      </c>
      <c r="G887" s="25" t="s">
        <v>874</v>
      </c>
      <c r="H887" s="25">
        <v>201819192</v>
      </c>
      <c r="I887" s="25" t="s">
        <v>19</v>
      </c>
      <c r="J887" s="25" t="s">
        <v>20</v>
      </c>
      <c r="K887" s="25" t="s">
        <v>21</v>
      </c>
      <c r="L887" s="25">
        <v>0</v>
      </c>
      <c r="M887" s="25">
        <v>2.4500000000000002</v>
      </c>
      <c r="N887" s="25">
        <v>0</v>
      </c>
      <c r="O887" s="25">
        <v>50.83</v>
      </c>
      <c r="P887" s="25">
        <v>53.283900000000003</v>
      </c>
    </row>
    <row r="888" spans="1:16" x14ac:dyDescent="0.25">
      <c r="A888" s="26">
        <v>43469</v>
      </c>
      <c r="B888" s="25" t="s">
        <v>871</v>
      </c>
      <c r="C888" s="25" t="s">
        <v>17</v>
      </c>
      <c r="D888" s="25">
        <v>100</v>
      </c>
      <c r="E888" s="25">
        <v>193.4</v>
      </c>
      <c r="F888" s="25">
        <v>19340</v>
      </c>
      <c r="G888" s="25" t="s">
        <v>875</v>
      </c>
      <c r="H888" s="25">
        <v>201819192</v>
      </c>
      <c r="I888" s="25" t="s">
        <v>19</v>
      </c>
      <c r="J888" s="25" t="s">
        <v>20</v>
      </c>
      <c r="K888" s="25" t="s">
        <v>21</v>
      </c>
      <c r="L888" s="25">
        <v>0</v>
      </c>
      <c r="M888" s="25">
        <v>0.56999999999999995</v>
      </c>
      <c r="N888" s="25">
        <v>9.3000000000000007</v>
      </c>
      <c r="O888" s="25">
        <v>29.6</v>
      </c>
      <c r="P888" s="25">
        <v>39.471200000000003</v>
      </c>
    </row>
    <row r="889" spans="1:16" x14ac:dyDescent="0.25">
      <c r="A889" s="26">
        <v>43468</v>
      </c>
      <c r="B889" s="25" t="s">
        <v>849</v>
      </c>
      <c r="C889" s="25" t="s">
        <v>23</v>
      </c>
      <c r="D889" s="25">
        <v>500</v>
      </c>
      <c r="E889" s="25">
        <v>247.01</v>
      </c>
      <c r="F889" s="25">
        <v>123507.2</v>
      </c>
      <c r="G889" s="25" t="s">
        <v>876</v>
      </c>
      <c r="H889" s="25">
        <v>201819191</v>
      </c>
      <c r="I889" s="25" t="s">
        <v>19</v>
      </c>
      <c r="J889" s="25" t="s">
        <v>20</v>
      </c>
      <c r="K889" s="25" t="s">
        <v>21</v>
      </c>
      <c r="L889" s="25">
        <v>31</v>
      </c>
      <c r="M889" s="25">
        <v>3.6</v>
      </c>
      <c r="N889" s="25">
        <v>0</v>
      </c>
      <c r="O889" s="25">
        <v>73.52</v>
      </c>
      <c r="P889" s="25">
        <v>108.1198</v>
      </c>
    </row>
    <row r="890" spans="1:16" x14ac:dyDescent="0.25">
      <c r="A890" s="26">
        <v>43468</v>
      </c>
      <c r="B890" s="25" t="s">
        <v>849</v>
      </c>
      <c r="C890" s="25" t="s">
        <v>17</v>
      </c>
      <c r="D890" s="25">
        <v>500</v>
      </c>
      <c r="E890" s="25">
        <v>246.91</v>
      </c>
      <c r="F890" s="25">
        <v>123453.45</v>
      </c>
      <c r="G890" s="25" t="s">
        <v>877</v>
      </c>
      <c r="H890" s="25">
        <v>201819191</v>
      </c>
      <c r="I890" s="25" t="s">
        <v>19</v>
      </c>
      <c r="J890" s="25" t="s">
        <v>20</v>
      </c>
      <c r="K890" s="25" t="s">
        <v>21</v>
      </c>
      <c r="L890" s="25">
        <v>0</v>
      </c>
      <c r="M890" s="25">
        <v>3.58</v>
      </c>
      <c r="N890" s="25">
        <v>7.5</v>
      </c>
      <c r="O890" s="25">
        <v>73.48</v>
      </c>
      <c r="P890" s="25">
        <v>84.558300000000003</v>
      </c>
    </row>
    <row r="891" spans="1:16" x14ac:dyDescent="0.25">
      <c r="A891" s="26">
        <v>43468</v>
      </c>
      <c r="B891" s="25" t="s">
        <v>849</v>
      </c>
      <c r="C891" s="25" t="s">
        <v>17</v>
      </c>
      <c r="D891" s="25">
        <v>100</v>
      </c>
      <c r="E891" s="25">
        <v>253</v>
      </c>
      <c r="F891" s="25">
        <v>25300</v>
      </c>
      <c r="G891" s="25" t="s">
        <v>878</v>
      </c>
      <c r="H891" s="25">
        <v>2019003</v>
      </c>
      <c r="I891" s="25" t="s">
        <v>19</v>
      </c>
      <c r="J891" s="25" t="s">
        <v>20</v>
      </c>
      <c r="K891" s="25" t="s">
        <v>25</v>
      </c>
      <c r="L891" s="25">
        <v>0</v>
      </c>
      <c r="M891" s="25">
        <v>0.76</v>
      </c>
      <c r="N891" s="25">
        <v>0</v>
      </c>
      <c r="O891" s="25">
        <v>29.64</v>
      </c>
      <c r="P891" s="25">
        <v>30.399100000000001</v>
      </c>
    </row>
    <row r="892" spans="1:16" x14ac:dyDescent="0.25">
      <c r="A892" s="26">
        <v>43468</v>
      </c>
      <c r="B892" s="25" t="s">
        <v>849</v>
      </c>
      <c r="C892" s="25" t="s">
        <v>17</v>
      </c>
      <c r="D892" s="25">
        <v>100</v>
      </c>
      <c r="E892" s="25">
        <v>250.5</v>
      </c>
      <c r="F892" s="25">
        <v>25050</v>
      </c>
      <c r="G892" s="25" t="s">
        <v>879</v>
      </c>
      <c r="H892" s="25">
        <v>2019003</v>
      </c>
      <c r="I892" s="25" t="s">
        <v>19</v>
      </c>
      <c r="J892" s="25" t="s">
        <v>20</v>
      </c>
      <c r="K892" s="25" t="s">
        <v>25</v>
      </c>
      <c r="L892" s="25">
        <v>0</v>
      </c>
      <c r="M892" s="25">
        <v>0.75</v>
      </c>
      <c r="N892" s="25">
        <v>4.5</v>
      </c>
      <c r="O892" s="25">
        <v>29.64</v>
      </c>
      <c r="P892" s="25">
        <v>34.891500000000001</v>
      </c>
    </row>
    <row r="893" spans="1:16" x14ac:dyDescent="0.25">
      <c r="A893" s="26">
        <v>43468</v>
      </c>
      <c r="B893" s="25" t="s">
        <v>849</v>
      </c>
      <c r="C893" s="25" t="s">
        <v>17</v>
      </c>
      <c r="D893" s="25">
        <v>100</v>
      </c>
      <c r="E893" s="25">
        <v>248.5</v>
      </c>
      <c r="F893" s="25">
        <v>24850</v>
      </c>
      <c r="G893" s="25" t="s">
        <v>880</v>
      </c>
      <c r="H893" s="25">
        <v>2019003</v>
      </c>
      <c r="I893" s="25" t="s">
        <v>19</v>
      </c>
      <c r="J893" s="25" t="s">
        <v>20</v>
      </c>
      <c r="K893" s="25" t="s">
        <v>25</v>
      </c>
      <c r="L893" s="25">
        <v>0</v>
      </c>
      <c r="M893" s="25">
        <v>0.75</v>
      </c>
      <c r="N893" s="25">
        <v>0</v>
      </c>
      <c r="O893" s="25">
        <v>29.64</v>
      </c>
      <c r="P893" s="25">
        <v>30.3855</v>
      </c>
    </row>
    <row r="894" spans="1:16" x14ac:dyDescent="0.25">
      <c r="A894" s="26">
        <v>43468</v>
      </c>
      <c r="B894" s="25" t="s">
        <v>849</v>
      </c>
      <c r="C894" s="25" t="s">
        <v>23</v>
      </c>
      <c r="D894" s="25">
        <v>300</v>
      </c>
      <c r="E894" s="25">
        <v>246.65</v>
      </c>
      <c r="F894" s="25">
        <v>73995</v>
      </c>
      <c r="G894" s="25" t="s">
        <v>881</v>
      </c>
      <c r="H894" s="25">
        <v>2019003</v>
      </c>
      <c r="I894" s="25" t="s">
        <v>19</v>
      </c>
      <c r="J894" s="25" t="s">
        <v>20</v>
      </c>
      <c r="K894" s="25" t="s">
        <v>25</v>
      </c>
      <c r="L894" s="25">
        <v>19</v>
      </c>
      <c r="M894" s="25">
        <v>2.2200000000000002</v>
      </c>
      <c r="N894" s="25">
        <v>0</v>
      </c>
      <c r="O894" s="25">
        <v>44.06</v>
      </c>
      <c r="P894" s="25">
        <v>65.279899999999998</v>
      </c>
    </row>
    <row r="895" spans="1:16" x14ac:dyDescent="0.25">
      <c r="A895" s="26">
        <v>43467</v>
      </c>
      <c r="B895" s="25" t="s">
        <v>480</v>
      </c>
      <c r="C895" s="25" t="s">
        <v>23</v>
      </c>
      <c r="D895" s="25">
        <v>1000</v>
      </c>
      <c r="E895" s="25">
        <v>95.25</v>
      </c>
      <c r="F895" s="25">
        <v>95250</v>
      </c>
      <c r="G895" s="25" t="s">
        <v>882</v>
      </c>
      <c r="H895" s="25">
        <v>2019002</v>
      </c>
      <c r="I895" s="25" t="s">
        <v>19</v>
      </c>
      <c r="J895" s="25" t="s">
        <v>20</v>
      </c>
      <c r="K895" s="25" t="s">
        <v>25</v>
      </c>
      <c r="L895" s="25">
        <v>23.66</v>
      </c>
      <c r="M895" s="25">
        <v>2.86</v>
      </c>
      <c r="N895" s="25">
        <v>0</v>
      </c>
      <c r="O895" s="25">
        <v>56.71</v>
      </c>
      <c r="P895" s="25">
        <v>83.227500000000006</v>
      </c>
    </row>
    <row r="896" spans="1:16" x14ac:dyDescent="0.25">
      <c r="A896" s="26">
        <v>43467</v>
      </c>
      <c r="B896" s="25" t="s">
        <v>480</v>
      </c>
      <c r="C896" s="25" t="s">
        <v>17</v>
      </c>
      <c r="D896" s="25">
        <v>5000</v>
      </c>
      <c r="E896" s="25">
        <v>94.9</v>
      </c>
      <c r="F896" s="25">
        <v>474500</v>
      </c>
      <c r="G896" s="25" t="s">
        <v>883</v>
      </c>
      <c r="H896" s="25">
        <v>2019002</v>
      </c>
      <c r="I896" s="25" t="s">
        <v>19</v>
      </c>
      <c r="J896" s="25" t="s">
        <v>20</v>
      </c>
      <c r="K896" s="25" t="s">
        <v>25</v>
      </c>
      <c r="L896" s="25">
        <v>0</v>
      </c>
      <c r="M896" s="25">
        <v>14.24</v>
      </c>
      <c r="N896" s="25">
        <v>0</v>
      </c>
      <c r="O896" s="25">
        <v>282.52</v>
      </c>
      <c r="P896" s="25">
        <v>296.755</v>
      </c>
    </row>
    <row r="897" spans="1:16" x14ac:dyDescent="0.25">
      <c r="A897" s="26">
        <v>43467</v>
      </c>
      <c r="B897" s="25" t="s">
        <v>480</v>
      </c>
      <c r="C897" s="25" t="s">
        <v>23</v>
      </c>
      <c r="D897" s="25">
        <v>4000</v>
      </c>
      <c r="E897" s="25">
        <v>95.05</v>
      </c>
      <c r="F897" s="25">
        <v>380200</v>
      </c>
      <c r="G897" s="25" t="s">
        <v>884</v>
      </c>
      <c r="H897" s="25">
        <v>2019002</v>
      </c>
      <c r="I897" s="25" t="s">
        <v>19</v>
      </c>
      <c r="J897" s="25" t="s">
        <v>20</v>
      </c>
      <c r="K897" s="25" t="s">
        <v>25</v>
      </c>
      <c r="L897" s="25">
        <v>94.62</v>
      </c>
      <c r="M897" s="25">
        <v>11.41</v>
      </c>
      <c r="N897" s="25">
        <v>0</v>
      </c>
      <c r="O897" s="25">
        <v>226.37</v>
      </c>
      <c r="P897" s="25">
        <v>332.39600000000002</v>
      </c>
    </row>
    <row r="898" spans="1:16" x14ac:dyDescent="0.25">
      <c r="A898" s="26">
        <v>43467</v>
      </c>
      <c r="B898" s="25" t="s">
        <v>480</v>
      </c>
      <c r="C898" s="25" t="s">
        <v>23</v>
      </c>
      <c r="D898" s="25">
        <v>5000</v>
      </c>
      <c r="E898" s="25">
        <v>94.5</v>
      </c>
      <c r="F898" s="25">
        <v>472500</v>
      </c>
      <c r="G898" s="25" t="s">
        <v>885</v>
      </c>
      <c r="H898" s="25">
        <v>2019002</v>
      </c>
      <c r="I898" s="25" t="s">
        <v>19</v>
      </c>
      <c r="J898" s="25" t="s">
        <v>20</v>
      </c>
      <c r="K898" s="25" t="s">
        <v>25</v>
      </c>
      <c r="L898" s="25">
        <v>118.44</v>
      </c>
      <c r="M898" s="25">
        <v>14.17</v>
      </c>
      <c r="N898" s="25">
        <v>57</v>
      </c>
      <c r="O898" s="25">
        <v>281.33</v>
      </c>
      <c r="P898" s="25">
        <v>470.94470000000001</v>
      </c>
    </row>
    <row r="899" spans="1:16" x14ac:dyDescent="0.25">
      <c r="A899" s="26">
        <v>43467</v>
      </c>
      <c r="B899" s="25" t="s">
        <v>480</v>
      </c>
      <c r="C899" s="25" t="s">
        <v>17</v>
      </c>
      <c r="D899" s="25">
        <v>5000</v>
      </c>
      <c r="E899" s="25">
        <v>94</v>
      </c>
      <c r="F899" s="25">
        <v>470000</v>
      </c>
      <c r="G899" s="25" t="s">
        <v>886</v>
      </c>
      <c r="H899" s="25">
        <v>2019002</v>
      </c>
      <c r="I899" s="25" t="s">
        <v>19</v>
      </c>
      <c r="J899" s="25" t="s">
        <v>20</v>
      </c>
      <c r="K899" s="25" t="s">
        <v>25</v>
      </c>
      <c r="L899" s="25">
        <v>0</v>
      </c>
      <c r="M899" s="25">
        <v>14.1</v>
      </c>
      <c r="N899" s="25">
        <v>0</v>
      </c>
      <c r="O899" s="25">
        <v>279.83999999999997</v>
      </c>
      <c r="P899" s="25">
        <v>293.94</v>
      </c>
    </row>
    <row r="900" spans="1:16" x14ac:dyDescent="0.25">
      <c r="A900" s="26">
        <v>43467</v>
      </c>
      <c r="B900" s="25" t="s">
        <v>205</v>
      </c>
      <c r="C900" s="25" t="s">
        <v>17</v>
      </c>
      <c r="D900" s="25">
        <v>50</v>
      </c>
      <c r="E900" s="25">
        <v>25.65</v>
      </c>
      <c r="F900" s="25">
        <v>1282.5</v>
      </c>
      <c r="G900" s="25" t="s">
        <v>887</v>
      </c>
      <c r="H900" s="25">
        <v>2019002</v>
      </c>
      <c r="I900" s="25" t="s">
        <v>19</v>
      </c>
      <c r="J900" s="25" t="s">
        <v>20</v>
      </c>
      <c r="K900" s="25" t="s">
        <v>25</v>
      </c>
      <c r="L900" s="25">
        <v>1.28</v>
      </c>
      <c r="M900" s="25">
        <v>0.04</v>
      </c>
      <c r="N900" s="25">
        <v>0</v>
      </c>
      <c r="O900" s="25">
        <v>37.840000000000003</v>
      </c>
      <c r="P900" s="25">
        <v>39.158499999999997</v>
      </c>
    </row>
    <row r="901" spans="1:16" x14ac:dyDescent="0.25">
      <c r="A901" s="26">
        <v>43452</v>
      </c>
      <c r="B901" s="25" t="s">
        <v>888</v>
      </c>
      <c r="C901" s="25" t="s">
        <v>23</v>
      </c>
      <c r="D901" s="25">
        <v>50</v>
      </c>
      <c r="E901" s="25">
        <v>1220.3</v>
      </c>
      <c r="F901" s="25">
        <v>61015</v>
      </c>
      <c r="G901" s="25" t="s">
        <v>889</v>
      </c>
      <c r="H901" s="25">
        <v>201819180</v>
      </c>
      <c r="I901" s="25" t="s">
        <v>19</v>
      </c>
      <c r="J901" s="25" t="s">
        <v>20</v>
      </c>
      <c r="K901" s="25" t="s">
        <v>21</v>
      </c>
      <c r="L901" s="25">
        <v>15</v>
      </c>
      <c r="M901" s="25">
        <v>1.76</v>
      </c>
      <c r="N901" s="25">
        <v>0</v>
      </c>
      <c r="O901" s="25">
        <v>36.32</v>
      </c>
      <c r="P901" s="25">
        <v>53.078899999999997</v>
      </c>
    </row>
    <row r="902" spans="1:16" x14ac:dyDescent="0.25">
      <c r="A902" s="26">
        <v>43452</v>
      </c>
      <c r="B902" s="25" t="s">
        <v>888</v>
      </c>
      <c r="C902" s="25" t="s">
        <v>17</v>
      </c>
      <c r="D902" s="25">
        <v>50</v>
      </c>
      <c r="E902" s="25">
        <v>1238</v>
      </c>
      <c r="F902" s="25">
        <v>61900</v>
      </c>
      <c r="G902" s="25" t="s">
        <v>890</v>
      </c>
      <c r="H902" s="25">
        <v>201819180</v>
      </c>
      <c r="I902" s="25" t="s">
        <v>19</v>
      </c>
      <c r="J902" s="25" t="s">
        <v>20</v>
      </c>
      <c r="K902" s="25" t="s">
        <v>21</v>
      </c>
      <c r="L902" s="25">
        <v>0</v>
      </c>
      <c r="M902" s="25">
        <v>1.78</v>
      </c>
      <c r="N902" s="25">
        <v>3.9</v>
      </c>
      <c r="O902" s="25">
        <v>36.840000000000003</v>
      </c>
      <c r="P902" s="25">
        <v>42.5242</v>
      </c>
    </row>
    <row r="903" spans="1:16" x14ac:dyDescent="0.25">
      <c r="A903" s="26">
        <v>43448</v>
      </c>
      <c r="B903" s="25" t="s">
        <v>480</v>
      </c>
      <c r="C903" s="25" t="s">
        <v>23</v>
      </c>
      <c r="D903" s="25">
        <v>500</v>
      </c>
      <c r="E903" s="25">
        <v>90.5</v>
      </c>
      <c r="F903" s="25">
        <v>45250</v>
      </c>
      <c r="G903" s="25" t="s">
        <v>891</v>
      </c>
      <c r="H903" s="25">
        <v>2018236</v>
      </c>
      <c r="I903" s="25" t="s">
        <v>19</v>
      </c>
      <c r="J903" s="25" t="s">
        <v>20</v>
      </c>
      <c r="K903" s="25" t="s">
        <v>25</v>
      </c>
      <c r="L903" s="25">
        <v>11</v>
      </c>
      <c r="M903" s="25">
        <v>1.36</v>
      </c>
      <c r="N903" s="25">
        <v>0</v>
      </c>
      <c r="O903" s="25">
        <v>29.74</v>
      </c>
      <c r="P903" s="25">
        <v>42.097499999999997</v>
      </c>
    </row>
    <row r="904" spans="1:16" x14ac:dyDescent="0.25">
      <c r="A904" s="26">
        <v>43448</v>
      </c>
      <c r="B904" s="25" t="s">
        <v>480</v>
      </c>
      <c r="C904" s="25" t="s">
        <v>17</v>
      </c>
      <c r="D904" s="25">
        <v>500</v>
      </c>
      <c r="E904" s="25">
        <v>91.25</v>
      </c>
      <c r="F904" s="25">
        <v>45625</v>
      </c>
      <c r="G904" s="25" t="s">
        <v>892</v>
      </c>
      <c r="H904" s="25">
        <v>2018236</v>
      </c>
      <c r="I904" s="25" t="s">
        <v>19</v>
      </c>
      <c r="J904" s="25" t="s">
        <v>20</v>
      </c>
      <c r="K904" s="25" t="s">
        <v>25</v>
      </c>
      <c r="L904" s="25">
        <v>0</v>
      </c>
      <c r="M904" s="25">
        <v>1.37</v>
      </c>
      <c r="N904" s="25">
        <v>3</v>
      </c>
      <c r="O904" s="25">
        <v>29.75</v>
      </c>
      <c r="P904" s="25">
        <v>34.118699999999997</v>
      </c>
    </row>
    <row r="905" spans="1:16" x14ac:dyDescent="0.25">
      <c r="A905" s="26">
        <v>43447</v>
      </c>
      <c r="B905" s="25" t="s">
        <v>480</v>
      </c>
      <c r="C905" s="25" t="s">
        <v>17</v>
      </c>
      <c r="D905" s="25">
        <v>500</v>
      </c>
      <c r="E905" s="25">
        <v>90.05</v>
      </c>
      <c r="F905" s="25">
        <v>45025</v>
      </c>
      <c r="G905" s="25" t="s">
        <v>893</v>
      </c>
      <c r="H905" s="25">
        <v>2018235</v>
      </c>
      <c r="I905" s="25" t="s">
        <v>19</v>
      </c>
      <c r="J905" s="25" t="s">
        <v>20</v>
      </c>
      <c r="K905" s="25" t="s">
        <v>25</v>
      </c>
      <c r="L905" s="25">
        <v>0</v>
      </c>
      <c r="M905" s="25">
        <v>1.35</v>
      </c>
      <c r="N905" s="25">
        <v>0</v>
      </c>
      <c r="O905" s="25">
        <v>29.74</v>
      </c>
      <c r="P905" s="25">
        <v>31.090699999999998</v>
      </c>
    </row>
    <row r="906" spans="1:16" x14ac:dyDescent="0.25">
      <c r="A906" s="26">
        <v>43447</v>
      </c>
      <c r="B906" s="25" t="s">
        <v>480</v>
      </c>
      <c r="C906" s="25" t="s">
        <v>23</v>
      </c>
      <c r="D906" s="25">
        <v>500</v>
      </c>
      <c r="E906" s="25">
        <v>89.35</v>
      </c>
      <c r="F906" s="25">
        <v>44675</v>
      </c>
      <c r="G906" s="25" t="s">
        <v>894</v>
      </c>
      <c r="H906" s="25">
        <v>2018235</v>
      </c>
      <c r="I906" s="25" t="s">
        <v>19</v>
      </c>
      <c r="J906" s="25" t="s">
        <v>20</v>
      </c>
      <c r="K906" s="25" t="s">
        <v>25</v>
      </c>
      <c r="L906" s="25">
        <v>11</v>
      </c>
      <c r="M906" s="25">
        <v>1.34</v>
      </c>
      <c r="N906" s="25">
        <v>2.7</v>
      </c>
      <c r="O906" s="25">
        <v>29.74</v>
      </c>
      <c r="P906" s="25">
        <v>44.780099999999997</v>
      </c>
    </row>
    <row r="907" spans="1:16" x14ac:dyDescent="0.25">
      <c r="A907" s="26">
        <v>43446</v>
      </c>
      <c r="B907" s="25" t="s">
        <v>205</v>
      </c>
      <c r="C907" s="25" t="s">
        <v>17</v>
      </c>
      <c r="D907" s="25">
        <v>50</v>
      </c>
      <c r="E907" s="25">
        <v>22.2</v>
      </c>
      <c r="F907" s="25">
        <v>1110</v>
      </c>
      <c r="G907" s="25" t="s">
        <v>895</v>
      </c>
      <c r="H907" s="25">
        <v>201819176</v>
      </c>
      <c r="I907" s="25" t="s">
        <v>19</v>
      </c>
      <c r="J907" s="25" t="s">
        <v>20</v>
      </c>
      <c r="K907" s="25" t="s">
        <v>21</v>
      </c>
      <c r="L907" s="25">
        <v>1</v>
      </c>
      <c r="M907" s="25">
        <v>0.05</v>
      </c>
      <c r="N907" s="25">
        <v>0.3</v>
      </c>
      <c r="O907" s="25">
        <v>32.75</v>
      </c>
      <c r="P907" s="25">
        <v>34.101700000000001</v>
      </c>
    </row>
    <row r="908" spans="1:16" x14ac:dyDescent="0.25">
      <c r="A908" s="26">
        <v>43433</v>
      </c>
      <c r="B908" s="25" t="s">
        <v>480</v>
      </c>
      <c r="C908" s="25" t="s">
        <v>23</v>
      </c>
      <c r="D908" s="25">
        <v>1000</v>
      </c>
      <c r="E908" s="25">
        <v>82.93</v>
      </c>
      <c r="F908" s="25">
        <v>82930.600000000006</v>
      </c>
      <c r="G908" s="25" t="s">
        <v>896</v>
      </c>
      <c r="H908" s="25">
        <v>2018225</v>
      </c>
      <c r="I908" s="25" t="s">
        <v>19</v>
      </c>
      <c r="J908" s="25" t="s">
        <v>20</v>
      </c>
      <c r="K908" s="25" t="s">
        <v>25</v>
      </c>
      <c r="L908" s="25">
        <v>20.87</v>
      </c>
      <c r="M908" s="25">
        <v>2.4900000000000002</v>
      </c>
      <c r="N908" s="25">
        <v>10.199999999999999</v>
      </c>
      <c r="O908" s="25">
        <v>49.38</v>
      </c>
      <c r="P908" s="25">
        <v>82.937799999999996</v>
      </c>
    </row>
    <row r="909" spans="1:16" x14ac:dyDescent="0.25">
      <c r="A909" s="26">
        <v>43433</v>
      </c>
      <c r="B909" s="25" t="s">
        <v>480</v>
      </c>
      <c r="C909" s="25" t="s">
        <v>23</v>
      </c>
      <c r="D909" s="25">
        <v>500</v>
      </c>
      <c r="E909" s="25">
        <v>83.15</v>
      </c>
      <c r="F909" s="25">
        <v>41575</v>
      </c>
      <c r="G909" s="25" t="s">
        <v>897</v>
      </c>
      <c r="H909" s="25">
        <v>2018225</v>
      </c>
      <c r="I909" s="25" t="s">
        <v>19</v>
      </c>
      <c r="J909" s="25" t="s">
        <v>20</v>
      </c>
      <c r="K909" s="25" t="s">
        <v>25</v>
      </c>
      <c r="L909" s="25">
        <v>10.57</v>
      </c>
      <c r="M909" s="25">
        <v>1.25</v>
      </c>
      <c r="N909" s="25">
        <v>0</v>
      </c>
      <c r="O909" s="25">
        <v>29.72</v>
      </c>
      <c r="P909" s="25">
        <v>41.537300000000002</v>
      </c>
    </row>
    <row r="910" spans="1:16" x14ac:dyDescent="0.25">
      <c r="A910" s="26">
        <v>43433</v>
      </c>
      <c r="B910" s="25" t="s">
        <v>480</v>
      </c>
      <c r="C910" s="25" t="s">
        <v>23</v>
      </c>
      <c r="D910" s="25">
        <v>500</v>
      </c>
      <c r="E910" s="25">
        <v>85</v>
      </c>
      <c r="F910" s="25">
        <v>42500</v>
      </c>
      <c r="G910" s="25" t="s">
        <v>898</v>
      </c>
      <c r="H910" s="25">
        <v>2018225</v>
      </c>
      <c r="I910" s="25" t="s">
        <v>19</v>
      </c>
      <c r="J910" s="25" t="s">
        <v>20</v>
      </c>
      <c r="K910" s="25" t="s">
        <v>25</v>
      </c>
      <c r="L910" s="25">
        <v>10.57</v>
      </c>
      <c r="M910" s="25">
        <v>1.28</v>
      </c>
      <c r="N910" s="25">
        <v>0</v>
      </c>
      <c r="O910" s="25">
        <v>29.73</v>
      </c>
      <c r="P910" s="25">
        <v>41.575099999999999</v>
      </c>
    </row>
    <row r="911" spans="1:16" x14ac:dyDescent="0.25">
      <c r="A911" s="26">
        <v>43433</v>
      </c>
      <c r="B911" s="25" t="s">
        <v>480</v>
      </c>
      <c r="C911" s="25" t="s">
        <v>17</v>
      </c>
      <c r="D911" s="25">
        <v>2000</v>
      </c>
      <c r="E911" s="25">
        <v>85.55</v>
      </c>
      <c r="F911" s="25">
        <v>171100</v>
      </c>
      <c r="G911" s="25" t="s">
        <v>899</v>
      </c>
      <c r="H911" s="25">
        <v>2018225</v>
      </c>
      <c r="I911" s="25" t="s">
        <v>19</v>
      </c>
      <c r="J911" s="25" t="s">
        <v>20</v>
      </c>
      <c r="K911" s="25" t="s">
        <v>25</v>
      </c>
      <c r="L911" s="25">
        <v>0</v>
      </c>
      <c r="M911" s="25">
        <v>5.13</v>
      </c>
      <c r="N911" s="25">
        <v>0</v>
      </c>
      <c r="O911" s="25">
        <v>101.87</v>
      </c>
      <c r="P911" s="25">
        <v>107.0031</v>
      </c>
    </row>
    <row r="912" spans="1:16" x14ac:dyDescent="0.25">
      <c r="A912" s="26">
        <v>43419</v>
      </c>
      <c r="B912" s="25" t="s">
        <v>738</v>
      </c>
      <c r="C912" s="25" t="s">
        <v>23</v>
      </c>
      <c r="D912" s="25">
        <v>5000</v>
      </c>
      <c r="E912" s="25">
        <v>370.7</v>
      </c>
      <c r="F912" s="25">
        <v>1853500</v>
      </c>
      <c r="G912" s="25" t="s">
        <v>814</v>
      </c>
      <c r="H912" s="25">
        <v>2018216</v>
      </c>
      <c r="I912" s="25" t="s">
        <v>19</v>
      </c>
      <c r="J912" s="25" t="s">
        <v>20</v>
      </c>
      <c r="K912" s="25" t="s">
        <v>25</v>
      </c>
      <c r="L912" s="25">
        <v>463.36</v>
      </c>
      <c r="M912" s="25">
        <v>55.61</v>
      </c>
      <c r="N912" s="25">
        <v>0</v>
      </c>
      <c r="O912" s="25">
        <v>1103.58</v>
      </c>
      <c r="P912" s="25">
        <v>1622.5451</v>
      </c>
    </row>
    <row r="913" spans="1:16" x14ac:dyDescent="0.25">
      <c r="A913" s="26">
        <v>43419</v>
      </c>
      <c r="B913" s="25" t="s">
        <v>738</v>
      </c>
      <c r="C913" s="25" t="s">
        <v>17</v>
      </c>
      <c r="D913" s="25">
        <v>5000</v>
      </c>
      <c r="E913" s="25">
        <v>372.06</v>
      </c>
      <c r="F913" s="25">
        <v>1860281.85</v>
      </c>
      <c r="G913" s="25" t="s">
        <v>815</v>
      </c>
      <c r="H913" s="25">
        <v>2018216</v>
      </c>
      <c r="I913" s="25" t="s">
        <v>19</v>
      </c>
      <c r="J913" s="25" t="s">
        <v>20</v>
      </c>
      <c r="K913" s="25" t="s">
        <v>25</v>
      </c>
      <c r="L913" s="25">
        <v>0</v>
      </c>
      <c r="M913" s="25">
        <v>55.81</v>
      </c>
      <c r="N913" s="25">
        <v>223.8</v>
      </c>
      <c r="O913" s="25">
        <v>1107.6199999999999</v>
      </c>
      <c r="P913" s="25">
        <v>1387.2285999999999</v>
      </c>
    </row>
    <row r="914" spans="1:16" x14ac:dyDescent="0.25">
      <c r="A914" s="26">
        <v>43419</v>
      </c>
      <c r="B914" s="25" t="s">
        <v>738</v>
      </c>
      <c r="C914" s="25" t="s">
        <v>17</v>
      </c>
      <c r="D914" s="25">
        <v>5000</v>
      </c>
      <c r="E914" s="25">
        <v>371</v>
      </c>
      <c r="F914" s="25">
        <v>1855000</v>
      </c>
      <c r="G914" s="25" t="s">
        <v>816</v>
      </c>
      <c r="H914" s="25">
        <v>2018216</v>
      </c>
      <c r="I914" s="25" t="s">
        <v>19</v>
      </c>
      <c r="J914" s="25" t="s">
        <v>20</v>
      </c>
      <c r="K914" s="25" t="s">
        <v>25</v>
      </c>
      <c r="L914" s="25">
        <v>0</v>
      </c>
      <c r="M914" s="25">
        <v>55.65</v>
      </c>
      <c r="N914" s="25">
        <v>0</v>
      </c>
      <c r="O914" s="25">
        <v>1104.52</v>
      </c>
      <c r="P914" s="25">
        <v>1160.1701</v>
      </c>
    </row>
    <row r="915" spans="1:16" x14ac:dyDescent="0.25">
      <c r="A915" s="26">
        <v>43419</v>
      </c>
      <c r="B915" s="25" t="s">
        <v>738</v>
      </c>
      <c r="C915" s="25" t="s">
        <v>23</v>
      </c>
      <c r="D915" s="25">
        <v>5000</v>
      </c>
      <c r="E915" s="25">
        <v>369</v>
      </c>
      <c r="F915" s="25">
        <v>1845000</v>
      </c>
      <c r="G915" s="25" t="s">
        <v>817</v>
      </c>
      <c r="H915" s="25">
        <v>2018216</v>
      </c>
      <c r="I915" s="25" t="s">
        <v>19</v>
      </c>
      <c r="J915" s="25" t="s">
        <v>20</v>
      </c>
      <c r="K915" s="25" t="s">
        <v>25</v>
      </c>
      <c r="L915" s="25">
        <v>463.36</v>
      </c>
      <c r="M915" s="25">
        <v>55.35</v>
      </c>
      <c r="N915" s="25">
        <v>0</v>
      </c>
      <c r="O915" s="25">
        <v>1098.55</v>
      </c>
      <c r="P915" s="25">
        <v>1617.2606000000001</v>
      </c>
    </row>
    <row r="916" spans="1:16" x14ac:dyDescent="0.25">
      <c r="A916" s="26">
        <v>43419</v>
      </c>
      <c r="B916" s="25" t="s">
        <v>190</v>
      </c>
      <c r="C916" s="25" t="s">
        <v>23</v>
      </c>
      <c r="D916" s="25">
        <v>5000</v>
      </c>
      <c r="E916" s="25">
        <v>4.18</v>
      </c>
      <c r="F916" s="25">
        <v>20900</v>
      </c>
      <c r="G916" s="25" t="s">
        <v>818</v>
      </c>
      <c r="H916" s="25">
        <v>2018216</v>
      </c>
      <c r="I916" s="25" t="s">
        <v>19</v>
      </c>
      <c r="J916" s="25" t="s">
        <v>20</v>
      </c>
      <c r="K916" s="25" t="s">
        <v>25</v>
      </c>
      <c r="L916" s="25">
        <v>21.04</v>
      </c>
      <c r="M916" s="25">
        <v>0.63</v>
      </c>
      <c r="N916" s="25">
        <v>0</v>
      </c>
      <c r="O916" s="25">
        <v>295.11</v>
      </c>
      <c r="P916" s="25">
        <v>316.77699999999999</v>
      </c>
    </row>
    <row r="917" spans="1:16" x14ac:dyDescent="0.25">
      <c r="A917" s="26">
        <v>43419</v>
      </c>
      <c r="B917" s="25" t="s">
        <v>16</v>
      </c>
      <c r="C917" s="25" t="s">
        <v>23</v>
      </c>
      <c r="D917" s="25">
        <v>100</v>
      </c>
      <c r="E917" s="25">
        <v>42.05</v>
      </c>
      <c r="F917" s="25">
        <v>4205</v>
      </c>
      <c r="G917" s="25" t="s">
        <v>819</v>
      </c>
      <c r="H917" s="25">
        <v>2018216</v>
      </c>
      <c r="I917" s="25" t="s">
        <v>19</v>
      </c>
      <c r="J917" s="25" t="s">
        <v>20</v>
      </c>
      <c r="K917" s="25" t="s">
        <v>25</v>
      </c>
      <c r="L917" s="25">
        <v>4.21</v>
      </c>
      <c r="M917" s="25">
        <v>0.13</v>
      </c>
      <c r="N917" s="25">
        <v>0</v>
      </c>
      <c r="O917" s="25">
        <v>41.32</v>
      </c>
      <c r="P917" s="25">
        <v>45.656100000000002</v>
      </c>
    </row>
    <row r="918" spans="1:16" x14ac:dyDescent="0.25">
      <c r="A918" s="26">
        <v>43419</v>
      </c>
      <c r="B918" s="25" t="s">
        <v>205</v>
      </c>
      <c r="C918" s="25" t="s">
        <v>23</v>
      </c>
      <c r="D918" s="25">
        <v>200</v>
      </c>
      <c r="E918" s="25">
        <v>24.65</v>
      </c>
      <c r="F918" s="25">
        <v>4930</v>
      </c>
      <c r="G918" s="25" t="s">
        <v>820</v>
      </c>
      <c r="H918" s="25">
        <v>2018216</v>
      </c>
      <c r="I918" s="25" t="s">
        <v>19</v>
      </c>
      <c r="J918" s="25" t="s">
        <v>20</v>
      </c>
      <c r="K918" s="25" t="s">
        <v>25</v>
      </c>
      <c r="L918" s="25">
        <v>4.93</v>
      </c>
      <c r="M918" s="25">
        <v>0.15</v>
      </c>
      <c r="N918" s="25">
        <v>0</v>
      </c>
      <c r="O918" s="25">
        <v>41.33</v>
      </c>
      <c r="P918" s="25">
        <v>46.407899999999998</v>
      </c>
    </row>
    <row r="919" spans="1:16" x14ac:dyDescent="0.25">
      <c r="A919" s="26">
        <v>43419</v>
      </c>
      <c r="B919" s="25" t="s">
        <v>288</v>
      </c>
      <c r="C919" s="25" t="s">
        <v>23</v>
      </c>
      <c r="D919" s="25">
        <v>600</v>
      </c>
      <c r="E919" s="25">
        <v>23.5</v>
      </c>
      <c r="F919" s="25">
        <v>14100</v>
      </c>
      <c r="G919" s="25" t="s">
        <v>821</v>
      </c>
      <c r="H919" s="25">
        <v>2018216</v>
      </c>
      <c r="I919" s="25" t="s">
        <v>19</v>
      </c>
      <c r="J919" s="25" t="s">
        <v>20</v>
      </c>
      <c r="K919" s="25" t="s">
        <v>25</v>
      </c>
      <c r="L919" s="25">
        <v>14.1</v>
      </c>
      <c r="M919" s="25">
        <v>0.42</v>
      </c>
      <c r="N919" s="25">
        <v>0</v>
      </c>
      <c r="O919" s="25">
        <v>91.59</v>
      </c>
      <c r="P919" s="25">
        <v>106.1131</v>
      </c>
    </row>
    <row r="920" spans="1:16" x14ac:dyDescent="0.25">
      <c r="A920" s="26">
        <v>43418</v>
      </c>
      <c r="B920" s="25" t="s">
        <v>738</v>
      </c>
      <c r="C920" s="25" t="s">
        <v>17</v>
      </c>
      <c r="D920" s="25">
        <v>1000</v>
      </c>
      <c r="E920" s="25">
        <v>362</v>
      </c>
      <c r="F920" s="25">
        <v>362000</v>
      </c>
      <c r="G920" s="25" t="s">
        <v>822</v>
      </c>
      <c r="H920" s="25">
        <v>2018215</v>
      </c>
      <c r="I920" s="25" t="s">
        <v>19</v>
      </c>
      <c r="J920" s="25" t="s">
        <v>20</v>
      </c>
      <c r="K920" s="25" t="s">
        <v>25</v>
      </c>
      <c r="L920" s="25">
        <v>0</v>
      </c>
      <c r="M920" s="25">
        <v>10.86</v>
      </c>
      <c r="N920" s="25">
        <v>0</v>
      </c>
      <c r="O920" s="25">
        <v>215.53</v>
      </c>
      <c r="P920" s="25">
        <v>226.38980000000001</v>
      </c>
    </row>
    <row r="921" spans="1:16" x14ac:dyDescent="0.25">
      <c r="A921" s="26">
        <v>43418</v>
      </c>
      <c r="B921" s="25" t="s">
        <v>738</v>
      </c>
      <c r="C921" s="25" t="s">
        <v>23</v>
      </c>
      <c r="D921" s="25">
        <v>1000</v>
      </c>
      <c r="E921" s="25">
        <v>366</v>
      </c>
      <c r="F921" s="25">
        <v>366000</v>
      </c>
      <c r="G921" s="25" t="s">
        <v>823</v>
      </c>
      <c r="H921" s="25">
        <v>2018215</v>
      </c>
      <c r="I921" s="25" t="s">
        <v>19</v>
      </c>
      <c r="J921" s="25" t="s">
        <v>20</v>
      </c>
      <c r="K921" s="25" t="s">
        <v>25</v>
      </c>
      <c r="L921" s="25">
        <v>91.42</v>
      </c>
      <c r="M921" s="25">
        <v>10.98</v>
      </c>
      <c r="N921" s="25">
        <v>0</v>
      </c>
      <c r="O921" s="25">
        <v>217.92</v>
      </c>
      <c r="P921" s="25">
        <v>320.32010000000002</v>
      </c>
    </row>
    <row r="922" spans="1:16" x14ac:dyDescent="0.25">
      <c r="A922" s="26">
        <v>43418</v>
      </c>
      <c r="B922" s="25" t="s">
        <v>738</v>
      </c>
      <c r="C922" s="25" t="s">
        <v>17</v>
      </c>
      <c r="D922" s="25">
        <v>1000</v>
      </c>
      <c r="E922" s="25">
        <v>364.25</v>
      </c>
      <c r="F922" s="25">
        <v>364250</v>
      </c>
      <c r="G922" s="25" t="s">
        <v>824</v>
      </c>
      <c r="H922" s="25">
        <v>2018215</v>
      </c>
      <c r="I922" s="25" t="s">
        <v>19</v>
      </c>
      <c r="J922" s="25" t="s">
        <v>20</v>
      </c>
      <c r="K922" s="25" t="s">
        <v>25</v>
      </c>
      <c r="L922" s="25">
        <v>0</v>
      </c>
      <c r="M922" s="25">
        <v>10.93</v>
      </c>
      <c r="N922" s="25">
        <v>0</v>
      </c>
      <c r="O922" s="25">
        <v>216.87</v>
      </c>
      <c r="P922" s="25">
        <v>227.79750000000001</v>
      </c>
    </row>
    <row r="923" spans="1:16" x14ac:dyDescent="0.25">
      <c r="A923" s="26">
        <v>43418</v>
      </c>
      <c r="B923" s="25" t="s">
        <v>738</v>
      </c>
      <c r="C923" s="25" t="s">
        <v>23</v>
      </c>
      <c r="D923" s="25">
        <v>10000</v>
      </c>
      <c r="E923" s="25">
        <v>364</v>
      </c>
      <c r="F923" s="25">
        <v>3640000</v>
      </c>
      <c r="G923" s="25" t="s">
        <v>825</v>
      </c>
      <c r="H923" s="25">
        <v>2018215</v>
      </c>
      <c r="I923" s="25" t="s">
        <v>19</v>
      </c>
      <c r="J923" s="25" t="s">
        <v>20</v>
      </c>
      <c r="K923" s="25" t="s">
        <v>25</v>
      </c>
      <c r="L923" s="25">
        <v>914.24</v>
      </c>
      <c r="M923" s="25">
        <v>109.2</v>
      </c>
      <c r="N923" s="25">
        <v>0</v>
      </c>
      <c r="O923" s="25">
        <v>2167.2800000000002</v>
      </c>
      <c r="P923" s="25">
        <v>3190.7204000000002</v>
      </c>
    </row>
    <row r="924" spans="1:16" x14ac:dyDescent="0.25">
      <c r="A924" s="26">
        <v>43418</v>
      </c>
      <c r="B924" s="25" t="s">
        <v>738</v>
      </c>
      <c r="C924" s="25" t="s">
        <v>17</v>
      </c>
      <c r="D924" s="25">
        <v>9000</v>
      </c>
      <c r="E924" s="25">
        <v>365.4</v>
      </c>
      <c r="F924" s="25">
        <v>3288587.8</v>
      </c>
      <c r="G924" s="25" t="s">
        <v>826</v>
      </c>
      <c r="H924" s="25">
        <v>2018215</v>
      </c>
      <c r="I924" s="25" t="s">
        <v>19</v>
      </c>
      <c r="J924" s="25" t="s">
        <v>20</v>
      </c>
      <c r="K924" s="25" t="s">
        <v>25</v>
      </c>
      <c r="L924" s="25">
        <v>0</v>
      </c>
      <c r="M924" s="25">
        <v>98.66</v>
      </c>
      <c r="N924" s="25">
        <v>0</v>
      </c>
      <c r="O924" s="25">
        <v>1958.07</v>
      </c>
      <c r="P924" s="25">
        <v>2056.7274000000002</v>
      </c>
    </row>
    <row r="925" spans="1:16" x14ac:dyDescent="0.25">
      <c r="A925" s="26">
        <v>43418</v>
      </c>
      <c r="B925" s="25" t="s">
        <v>738</v>
      </c>
      <c r="C925" s="25" t="s">
        <v>17</v>
      </c>
      <c r="D925" s="25">
        <v>8000</v>
      </c>
      <c r="E925" s="25">
        <v>365.55</v>
      </c>
      <c r="F925" s="25">
        <v>2924387.25</v>
      </c>
      <c r="G925" s="25" t="s">
        <v>827</v>
      </c>
      <c r="H925" s="25">
        <v>2018215</v>
      </c>
      <c r="I925" s="25" t="s">
        <v>19</v>
      </c>
      <c r="J925" s="25" t="s">
        <v>20</v>
      </c>
      <c r="K925" s="25" t="s">
        <v>25</v>
      </c>
      <c r="L925" s="25">
        <v>0</v>
      </c>
      <c r="M925" s="25">
        <v>87.73</v>
      </c>
      <c r="N925" s="25">
        <v>0</v>
      </c>
      <c r="O925" s="25">
        <v>1741.18</v>
      </c>
      <c r="P925" s="25">
        <v>1828.9117000000001</v>
      </c>
    </row>
    <row r="926" spans="1:16" x14ac:dyDescent="0.25">
      <c r="A926" s="26">
        <v>43418</v>
      </c>
      <c r="B926" s="25" t="s">
        <v>738</v>
      </c>
      <c r="C926" s="25" t="s">
        <v>23</v>
      </c>
      <c r="D926" s="25">
        <v>8000</v>
      </c>
      <c r="E926" s="25">
        <v>368.07</v>
      </c>
      <c r="F926" s="25">
        <v>2944530.8</v>
      </c>
      <c r="G926" s="25" t="s">
        <v>828</v>
      </c>
      <c r="H926" s="25">
        <v>2018215</v>
      </c>
      <c r="I926" s="25" t="s">
        <v>19</v>
      </c>
      <c r="J926" s="25" t="s">
        <v>20</v>
      </c>
      <c r="K926" s="25" t="s">
        <v>25</v>
      </c>
      <c r="L926" s="25">
        <v>731.39</v>
      </c>
      <c r="M926" s="25">
        <v>88.34</v>
      </c>
      <c r="N926" s="25">
        <v>0</v>
      </c>
      <c r="O926" s="25">
        <v>1753.17</v>
      </c>
      <c r="P926" s="25">
        <v>2572.8960000000002</v>
      </c>
    </row>
    <row r="927" spans="1:16" x14ac:dyDescent="0.25">
      <c r="A927" s="26">
        <v>43418</v>
      </c>
      <c r="B927" s="25" t="s">
        <v>738</v>
      </c>
      <c r="C927" s="25" t="s">
        <v>17</v>
      </c>
      <c r="D927" s="25">
        <v>2500</v>
      </c>
      <c r="E927" s="25">
        <v>366.5</v>
      </c>
      <c r="F927" s="25">
        <v>916250</v>
      </c>
      <c r="G927" s="25" t="s">
        <v>829</v>
      </c>
      <c r="H927" s="25">
        <v>2018215</v>
      </c>
      <c r="I927" s="25" t="s">
        <v>19</v>
      </c>
      <c r="J927" s="25" t="s">
        <v>20</v>
      </c>
      <c r="K927" s="25" t="s">
        <v>25</v>
      </c>
      <c r="L927" s="25">
        <v>0</v>
      </c>
      <c r="M927" s="25">
        <v>27.49</v>
      </c>
      <c r="N927" s="25">
        <v>0</v>
      </c>
      <c r="O927" s="25">
        <v>545.53</v>
      </c>
      <c r="P927" s="25">
        <v>573.01769999999999</v>
      </c>
    </row>
    <row r="928" spans="1:16" x14ac:dyDescent="0.25">
      <c r="A928" s="26">
        <v>43418</v>
      </c>
      <c r="B928" s="25" t="s">
        <v>738</v>
      </c>
      <c r="C928" s="25" t="s">
        <v>17</v>
      </c>
      <c r="D928" s="25">
        <v>2500</v>
      </c>
      <c r="E928" s="25">
        <v>366</v>
      </c>
      <c r="F928" s="25">
        <v>915000</v>
      </c>
      <c r="G928" s="25" t="s">
        <v>830</v>
      </c>
      <c r="H928" s="25">
        <v>2018215</v>
      </c>
      <c r="I928" s="25" t="s">
        <v>19</v>
      </c>
      <c r="J928" s="25" t="s">
        <v>20</v>
      </c>
      <c r="K928" s="25" t="s">
        <v>25</v>
      </c>
      <c r="L928" s="25">
        <v>0</v>
      </c>
      <c r="M928" s="25">
        <v>27.45</v>
      </c>
      <c r="N928" s="25">
        <v>0</v>
      </c>
      <c r="O928" s="25">
        <v>544.79999999999995</v>
      </c>
      <c r="P928" s="25">
        <v>572.25</v>
      </c>
    </row>
    <row r="929" spans="1:16" x14ac:dyDescent="0.25">
      <c r="A929" s="26">
        <v>43418</v>
      </c>
      <c r="B929" s="25" t="s">
        <v>738</v>
      </c>
      <c r="C929" s="25" t="s">
        <v>23</v>
      </c>
      <c r="D929" s="25">
        <v>5000</v>
      </c>
      <c r="E929" s="25">
        <v>365.19</v>
      </c>
      <c r="F929" s="25">
        <v>1825946.75</v>
      </c>
      <c r="G929" s="25" t="s">
        <v>831</v>
      </c>
      <c r="H929" s="25">
        <v>2018215</v>
      </c>
      <c r="I929" s="25" t="s">
        <v>19</v>
      </c>
      <c r="J929" s="25" t="s">
        <v>20</v>
      </c>
      <c r="K929" s="25" t="s">
        <v>25</v>
      </c>
      <c r="L929" s="25">
        <v>457.12</v>
      </c>
      <c r="M929" s="25">
        <v>54.78</v>
      </c>
      <c r="N929" s="25">
        <v>0</v>
      </c>
      <c r="O929" s="25">
        <v>1087.18</v>
      </c>
      <c r="P929" s="25">
        <v>1599.0784000000001</v>
      </c>
    </row>
    <row r="930" spans="1:16" x14ac:dyDescent="0.25">
      <c r="A930" s="26">
        <v>43418</v>
      </c>
      <c r="B930" s="25" t="s">
        <v>738</v>
      </c>
      <c r="C930" s="25" t="s">
        <v>23</v>
      </c>
      <c r="D930" s="25">
        <v>8000</v>
      </c>
      <c r="E930" s="25">
        <v>365.5</v>
      </c>
      <c r="F930" s="25">
        <v>2924000</v>
      </c>
      <c r="G930" s="25" t="s">
        <v>832</v>
      </c>
      <c r="H930" s="25">
        <v>2018215</v>
      </c>
      <c r="I930" s="25" t="s">
        <v>19</v>
      </c>
      <c r="J930" s="25" t="s">
        <v>20</v>
      </c>
      <c r="K930" s="25" t="s">
        <v>25</v>
      </c>
      <c r="L930" s="25">
        <v>731.82</v>
      </c>
      <c r="M930" s="25">
        <v>87.72</v>
      </c>
      <c r="N930" s="25">
        <v>702.3</v>
      </c>
      <c r="O930" s="25">
        <v>1740.95</v>
      </c>
      <c r="P930" s="25">
        <v>3262.7903999999999</v>
      </c>
    </row>
    <row r="931" spans="1:16" x14ac:dyDescent="0.25">
      <c r="A931" s="26">
        <v>43418</v>
      </c>
      <c r="B931" s="25" t="s">
        <v>738</v>
      </c>
      <c r="C931" s="25" t="s">
        <v>17</v>
      </c>
      <c r="D931" s="25">
        <v>8000</v>
      </c>
      <c r="E931" s="25">
        <v>366.7</v>
      </c>
      <c r="F931" s="25">
        <v>2933602.75</v>
      </c>
      <c r="G931" s="25" t="s">
        <v>833</v>
      </c>
      <c r="H931" s="25">
        <v>2018215</v>
      </c>
      <c r="I931" s="25" t="s">
        <v>19</v>
      </c>
      <c r="J931" s="25" t="s">
        <v>20</v>
      </c>
      <c r="K931" s="25" t="s">
        <v>25</v>
      </c>
      <c r="L931" s="25">
        <v>0</v>
      </c>
      <c r="M931" s="25">
        <v>88.01</v>
      </c>
      <c r="N931" s="25">
        <v>0</v>
      </c>
      <c r="O931" s="25">
        <v>1746.68</v>
      </c>
      <c r="P931" s="25">
        <v>1834.6880000000001</v>
      </c>
    </row>
    <row r="932" spans="1:16" x14ac:dyDescent="0.25">
      <c r="A932" s="26">
        <v>43404</v>
      </c>
      <c r="B932" s="25" t="s">
        <v>738</v>
      </c>
      <c r="C932" s="25" t="s">
        <v>23</v>
      </c>
      <c r="D932" s="25">
        <v>100</v>
      </c>
      <c r="E932" s="25">
        <v>344</v>
      </c>
      <c r="F932" s="25">
        <v>34400</v>
      </c>
      <c r="G932" s="25" t="s">
        <v>783</v>
      </c>
      <c r="H932" s="25">
        <v>2018206</v>
      </c>
      <c r="I932" s="25" t="s">
        <v>19</v>
      </c>
      <c r="J932" s="25" t="s">
        <v>20</v>
      </c>
      <c r="K932" s="25" t="s">
        <v>25</v>
      </c>
      <c r="L932" s="25">
        <v>8.4499999999999993</v>
      </c>
      <c r="M932" s="25">
        <v>1.03</v>
      </c>
      <c r="N932" s="25">
        <v>0</v>
      </c>
      <c r="O932" s="25">
        <v>29.69</v>
      </c>
      <c r="P932" s="25">
        <v>39.171999999999997</v>
      </c>
    </row>
    <row r="933" spans="1:16" x14ac:dyDescent="0.25">
      <c r="A933" s="26">
        <v>43404</v>
      </c>
      <c r="B933" s="25" t="s">
        <v>738</v>
      </c>
      <c r="C933" s="25" t="s">
        <v>23</v>
      </c>
      <c r="D933" s="25">
        <v>2500</v>
      </c>
      <c r="E933" s="25">
        <v>349.9</v>
      </c>
      <c r="F933" s="25">
        <v>874750</v>
      </c>
      <c r="G933" s="25" t="s">
        <v>784</v>
      </c>
      <c r="H933" s="25">
        <v>2018206</v>
      </c>
      <c r="I933" s="25" t="s">
        <v>19</v>
      </c>
      <c r="J933" s="25" t="s">
        <v>20</v>
      </c>
      <c r="K933" s="25" t="s">
        <v>25</v>
      </c>
      <c r="L933" s="25">
        <v>220.98</v>
      </c>
      <c r="M933" s="25">
        <v>26.24</v>
      </c>
      <c r="N933" s="25">
        <v>0</v>
      </c>
      <c r="O933" s="25">
        <v>520.83000000000004</v>
      </c>
      <c r="P933" s="25">
        <v>768.05250000000001</v>
      </c>
    </row>
    <row r="934" spans="1:16" x14ac:dyDescent="0.25">
      <c r="A934" s="26">
        <v>43404</v>
      </c>
      <c r="B934" s="25" t="s">
        <v>738</v>
      </c>
      <c r="C934" s="25" t="s">
        <v>23</v>
      </c>
      <c r="D934" s="25">
        <v>1000</v>
      </c>
      <c r="E934" s="25">
        <v>348</v>
      </c>
      <c r="F934" s="25">
        <v>348000</v>
      </c>
      <c r="G934" s="25" t="s">
        <v>785</v>
      </c>
      <c r="H934" s="25">
        <v>2018206</v>
      </c>
      <c r="I934" s="25" t="s">
        <v>19</v>
      </c>
      <c r="J934" s="25" t="s">
        <v>20</v>
      </c>
      <c r="K934" s="25" t="s">
        <v>25</v>
      </c>
      <c r="L934" s="25">
        <v>88.39</v>
      </c>
      <c r="M934" s="25">
        <v>10.44</v>
      </c>
      <c r="N934" s="25">
        <v>0</v>
      </c>
      <c r="O934" s="25">
        <v>207.2</v>
      </c>
      <c r="P934" s="25">
        <v>306.02999999999997</v>
      </c>
    </row>
    <row r="935" spans="1:16" x14ac:dyDescent="0.25">
      <c r="A935" s="26">
        <v>43404</v>
      </c>
      <c r="B935" s="25" t="s">
        <v>738</v>
      </c>
      <c r="C935" s="25" t="s">
        <v>23</v>
      </c>
      <c r="D935" s="25">
        <v>1000</v>
      </c>
      <c r="E935" s="25">
        <v>355</v>
      </c>
      <c r="F935" s="25">
        <v>355000</v>
      </c>
      <c r="G935" s="25" t="s">
        <v>786</v>
      </c>
      <c r="H935" s="25">
        <v>2018206</v>
      </c>
      <c r="I935" s="25" t="s">
        <v>19</v>
      </c>
      <c r="J935" s="25" t="s">
        <v>20</v>
      </c>
      <c r="K935" s="25" t="s">
        <v>25</v>
      </c>
      <c r="L935" s="25">
        <v>88.39</v>
      </c>
      <c r="M935" s="25">
        <v>10.65</v>
      </c>
      <c r="N935" s="25">
        <v>0</v>
      </c>
      <c r="O935" s="25">
        <v>211.37</v>
      </c>
      <c r="P935" s="25">
        <v>310.41000000000003</v>
      </c>
    </row>
    <row r="936" spans="1:16" x14ac:dyDescent="0.25">
      <c r="A936" s="26">
        <v>43404</v>
      </c>
      <c r="B936" s="25" t="s">
        <v>738</v>
      </c>
      <c r="C936" s="25" t="s">
        <v>23</v>
      </c>
      <c r="D936" s="25">
        <v>2000</v>
      </c>
      <c r="E936" s="25">
        <v>356</v>
      </c>
      <c r="F936" s="25">
        <v>712000</v>
      </c>
      <c r="G936" s="25" t="s">
        <v>787</v>
      </c>
      <c r="H936" s="25">
        <v>2018206</v>
      </c>
      <c r="I936" s="25" t="s">
        <v>19</v>
      </c>
      <c r="J936" s="25" t="s">
        <v>20</v>
      </c>
      <c r="K936" s="25" t="s">
        <v>25</v>
      </c>
      <c r="L936" s="25">
        <v>176.78</v>
      </c>
      <c r="M936" s="25">
        <v>21.36</v>
      </c>
      <c r="N936" s="25">
        <v>0</v>
      </c>
      <c r="O936" s="25">
        <v>423.92</v>
      </c>
      <c r="P936" s="25">
        <v>622.05999999999995</v>
      </c>
    </row>
    <row r="937" spans="1:16" x14ac:dyDescent="0.25">
      <c r="A937" s="26">
        <v>43404</v>
      </c>
      <c r="B937" s="25" t="s">
        <v>738</v>
      </c>
      <c r="C937" s="25" t="s">
        <v>17</v>
      </c>
      <c r="D937" s="25">
        <v>6600</v>
      </c>
      <c r="E937" s="25">
        <v>355</v>
      </c>
      <c r="F937" s="25">
        <v>2342968.6</v>
      </c>
      <c r="G937" s="25" t="s">
        <v>788</v>
      </c>
      <c r="H937" s="25">
        <v>2018206</v>
      </c>
      <c r="I937" s="25" t="s">
        <v>19</v>
      </c>
      <c r="J937" s="25" t="s">
        <v>20</v>
      </c>
      <c r="K937" s="25" t="s">
        <v>25</v>
      </c>
      <c r="L937" s="25">
        <v>0</v>
      </c>
      <c r="M937" s="25">
        <v>70.290000000000006</v>
      </c>
      <c r="N937" s="25">
        <v>140.1</v>
      </c>
      <c r="O937" s="25">
        <v>1395.01</v>
      </c>
      <c r="P937" s="25">
        <v>1605.4001000000001</v>
      </c>
    </row>
    <row r="938" spans="1:16" x14ac:dyDescent="0.25">
      <c r="A938" s="26">
        <v>43403</v>
      </c>
      <c r="B938" s="25" t="s">
        <v>738</v>
      </c>
      <c r="C938" s="25" t="s">
        <v>23</v>
      </c>
      <c r="D938" s="25">
        <v>1000</v>
      </c>
      <c r="E938" s="25">
        <v>348.5</v>
      </c>
      <c r="F938" s="25">
        <v>348500</v>
      </c>
      <c r="G938" s="25" t="s">
        <v>789</v>
      </c>
      <c r="H938" s="25">
        <v>2018205</v>
      </c>
      <c r="I938" s="25" t="s">
        <v>19</v>
      </c>
      <c r="J938" s="25" t="s">
        <v>20</v>
      </c>
      <c r="K938" s="25" t="s">
        <v>25</v>
      </c>
      <c r="L938" s="25">
        <v>86.94</v>
      </c>
      <c r="M938" s="25">
        <v>10.46</v>
      </c>
      <c r="N938" s="25">
        <v>0</v>
      </c>
      <c r="O938" s="25">
        <v>207.5</v>
      </c>
      <c r="P938" s="25">
        <v>304.89510000000001</v>
      </c>
    </row>
    <row r="939" spans="1:16" x14ac:dyDescent="0.25">
      <c r="A939" s="26">
        <v>43403</v>
      </c>
      <c r="B939" s="25" t="s">
        <v>480</v>
      </c>
      <c r="C939" s="25" t="s">
        <v>23</v>
      </c>
      <c r="D939" s="25">
        <v>10000</v>
      </c>
      <c r="E939" s="25">
        <v>85.16</v>
      </c>
      <c r="F939" s="25">
        <v>851577</v>
      </c>
      <c r="G939" s="25" t="s">
        <v>790</v>
      </c>
      <c r="H939" s="25">
        <v>2018205</v>
      </c>
      <c r="I939" s="25" t="s">
        <v>19</v>
      </c>
      <c r="J939" s="25" t="s">
        <v>20</v>
      </c>
      <c r="K939" s="25" t="s">
        <v>25</v>
      </c>
      <c r="L939" s="25">
        <v>211.67</v>
      </c>
      <c r="M939" s="25">
        <v>25.55</v>
      </c>
      <c r="N939" s="25">
        <v>0</v>
      </c>
      <c r="O939" s="25">
        <v>507.03</v>
      </c>
      <c r="P939" s="25">
        <v>744.24710000000005</v>
      </c>
    </row>
    <row r="940" spans="1:16" x14ac:dyDescent="0.25">
      <c r="A940" s="26">
        <v>43403</v>
      </c>
      <c r="B940" s="25" t="s">
        <v>480</v>
      </c>
      <c r="C940" s="25" t="s">
        <v>17</v>
      </c>
      <c r="D940" s="25">
        <v>10000</v>
      </c>
      <c r="E940" s="25">
        <v>85.45</v>
      </c>
      <c r="F940" s="25">
        <v>854500</v>
      </c>
      <c r="G940" s="25" t="s">
        <v>791</v>
      </c>
      <c r="H940" s="25">
        <v>2018205</v>
      </c>
      <c r="I940" s="25" t="s">
        <v>19</v>
      </c>
      <c r="J940" s="25" t="s">
        <v>20</v>
      </c>
      <c r="K940" s="25" t="s">
        <v>25</v>
      </c>
      <c r="L940" s="25">
        <v>0</v>
      </c>
      <c r="M940" s="25">
        <v>25.64</v>
      </c>
      <c r="N940" s="25">
        <v>0</v>
      </c>
      <c r="O940" s="25">
        <v>508.77</v>
      </c>
      <c r="P940" s="25">
        <v>534.40499999999997</v>
      </c>
    </row>
    <row r="941" spans="1:16" x14ac:dyDescent="0.25">
      <c r="A941" s="26">
        <v>43403</v>
      </c>
      <c r="B941" s="25" t="s">
        <v>738</v>
      </c>
      <c r="C941" s="25" t="s">
        <v>17</v>
      </c>
      <c r="D941" s="25">
        <v>1000</v>
      </c>
      <c r="E941" s="25">
        <v>347</v>
      </c>
      <c r="F941" s="25">
        <v>347000</v>
      </c>
      <c r="G941" s="25" t="s">
        <v>792</v>
      </c>
      <c r="H941" s="25">
        <v>2018205</v>
      </c>
      <c r="I941" s="25" t="s">
        <v>19</v>
      </c>
      <c r="J941" s="25" t="s">
        <v>20</v>
      </c>
      <c r="K941" s="25" t="s">
        <v>25</v>
      </c>
      <c r="L941" s="25">
        <v>0</v>
      </c>
      <c r="M941" s="25">
        <v>10.41</v>
      </c>
      <c r="N941" s="25">
        <v>0</v>
      </c>
      <c r="O941" s="25">
        <v>206.6</v>
      </c>
      <c r="P941" s="25">
        <v>217.01</v>
      </c>
    </row>
    <row r="942" spans="1:16" x14ac:dyDescent="0.25">
      <c r="A942" s="26">
        <v>43403</v>
      </c>
      <c r="B942" s="25" t="s">
        <v>480</v>
      </c>
      <c r="C942" s="25" t="s">
        <v>23</v>
      </c>
      <c r="D942" s="25">
        <v>5000</v>
      </c>
      <c r="E942" s="25">
        <v>83.5</v>
      </c>
      <c r="F942" s="25">
        <v>417489.6</v>
      </c>
      <c r="G942" s="25" t="s">
        <v>793</v>
      </c>
      <c r="H942" s="25">
        <v>2018205</v>
      </c>
      <c r="I942" s="25" t="s">
        <v>19</v>
      </c>
      <c r="J942" s="25" t="s">
        <v>20</v>
      </c>
      <c r="K942" s="25" t="s">
        <v>25</v>
      </c>
      <c r="L942" s="25">
        <v>105.39</v>
      </c>
      <c r="M942" s="25">
        <v>12.52</v>
      </c>
      <c r="N942" s="25">
        <v>97.2</v>
      </c>
      <c r="O942" s="25">
        <v>248.57</v>
      </c>
      <c r="P942" s="25">
        <v>463.68490000000003</v>
      </c>
    </row>
    <row r="943" spans="1:16" x14ac:dyDescent="0.25">
      <c r="A943" s="26">
        <v>43403</v>
      </c>
      <c r="B943" s="25" t="s">
        <v>480</v>
      </c>
      <c r="C943" s="25" t="s">
        <v>17</v>
      </c>
      <c r="D943" s="25">
        <v>5000</v>
      </c>
      <c r="E943" s="25">
        <v>83.3</v>
      </c>
      <c r="F943" s="25">
        <v>416500</v>
      </c>
      <c r="G943" s="25" t="s">
        <v>794</v>
      </c>
      <c r="H943" s="25">
        <v>2018205</v>
      </c>
      <c r="I943" s="25" t="s">
        <v>19</v>
      </c>
      <c r="J943" s="25" t="s">
        <v>20</v>
      </c>
      <c r="K943" s="25" t="s">
        <v>25</v>
      </c>
      <c r="L943" s="25">
        <v>0</v>
      </c>
      <c r="M943" s="25">
        <v>12.49</v>
      </c>
      <c r="N943" s="25">
        <v>0</v>
      </c>
      <c r="O943" s="25">
        <v>247.98</v>
      </c>
      <c r="P943" s="25">
        <v>260.47480000000002</v>
      </c>
    </row>
    <row r="944" spans="1:16" x14ac:dyDescent="0.25">
      <c r="A944" s="26">
        <v>43402</v>
      </c>
      <c r="B944" s="25" t="s">
        <v>738</v>
      </c>
      <c r="C944" s="25" t="s">
        <v>23</v>
      </c>
      <c r="D944" s="25">
        <v>100</v>
      </c>
      <c r="E944" s="25">
        <v>336.05</v>
      </c>
      <c r="F944" s="25">
        <v>33605</v>
      </c>
      <c r="G944" s="25" t="s">
        <v>795</v>
      </c>
      <c r="H944" s="25">
        <v>2018204</v>
      </c>
      <c r="I944" s="25" t="s">
        <v>19</v>
      </c>
      <c r="J944" s="25" t="s">
        <v>20</v>
      </c>
      <c r="K944" s="25" t="s">
        <v>25</v>
      </c>
      <c r="L944" s="25">
        <v>8.84</v>
      </c>
      <c r="M944" s="25">
        <v>1.01</v>
      </c>
      <c r="N944" s="25">
        <v>21</v>
      </c>
      <c r="O944" s="25">
        <v>29.68</v>
      </c>
      <c r="P944" s="25">
        <v>60.528100000000002</v>
      </c>
    </row>
    <row r="945" spans="1:16" x14ac:dyDescent="0.25">
      <c r="A945" s="26">
        <v>43402</v>
      </c>
      <c r="B945" s="25" t="s">
        <v>738</v>
      </c>
      <c r="C945" s="25" t="s">
        <v>23</v>
      </c>
      <c r="D945" s="25">
        <v>200</v>
      </c>
      <c r="E945" s="25">
        <v>340</v>
      </c>
      <c r="F945" s="25">
        <v>68000</v>
      </c>
      <c r="G945" s="25" t="s">
        <v>796</v>
      </c>
      <c r="H945" s="25">
        <v>2018204</v>
      </c>
      <c r="I945" s="25" t="s">
        <v>19</v>
      </c>
      <c r="J945" s="25" t="s">
        <v>20</v>
      </c>
      <c r="K945" s="25" t="s">
        <v>25</v>
      </c>
      <c r="L945" s="25">
        <v>17.37</v>
      </c>
      <c r="M945" s="25">
        <v>2.04</v>
      </c>
      <c r="N945" s="25">
        <v>0</v>
      </c>
      <c r="O945" s="25">
        <v>40.49</v>
      </c>
      <c r="P945" s="25">
        <v>59.9</v>
      </c>
    </row>
    <row r="946" spans="1:16" x14ac:dyDescent="0.25">
      <c r="A946" s="26">
        <v>43402</v>
      </c>
      <c r="B946" s="25" t="s">
        <v>738</v>
      </c>
      <c r="C946" s="25" t="s">
        <v>23</v>
      </c>
      <c r="D946" s="25">
        <v>200</v>
      </c>
      <c r="E946" s="25">
        <v>345</v>
      </c>
      <c r="F946" s="25">
        <v>69000</v>
      </c>
      <c r="G946" s="25" t="s">
        <v>797</v>
      </c>
      <c r="H946" s="25">
        <v>2018204</v>
      </c>
      <c r="I946" s="25" t="s">
        <v>19</v>
      </c>
      <c r="J946" s="25" t="s">
        <v>20</v>
      </c>
      <c r="K946" s="25" t="s">
        <v>25</v>
      </c>
      <c r="L946" s="25">
        <v>17.37</v>
      </c>
      <c r="M946" s="25">
        <v>2.0699999999999998</v>
      </c>
      <c r="N946" s="25">
        <v>0</v>
      </c>
      <c r="O946" s="25">
        <v>41.08</v>
      </c>
      <c r="P946" s="25">
        <v>60.52</v>
      </c>
    </row>
    <row r="947" spans="1:16" x14ac:dyDescent="0.25">
      <c r="A947" s="26">
        <v>43402</v>
      </c>
      <c r="B947" s="25" t="s">
        <v>738</v>
      </c>
      <c r="C947" s="25" t="s">
        <v>23</v>
      </c>
      <c r="D947" s="25">
        <v>500</v>
      </c>
      <c r="E947" s="25">
        <v>349.95</v>
      </c>
      <c r="F947" s="25">
        <v>174975</v>
      </c>
      <c r="G947" s="25" t="s">
        <v>798</v>
      </c>
      <c r="H947" s="25">
        <v>2018204</v>
      </c>
      <c r="I947" s="25" t="s">
        <v>19</v>
      </c>
      <c r="J947" s="25" t="s">
        <v>20</v>
      </c>
      <c r="K947" s="25" t="s">
        <v>25</v>
      </c>
      <c r="L947" s="25">
        <v>43.42</v>
      </c>
      <c r="M947" s="25">
        <v>5.25</v>
      </c>
      <c r="N947" s="25">
        <v>0</v>
      </c>
      <c r="O947" s="25">
        <v>104.18</v>
      </c>
      <c r="P947" s="25">
        <v>152.8493</v>
      </c>
    </row>
    <row r="948" spans="1:16" x14ac:dyDescent="0.25">
      <c r="A948" s="26">
        <v>43402</v>
      </c>
      <c r="B948" s="25" t="s">
        <v>738</v>
      </c>
      <c r="C948" s="25" t="s">
        <v>17</v>
      </c>
      <c r="D948" s="25">
        <v>1000</v>
      </c>
      <c r="E948" s="25">
        <v>349.15</v>
      </c>
      <c r="F948" s="25">
        <v>349150</v>
      </c>
      <c r="G948" s="25" t="s">
        <v>799</v>
      </c>
      <c r="H948" s="25">
        <v>2018204</v>
      </c>
      <c r="I948" s="25" t="s">
        <v>19</v>
      </c>
      <c r="J948" s="25" t="s">
        <v>20</v>
      </c>
      <c r="K948" s="25" t="s">
        <v>25</v>
      </c>
      <c r="L948" s="25">
        <v>0</v>
      </c>
      <c r="M948" s="25">
        <v>10.47</v>
      </c>
      <c r="N948" s="25">
        <v>0</v>
      </c>
      <c r="O948" s="25">
        <v>207.88</v>
      </c>
      <c r="P948" s="25">
        <v>218.3544</v>
      </c>
    </row>
    <row r="949" spans="1:16" x14ac:dyDescent="0.25">
      <c r="A949" s="26">
        <v>43399</v>
      </c>
      <c r="B949" s="25" t="s">
        <v>800</v>
      </c>
      <c r="C949" s="25" t="s">
        <v>23</v>
      </c>
      <c r="D949" s="25">
        <v>1000</v>
      </c>
      <c r="E949" s="25">
        <v>320</v>
      </c>
      <c r="F949" s="25">
        <v>320000</v>
      </c>
      <c r="G949" s="25" t="s">
        <v>801</v>
      </c>
      <c r="H949" s="25">
        <v>2018203</v>
      </c>
      <c r="I949" s="25" t="s">
        <v>19</v>
      </c>
      <c r="J949" s="25" t="s">
        <v>20</v>
      </c>
      <c r="K949" s="25" t="s">
        <v>25</v>
      </c>
      <c r="L949" s="25">
        <v>79.75</v>
      </c>
      <c r="M949" s="25">
        <v>9.6</v>
      </c>
      <c r="N949" s="25">
        <v>0</v>
      </c>
      <c r="O949" s="25">
        <v>190.53</v>
      </c>
      <c r="P949" s="25">
        <v>279.88</v>
      </c>
    </row>
    <row r="950" spans="1:16" x14ac:dyDescent="0.25">
      <c r="A950" s="26">
        <v>43399</v>
      </c>
      <c r="B950" s="25" t="s">
        <v>800</v>
      </c>
      <c r="C950" s="25" t="s">
        <v>17</v>
      </c>
      <c r="D950" s="25">
        <v>1000</v>
      </c>
      <c r="E950" s="25">
        <v>318</v>
      </c>
      <c r="F950" s="25">
        <v>318000</v>
      </c>
      <c r="G950" s="25" t="s">
        <v>802</v>
      </c>
      <c r="H950" s="25">
        <v>2018203</v>
      </c>
      <c r="I950" s="25" t="s">
        <v>19</v>
      </c>
      <c r="J950" s="25" t="s">
        <v>20</v>
      </c>
      <c r="K950" s="25" t="s">
        <v>25</v>
      </c>
      <c r="L950" s="25">
        <v>0</v>
      </c>
      <c r="M950" s="25">
        <v>9.5399999999999991</v>
      </c>
      <c r="N950" s="25">
        <v>0</v>
      </c>
      <c r="O950" s="25">
        <v>189.34</v>
      </c>
      <c r="P950" s="25">
        <v>198.88</v>
      </c>
    </row>
    <row r="951" spans="1:16" x14ac:dyDescent="0.25">
      <c r="A951" s="26">
        <v>43399</v>
      </c>
      <c r="B951" s="25" t="s">
        <v>738</v>
      </c>
      <c r="C951" s="25" t="s">
        <v>23</v>
      </c>
      <c r="D951" s="25">
        <v>2500</v>
      </c>
      <c r="E951" s="25">
        <v>315</v>
      </c>
      <c r="F951" s="25">
        <v>787500</v>
      </c>
      <c r="G951" s="25" t="s">
        <v>803</v>
      </c>
      <c r="H951" s="25">
        <v>2018203</v>
      </c>
      <c r="I951" s="25" t="s">
        <v>19</v>
      </c>
      <c r="J951" s="25" t="s">
        <v>20</v>
      </c>
      <c r="K951" s="25" t="s">
        <v>25</v>
      </c>
      <c r="L951" s="25">
        <v>197.44</v>
      </c>
      <c r="M951" s="25">
        <v>23.63</v>
      </c>
      <c r="N951" s="25">
        <v>0</v>
      </c>
      <c r="O951" s="25">
        <v>468.88</v>
      </c>
      <c r="P951" s="25">
        <v>689.94510000000002</v>
      </c>
    </row>
    <row r="952" spans="1:16" x14ac:dyDescent="0.25">
      <c r="A952" s="26">
        <v>43399</v>
      </c>
      <c r="B952" s="25" t="s">
        <v>738</v>
      </c>
      <c r="C952" s="25" t="s">
        <v>23</v>
      </c>
      <c r="D952" s="25">
        <v>1000</v>
      </c>
      <c r="E952" s="25">
        <v>317</v>
      </c>
      <c r="F952" s="25">
        <v>317000</v>
      </c>
      <c r="G952" s="25" t="s">
        <v>804</v>
      </c>
      <c r="H952" s="25">
        <v>2018203</v>
      </c>
      <c r="I952" s="25" t="s">
        <v>19</v>
      </c>
      <c r="J952" s="25" t="s">
        <v>20</v>
      </c>
      <c r="K952" s="25" t="s">
        <v>25</v>
      </c>
      <c r="L952" s="25">
        <v>78.83</v>
      </c>
      <c r="M952" s="25">
        <v>9.51</v>
      </c>
      <c r="N952" s="25">
        <v>104.7</v>
      </c>
      <c r="O952" s="25">
        <v>188.75</v>
      </c>
      <c r="P952" s="25">
        <v>381.79</v>
      </c>
    </row>
    <row r="953" spans="1:16" x14ac:dyDescent="0.25">
      <c r="A953" s="26">
        <v>43399</v>
      </c>
      <c r="B953" s="25" t="s">
        <v>738</v>
      </c>
      <c r="C953" s="25" t="s">
        <v>23</v>
      </c>
      <c r="D953" s="25">
        <v>1000</v>
      </c>
      <c r="E953" s="25">
        <v>318</v>
      </c>
      <c r="F953" s="25">
        <v>318000</v>
      </c>
      <c r="G953" s="25" t="s">
        <v>805</v>
      </c>
      <c r="H953" s="25">
        <v>2018203</v>
      </c>
      <c r="I953" s="25" t="s">
        <v>19</v>
      </c>
      <c r="J953" s="25" t="s">
        <v>20</v>
      </c>
      <c r="K953" s="25" t="s">
        <v>25</v>
      </c>
      <c r="L953" s="25">
        <v>78.98</v>
      </c>
      <c r="M953" s="25">
        <v>9.5399999999999991</v>
      </c>
      <c r="N953" s="25">
        <v>0</v>
      </c>
      <c r="O953" s="25">
        <v>189.34</v>
      </c>
      <c r="P953" s="25">
        <v>277.86</v>
      </c>
    </row>
    <row r="954" spans="1:16" x14ac:dyDescent="0.25">
      <c r="A954" s="26">
        <v>43399</v>
      </c>
      <c r="B954" s="25" t="s">
        <v>738</v>
      </c>
      <c r="C954" s="25" t="s">
        <v>17</v>
      </c>
      <c r="D954" s="25">
        <v>4500</v>
      </c>
      <c r="E954" s="25">
        <v>315.7</v>
      </c>
      <c r="F954" s="25">
        <v>1420650</v>
      </c>
      <c r="G954" s="25" t="s">
        <v>806</v>
      </c>
      <c r="H954" s="25">
        <v>2018203</v>
      </c>
      <c r="I954" s="25" t="s">
        <v>19</v>
      </c>
      <c r="J954" s="25" t="s">
        <v>20</v>
      </c>
      <c r="K954" s="25" t="s">
        <v>25</v>
      </c>
      <c r="L954" s="25">
        <v>0</v>
      </c>
      <c r="M954" s="25">
        <v>42.62</v>
      </c>
      <c r="N954" s="25">
        <v>0</v>
      </c>
      <c r="O954" s="25">
        <v>845.85</v>
      </c>
      <c r="P954" s="25">
        <v>888.46939999999995</v>
      </c>
    </row>
    <row r="955" spans="1:16" x14ac:dyDescent="0.25">
      <c r="A955" s="26">
        <v>43398</v>
      </c>
      <c r="B955" s="25" t="s">
        <v>480</v>
      </c>
      <c r="C955" s="25" t="s">
        <v>17</v>
      </c>
      <c r="D955" s="25">
        <v>10000</v>
      </c>
      <c r="E955" s="25">
        <v>79.900000000000006</v>
      </c>
      <c r="F955" s="25">
        <v>799000</v>
      </c>
      <c r="G955" s="25" t="s">
        <v>807</v>
      </c>
      <c r="H955" s="25">
        <v>2018202</v>
      </c>
      <c r="I955" s="25" t="s">
        <v>19</v>
      </c>
      <c r="J955" s="25" t="s">
        <v>20</v>
      </c>
      <c r="K955" s="25" t="s">
        <v>25</v>
      </c>
      <c r="L955" s="25">
        <v>0</v>
      </c>
      <c r="M955" s="25">
        <v>23.97</v>
      </c>
      <c r="N955" s="25">
        <v>124.5</v>
      </c>
      <c r="O955" s="25">
        <v>475.72</v>
      </c>
      <c r="P955" s="25">
        <v>624.19039999999995</v>
      </c>
    </row>
    <row r="956" spans="1:16" x14ac:dyDescent="0.25">
      <c r="A956" s="26">
        <v>43398</v>
      </c>
      <c r="B956" s="25" t="s">
        <v>800</v>
      </c>
      <c r="C956" s="25" t="s">
        <v>23</v>
      </c>
      <c r="D956" s="25">
        <v>1000</v>
      </c>
      <c r="E956" s="25">
        <v>313</v>
      </c>
      <c r="F956" s="25">
        <v>313000</v>
      </c>
      <c r="G956" s="25" t="s">
        <v>808</v>
      </c>
      <c r="H956" s="25">
        <v>2018202</v>
      </c>
      <c r="I956" s="25" t="s">
        <v>19</v>
      </c>
      <c r="J956" s="25" t="s">
        <v>20</v>
      </c>
      <c r="K956" s="25" t="s">
        <v>25</v>
      </c>
      <c r="L956" s="25">
        <v>79.290000000000006</v>
      </c>
      <c r="M956" s="25">
        <v>9.39</v>
      </c>
      <c r="N956" s="25">
        <v>0</v>
      </c>
      <c r="O956" s="25">
        <v>186.36</v>
      </c>
      <c r="P956" s="25">
        <v>275.0401</v>
      </c>
    </row>
    <row r="957" spans="1:16" x14ac:dyDescent="0.25">
      <c r="A957" s="26">
        <v>43398</v>
      </c>
      <c r="B957" s="25" t="s">
        <v>800</v>
      </c>
      <c r="C957" s="25" t="s">
        <v>23</v>
      </c>
      <c r="D957" s="25">
        <v>1000</v>
      </c>
      <c r="E957" s="25">
        <v>312</v>
      </c>
      <c r="F957" s="25">
        <v>312000</v>
      </c>
      <c r="G957" s="25" t="s">
        <v>809</v>
      </c>
      <c r="H957" s="25">
        <v>2018202</v>
      </c>
      <c r="I957" s="25" t="s">
        <v>19</v>
      </c>
      <c r="J957" s="25" t="s">
        <v>20</v>
      </c>
      <c r="K957" s="25" t="s">
        <v>25</v>
      </c>
      <c r="L957" s="25">
        <v>79.290000000000006</v>
      </c>
      <c r="M957" s="25">
        <v>9.36</v>
      </c>
      <c r="N957" s="25">
        <v>0</v>
      </c>
      <c r="O957" s="25">
        <v>185.76</v>
      </c>
      <c r="P957" s="25">
        <v>274.41000000000003</v>
      </c>
    </row>
    <row r="958" spans="1:16" x14ac:dyDescent="0.25">
      <c r="A958" s="26">
        <v>43398</v>
      </c>
      <c r="B958" s="25" t="s">
        <v>800</v>
      </c>
      <c r="C958" s="25" t="s">
        <v>23</v>
      </c>
      <c r="D958" s="25">
        <v>1000</v>
      </c>
      <c r="E958" s="25">
        <v>315</v>
      </c>
      <c r="F958" s="25">
        <v>315000</v>
      </c>
      <c r="G958" s="25" t="s">
        <v>810</v>
      </c>
      <c r="H958" s="25">
        <v>2018202</v>
      </c>
      <c r="I958" s="25" t="s">
        <v>19</v>
      </c>
      <c r="J958" s="25" t="s">
        <v>20</v>
      </c>
      <c r="K958" s="25" t="s">
        <v>25</v>
      </c>
      <c r="L958" s="25">
        <v>79.290000000000006</v>
      </c>
      <c r="M958" s="25">
        <v>9.4499999999999993</v>
      </c>
      <c r="N958" s="25">
        <v>0</v>
      </c>
      <c r="O958" s="25">
        <v>187.55</v>
      </c>
      <c r="P958" s="25">
        <v>276.29000000000002</v>
      </c>
    </row>
    <row r="959" spans="1:16" x14ac:dyDescent="0.25">
      <c r="A959" s="26">
        <v>43398</v>
      </c>
      <c r="B959" s="25" t="s">
        <v>800</v>
      </c>
      <c r="C959" s="25" t="s">
        <v>23</v>
      </c>
      <c r="D959" s="25">
        <v>1000</v>
      </c>
      <c r="E959" s="25">
        <v>320</v>
      </c>
      <c r="F959" s="25">
        <v>320000</v>
      </c>
      <c r="G959" s="25" t="s">
        <v>811</v>
      </c>
      <c r="H959" s="25">
        <v>2018202</v>
      </c>
      <c r="I959" s="25" t="s">
        <v>19</v>
      </c>
      <c r="J959" s="25" t="s">
        <v>20</v>
      </c>
      <c r="K959" s="25" t="s">
        <v>25</v>
      </c>
      <c r="L959" s="25">
        <v>79.290000000000006</v>
      </c>
      <c r="M959" s="25">
        <v>9.6</v>
      </c>
      <c r="N959" s="25">
        <v>0</v>
      </c>
      <c r="O959" s="25">
        <v>190.53</v>
      </c>
      <c r="P959" s="25">
        <v>279.42</v>
      </c>
    </row>
    <row r="960" spans="1:16" x14ac:dyDescent="0.25">
      <c r="A960" s="26">
        <v>43398</v>
      </c>
      <c r="B960" s="25" t="s">
        <v>800</v>
      </c>
      <c r="C960" s="25" t="s">
        <v>17</v>
      </c>
      <c r="D960" s="25">
        <v>4000</v>
      </c>
      <c r="E960" s="25">
        <v>319.33</v>
      </c>
      <c r="F960" s="25">
        <v>1277331.3</v>
      </c>
      <c r="G960" s="25" t="s">
        <v>812</v>
      </c>
      <c r="H960" s="25">
        <v>2018202</v>
      </c>
      <c r="I960" s="25" t="s">
        <v>19</v>
      </c>
      <c r="J960" s="25" t="s">
        <v>20</v>
      </c>
      <c r="K960" s="25" t="s">
        <v>25</v>
      </c>
      <c r="L960" s="25">
        <v>0</v>
      </c>
      <c r="M960" s="25">
        <v>38.32</v>
      </c>
      <c r="N960" s="25">
        <v>0</v>
      </c>
      <c r="O960" s="25">
        <v>760.52</v>
      </c>
      <c r="P960" s="25">
        <v>798.84</v>
      </c>
    </row>
    <row r="961" spans="1:16" x14ac:dyDescent="0.25">
      <c r="A961" s="26">
        <v>43398</v>
      </c>
      <c r="B961" s="25" t="s">
        <v>480</v>
      </c>
      <c r="C961" s="25" t="s">
        <v>23</v>
      </c>
      <c r="D961" s="25">
        <v>10000</v>
      </c>
      <c r="E961" s="25">
        <v>81</v>
      </c>
      <c r="F961" s="25">
        <v>810000</v>
      </c>
      <c r="G961" s="25" t="s">
        <v>813</v>
      </c>
      <c r="H961" s="25">
        <v>2018202</v>
      </c>
      <c r="I961" s="25" t="s">
        <v>19</v>
      </c>
      <c r="J961" s="25" t="s">
        <v>20</v>
      </c>
      <c r="K961" s="25" t="s">
        <v>25</v>
      </c>
      <c r="L961" s="25">
        <v>200.83</v>
      </c>
      <c r="M961" s="25">
        <v>24.3</v>
      </c>
      <c r="N961" s="25">
        <v>0</v>
      </c>
      <c r="O961" s="25">
        <v>482.27</v>
      </c>
      <c r="P961" s="25">
        <v>707.4</v>
      </c>
    </row>
    <row r="962" spans="1:16" x14ac:dyDescent="0.25">
      <c r="A962" s="26">
        <v>43390</v>
      </c>
      <c r="B962" s="25" t="s">
        <v>480</v>
      </c>
      <c r="C962" s="25" t="s">
        <v>23</v>
      </c>
      <c r="D962" s="25">
        <v>10000</v>
      </c>
      <c r="E962" s="25">
        <v>80.75</v>
      </c>
      <c r="F962" s="25">
        <v>807500</v>
      </c>
      <c r="G962" s="25" t="s">
        <v>774</v>
      </c>
      <c r="H962" s="25">
        <v>2018197</v>
      </c>
      <c r="I962" s="25" t="s">
        <v>19</v>
      </c>
      <c r="J962" s="25" t="s">
        <v>20</v>
      </c>
      <c r="K962" s="25" t="s">
        <v>25</v>
      </c>
      <c r="L962" s="25">
        <v>199.3</v>
      </c>
      <c r="M962" s="25">
        <v>24.23</v>
      </c>
      <c r="N962" s="25">
        <v>0</v>
      </c>
      <c r="O962" s="25">
        <v>480.77</v>
      </c>
      <c r="P962" s="25">
        <v>704.29520000000002</v>
      </c>
    </row>
    <row r="963" spans="1:16" x14ac:dyDescent="0.25">
      <c r="A963" s="26">
        <v>43390</v>
      </c>
      <c r="B963" s="25" t="s">
        <v>480</v>
      </c>
      <c r="C963" s="25" t="s">
        <v>17</v>
      </c>
      <c r="D963" s="25">
        <v>10000</v>
      </c>
      <c r="E963" s="25">
        <v>80.599999999999994</v>
      </c>
      <c r="F963" s="25">
        <v>806000</v>
      </c>
      <c r="G963" s="25" t="s">
        <v>775</v>
      </c>
      <c r="H963" s="25">
        <v>2018197</v>
      </c>
      <c r="I963" s="25" t="s">
        <v>19</v>
      </c>
      <c r="J963" s="25" t="s">
        <v>20</v>
      </c>
      <c r="K963" s="25" t="s">
        <v>25</v>
      </c>
      <c r="L963" s="25">
        <v>0</v>
      </c>
      <c r="M963" s="25">
        <v>24.18</v>
      </c>
      <c r="N963" s="25">
        <v>97.2</v>
      </c>
      <c r="O963" s="25">
        <v>479.9</v>
      </c>
      <c r="P963" s="25">
        <v>601.28009999999995</v>
      </c>
    </row>
    <row r="964" spans="1:16" x14ac:dyDescent="0.25">
      <c r="A964" s="26">
        <v>43390</v>
      </c>
      <c r="B964" s="25" t="s">
        <v>480</v>
      </c>
      <c r="C964" s="25" t="s">
        <v>23</v>
      </c>
      <c r="D964" s="25">
        <v>10000</v>
      </c>
      <c r="E964" s="25">
        <v>78.5</v>
      </c>
      <c r="F964" s="25">
        <v>785000</v>
      </c>
      <c r="G964" s="25" t="s">
        <v>776</v>
      </c>
      <c r="H964" s="25">
        <v>2018197</v>
      </c>
      <c r="I964" s="25" t="s">
        <v>19</v>
      </c>
      <c r="J964" s="25" t="s">
        <v>20</v>
      </c>
      <c r="K964" s="25" t="s">
        <v>25</v>
      </c>
      <c r="L964" s="25">
        <v>199.3</v>
      </c>
      <c r="M964" s="25">
        <v>23.55</v>
      </c>
      <c r="N964" s="25">
        <v>0</v>
      </c>
      <c r="O964" s="25">
        <v>467.38</v>
      </c>
      <c r="P964" s="25">
        <v>690.23</v>
      </c>
    </row>
    <row r="965" spans="1:16" x14ac:dyDescent="0.25">
      <c r="A965" s="26">
        <v>43390</v>
      </c>
      <c r="B965" s="25" t="s">
        <v>480</v>
      </c>
      <c r="C965" s="25" t="s">
        <v>17</v>
      </c>
      <c r="D965" s="25">
        <v>10000</v>
      </c>
      <c r="E965" s="25">
        <v>79.03</v>
      </c>
      <c r="F965" s="25">
        <v>790276.25</v>
      </c>
      <c r="G965" s="25" t="s">
        <v>777</v>
      </c>
      <c r="H965" s="25">
        <v>2018197</v>
      </c>
      <c r="I965" s="25" t="s">
        <v>19</v>
      </c>
      <c r="J965" s="25" t="s">
        <v>20</v>
      </c>
      <c r="K965" s="25" t="s">
        <v>25</v>
      </c>
      <c r="L965" s="25">
        <v>0</v>
      </c>
      <c r="M965" s="25">
        <v>23.71</v>
      </c>
      <c r="N965" s="25">
        <v>0</v>
      </c>
      <c r="O965" s="25">
        <v>470.52</v>
      </c>
      <c r="P965" s="25">
        <v>494.2285</v>
      </c>
    </row>
    <row r="966" spans="1:16" x14ac:dyDescent="0.25">
      <c r="A966" s="26">
        <v>43390</v>
      </c>
      <c r="B966" s="25" t="s">
        <v>404</v>
      </c>
      <c r="C966" s="25" t="s">
        <v>23</v>
      </c>
      <c r="D966" s="25">
        <v>10</v>
      </c>
      <c r="E966" s="25">
        <v>285.55</v>
      </c>
      <c r="F966" s="25">
        <v>2855.5</v>
      </c>
      <c r="G966" s="25" t="s">
        <v>778</v>
      </c>
      <c r="H966" s="25">
        <v>2018197</v>
      </c>
      <c r="I966" s="25" t="s">
        <v>19</v>
      </c>
      <c r="J966" s="25" t="s">
        <v>20</v>
      </c>
      <c r="K966" s="25" t="s">
        <v>25</v>
      </c>
      <c r="L966" s="25">
        <v>2.86</v>
      </c>
      <c r="M966" s="25">
        <v>0.09</v>
      </c>
      <c r="N966" s="25">
        <v>0</v>
      </c>
      <c r="O966" s="25">
        <v>41.32</v>
      </c>
      <c r="P966" s="25">
        <v>44.265700000000002</v>
      </c>
    </row>
    <row r="967" spans="1:16" x14ac:dyDescent="0.25">
      <c r="A967" s="26">
        <v>43390</v>
      </c>
      <c r="B967" s="25" t="s">
        <v>397</v>
      </c>
      <c r="C967" s="25" t="s">
        <v>23</v>
      </c>
      <c r="D967" s="25">
        <v>57</v>
      </c>
      <c r="E967" s="25">
        <v>252.6</v>
      </c>
      <c r="F967" s="25">
        <v>14398.25</v>
      </c>
      <c r="G967" s="25" t="s">
        <v>779</v>
      </c>
      <c r="H967" s="25">
        <v>2018197</v>
      </c>
      <c r="I967" s="25" t="s">
        <v>19</v>
      </c>
      <c r="J967" s="25" t="s">
        <v>20</v>
      </c>
      <c r="K967" s="25" t="s">
        <v>25</v>
      </c>
      <c r="L967" s="25">
        <v>14.4</v>
      </c>
      <c r="M967" s="25">
        <v>0.43</v>
      </c>
      <c r="N967" s="25">
        <v>0</v>
      </c>
      <c r="O967" s="25">
        <v>93.52</v>
      </c>
      <c r="P967" s="25">
        <v>108.3519</v>
      </c>
    </row>
    <row r="968" spans="1:16" x14ac:dyDescent="0.25">
      <c r="A968" s="26">
        <v>43390</v>
      </c>
      <c r="B968" s="25" t="s">
        <v>26</v>
      </c>
      <c r="C968" s="25" t="s">
        <v>23</v>
      </c>
      <c r="D968" s="25">
        <v>250</v>
      </c>
      <c r="E968" s="25">
        <v>77.06</v>
      </c>
      <c r="F968" s="25">
        <v>19264.150000000001</v>
      </c>
      <c r="G968" s="25" t="s">
        <v>780</v>
      </c>
      <c r="H968" s="25">
        <v>2018197</v>
      </c>
      <c r="I968" s="25" t="s">
        <v>19</v>
      </c>
      <c r="J968" s="25" t="s">
        <v>20</v>
      </c>
      <c r="K968" s="25" t="s">
        <v>25</v>
      </c>
      <c r="L968" s="25">
        <v>19.260000000000002</v>
      </c>
      <c r="M968" s="25">
        <v>0.57999999999999996</v>
      </c>
      <c r="N968" s="25">
        <v>0</v>
      </c>
      <c r="O968" s="25">
        <v>125.13</v>
      </c>
      <c r="P968" s="25">
        <v>144.96789999999999</v>
      </c>
    </row>
    <row r="969" spans="1:16" x14ac:dyDescent="0.25">
      <c r="A969" s="26">
        <v>43390</v>
      </c>
      <c r="B969" s="25" t="s">
        <v>683</v>
      </c>
      <c r="C969" s="25" t="s">
        <v>23</v>
      </c>
      <c r="D969" s="25">
        <v>10</v>
      </c>
      <c r="E969" s="25">
        <v>96.3</v>
      </c>
      <c r="F969" s="25">
        <v>963</v>
      </c>
      <c r="G969" s="25" t="s">
        <v>781</v>
      </c>
      <c r="H969" s="25">
        <v>2018197</v>
      </c>
      <c r="I969" s="25" t="s">
        <v>19</v>
      </c>
      <c r="J969" s="25" t="s">
        <v>20</v>
      </c>
      <c r="K969" s="25" t="s">
        <v>25</v>
      </c>
      <c r="L969" s="25">
        <v>0.96</v>
      </c>
      <c r="M969" s="25">
        <v>0.03</v>
      </c>
      <c r="N969" s="25">
        <v>0</v>
      </c>
      <c r="O969" s="25">
        <v>28.41</v>
      </c>
      <c r="P969" s="25">
        <v>29.399000000000001</v>
      </c>
    </row>
    <row r="970" spans="1:16" x14ac:dyDescent="0.25">
      <c r="A970" s="26">
        <v>43390</v>
      </c>
      <c r="B970" s="25" t="s">
        <v>321</v>
      </c>
      <c r="C970" s="25" t="s">
        <v>23</v>
      </c>
      <c r="D970" s="25">
        <v>25</v>
      </c>
      <c r="E970" s="25">
        <v>206.18</v>
      </c>
      <c r="F970" s="25">
        <v>5154.45</v>
      </c>
      <c r="G970" s="25" t="s">
        <v>782</v>
      </c>
      <c r="H970" s="25">
        <v>2018197</v>
      </c>
      <c r="I970" s="25" t="s">
        <v>19</v>
      </c>
      <c r="J970" s="25" t="s">
        <v>20</v>
      </c>
      <c r="K970" s="25" t="s">
        <v>25</v>
      </c>
      <c r="L970" s="25">
        <v>4.92</v>
      </c>
      <c r="M970" s="25">
        <v>0.15</v>
      </c>
      <c r="N970" s="25">
        <v>0</v>
      </c>
      <c r="O970" s="25">
        <v>41.33</v>
      </c>
      <c r="P970" s="25">
        <v>46.404699999999998</v>
      </c>
    </row>
    <row r="971" spans="1:16" x14ac:dyDescent="0.25">
      <c r="A971" s="26">
        <v>43389</v>
      </c>
      <c r="B971" s="25" t="s">
        <v>480</v>
      </c>
      <c r="C971" s="25" t="s">
        <v>23</v>
      </c>
      <c r="D971" s="25">
        <v>1000</v>
      </c>
      <c r="E971" s="25">
        <v>77.5</v>
      </c>
      <c r="F971" s="25">
        <v>77500</v>
      </c>
      <c r="G971" s="25" t="s">
        <v>696</v>
      </c>
      <c r="H971" s="25">
        <v>2018196</v>
      </c>
      <c r="I971" s="25" t="s">
        <v>19</v>
      </c>
      <c r="J971" s="25" t="s">
        <v>20</v>
      </c>
      <c r="K971" s="25" t="s">
        <v>25</v>
      </c>
      <c r="L971" s="25">
        <v>20.23</v>
      </c>
      <c r="M971" s="25">
        <v>2.33</v>
      </c>
      <c r="N971" s="25">
        <v>0</v>
      </c>
      <c r="O971" s="25">
        <v>46.14</v>
      </c>
      <c r="P971" s="25">
        <v>68.695099999999996</v>
      </c>
    </row>
    <row r="972" spans="1:16" x14ac:dyDescent="0.25">
      <c r="A972" s="26">
        <v>43389</v>
      </c>
      <c r="B972" s="25" t="s">
        <v>697</v>
      </c>
      <c r="C972" s="25" t="s">
        <v>23</v>
      </c>
      <c r="D972" s="25">
        <v>1000</v>
      </c>
      <c r="E972" s="25">
        <v>39.6</v>
      </c>
      <c r="F972" s="25">
        <v>39600</v>
      </c>
      <c r="G972" s="25" t="s">
        <v>698</v>
      </c>
      <c r="H972" s="25">
        <v>2018196</v>
      </c>
      <c r="I972" s="25" t="s">
        <v>19</v>
      </c>
      <c r="J972" s="25" t="s">
        <v>20</v>
      </c>
      <c r="K972" s="25" t="s">
        <v>25</v>
      </c>
      <c r="L972" s="25">
        <v>9.49</v>
      </c>
      <c r="M972" s="25">
        <v>1.19</v>
      </c>
      <c r="N972" s="25">
        <v>0</v>
      </c>
      <c r="O972" s="25">
        <v>29.71</v>
      </c>
      <c r="P972" s="25">
        <v>40.387999999999998</v>
      </c>
    </row>
    <row r="973" spans="1:16" x14ac:dyDescent="0.25">
      <c r="A973" s="26">
        <v>43389</v>
      </c>
      <c r="B973" s="25" t="s">
        <v>480</v>
      </c>
      <c r="C973" s="25" t="s">
        <v>23</v>
      </c>
      <c r="D973" s="25">
        <v>5000</v>
      </c>
      <c r="E973" s="25">
        <v>79.75</v>
      </c>
      <c r="F973" s="25">
        <v>398750</v>
      </c>
      <c r="G973" s="25" t="s">
        <v>699</v>
      </c>
      <c r="H973" s="25">
        <v>2018196</v>
      </c>
      <c r="I973" s="25" t="s">
        <v>19</v>
      </c>
      <c r="J973" s="25" t="s">
        <v>20</v>
      </c>
      <c r="K973" s="25" t="s">
        <v>25</v>
      </c>
      <c r="L973" s="25">
        <v>101.14</v>
      </c>
      <c r="M973" s="25">
        <v>11.96</v>
      </c>
      <c r="N973" s="25">
        <v>0</v>
      </c>
      <c r="O973" s="25">
        <v>237.41</v>
      </c>
      <c r="P973" s="25">
        <v>350.51240000000001</v>
      </c>
    </row>
    <row r="974" spans="1:16" x14ac:dyDescent="0.25">
      <c r="A974" s="26">
        <v>43389</v>
      </c>
      <c r="B974" s="25" t="s">
        <v>697</v>
      </c>
      <c r="C974" s="25" t="s">
        <v>17</v>
      </c>
      <c r="D974" s="25">
        <v>1000</v>
      </c>
      <c r="E974" s="25">
        <v>39.299999999999997</v>
      </c>
      <c r="F974" s="25">
        <v>39300</v>
      </c>
      <c r="G974" s="25" t="s">
        <v>700</v>
      </c>
      <c r="H974" s="25">
        <v>2018196</v>
      </c>
      <c r="I974" s="25" t="s">
        <v>19</v>
      </c>
      <c r="J974" s="25" t="s">
        <v>20</v>
      </c>
      <c r="K974" s="25" t="s">
        <v>25</v>
      </c>
      <c r="L974" s="25">
        <v>0</v>
      </c>
      <c r="M974" s="25">
        <v>1.18</v>
      </c>
      <c r="N974" s="25">
        <v>0</v>
      </c>
      <c r="O974" s="25">
        <v>29.71</v>
      </c>
      <c r="P974" s="25">
        <v>30.889099999999999</v>
      </c>
    </row>
    <row r="975" spans="1:16" x14ac:dyDescent="0.25">
      <c r="A975" s="26">
        <v>43389</v>
      </c>
      <c r="B975" s="25" t="s">
        <v>480</v>
      </c>
      <c r="C975" s="25" t="s">
        <v>23</v>
      </c>
      <c r="D975" s="25">
        <v>2500</v>
      </c>
      <c r="E975" s="25">
        <v>80.150000000000006</v>
      </c>
      <c r="F975" s="25">
        <v>200375</v>
      </c>
      <c r="G975" s="25" t="s">
        <v>701</v>
      </c>
      <c r="H975" s="25">
        <v>2018196</v>
      </c>
      <c r="I975" s="25" t="s">
        <v>19</v>
      </c>
      <c r="J975" s="25" t="s">
        <v>20</v>
      </c>
      <c r="K975" s="25" t="s">
        <v>25</v>
      </c>
      <c r="L975" s="25">
        <v>50.57</v>
      </c>
      <c r="M975" s="25">
        <v>6.01</v>
      </c>
      <c r="N975" s="25">
        <v>0</v>
      </c>
      <c r="O975" s="25">
        <v>119.3</v>
      </c>
      <c r="P975" s="25">
        <v>175.88140000000001</v>
      </c>
    </row>
    <row r="976" spans="1:16" x14ac:dyDescent="0.25">
      <c r="A976" s="26">
        <v>43389</v>
      </c>
      <c r="B976" s="25" t="s">
        <v>480</v>
      </c>
      <c r="C976" s="25" t="s">
        <v>23</v>
      </c>
      <c r="D976" s="25">
        <v>2500</v>
      </c>
      <c r="E976" s="25">
        <v>81.5</v>
      </c>
      <c r="F976" s="25">
        <v>203750</v>
      </c>
      <c r="G976" s="25" t="s">
        <v>702</v>
      </c>
      <c r="H976" s="25">
        <v>2018196</v>
      </c>
      <c r="I976" s="25" t="s">
        <v>19</v>
      </c>
      <c r="J976" s="25" t="s">
        <v>20</v>
      </c>
      <c r="K976" s="25" t="s">
        <v>25</v>
      </c>
      <c r="L976" s="25">
        <v>50.57</v>
      </c>
      <c r="M976" s="25">
        <v>6.11</v>
      </c>
      <c r="N976" s="25">
        <v>0</v>
      </c>
      <c r="O976" s="25">
        <v>121.32</v>
      </c>
      <c r="P976" s="25">
        <v>178.0025</v>
      </c>
    </row>
    <row r="977" spans="1:16" x14ac:dyDescent="0.25">
      <c r="A977" s="26">
        <v>43389</v>
      </c>
      <c r="B977" s="25" t="s">
        <v>480</v>
      </c>
      <c r="C977" s="25" t="s">
        <v>17</v>
      </c>
      <c r="D977" s="25">
        <v>11000</v>
      </c>
      <c r="E977" s="25">
        <v>81.790000000000006</v>
      </c>
      <c r="F977" s="25">
        <v>899667.25</v>
      </c>
      <c r="G977" s="25" t="s">
        <v>703</v>
      </c>
      <c r="H977" s="25">
        <v>2018196</v>
      </c>
      <c r="I977" s="25" t="s">
        <v>19</v>
      </c>
      <c r="J977" s="25" t="s">
        <v>20</v>
      </c>
      <c r="K977" s="25" t="s">
        <v>25</v>
      </c>
      <c r="L977" s="25">
        <v>0</v>
      </c>
      <c r="M977" s="25">
        <v>26.99</v>
      </c>
      <c r="N977" s="25">
        <v>55.8</v>
      </c>
      <c r="O977" s="25">
        <v>535.69000000000005</v>
      </c>
      <c r="P977" s="25">
        <v>618.48050000000001</v>
      </c>
    </row>
    <row r="978" spans="1:16" x14ac:dyDescent="0.25">
      <c r="A978" s="26">
        <v>43388</v>
      </c>
      <c r="B978" s="25" t="s">
        <v>659</v>
      </c>
      <c r="C978" s="25" t="s">
        <v>23</v>
      </c>
      <c r="D978" s="25">
        <v>2000</v>
      </c>
      <c r="E978" s="25">
        <v>246</v>
      </c>
      <c r="F978" s="25">
        <v>492000</v>
      </c>
      <c r="G978" s="25" t="s">
        <v>704</v>
      </c>
      <c r="H978" s="25">
        <v>2018195</v>
      </c>
      <c r="I978" s="25" t="s">
        <v>19</v>
      </c>
      <c r="J978" s="25" t="s">
        <v>20</v>
      </c>
      <c r="K978" s="25" t="s">
        <v>25</v>
      </c>
      <c r="L978" s="25">
        <v>123</v>
      </c>
      <c r="M978" s="25">
        <v>14.76</v>
      </c>
      <c r="N978" s="25">
        <v>0</v>
      </c>
      <c r="O978" s="25">
        <v>292.93</v>
      </c>
      <c r="P978" s="25">
        <v>430.69</v>
      </c>
    </row>
    <row r="979" spans="1:16" x14ac:dyDescent="0.25">
      <c r="A979" s="26">
        <v>43388</v>
      </c>
      <c r="B979" s="25" t="s">
        <v>659</v>
      </c>
      <c r="C979" s="25" t="s">
        <v>17</v>
      </c>
      <c r="D979" s="25">
        <v>2000</v>
      </c>
      <c r="E979" s="25">
        <v>246.23</v>
      </c>
      <c r="F979" s="25">
        <v>492465.65</v>
      </c>
      <c r="G979" s="25" t="s">
        <v>705</v>
      </c>
      <c r="H979" s="25">
        <v>2018195</v>
      </c>
      <c r="I979" s="25" t="s">
        <v>19</v>
      </c>
      <c r="J979" s="25" t="s">
        <v>20</v>
      </c>
      <c r="K979" s="25" t="s">
        <v>25</v>
      </c>
      <c r="L979" s="25">
        <v>0</v>
      </c>
      <c r="M979" s="25">
        <v>14.77</v>
      </c>
      <c r="N979" s="25">
        <v>29.7</v>
      </c>
      <c r="O979" s="25">
        <v>293.2</v>
      </c>
      <c r="P979" s="25">
        <v>337.67399999999998</v>
      </c>
    </row>
    <row r="980" spans="1:16" x14ac:dyDescent="0.25">
      <c r="A980" s="26">
        <v>43385</v>
      </c>
      <c r="B980" s="25" t="s">
        <v>706</v>
      </c>
      <c r="C980" s="25" t="s">
        <v>17</v>
      </c>
      <c r="D980" s="25">
        <v>100</v>
      </c>
      <c r="E980" s="25">
        <v>480.89</v>
      </c>
      <c r="F980" s="25">
        <v>48088.85</v>
      </c>
      <c r="G980" s="25" t="s">
        <v>707</v>
      </c>
      <c r="H980" s="25">
        <v>2018194</v>
      </c>
      <c r="I980" s="25" t="s">
        <v>19</v>
      </c>
      <c r="J980" s="25" t="s">
        <v>20</v>
      </c>
      <c r="K980" s="25" t="s">
        <v>25</v>
      </c>
      <c r="L980" s="25">
        <v>0</v>
      </c>
      <c r="M980" s="25">
        <v>1.44</v>
      </c>
      <c r="N980" s="25">
        <v>0</v>
      </c>
      <c r="O980" s="25">
        <v>29.81</v>
      </c>
      <c r="P980" s="25">
        <v>31.252199999999998</v>
      </c>
    </row>
    <row r="981" spans="1:16" x14ac:dyDescent="0.25">
      <c r="A981" s="26">
        <v>43385</v>
      </c>
      <c r="B981" s="25" t="s">
        <v>706</v>
      </c>
      <c r="C981" s="25" t="s">
        <v>23</v>
      </c>
      <c r="D981" s="25">
        <v>1000</v>
      </c>
      <c r="E981" s="25">
        <v>479</v>
      </c>
      <c r="F981" s="25">
        <v>479000</v>
      </c>
      <c r="G981" s="25" t="s">
        <v>708</v>
      </c>
      <c r="H981" s="25">
        <v>2018194</v>
      </c>
      <c r="I981" s="25" t="s">
        <v>19</v>
      </c>
      <c r="J981" s="25" t="s">
        <v>20</v>
      </c>
      <c r="K981" s="25" t="s">
        <v>25</v>
      </c>
      <c r="L981" s="25">
        <v>119.06</v>
      </c>
      <c r="M981" s="25">
        <v>14.37</v>
      </c>
      <c r="N981" s="25">
        <v>0</v>
      </c>
      <c r="O981" s="25">
        <v>286.44</v>
      </c>
      <c r="P981" s="25">
        <v>419.87020000000001</v>
      </c>
    </row>
    <row r="982" spans="1:16" x14ac:dyDescent="0.25">
      <c r="A982" s="26">
        <v>43385</v>
      </c>
      <c r="B982" s="25" t="s">
        <v>706</v>
      </c>
      <c r="C982" s="25" t="s">
        <v>17</v>
      </c>
      <c r="D982" s="25">
        <v>900</v>
      </c>
      <c r="E982" s="25">
        <v>480.99</v>
      </c>
      <c r="F982" s="25">
        <v>432892.3</v>
      </c>
      <c r="G982" s="25" t="s">
        <v>709</v>
      </c>
      <c r="H982" s="25">
        <v>2018194</v>
      </c>
      <c r="I982" s="25" t="s">
        <v>19</v>
      </c>
      <c r="J982" s="25" t="s">
        <v>20</v>
      </c>
      <c r="K982" s="25" t="s">
        <v>25</v>
      </c>
      <c r="L982" s="25">
        <v>0</v>
      </c>
      <c r="M982" s="25">
        <v>12.99</v>
      </c>
      <c r="N982" s="25">
        <v>0</v>
      </c>
      <c r="O982" s="25">
        <v>257.74</v>
      </c>
      <c r="P982" s="25">
        <v>270.72669999999999</v>
      </c>
    </row>
    <row r="983" spans="1:16" x14ac:dyDescent="0.25">
      <c r="A983" s="26">
        <v>43385</v>
      </c>
      <c r="B983" s="25" t="s">
        <v>706</v>
      </c>
      <c r="C983" s="25" t="s">
        <v>23</v>
      </c>
      <c r="D983" s="25">
        <v>1000</v>
      </c>
      <c r="E983" s="25">
        <v>475</v>
      </c>
      <c r="F983" s="25">
        <v>475000</v>
      </c>
      <c r="G983" s="25" t="s">
        <v>710</v>
      </c>
      <c r="H983" s="25">
        <v>2018194</v>
      </c>
      <c r="I983" s="25" t="s">
        <v>19</v>
      </c>
      <c r="J983" s="25" t="s">
        <v>20</v>
      </c>
      <c r="K983" s="25" t="s">
        <v>25</v>
      </c>
      <c r="L983" s="25">
        <v>118.94</v>
      </c>
      <c r="M983" s="25">
        <v>14.25</v>
      </c>
      <c r="N983" s="25">
        <v>57.3</v>
      </c>
      <c r="O983" s="25">
        <v>282.81</v>
      </c>
      <c r="P983" s="25">
        <v>473.30029999999999</v>
      </c>
    </row>
    <row r="984" spans="1:16" x14ac:dyDescent="0.25">
      <c r="A984" s="26">
        <v>43385</v>
      </c>
      <c r="B984" s="25" t="s">
        <v>706</v>
      </c>
      <c r="C984" s="25" t="s">
        <v>17</v>
      </c>
      <c r="D984" s="25">
        <v>1000</v>
      </c>
      <c r="E984" s="25">
        <v>470</v>
      </c>
      <c r="F984" s="25">
        <v>470000</v>
      </c>
      <c r="G984" s="25" t="s">
        <v>711</v>
      </c>
      <c r="H984" s="25">
        <v>2018194</v>
      </c>
      <c r="I984" s="25" t="s">
        <v>19</v>
      </c>
      <c r="J984" s="25" t="s">
        <v>20</v>
      </c>
      <c r="K984" s="25" t="s">
        <v>25</v>
      </c>
      <c r="L984" s="25">
        <v>0</v>
      </c>
      <c r="M984" s="25">
        <v>14.1</v>
      </c>
      <c r="N984" s="25">
        <v>0</v>
      </c>
      <c r="O984" s="25">
        <v>279.83999999999997</v>
      </c>
      <c r="P984" s="25">
        <v>293.94</v>
      </c>
    </row>
    <row r="985" spans="1:16" x14ac:dyDescent="0.25">
      <c r="A985" s="26">
        <v>43384</v>
      </c>
      <c r="B985" s="25" t="s">
        <v>226</v>
      </c>
      <c r="C985" s="25" t="s">
        <v>23</v>
      </c>
      <c r="D985" s="25">
        <v>500</v>
      </c>
      <c r="E985" s="25">
        <v>457.15</v>
      </c>
      <c r="F985" s="25">
        <v>228575.6</v>
      </c>
      <c r="G985" s="25" t="s">
        <v>712</v>
      </c>
      <c r="H985" s="25">
        <v>2018193</v>
      </c>
      <c r="I985" s="25" t="s">
        <v>19</v>
      </c>
      <c r="J985" s="25" t="s">
        <v>20</v>
      </c>
      <c r="K985" s="25" t="s">
        <v>25</v>
      </c>
      <c r="L985" s="25">
        <v>57.5</v>
      </c>
      <c r="M985" s="25">
        <v>6.86</v>
      </c>
      <c r="N985" s="25">
        <v>0</v>
      </c>
      <c r="O985" s="25">
        <v>136.09</v>
      </c>
      <c r="P985" s="25">
        <v>200.44739999999999</v>
      </c>
    </row>
    <row r="986" spans="1:16" x14ac:dyDescent="0.25">
      <c r="A986" s="26">
        <v>43384</v>
      </c>
      <c r="B986" s="25" t="s">
        <v>226</v>
      </c>
      <c r="C986" s="25" t="s">
        <v>23</v>
      </c>
      <c r="D986" s="25">
        <v>500</v>
      </c>
      <c r="E986" s="25">
        <v>465</v>
      </c>
      <c r="F986" s="25">
        <v>232500</v>
      </c>
      <c r="G986" s="25" t="s">
        <v>713</v>
      </c>
      <c r="H986" s="25">
        <v>2018193</v>
      </c>
      <c r="I986" s="25" t="s">
        <v>19</v>
      </c>
      <c r="J986" s="25" t="s">
        <v>20</v>
      </c>
      <c r="K986" s="25" t="s">
        <v>25</v>
      </c>
      <c r="L986" s="25">
        <v>57.5</v>
      </c>
      <c r="M986" s="25">
        <v>6.98</v>
      </c>
      <c r="N986" s="25">
        <v>0</v>
      </c>
      <c r="O986" s="25">
        <v>138.43</v>
      </c>
      <c r="P986" s="25">
        <v>202.9051</v>
      </c>
    </row>
    <row r="987" spans="1:16" x14ac:dyDescent="0.25">
      <c r="A987" s="26">
        <v>43384</v>
      </c>
      <c r="B987" s="25" t="s">
        <v>226</v>
      </c>
      <c r="C987" s="25" t="s">
        <v>17</v>
      </c>
      <c r="D987" s="25">
        <v>1000</v>
      </c>
      <c r="E987" s="25">
        <v>459</v>
      </c>
      <c r="F987" s="25">
        <v>459000</v>
      </c>
      <c r="G987" s="25" t="s">
        <v>714</v>
      </c>
      <c r="H987" s="25">
        <v>2018193</v>
      </c>
      <c r="I987" s="25" t="s">
        <v>19</v>
      </c>
      <c r="J987" s="25" t="s">
        <v>20</v>
      </c>
      <c r="K987" s="25" t="s">
        <v>25</v>
      </c>
      <c r="L987" s="25">
        <v>0</v>
      </c>
      <c r="M987" s="25">
        <v>13.77</v>
      </c>
      <c r="N987" s="25">
        <v>27.9</v>
      </c>
      <c r="O987" s="25">
        <v>273.29000000000002</v>
      </c>
      <c r="P987" s="25">
        <v>314.95999999999998</v>
      </c>
    </row>
    <row r="988" spans="1:16" x14ac:dyDescent="0.25">
      <c r="A988" s="26">
        <v>43382</v>
      </c>
      <c r="B988" s="25" t="s">
        <v>282</v>
      </c>
      <c r="C988" s="25" t="s">
        <v>17</v>
      </c>
      <c r="D988" s="25">
        <v>100</v>
      </c>
      <c r="E988" s="25">
        <v>599</v>
      </c>
      <c r="F988" s="25">
        <v>59900</v>
      </c>
      <c r="G988" s="25" t="s">
        <v>715</v>
      </c>
      <c r="H988" s="25">
        <v>2018191</v>
      </c>
      <c r="I988" s="25" t="s">
        <v>19</v>
      </c>
      <c r="J988" s="25" t="s">
        <v>20</v>
      </c>
      <c r="K988" s="25" t="s">
        <v>25</v>
      </c>
      <c r="L988" s="25">
        <v>0</v>
      </c>
      <c r="M988" s="25">
        <v>1.8</v>
      </c>
      <c r="N988" s="25">
        <v>0</v>
      </c>
      <c r="O988" s="25">
        <v>35.67</v>
      </c>
      <c r="P988" s="25">
        <v>37.466900000000003</v>
      </c>
    </row>
    <row r="989" spans="1:16" x14ac:dyDescent="0.25">
      <c r="A989" s="26">
        <v>43382</v>
      </c>
      <c r="B989" s="25" t="s">
        <v>282</v>
      </c>
      <c r="C989" s="25" t="s">
        <v>23</v>
      </c>
      <c r="D989" s="25">
        <v>200</v>
      </c>
      <c r="E989" s="25">
        <v>583.17999999999995</v>
      </c>
      <c r="F989" s="25">
        <v>116635.25</v>
      </c>
      <c r="G989" s="25" t="s">
        <v>716</v>
      </c>
      <c r="H989" s="25">
        <v>2018191</v>
      </c>
      <c r="I989" s="25" t="s">
        <v>19</v>
      </c>
      <c r="J989" s="25" t="s">
        <v>20</v>
      </c>
      <c r="K989" s="25" t="s">
        <v>25</v>
      </c>
      <c r="L989" s="25">
        <v>29.53</v>
      </c>
      <c r="M989" s="25">
        <v>3.5</v>
      </c>
      <c r="N989" s="25">
        <v>42.3</v>
      </c>
      <c r="O989" s="25">
        <v>69.459999999999994</v>
      </c>
      <c r="P989" s="25">
        <v>144.78899999999999</v>
      </c>
    </row>
    <row r="990" spans="1:16" x14ac:dyDescent="0.25">
      <c r="A990" s="26">
        <v>43382</v>
      </c>
      <c r="B990" s="25" t="s">
        <v>282</v>
      </c>
      <c r="C990" s="25" t="s">
        <v>23</v>
      </c>
      <c r="D990" s="25">
        <v>500</v>
      </c>
      <c r="E990" s="25">
        <v>583</v>
      </c>
      <c r="F990" s="25">
        <v>291500</v>
      </c>
      <c r="G990" s="25" t="s">
        <v>717</v>
      </c>
      <c r="H990" s="25">
        <v>2018191</v>
      </c>
      <c r="I990" s="25" t="s">
        <v>19</v>
      </c>
      <c r="J990" s="25" t="s">
        <v>20</v>
      </c>
      <c r="K990" s="25" t="s">
        <v>25</v>
      </c>
      <c r="L990" s="25">
        <v>73.2</v>
      </c>
      <c r="M990" s="25">
        <v>8.75</v>
      </c>
      <c r="N990" s="25">
        <v>0</v>
      </c>
      <c r="O990" s="25">
        <v>173.56</v>
      </c>
      <c r="P990" s="25">
        <v>255.505</v>
      </c>
    </row>
    <row r="991" spans="1:16" x14ac:dyDescent="0.25">
      <c r="A991" s="26">
        <v>43382</v>
      </c>
      <c r="B991" s="25" t="s">
        <v>282</v>
      </c>
      <c r="C991" s="25" t="s">
        <v>23</v>
      </c>
      <c r="D991" s="25">
        <v>100</v>
      </c>
      <c r="E991" s="25">
        <v>587</v>
      </c>
      <c r="F991" s="25">
        <v>58700</v>
      </c>
      <c r="G991" s="25" t="s">
        <v>718</v>
      </c>
      <c r="H991" s="25">
        <v>2018191</v>
      </c>
      <c r="I991" s="25" t="s">
        <v>19</v>
      </c>
      <c r="J991" s="25" t="s">
        <v>20</v>
      </c>
      <c r="K991" s="25" t="s">
        <v>25</v>
      </c>
      <c r="L991" s="25">
        <v>14.64</v>
      </c>
      <c r="M991" s="25">
        <v>1.76</v>
      </c>
      <c r="N991" s="25">
        <v>0</v>
      </c>
      <c r="O991" s="25">
        <v>34.96</v>
      </c>
      <c r="P991" s="25">
        <v>51.360900000000001</v>
      </c>
    </row>
    <row r="992" spans="1:16" x14ac:dyDescent="0.25">
      <c r="A992" s="26">
        <v>43382</v>
      </c>
      <c r="B992" s="25" t="s">
        <v>282</v>
      </c>
      <c r="C992" s="25" t="s">
        <v>17</v>
      </c>
      <c r="D992" s="25">
        <v>100</v>
      </c>
      <c r="E992" s="25">
        <v>582.85</v>
      </c>
      <c r="F992" s="25">
        <v>58285</v>
      </c>
      <c r="G992" s="25" t="s">
        <v>719</v>
      </c>
      <c r="H992" s="25">
        <v>2018191</v>
      </c>
      <c r="I992" s="25" t="s">
        <v>19</v>
      </c>
      <c r="J992" s="25" t="s">
        <v>20</v>
      </c>
      <c r="K992" s="25" t="s">
        <v>25</v>
      </c>
      <c r="L992" s="25">
        <v>0</v>
      </c>
      <c r="M992" s="25">
        <v>1.75</v>
      </c>
      <c r="N992" s="25">
        <v>0</v>
      </c>
      <c r="O992" s="25">
        <v>34.700000000000003</v>
      </c>
      <c r="P992" s="25">
        <v>36.448500000000003</v>
      </c>
    </row>
    <row r="993" spans="1:16" x14ac:dyDescent="0.25">
      <c r="A993" s="26">
        <v>43382</v>
      </c>
      <c r="B993" s="25" t="s">
        <v>282</v>
      </c>
      <c r="C993" s="25" t="s">
        <v>17</v>
      </c>
      <c r="D993" s="25">
        <v>500</v>
      </c>
      <c r="E993" s="25">
        <v>583.91</v>
      </c>
      <c r="F993" s="25">
        <v>291954.84999999998</v>
      </c>
      <c r="G993" s="25" t="s">
        <v>720</v>
      </c>
      <c r="H993" s="25">
        <v>2018191</v>
      </c>
      <c r="I993" s="25" t="s">
        <v>19</v>
      </c>
      <c r="J993" s="25" t="s">
        <v>20</v>
      </c>
      <c r="K993" s="25" t="s">
        <v>25</v>
      </c>
      <c r="L993" s="25">
        <v>0</v>
      </c>
      <c r="M993" s="25">
        <v>8.76</v>
      </c>
      <c r="N993" s="25">
        <v>0</v>
      </c>
      <c r="O993" s="25">
        <v>173.83</v>
      </c>
      <c r="P993" s="25">
        <v>182.58879999999999</v>
      </c>
    </row>
    <row r="994" spans="1:16" x14ac:dyDescent="0.25">
      <c r="A994" s="26">
        <v>43382</v>
      </c>
      <c r="B994" s="25" t="s">
        <v>279</v>
      </c>
      <c r="C994" s="25" t="s">
        <v>23</v>
      </c>
      <c r="D994" s="25">
        <v>1000</v>
      </c>
      <c r="E994" s="25">
        <v>236.54</v>
      </c>
      <c r="F994" s="25">
        <v>236539.65</v>
      </c>
      <c r="G994" s="25" t="s">
        <v>721</v>
      </c>
      <c r="H994" s="25">
        <v>2018191</v>
      </c>
      <c r="I994" s="25" t="s">
        <v>19</v>
      </c>
      <c r="J994" s="25" t="s">
        <v>20</v>
      </c>
      <c r="K994" s="25" t="s">
        <v>25</v>
      </c>
      <c r="L994" s="25">
        <v>58.63</v>
      </c>
      <c r="M994" s="25">
        <v>7.1</v>
      </c>
      <c r="N994" s="25">
        <v>0</v>
      </c>
      <c r="O994" s="25">
        <v>140.84</v>
      </c>
      <c r="P994" s="25">
        <v>206.56630000000001</v>
      </c>
    </row>
    <row r="995" spans="1:16" x14ac:dyDescent="0.25">
      <c r="A995" s="26">
        <v>43382</v>
      </c>
      <c r="B995" s="25" t="s">
        <v>279</v>
      </c>
      <c r="C995" s="25" t="s">
        <v>17</v>
      </c>
      <c r="D995" s="25">
        <v>1000</v>
      </c>
      <c r="E995" s="25">
        <v>232.53</v>
      </c>
      <c r="F995" s="25">
        <v>232525.45</v>
      </c>
      <c r="G995" s="25" t="s">
        <v>722</v>
      </c>
      <c r="H995" s="25">
        <v>2018191</v>
      </c>
      <c r="I995" s="25" t="s">
        <v>19</v>
      </c>
      <c r="J995" s="25" t="s">
        <v>20</v>
      </c>
      <c r="K995" s="25" t="s">
        <v>25</v>
      </c>
      <c r="L995" s="25">
        <v>0</v>
      </c>
      <c r="M995" s="25">
        <v>6.98</v>
      </c>
      <c r="N995" s="25">
        <v>0</v>
      </c>
      <c r="O995" s="25">
        <v>138.44999999999999</v>
      </c>
      <c r="P995" s="25">
        <v>145.4256</v>
      </c>
    </row>
    <row r="996" spans="1:16" x14ac:dyDescent="0.25">
      <c r="A996" s="26">
        <v>43382</v>
      </c>
      <c r="B996" s="25" t="s">
        <v>282</v>
      </c>
      <c r="C996" s="25" t="s">
        <v>17</v>
      </c>
      <c r="D996" s="25">
        <v>100</v>
      </c>
      <c r="E996" s="25">
        <v>600</v>
      </c>
      <c r="F996" s="25">
        <v>60000</v>
      </c>
      <c r="G996" s="25" t="s">
        <v>723</v>
      </c>
      <c r="H996" s="25">
        <v>2018191</v>
      </c>
      <c r="I996" s="25" t="s">
        <v>19</v>
      </c>
      <c r="J996" s="25" t="s">
        <v>20</v>
      </c>
      <c r="K996" s="25" t="s">
        <v>25</v>
      </c>
      <c r="L996" s="25">
        <v>0</v>
      </c>
      <c r="M996" s="25">
        <v>1.8</v>
      </c>
      <c r="N996" s="25">
        <v>0</v>
      </c>
      <c r="O996" s="25">
        <v>35.72</v>
      </c>
      <c r="P996" s="25">
        <v>37.520000000000003</v>
      </c>
    </row>
    <row r="997" spans="1:16" x14ac:dyDescent="0.25">
      <c r="A997" s="26">
        <v>43381</v>
      </c>
      <c r="B997" s="25" t="s">
        <v>321</v>
      </c>
      <c r="C997" s="25" t="s">
        <v>23</v>
      </c>
      <c r="D997" s="25">
        <v>100</v>
      </c>
      <c r="E997" s="25">
        <v>171.8</v>
      </c>
      <c r="F997" s="25">
        <v>17180</v>
      </c>
      <c r="G997" s="25" t="s">
        <v>724</v>
      </c>
      <c r="H997" s="25">
        <v>2018190</v>
      </c>
      <c r="I997" s="25" t="s">
        <v>19</v>
      </c>
      <c r="J997" s="25" t="s">
        <v>20</v>
      </c>
      <c r="K997" s="25" t="s">
        <v>25</v>
      </c>
      <c r="L997" s="25">
        <v>4.45</v>
      </c>
      <c r="M997" s="25">
        <v>0.52</v>
      </c>
      <c r="N997" s="25">
        <v>0</v>
      </c>
      <c r="O997" s="25">
        <v>29.59</v>
      </c>
      <c r="P997" s="25">
        <v>34.555399999999999</v>
      </c>
    </row>
    <row r="998" spans="1:16" x14ac:dyDescent="0.25">
      <c r="A998" s="26">
        <v>43381</v>
      </c>
      <c r="B998" s="25" t="s">
        <v>321</v>
      </c>
      <c r="C998" s="25" t="s">
        <v>23</v>
      </c>
      <c r="D998" s="25">
        <v>500</v>
      </c>
      <c r="E998" s="25">
        <v>175</v>
      </c>
      <c r="F998" s="25">
        <v>87500</v>
      </c>
      <c r="G998" s="25" t="s">
        <v>725</v>
      </c>
      <c r="H998" s="25">
        <v>2018190</v>
      </c>
      <c r="I998" s="25" t="s">
        <v>19</v>
      </c>
      <c r="J998" s="25" t="s">
        <v>20</v>
      </c>
      <c r="K998" s="25" t="s">
        <v>25</v>
      </c>
      <c r="L998" s="25">
        <v>22.25</v>
      </c>
      <c r="M998" s="25">
        <v>2.63</v>
      </c>
      <c r="N998" s="25">
        <v>0</v>
      </c>
      <c r="O998" s="25">
        <v>52.1</v>
      </c>
      <c r="P998" s="25">
        <v>76.975099999999998</v>
      </c>
    </row>
    <row r="999" spans="1:16" x14ac:dyDescent="0.25">
      <c r="A999" s="26">
        <v>43381</v>
      </c>
      <c r="B999" s="25" t="s">
        <v>480</v>
      </c>
      <c r="C999" s="25" t="s">
        <v>23</v>
      </c>
      <c r="D999" s="25">
        <v>2500</v>
      </c>
      <c r="E999" s="25">
        <v>69.900000000000006</v>
      </c>
      <c r="F999" s="25">
        <v>174750</v>
      </c>
      <c r="G999" s="25" t="s">
        <v>726</v>
      </c>
      <c r="H999" s="25">
        <v>2018190</v>
      </c>
      <c r="I999" s="25" t="s">
        <v>19</v>
      </c>
      <c r="J999" s="25" t="s">
        <v>20</v>
      </c>
      <c r="K999" s="25" t="s">
        <v>25</v>
      </c>
      <c r="L999" s="25">
        <v>44.06</v>
      </c>
      <c r="M999" s="25">
        <v>5.24</v>
      </c>
      <c r="N999" s="25">
        <v>0</v>
      </c>
      <c r="O999" s="25">
        <v>104.05</v>
      </c>
      <c r="P999" s="25">
        <v>153.35249999999999</v>
      </c>
    </row>
    <row r="1000" spans="1:16" x14ac:dyDescent="0.25">
      <c r="A1000" s="26">
        <v>43381</v>
      </c>
      <c r="B1000" s="25" t="s">
        <v>321</v>
      </c>
      <c r="C1000" s="25" t="s">
        <v>23</v>
      </c>
      <c r="D1000" s="25">
        <v>500</v>
      </c>
      <c r="E1000" s="25">
        <v>180</v>
      </c>
      <c r="F1000" s="25">
        <v>90000</v>
      </c>
      <c r="G1000" s="25" t="s">
        <v>727</v>
      </c>
      <c r="H1000" s="25">
        <v>2018190</v>
      </c>
      <c r="I1000" s="25" t="s">
        <v>19</v>
      </c>
      <c r="J1000" s="25" t="s">
        <v>20</v>
      </c>
      <c r="K1000" s="25" t="s">
        <v>25</v>
      </c>
      <c r="L1000" s="25">
        <v>22.25</v>
      </c>
      <c r="M1000" s="25">
        <v>2.7</v>
      </c>
      <c r="N1000" s="25">
        <v>0</v>
      </c>
      <c r="O1000" s="25">
        <v>53.59</v>
      </c>
      <c r="P1000" s="25">
        <v>78.540000000000006</v>
      </c>
    </row>
    <row r="1001" spans="1:16" x14ac:dyDescent="0.25">
      <c r="A1001" s="26">
        <v>43381</v>
      </c>
      <c r="B1001" s="25" t="s">
        <v>321</v>
      </c>
      <c r="C1001" s="25" t="s">
        <v>17</v>
      </c>
      <c r="D1001" s="25">
        <v>1100</v>
      </c>
      <c r="E1001" s="25">
        <v>178.95</v>
      </c>
      <c r="F1001" s="25">
        <v>196845</v>
      </c>
      <c r="G1001" s="25" t="s">
        <v>728</v>
      </c>
      <c r="H1001" s="25">
        <v>2018190</v>
      </c>
      <c r="I1001" s="25" t="s">
        <v>19</v>
      </c>
      <c r="J1001" s="25" t="s">
        <v>20</v>
      </c>
      <c r="K1001" s="25" t="s">
        <v>25</v>
      </c>
      <c r="L1001" s="25">
        <v>0</v>
      </c>
      <c r="M1001" s="25">
        <v>5.91</v>
      </c>
      <c r="N1001" s="25">
        <v>0</v>
      </c>
      <c r="O1001" s="25">
        <v>117.2</v>
      </c>
      <c r="P1001" s="25">
        <v>123.1054</v>
      </c>
    </row>
    <row r="1002" spans="1:16" x14ac:dyDescent="0.25">
      <c r="A1002" s="26">
        <v>43381</v>
      </c>
      <c r="B1002" s="25" t="s">
        <v>480</v>
      </c>
      <c r="C1002" s="25" t="s">
        <v>17</v>
      </c>
      <c r="D1002" s="25">
        <v>2500</v>
      </c>
      <c r="E1002" s="25">
        <v>70.3</v>
      </c>
      <c r="F1002" s="25">
        <v>175750</v>
      </c>
      <c r="G1002" s="25" t="s">
        <v>729</v>
      </c>
      <c r="H1002" s="25">
        <v>2018190</v>
      </c>
      <c r="I1002" s="25" t="s">
        <v>19</v>
      </c>
      <c r="J1002" s="25" t="s">
        <v>20</v>
      </c>
      <c r="K1002" s="25" t="s">
        <v>25</v>
      </c>
      <c r="L1002" s="25">
        <v>0</v>
      </c>
      <c r="M1002" s="25">
        <v>5.27</v>
      </c>
      <c r="N1002" s="25">
        <v>22.5</v>
      </c>
      <c r="O1002" s="25">
        <v>104.64</v>
      </c>
      <c r="P1002" s="25">
        <v>132.41249999999999</v>
      </c>
    </row>
    <row r="1003" spans="1:16" x14ac:dyDescent="0.25">
      <c r="A1003" s="26">
        <v>43378</v>
      </c>
      <c r="B1003" s="25" t="s">
        <v>480</v>
      </c>
      <c r="C1003" s="25" t="s">
        <v>23</v>
      </c>
      <c r="D1003" s="25">
        <v>2500</v>
      </c>
      <c r="E1003" s="25">
        <v>68.400000000000006</v>
      </c>
      <c r="F1003" s="25">
        <v>171000</v>
      </c>
      <c r="G1003" s="25" t="s">
        <v>730</v>
      </c>
      <c r="H1003" s="25">
        <v>2018189</v>
      </c>
      <c r="I1003" s="25" t="s">
        <v>19</v>
      </c>
      <c r="J1003" s="25" t="s">
        <v>20</v>
      </c>
      <c r="K1003" s="25" t="s">
        <v>25</v>
      </c>
      <c r="L1003" s="25">
        <v>42.91</v>
      </c>
      <c r="M1003" s="25">
        <v>5.13</v>
      </c>
      <c r="N1003" s="25">
        <v>0</v>
      </c>
      <c r="O1003" s="25">
        <v>101.82</v>
      </c>
      <c r="P1003" s="25">
        <v>149.86000000000001</v>
      </c>
    </row>
    <row r="1004" spans="1:16" x14ac:dyDescent="0.25">
      <c r="A1004" s="26">
        <v>43378</v>
      </c>
      <c r="B1004" s="25" t="s">
        <v>282</v>
      </c>
      <c r="C1004" s="25" t="s">
        <v>23</v>
      </c>
      <c r="D1004" s="25">
        <v>250</v>
      </c>
      <c r="E1004" s="25">
        <v>615</v>
      </c>
      <c r="F1004" s="25">
        <v>153750</v>
      </c>
      <c r="G1004" s="25" t="s">
        <v>731</v>
      </c>
      <c r="H1004" s="25">
        <v>2018189</v>
      </c>
      <c r="I1004" s="25" t="s">
        <v>19</v>
      </c>
      <c r="J1004" s="25" t="s">
        <v>20</v>
      </c>
      <c r="K1004" s="25" t="s">
        <v>25</v>
      </c>
      <c r="L1004" s="25">
        <v>38.17</v>
      </c>
      <c r="M1004" s="25">
        <v>4.6100000000000003</v>
      </c>
      <c r="N1004" s="25">
        <v>30</v>
      </c>
      <c r="O1004" s="25">
        <v>91.55</v>
      </c>
      <c r="P1004" s="25">
        <v>164.33260000000001</v>
      </c>
    </row>
    <row r="1005" spans="1:16" x14ac:dyDescent="0.25">
      <c r="A1005" s="26">
        <v>43378</v>
      </c>
      <c r="B1005" s="25" t="s">
        <v>480</v>
      </c>
      <c r="C1005" s="25" t="s">
        <v>23</v>
      </c>
      <c r="D1005" s="25">
        <v>2500</v>
      </c>
      <c r="E1005" s="25">
        <v>69.25</v>
      </c>
      <c r="F1005" s="25">
        <v>173125</v>
      </c>
      <c r="G1005" s="25" t="s">
        <v>732</v>
      </c>
      <c r="H1005" s="25">
        <v>2018189</v>
      </c>
      <c r="I1005" s="25" t="s">
        <v>19</v>
      </c>
      <c r="J1005" s="25" t="s">
        <v>20</v>
      </c>
      <c r="K1005" s="25" t="s">
        <v>25</v>
      </c>
      <c r="L1005" s="25">
        <v>42.91</v>
      </c>
      <c r="M1005" s="25">
        <v>5.19</v>
      </c>
      <c r="N1005" s="25">
        <v>0</v>
      </c>
      <c r="O1005" s="25">
        <v>103.08</v>
      </c>
      <c r="P1005" s="25">
        <v>151.18369999999999</v>
      </c>
    </row>
    <row r="1006" spans="1:16" x14ac:dyDescent="0.25">
      <c r="A1006" s="26">
        <v>43378</v>
      </c>
      <c r="B1006" s="25" t="s">
        <v>282</v>
      </c>
      <c r="C1006" s="25" t="s">
        <v>17</v>
      </c>
      <c r="D1006" s="25">
        <v>250</v>
      </c>
      <c r="E1006" s="25">
        <v>619.41999999999996</v>
      </c>
      <c r="F1006" s="25">
        <v>154856.20000000001</v>
      </c>
      <c r="G1006" s="25" t="s">
        <v>733</v>
      </c>
      <c r="H1006" s="25">
        <v>2018189</v>
      </c>
      <c r="I1006" s="25" t="s">
        <v>19</v>
      </c>
      <c r="J1006" s="25" t="s">
        <v>20</v>
      </c>
      <c r="K1006" s="25" t="s">
        <v>25</v>
      </c>
      <c r="L1006" s="25">
        <v>0</v>
      </c>
      <c r="M1006" s="25">
        <v>4.6500000000000004</v>
      </c>
      <c r="N1006" s="25">
        <v>0</v>
      </c>
      <c r="O1006" s="25">
        <v>92.2</v>
      </c>
      <c r="P1006" s="25">
        <v>96.845799999999997</v>
      </c>
    </row>
    <row r="1007" spans="1:16" x14ac:dyDescent="0.25">
      <c r="A1007" s="26">
        <v>43378</v>
      </c>
      <c r="B1007" s="25" t="s">
        <v>480</v>
      </c>
      <c r="C1007" s="25" t="s">
        <v>17</v>
      </c>
      <c r="D1007" s="25">
        <v>5000</v>
      </c>
      <c r="E1007" s="25">
        <v>68.5</v>
      </c>
      <c r="F1007" s="25">
        <v>342500</v>
      </c>
      <c r="G1007" s="25" t="s">
        <v>734</v>
      </c>
      <c r="H1007" s="25">
        <v>2018189</v>
      </c>
      <c r="I1007" s="25" t="s">
        <v>19</v>
      </c>
      <c r="J1007" s="25" t="s">
        <v>20</v>
      </c>
      <c r="K1007" s="25" t="s">
        <v>25</v>
      </c>
      <c r="L1007" s="25">
        <v>0</v>
      </c>
      <c r="M1007" s="25">
        <v>10.28</v>
      </c>
      <c r="N1007" s="25">
        <v>0</v>
      </c>
      <c r="O1007" s="25">
        <v>203.92</v>
      </c>
      <c r="P1007" s="25">
        <v>214.1951</v>
      </c>
    </row>
    <row r="1008" spans="1:16" x14ac:dyDescent="0.25">
      <c r="A1008" s="26">
        <v>43377</v>
      </c>
      <c r="B1008" s="25" t="s">
        <v>480</v>
      </c>
      <c r="C1008" s="25" t="s">
        <v>23</v>
      </c>
      <c r="D1008" s="25">
        <v>500</v>
      </c>
      <c r="E1008" s="25">
        <v>68.2</v>
      </c>
      <c r="F1008" s="25">
        <v>34100</v>
      </c>
      <c r="G1008" s="25" t="s">
        <v>735</v>
      </c>
      <c r="H1008" s="25">
        <v>2018188</v>
      </c>
      <c r="I1008" s="25" t="s">
        <v>19</v>
      </c>
      <c r="J1008" s="25" t="s">
        <v>20</v>
      </c>
      <c r="K1008" s="25" t="s">
        <v>25</v>
      </c>
      <c r="L1008" s="25">
        <v>8.51</v>
      </c>
      <c r="M1008" s="25">
        <v>1.02</v>
      </c>
      <c r="N1008" s="25">
        <v>0</v>
      </c>
      <c r="O1008" s="25">
        <v>29.68</v>
      </c>
      <c r="P1008" s="25">
        <v>39.213099999999997</v>
      </c>
    </row>
    <row r="1009" spans="1:16" x14ac:dyDescent="0.25">
      <c r="A1009" s="26">
        <v>43377</v>
      </c>
      <c r="B1009" s="25" t="s">
        <v>270</v>
      </c>
      <c r="C1009" s="25" t="s">
        <v>23</v>
      </c>
      <c r="D1009" s="25">
        <v>1100</v>
      </c>
      <c r="E1009" s="25">
        <v>104.5</v>
      </c>
      <c r="F1009" s="25">
        <v>114950</v>
      </c>
      <c r="G1009" s="25" t="s">
        <v>736</v>
      </c>
      <c r="H1009" s="25">
        <v>2018188</v>
      </c>
      <c r="I1009" s="25" t="s">
        <v>19</v>
      </c>
      <c r="J1009" s="25" t="s">
        <v>20</v>
      </c>
      <c r="K1009" s="25" t="s">
        <v>25</v>
      </c>
      <c r="L1009" s="25">
        <v>28.64</v>
      </c>
      <c r="M1009" s="25">
        <v>3.45</v>
      </c>
      <c r="N1009" s="25">
        <v>0</v>
      </c>
      <c r="O1009" s="25">
        <v>68.45</v>
      </c>
      <c r="P1009" s="25">
        <v>100.5384</v>
      </c>
    </row>
    <row r="1010" spans="1:16" x14ac:dyDescent="0.25">
      <c r="A1010" s="26">
        <v>43377</v>
      </c>
      <c r="B1010" s="25" t="s">
        <v>270</v>
      </c>
      <c r="C1010" s="25" t="s">
        <v>17</v>
      </c>
      <c r="D1010" s="25">
        <v>1100</v>
      </c>
      <c r="E1010" s="25">
        <v>103.8</v>
      </c>
      <c r="F1010" s="25">
        <v>114180</v>
      </c>
      <c r="G1010" s="25" t="s">
        <v>737</v>
      </c>
      <c r="H1010" s="25">
        <v>2018188</v>
      </c>
      <c r="I1010" s="25" t="s">
        <v>19</v>
      </c>
      <c r="J1010" s="25" t="s">
        <v>20</v>
      </c>
      <c r="K1010" s="25" t="s">
        <v>25</v>
      </c>
      <c r="L1010" s="25">
        <v>0</v>
      </c>
      <c r="M1010" s="25">
        <v>3.43</v>
      </c>
      <c r="N1010" s="25">
        <v>0</v>
      </c>
      <c r="O1010" s="25">
        <v>67.98</v>
      </c>
      <c r="P1010" s="25">
        <v>71.4054</v>
      </c>
    </row>
    <row r="1011" spans="1:16" x14ac:dyDescent="0.25">
      <c r="A1011" s="26">
        <v>43377</v>
      </c>
      <c r="B1011" s="25" t="s">
        <v>738</v>
      </c>
      <c r="C1011" s="25" t="s">
        <v>23</v>
      </c>
      <c r="D1011" s="25">
        <v>100</v>
      </c>
      <c r="E1011" s="25">
        <v>316.5</v>
      </c>
      <c r="F1011" s="25">
        <v>31650</v>
      </c>
      <c r="G1011" s="25" t="s">
        <v>739</v>
      </c>
      <c r="H1011" s="25">
        <v>2018188</v>
      </c>
      <c r="I1011" s="25" t="s">
        <v>19</v>
      </c>
      <c r="J1011" s="25" t="s">
        <v>20</v>
      </c>
      <c r="K1011" s="25" t="s">
        <v>25</v>
      </c>
      <c r="L1011" s="25">
        <v>7.89</v>
      </c>
      <c r="M1011" s="25">
        <v>0.95</v>
      </c>
      <c r="N1011" s="25">
        <v>0</v>
      </c>
      <c r="O1011" s="25">
        <v>29.67</v>
      </c>
      <c r="P1011" s="25">
        <v>38.509500000000003</v>
      </c>
    </row>
    <row r="1012" spans="1:16" x14ac:dyDescent="0.25">
      <c r="A1012" s="26">
        <v>43377</v>
      </c>
      <c r="B1012" s="25" t="s">
        <v>738</v>
      </c>
      <c r="C1012" s="25" t="s">
        <v>23</v>
      </c>
      <c r="D1012" s="25">
        <v>1000</v>
      </c>
      <c r="E1012" s="25">
        <v>312.7</v>
      </c>
      <c r="F1012" s="25">
        <v>312700</v>
      </c>
      <c r="G1012" s="25" t="s">
        <v>740</v>
      </c>
      <c r="H1012" s="25">
        <v>2018188</v>
      </c>
      <c r="I1012" s="25" t="s">
        <v>19</v>
      </c>
      <c r="J1012" s="25" t="s">
        <v>20</v>
      </c>
      <c r="K1012" s="25" t="s">
        <v>25</v>
      </c>
      <c r="L1012" s="25">
        <v>79.099999999999994</v>
      </c>
      <c r="M1012" s="25">
        <v>9.3800000000000008</v>
      </c>
      <c r="N1012" s="25">
        <v>48.9</v>
      </c>
      <c r="O1012" s="25">
        <v>186.18</v>
      </c>
      <c r="P1012" s="25">
        <v>323.56099999999998</v>
      </c>
    </row>
    <row r="1013" spans="1:16" x14ac:dyDescent="0.25">
      <c r="A1013" s="26">
        <v>43377</v>
      </c>
      <c r="B1013" s="25" t="s">
        <v>480</v>
      </c>
      <c r="C1013" s="25" t="s">
        <v>17</v>
      </c>
      <c r="D1013" s="25">
        <v>500</v>
      </c>
      <c r="E1013" s="25">
        <v>68</v>
      </c>
      <c r="F1013" s="25">
        <v>34000</v>
      </c>
      <c r="G1013" s="25" t="s">
        <v>741</v>
      </c>
      <c r="H1013" s="25">
        <v>2018188</v>
      </c>
      <c r="I1013" s="25" t="s">
        <v>19</v>
      </c>
      <c r="J1013" s="25" t="s">
        <v>20</v>
      </c>
      <c r="K1013" s="25" t="s">
        <v>25</v>
      </c>
      <c r="L1013" s="25">
        <v>0</v>
      </c>
      <c r="M1013" s="25">
        <v>1.02</v>
      </c>
      <c r="N1013" s="25">
        <v>0</v>
      </c>
      <c r="O1013" s="25">
        <v>29.68</v>
      </c>
      <c r="P1013" s="25">
        <v>30.7</v>
      </c>
    </row>
    <row r="1014" spans="1:16" x14ac:dyDescent="0.25">
      <c r="A1014" s="26">
        <v>43377</v>
      </c>
      <c r="B1014" s="25" t="s">
        <v>738</v>
      </c>
      <c r="C1014" s="25" t="s">
        <v>23</v>
      </c>
      <c r="D1014" s="25">
        <v>1000</v>
      </c>
      <c r="E1014" s="25">
        <v>319.01</v>
      </c>
      <c r="F1014" s="25">
        <v>319014.65000000002</v>
      </c>
      <c r="G1014" s="25" t="s">
        <v>742</v>
      </c>
      <c r="H1014" s="25">
        <v>2018188</v>
      </c>
      <c r="I1014" s="25" t="s">
        <v>19</v>
      </c>
      <c r="J1014" s="25" t="s">
        <v>20</v>
      </c>
      <c r="K1014" s="25" t="s">
        <v>25</v>
      </c>
      <c r="L1014" s="25">
        <v>78.86</v>
      </c>
      <c r="M1014" s="25">
        <v>9.57</v>
      </c>
      <c r="N1014" s="25">
        <v>0</v>
      </c>
      <c r="O1014" s="25">
        <v>189.95</v>
      </c>
      <c r="P1014" s="25">
        <v>278.38049999999998</v>
      </c>
    </row>
    <row r="1015" spans="1:16" x14ac:dyDescent="0.25">
      <c r="A1015" s="26">
        <v>43377</v>
      </c>
      <c r="B1015" s="25" t="s">
        <v>738</v>
      </c>
      <c r="C1015" s="25" t="s">
        <v>17</v>
      </c>
      <c r="D1015" s="25">
        <v>2100</v>
      </c>
      <c r="E1015" s="25">
        <v>315</v>
      </c>
      <c r="F1015" s="25">
        <v>661500</v>
      </c>
      <c r="G1015" s="25" t="s">
        <v>743</v>
      </c>
      <c r="H1015" s="25">
        <v>2018188</v>
      </c>
      <c r="I1015" s="25" t="s">
        <v>19</v>
      </c>
      <c r="J1015" s="25" t="s">
        <v>20</v>
      </c>
      <c r="K1015" s="25" t="s">
        <v>25</v>
      </c>
      <c r="L1015" s="25">
        <v>0</v>
      </c>
      <c r="M1015" s="25">
        <v>19.850000000000001</v>
      </c>
      <c r="N1015" s="25">
        <v>0</v>
      </c>
      <c r="O1015" s="25">
        <v>393.86</v>
      </c>
      <c r="P1015" s="25">
        <v>413.70510000000002</v>
      </c>
    </row>
    <row r="1016" spans="1:16" x14ac:dyDescent="0.25">
      <c r="A1016" s="26">
        <v>43376</v>
      </c>
      <c r="B1016" s="25" t="s">
        <v>279</v>
      </c>
      <c r="C1016" s="25" t="s">
        <v>23</v>
      </c>
      <c r="D1016" s="25">
        <v>500</v>
      </c>
      <c r="E1016" s="25">
        <v>255</v>
      </c>
      <c r="F1016" s="25">
        <v>127502.39999999999</v>
      </c>
      <c r="G1016" s="25" t="s">
        <v>744</v>
      </c>
      <c r="H1016" s="25">
        <v>2018187</v>
      </c>
      <c r="I1016" s="25" t="s">
        <v>19</v>
      </c>
      <c r="J1016" s="25" t="s">
        <v>20</v>
      </c>
      <c r="K1016" s="25" t="s">
        <v>25</v>
      </c>
      <c r="L1016" s="25">
        <v>32.159999999999997</v>
      </c>
      <c r="M1016" s="25">
        <v>3.83</v>
      </c>
      <c r="N1016" s="25">
        <v>0</v>
      </c>
      <c r="O1016" s="25">
        <v>75.92</v>
      </c>
      <c r="P1016" s="25">
        <v>111.9051</v>
      </c>
    </row>
    <row r="1017" spans="1:16" x14ac:dyDescent="0.25">
      <c r="A1017" s="26">
        <v>43376</v>
      </c>
      <c r="B1017" s="25" t="s">
        <v>279</v>
      </c>
      <c r="C1017" s="25" t="s">
        <v>23</v>
      </c>
      <c r="D1017" s="25">
        <v>500</v>
      </c>
      <c r="E1017" s="25">
        <v>256</v>
      </c>
      <c r="F1017" s="25">
        <v>128000</v>
      </c>
      <c r="G1017" s="25" t="s">
        <v>745</v>
      </c>
      <c r="H1017" s="25">
        <v>2018187</v>
      </c>
      <c r="I1017" s="25" t="s">
        <v>19</v>
      </c>
      <c r="J1017" s="25" t="s">
        <v>20</v>
      </c>
      <c r="K1017" s="25" t="s">
        <v>25</v>
      </c>
      <c r="L1017" s="25">
        <v>32.159999999999997</v>
      </c>
      <c r="M1017" s="25">
        <v>3.84</v>
      </c>
      <c r="N1017" s="25">
        <v>0</v>
      </c>
      <c r="O1017" s="25">
        <v>76.2</v>
      </c>
      <c r="P1017" s="25">
        <v>112.2</v>
      </c>
    </row>
    <row r="1018" spans="1:16" x14ac:dyDescent="0.25">
      <c r="A1018" s="26">
        <v>43376</v>
      </c>
      <c r="B1018" s="25" t="s">
        <v>279</v>
      </c>
      <c r="C1018" s="25" t="s">
        <v>17</v>
      </c>
      <c r="D1018" s="25">
        <v>547</v>
      </c>
      <c r="E1018" s="25">
        <v>264</v>
      </c>
      <c r="F1018" s="25">
        <v>144408</v>
      </c>
      <c r="G1018" s="25" t="s">
        <v>746</v>
      </c>
      <c r="H1018" s="25">
        <v>2018187</v>
      </c>
      <c r="I1018" s="25" t="s">
        <v>19</v>
      </c>
      <c r="J1018" s="25" t="s">
        <v>20</v>
      </c>
      <c r="K1018" s="25" t="s">
        <v>25</v>
      </c>
      <c r="L1018" s="25">
        <v>0</v>
      </c>
      <c r="M1018" s="25">
        <v>4.33</v>
      </c>
      <c r="N1018" s="25">
        <v>0</v>
      </c>
      <c r="O1018" s="25">
        <v>86</v>
      </c>
      <c r="P1018" s="25">
        <v>90.332099999999997</v>
      </c>
    </row>
    <row r="1019" spans="1:16" x14ac:dyDescent="0.25">
      <c r="A1019" s="26">
        <v>43376</v>
      </c>
      <c r="B1019" s="25" t="s">
        <v>279</v>
      </c>
      <c r="C1019" s="25" t="s">
        <v>23</v>
      </c>
      <c r="D1019" s="25">
        <v>500</v>
      </c>
      <c r="E1019" s="25">
        <v>261.01</v>
      </c>
      <c r="F1019" s="25">
        <v>130504</v>
      </c>
      <c r="G1019" s="25" t="s">
        <v>747</v>
      </c>
      <c r="H1019" s="25">
        <v>2018187</v>
      </c>
      <c r="I1019" s="25" t="s">
        <v>19</v>
      </c>
      <c r="J1019" s="25" t="s">
        <v>20</v>
      </c>
      <c r="K1019" s="25" t="s">
        <v>25</v>
      </c>
      <c r="L1019" s="25">
        <v>32.159999999999997</v>
      </c>
      <c r="M1019" s="25">
        <v>3.92</v>
      </c>
      <c r="N1019" s="25">
        <v>0</v>
      </c>
      <c r="O1019" s="25">
        <v>77.7</v>
      </c>
      <c r="P1019" s="25">
        <v>113.7752</v>
      </c>
    </row>
    <row r="1020" spans="1:16" x14ac:dyDescent="0.25">
      <c r="A1020" s="26">
        <v>43376</v>
      </c>
      <c r="B1020" s="25" t="s">
        <v>279</v>
      </c>
      <c r="C1020" s="25" t="s">
        <v>17</v>
      </c>
      <c r="D1020" s="25">
        <v>953</v>
      </c>
      <c r="E1020" s="25">
        <v>257.75</v>
      </c>
      <c r="F1020" s="25">
        <v>245639.2</v>
      </c>
      <c r="G1020" s="25" t="s">
        <v>748</v>
      </c>
      <c r="H1020" s="25">
        <v>2018187</v>
      </c>
      <c r="I1020" s="25" t="s">
        <v>19</v>
      </c>
      <c r="J1020" s="25" t="s">
        <v>20</v>
      </c>
      <c r="K1020" s="25" t="s">
        <v>25</v>
      </c>
      <c r="L1020" s="25">
        <v>0</v>
      </c>
      <c r="M1020" s="25">
        <v>7.37</v>
      </c>
      <c r="N1020" s="25">
        <v>46.5</v>
      </c>
      <c r="O1020" s="25">
        <v>146.26</v>
      </c>
      <c r="P1020" s="25">
        <v>200.1293</v>
      </c>
    </row>
    <row r="1021" spans="1:16" x14ac:dyDescent="0.25">
      <c r="A1021" s="26">
        <v>43376</v>
      </c>
      <c r="B1021" s="25" t="s">
        <v>279</v>
      </c>
      <c r="C1021" s="25" t="s">
        <v>23</v>
      </c>
      <c r="D1021" s="25">
        <v>500</v>
      </c>
      <c r="E1021" s="25">
        <v>257</v>
      </c>
      <c r="F1021" s="25">
        <v>128500</v>
      </c>
      <c r="G1021" s="25" t="s">
        <v>749</v>
      </c>
      <c r="H1021" s="25">
        <v>2018187</v>
      </c>
      <c r="I1021" s="25" t="s">
        <v>19</v>
      </c>
      <c r="J1021" s="25" t="s">
        <v>20</v>
      </c>
      <c r="K1021" s="25" t="s">
        <v>25</v>
      </c>
      <c r="L1021" s="25">
        <v>32.159999999999997</v>
      </c>
      <c r="M1021" s="25">
        <v>3.86</v>
      </c>
      <c r="N1021" s="25">
        <v>0</v>
      </c>
      <c r="O1021" s="25">
        <v>76.510000000000005</v>
      </c>
      <c r="P1021" s="25">
        <v>112.52509999999999</v>
      </c>
    </row>
    <row r="1022" spans="1:16" x14ac:dyDescent="0.25">
      <c r="A1022" s="26">
        <v>43376</v>
      </c>
      <c r="B1022" s="25" t="s">
        <v>279</v>
      </c>
      <c r="C1022" s="25" t="s">
        <v>17</v>
      </c>
      <c r="D1022" s="25">
        <v>500</v>
      </c>
      <c r="E1022" s="25">
        <v>252</v>
      </c>
      <c r="F1022" s="25">
        <v>126000</v>
      </c>
      <c r="G1022" s="25" t="s">
        <v>750</v>
      </c>
      <c r="H1022" s="25">
        <v>2018187</v>
      </c>
      <c r="I1022" s="25" t="s">
        <v>19</v>
      </c>
      <c r="J1022" s="25" t="s">
        <v>20</v>
      </c>
      <c r="K1022" s="25" t="s">
        <v>25</v>
      </c>
      <c r="L1022" s="25">
        <v>0</v>
      </c>
      <c r="M1022" s="25">
        <v>3.78</v>
      </c>
      <c r="N1022" s="25">
        <v>0</v>
      </c>
      <c r="O1022" s="25">
        <v>75.02</v>
      </c>
      <c r="P1022" s="25">
        <v>78.8</v>
      </c>
    </row>
    <row r="1023" spans="1:16" x14ac:dyDescent="0.25">
      <c r="A1023" s="26">
        <v>43376</v>
      </c>
      <c r="B1023" s="25" t="s">
        <v>279</v>
      </c>
      <c r="C1023" s="25" t="s">
        <v>23</v>
      </c>
      <c r="D1023" s="25">
        <v>500</v>
      </c>
      <c r="E1023" s="25">
        <v>257</v>
      </c>
      <c r="F1023" s="25">
        <v>128500</v>
      </c>
      <c r="G1023" s="25" t="s">
        <v>751</v>
      </c>
      <c r="H1023" s="25">
        <v>2018187</v>
      </c>
      <c r="I1023" s="25" t="s">
        <v>19</v>
      </c>
      <c r="J1023" s="25" t="s">
        <v>20</v>
      </c>
      <c r="K1023" s="25" t="s">
        <v>25</v>
      </c>
      <c r="L1023" s="25">
        <v>32.21</v>
      </c>
      <c r="M1023" s="25">
        <v>3.86</v>
      </c>
      <c r="N1023" s="25">
        <v>0</v>
      </c>
      <c r="O1023" s="25">
        <v>76.510000000000005</v>
      </c>
      <c r="P1023" s="25">
        <v>112.57510000000001</v>
      </c>
    </row>
    <row r="1024" spans="1:16" x14ac:dyDescent="0.25">
      <c r="A1024" s="26">
        <v>43376</v>
      </c>
      <c r="B1024" s="25" t="s">
        <v>279</v>
      </c>
      <c r="C1024" s="25" t="s">
        <v>23</v>
      </c>
      <c r="D1024" s="25">
        <v>500</v>
      </c>
      <c r="E1024" s="25">
        <v>259</v>
      </c>
      <c r="F1024" s="25">
        <v>129500</v>
      </c>
      <c r="G1024" s="25" t="s">
        <v>752</v>
      </c>
      <c r="H1024" s="25">
        <v>2018187</v>
      </c>
      <c r="I1024" s="25" t="s">
        <v>19</v>
      </c>
      <c r="J1024" s="25" t="s">
        <v>20</v>
      </c>
      <c r="K1024" s="25" t="s">
        <v>25</v>
      </c>
      <c r="L1024" s="25">
        <v>32.159999999999997</v>
      </c>
      <c r="M1024" s="25">
        <v>3.89</v>
      </c>
      <c r="N1024" s="25">
        <v>0</v>
      </c>
      <c r="O1024" s="25">
        <v>77.099999999999994</v>
      </c>
      <c r="P1024" s="25">
        <v>113.1451</v>
      </c>
    </row>
    <row r="1025" spans="1:16" x14ac:dyDescent="0.25">
      <c r="A1025" s="26">
        <v>43376</v>
      </c>
      <c r="B1025" s="25" t="s">
        <v>279</v>
      </c>
      <c r="C1025" s="25" t="s">
        <v>17</v>
      </c>
      <c r="D1025" s="25">
        <v>1000</v>
      </c>
      <c r="E1025" s="25">
        <v>255</v>
      </c>
      <c r="F1025" s="25">
        <v>255000</v>
      </c>
      <c r="G1025" s="25" t="s">
        <v>753</v>
      </c>
      <c r="H1025" s="25">
        <v>2018187</v>
      </c>
      <c r="I1025" s="25" t="s">
        <v>19</v>
      </c>
      <c r="J1025" s="25" t="s">
        <v>20</v>
      </c>
      <c r="K1025" s="25" t="s">
        <v>25</v>
      </c>
      <c r="L1025" s="25">
        <v>0</v>
      </c>
      <c r="M1025" s="25">
        <v>7.65</v>
      </c>
      <c r="N1025" s="25">
        <v>0</v>
      </c>
      <c r="O1025" s="25">
        <v>151.83000000000001</v>
      </c>
      <c r="P1025" s="25">
        <v>159.47999999999999</v>
      </c>
    </row>
    <row r="1026" spans="1:16" x14ac:dyDescent="0.25">
      <c r="A1026" s="26">
        <v>43371</v>
      </c>
      <c r="B1026" s="25" t="s">
        <v>279</v>
      </c>
      <c r="C1026" s="25" t="s">
        <v>23</v>
      </c>
      <c r="D1026" s="25">
        <v>250</v>
      </c>
      <c r="E1026" s="25">
        <v>241</v>
      </c>
      <c r="F1026" s="25">
        <v>60250</v>
      </c>
      <c r="G1026" s="25" t="s">
        <v>754</v>
      </c>
      <c r="H1026" s="25">
        <v>2018185</v>
      </c>
      <c r="I1026" s="25" t="s">
        <v>19</v>
      </c>
      <c r="J1026" s="25" t="s">
        <v>20</v>
      </c>
      <c r="K1026" s="25" t="s">
        <v>25</v>
      </c>
      <c r="L1026" s="25">
        <v>14.58</v>
      </c>
      <c r="M1026" s="25">
        <v>1.81</v>
      </c>
      <c r="N1026" s="25">
        <v>39.6</v>
      </c>
      <c r="O1026" s="25">
        <v>35.869999999999997</v>
      </c>
      <c r="P1026" s="25">
        <v>91.857500000000002</v>
      </c>
    </row>
    <row r="1027" spans="1:16" x14ac:dyDescent="0.25">
      <c r="A1027" s="26">
        <v>43371</v>
      </c>
      <c r="B1027" s="25" t="s">
        <v>279</v>
      </c>
      <c r="C1027" s="25" t="s">
        <v>17</v>
      </c>
      <c r="D1027" s="25">
        <v>250</v>
      </c>
      <c r="E1027" s="25">
        <v>241.5</v>
      </c>
      <c r="F1027" s="25">
        <v>60375</v>
      </c>
      <c r="G1027" s="25" t="s">
        <v>755</v>
      </c>
      <c r="H1027" s="25">
        <v>2018185</v>
      </c>
      <c r="I1027" s="25" t="s">
        <v>19</v>
      </c>
      <c r="J1027" s="25" t="s">
        <v>20</v>
      </c>
      <c r="K1027" s="25" t="s">
        <v>25</v>
      </c>
      <c r="L1027" s="25">
        <v>0</v>
      </c>
      <c r="M1027" s="25">
        <v>1.81</v>
      </c>
      <c r="N1027" s="25">
        <v>0</v>
      </c>
      <c r="O1027" s="25">
        <v>35.950000000000003</v>
      </c>
      <c r="P1027" s="25">
        <v>37.761200000000002</v>
      </c>
    </row>
    <row r="1028" spans="1:16" x14ac:dyDescent="0.25">
      <c r="A1028" s="26">
        <v>43371</v>
      </c>
      <c r="B1028" s="25" t="s">
        <v>279</v>
      </c>
      <c r="C1028" s="25" t="s">
        <v>23</v>
      </c>
      <c r="D1028" s="25">
        <v>1000</v>
      </c>
      <c r="E1028" s="25">
        <v>242</v>
      </c>
      <c r="F1028" s="25">
        <v>242000</v>
      </c>
      <c r="G1028" s="25" t="s">
        <v>756</v>
      </c>
      <c r="H1028" s="25">
        <v>2018185</v>
      </c>
      <c r="I1028" s="25" t="s">
        <v>19</v>
      </c>
      <c r="J1028" s="25" t="s">
        <v>20</v>
      </c>
      <c r="K1028" s="25" t="s">
        <v>25</v>
      </c>
      <c r="L1028" s="25">
        <v>59.77</v>
      </c>
      <c r="M1028" s="25">
        <v>7.26</v>
      </c>
      <c r="N1028" s="25">
        <v>0</v>
      </c>
      <c r="O1028" s="25">
        <v>144.09</v>
      </c>
      <c r="P1028" s="25">
        <v>211.12</v>
      </c>
    </row>
    <row r="1029" spans="1:16" x14ac:dyDescent="0.25">
      <c r="A1029" s="26">
        <v>43371</v>
      </c>
      <c r="B1029" s="25" t="s">
        <v>279</v>
      </c>
      <c r="C1029" s="25" t="s">
        <v>17</v>
      </c>
      <c r="D1029" s="25">
        <v>1000</v>
      </c>
      <c r="E1029" s="25">
        <v>241</v>
      </c>
      <c r="F1029" s="25">
        <v>241000</v>
      </c>
      <c r="G1029" s="25" t="s">
        <v>757</v>
      </c>
      <c r="H1029" s="25">
        <v>2018185</v>
      </c>
      <c r="I1029" s="25" t="s">
        <v>19</v>
      </c>
      <c r="J1029" s="25" t="s">
        <v>20</v>
      </c>
      <c r="K1029" s="25" t="s">
        <v>25</v>
      </c>
      <c r="L1029" s="25">
        <v>0</v>
      </c>
      <c r="M1029" s="25">
        <v>7.23</v>
      </c>
      <c r="N1029" s="25">
        <v>0</v>
      </c>
      <c r="O1029" s="25">
        <v>143.49</v>
      </c>
      <c r="P1029" s="25">
        <v>150.72</v>
      </c>
    </row>
    <row r="1030" spans="1:16" x14ac:dyDescent="0.25">
      <c r="A1030" s="26">
        <v>43371</v>
      </c>
      <c r="B1030" s="25" t="s">
        <v>279</v>
      </c>
      <c r="C1030" s="25" t="s">
        <v>23</v>
      </c>
      <c r="D1030" s="25">
        <v>1000</v>
      </c>
      <c r="E1030" s="25">
        <v>237</v>
      </c>
      <c r="F1030" s="25">
        <v>237000</v>
      </c>
      <c r="G1030" s="25" t="s">
        <v>758</v>
      </c>
      <c r="H1030" s="25">
        <v>2018185</v>
      </c>
      <c r="I1030" s="25" t="s">
        <v>19</v>
      </c>
      <c r="J1030" s="25" t="s">
        <v>20</v>
      </c>
      <c r="K1030" s="25" t="s">
        <v>25</v>
      </c>
      <c r="L1030" s="25">
        <v>59.77</v>
      </c>
      <c r="M1030" s="25">
        <v>7.11</v>
      </c>
      <c r="N1030" s="25">
        <v>0</v>
      </c>
      <c r="O1030" s="25">
        <v>141.11000000000001</v>
      </c>
      <c r="P1030" s="25">
        <v>207.99010000000001</v>
      </c>
    </row>
    <row r="1031" spans="1:16" x14ac:dyDescent="0.25">
      <c r="A1031" s="26">
        <v>43371</v>
      </c>
      <c r="B1031" s="25" t="s">
        <v>279</v>
      </c>
      <c r="C1031" s="25" t="s">
        <v>23</v>
      </c>
      <c r="D1031" s="25">
        <v>500</v>
      </c>
      <c r="E1031" s="25">
        <v>232</v>
      </c>
      <c r="F1031" s="25">
        <v>116000</v>
      </c>
      <c r="G1031" s="25" t="s">
        <v>759</v>
      </c>
      <c r="H1031" s="25">
        <v>2018185</v>
      </c>
      <c r="I1031" s="25" t="s">
        <v>19</v>
      </c>
      <c r="J1031" s="25" t="s">
        <v>20</v>
      </c>
      <c r="K1031" s="25" t="s">
        <v>25</v>
      </c>
      <c r="L1031" s="25">
        <v>29.88</v>
      </c>
      <c r="M1031" s="25">
        <v>3.48</v>
      </c>
      <c r="N1031" s="25">
        <v>0</v>
      </c>
      <c r="O1031" s="25">
        <v>69.06</v>
      </c>
      <c r="P1031" s="25">
        <v>102.42</v>
      </c>
    </row>
    <row r="1032" spans="1:16" x14ac:dyDescent="0.25">
      <c r="A1032" s="26">
        <v>43371</v>
      </c>
      <c r="B1032" s="25" t="s">
        <v>279</v>
      </c>
      <c r="C1032" s="25" t="s">
        <v>17</v>
      </c>
      <c r="D1032" s="25">
        <v>1500</v>
      </c>
      <c r="E1032" s="25">
        <v>238.87</v>
      </c>
      <c r="F1032" s="25">
        <v>358300.45</v>
      </c>
      <c r="G1032" s="25" t="s">
        <v>760</v>
      </c>
      <c r="H1032" s="25">
        <v>2018185</v>
      </c>
      <c r="I1032" s="25" t="s">
        <v>19</v>
      </c>
      <c r="J1032" s="25" t="s">
        <v>20</v>
      </c>
      <c r="K1032" s="25" t="s">
        <v>25</v>
      </c>
      <c r="L1032" s="25">
        <v>0</v>
      </c>
      <c r="M1032" s="25">
        <v>10.75</v>
      </c>
      <c r="N1032" s="25">
        <v>0</v>
      </c>
      <c r="O1032" s="25">
        <v>213.33</v>
      </c>
      <c r="P1032" s="25">
        <v>224.0796</v>
      </c>
    </row>
    <row r="1033" spans="1:16" x14ac:dyDescent="0.25">
      <c r="A1033" s="26">
        <v>43370</v>
      </c>
      <c r="B1033" s="25" t="s">
        <v>659</v>
      </c>
      <c r="C1033" s="25" t="s">
        <v>23</v>
      </c>
      <c r="D1033" s="25">
        <v>1000</v>
      </c>
      <c r="E1033" s="25">
        <v>212.55</v>
      </c>
      <c r="F1033" s="25">
        <v>212552.55</v>
      </c>
      <c r="G1033" s="25" t="s">
        <v>761</v>
      </c>
      <c r="H1033" s="25">
        <v>2018184</v>
      </c>
      <c r="I1033" s="25" t="s">
        <v>19</v>
      </c>
      <c r="J1033" s="25" t="s">
        <v>20</v>
      </c>
      <c r="K1033" s="25" t="s">
        <v>25</v>
      </c>
      <c r="L1033" s="25">
        <v>52.66</v>
      </c>
      <c r="M1033" s="25">
        <v>6.38</v>
      </c>
      <c r="N1033" s="25">
        <v>0</v>
      </c>
      <c r="O1033" s="25">
        <v>126.55</v>
      </c>
      <c r="P1033" s="25">
        <v>185.5864</v>
      </c>
    </row>
    <row r="1034" spans="1:16" x14ac:dyDescent="0.25">
      <c r="A1034" s="26">
        <v>43370</v>
      </c>
      <c r="B1034" s="25" t="s">
        <v>282</v>
      </c>
      <c r="C1034" s="25" t="s">
        <v>23</v>
      </c>
      <c r="D1034" s="25">
        <v>100</v>
      </c>
      <c r="E1034" s="25">
        <v>703.24</v>
      </c>
      <c r="F1034" s="25">
        <v>70323.8</v>
      </c>
      <c r="G1034" s="25" t="s">
        <v>762</v>
      </c>
      <c r="H1034" s="25">
        <v>2018184</v>
      </c>
      <c r="I1034" s="25" t="s">
        <v>19</v>
      </c>
      <c r="J1034" s="25" t="s">
        <v>20</v>
      </c>
      <c r="K1034" s="25" t="s">
        <v>25</v>
      </c>
      <c r="L1034" s="25">
        <v>18.02</v>
      </c>
      <c r="M1034" s="25">
        <v>2.11</v>
      </c>
      <c r="N1034" s="25">
        <v>0</v>
      </c>
      <c r="O1034" s="25">
        <v>41.87</v>
      </c>
      <c r="P1034" s="25">
        <v>61.999699999999997</v>
      </c>
    </row>
    <row r="1035" spans="1:16" x14ac:dyDescent="0.25">
      <c r="A1035" s="26">
        <v>43370</v>
      </c>
      <c r="B1035" s="25" t="s">
        <v>282</v>
      </c>
      <c r="C1035" s="25" t="s">
        <v>17</v>
      </c>
      <c r="D1035" s="25">
        <v>100</v>
      </c>
      <c r="E1035" s="25">
        <v>699</v>
      </c>
      <c r="F1035" s="25">
        <v>69900</v>
      </c>
      <c r="G1035" s="25" t="s">
        <v>763</v>
      </c>
      <c r="H1035" s="25">
        <v>2018184</v>
      </c>
      <c r="I1035" s="25" t="s">
        <v>19</v>
      </c>
      <c r="J1035" s="25" t="s">
        <v>20</v>
      </c>
      <c r="K1035" s="25" t="s">
        <v>25</v>
      </c>
      <c r="L1035" s="25">
        <v>0</v>
      </c>
      <c r="M1035" s="25">
        <v>2.1</v>
      </c>
      <c r="N1035" s="25">
        <v>32.1</v>
      </c>
      <c r="O1035" s="25">
        <v>41.62</v>
      </c>
      <c r="P1035" s="25">
        <v>75.817099999999996</v>
      </c>
    </row>
    <row r="1036" spans="1:16" x14ac:dyDescent="0.25">
      <c r="A1036" s="26">
        <v>43370</v>
      </c>
      <c r="B1036" s="25" t="s">
        <v>659</v>
      </c>
      <c r="C1036" s="25" t="s">
        <v>17</v>
      </c>
      <c r="D1036" s="25">
        <v>1000</v>
      </c>
      <c r="E1036" s="25">
        <v>208.75</v>
      </c>
      <c r="F1036" s="25">
        <v>208750</v>
      </c>
      <c r="G1036" s="25" t="s">
        <v>764</v>
      </c>
      <c r="H1036" s="25">
        <v>2018184</v>
      </c>
      <c r="I1036" s="25" t="s">
        <v>19</v>
      </c>
      <c r="J1036" s="25" t="s">
        <v>20</v>
      </c>
      <c r="K1036" s="25" t="s">
        <v>25</v>
      </c>
      <c r="L1036" s="25">
        <v>0</v>
      </c>
      <c r="M1036" s="25">
        <v>6.26</v>
      </c>
      <c r="N1036" s="25">
        <v>0</v>
      </c>
      <c r="O1036" s="25">
        <v>124.29</v>
      </c>
      <c r="P1036" s="25">
        <v>130.55250000000001</v>
      </c>
    </row>
    <row r="1037" spans="1:16" x14ac:dyDescent="0.25">
      <c r="A1037" s="26">
        <v>43370</v>
      </c>
      <c r="B1037" s="25" t="s">
        <v>321</v>
      </c>
      <c r="C1037" s="25" t="s">
        <v>23</v>
      </c>
      <c r="D1037" s="25">
        <v>1000</v>
      </c>
      <c r="E1037" s="25">
        <v>249.08</v>
      </c>
      <c r="F1037" s="25">
        <v>249076.75</v>
      </c>
      <c r="G1037" s="25" t="s">
        <v>765</v>
      </c>
      <c r="H1037" s="25">
        <v>2018184</v>
      </c>
      <c r="I1037" s="25" t="s">
        <v>19</v>
      </c>
      <c r="J1037" s="25" t="s">
        <v>20</v>
      </c>
      <c r="K1037" s="25" t="s">
        <v>25</v>
      </c>
      <c r="L1037" s="25">
        <v>62.32</v>
      </c>
      <c r="M1037" s="25">
        <v>7.47</v>
      </c>
      <c r="N1037" s="25">
        <v>0</v>
      </c>
      <c r="O1037" s="25">
        <v>148.30000000000001</v>
      </c>
      <c r="P1037" s="25">
        <v>218.0924</v>
      </c>
    </row>
    <row r="1038" spans="1:16" x14ac:dyDescent="0.25">
      <c r="A1038" s="26">
        <v>43370</v>
      </c>
      <c r="B1038" s="25" t="s">
        <v>321</v>
      </c>
      <c r="C1038" s="25" t="s">
        <v>17</v>
      </c>
      <c r="D1038" s="25">
        <v>1000</v>
      </c>
      <c r="E1038" s="25">
        <v>249.5</v>
      </c>
      <c r="F1038" s="25">
        <v>249500</v>
      </c>
      <c r="G1038" s="25" t="s">
        <v>766</v>
      </c>
      <c r="H1038" s="25">
        <v>2018184</v>
      </c>
      <c r="I1038" s="25" t="s">
        <v>19</v>
      </c>
      <c r="J1038" s="25" t="s">
        <v>20</v>
      </c>
      <c r="K1038" s="25" t="s">
        <v>25</v>
      </c>
      <c r="L1038" s="25">
        <v>0</v>
      </c>
      <c r="M1038" s="25">
        <v>7.49</v>
      </c>
      <c r="N1038" s="25">
        <v>0</v>
      </c>
      <c r="O1038" s="25">
        <v>148.55000000000001</v>
      </c>
      <c r="P1038" s="25">
        <v>156.0352</v>
      </c>
    </row>
    <row r="1039" spans="1:16" x14ac:dyDescent="0.25">
      <c r="A1039" s="26">
        <v>43369</v>
      </c>
      <c r="B1039" s="25" t="s">
        <v>677</v>
      </c>
      <c r="C1039" s="25" t="s">
        <v>17</v>
      </c>
      <c r="D1039" s="25">
        <v>350</v>
      </c>
      <c r="E1039" s="25">
        <v>204.05</v>
      </c>
      <c r="F1039" s="25">
        <v>71417.5</v>
      </c>
      <c r="G1039" s="25" t="s">
        <v>767</v>
      </c>
      <c r="H1039" s="25">
        <v>2018183</v>
      </c>
      <c r="I1039" s="25" t="s">
        <v>19</v>
      </c>
      <c r="J1039" s="25" t="s">
        <v>20</v>
      </c>
      <c r="K1039" s="25" t="s">
        <v>25</v>
      </c>
      <c r="L1039" s="25">
        <v>0</v>
      </c>
      <c r="M1039" s="25">
        <v>2.14</v>
      </c>
      <c r="N1039" s="25">
        <v>0</v>
      </c>
      <c r="O1039" s="25">
        <v>42.52</v>
      </c>
      <c r="P1039" s="25">
        <v>44.662500000000001</v>
      </c>
    </row>
    <row r="1040" spans="1:16" x14ac:dyDescent="0.25">
      <c r="A1040" s="26">
        <v>43369</v>
      </c>
      <c r="B1040" s="25" t="s">
        <v>677</v>
      </c>
      <c r="C1040" s="25" t="s">
        <v>23</v>
      </c>
      <c r="D1040" s="25">
        <v>21</v>
      </c>
      <c r="E1040" s="25">
        <v>206</v>
      </c>
      <c r="F1040" s="25">
        <v>4326</v>
      </c>
      <c r="G1040" s="25" t="s">
        <v>768</v>
      </c>
      <c r="H1040" s="25">
        <v>2018183</v>
      </c>
      <c r="I1040" s="25" t="s">
        <v>19</v>
      </c>
      <c r="J1040" s="25" t="s">
        <v>20</v>
      </c>
      <c r="K1040" s="25" t="s">
        <v>25</v>
      </c>
      <c r="L1040" s="25">
        <v>1.05</v>
      </c>
      <c r="M1040" s="25">
        <v>0.13</v>
      </c>
      <c r="N1040" s="25">
        <v>0</v>
      </c>
      <c r="O1040" s="25">
        <v>29.52</v>
      </c>
      <c r="P1040" s="25">
        <v>30.6998</v>
      </c>
    </row>
    <row r="1041" spans="1:16" x14ac:dyDescent="0.25">
      <c r="A1041" s="26">
        <v>43369</v>
      </c>
      <c r="B1041" s="25" t="s">
        <v>282</v>
      </c>
      <c r="C1041" s="25" t="s">
        <v>23</v>
      </c>
      <c r="D1041" s="25">
        <v>100</v>
      </c>
      <c r="E1041" s="25">
        <v>705</v>
      </c>
      <c r="F1041" s="25">
        <v>70500</v>
      </c>
      <c r="G1041" s="25" t="s">
        <v>769</v>
      </c>
      <c r="H1041" s="25">
        <v>2018183</v>
      </c>
      <c r="I1041" s="25" t="s">
        <v>19</v>
      </c>
      <c r="J1041" s="25" t="s">
        <v>20</v>
      </c>
      <c r="K1041" s="25" t="s">
        <v>25</v>
      </c>
      <c r="L1041" s="25">
        <v>17.940000000000001</v>
      </c>
      <c r="M1041" s="25">
        <v>2.12</v>
      </c>
      <c r="N1041" s="25">
        <v>9.6</v>
      </c>
      <c r="O1041" s="25">
        <v>41.98</v>
      </c>
      <c r="P1041" s="25">
        <v>71.635099999999994</v>
      </c>
    </row>
    <row r="1042" spans="1:16" x14ac:dyDescent="0.25">
      <c r="A1042" s="26">
        <v>43369</v>
      </c>
      <c r="B1042" s="25" t="s">
        <v>282</v>
      </c>
      <c r="C1042" s="25" t="s">
        <v>17</v>
      </c>
      <c r="D1042" s="25">
        <v>100</v>
      </c>
      <c r="E1042" s="25">
        <v>705.5</v>
      </c>
      <c r="F1042" s="25">
        <v>70550</v>
      </c>
      <c r="G1042" s="25" t="s">
        <v>770</v>
      </c>
      <c r="H1042" s="25">
        <v>2018183</v>
      </c>
      <c r="I1042" s="25" t="s">
        <v>19</v>
      </c>
      <c r="J1042" s="25" t="s">
        <v>20</v>
      </c>
      <c r="K1042" s="25" t="s">
        <v>25</v>
      </c>
      <c r="L1042" s="25">
        <v>0</v>
      </c>
      <c r="M1042" s="25">
        <v>2.12</v>
      </c>
      <c r="N1042" s="25">
        <v>0</v>
      </c>
      <c r="O1042" s="25">
        <v>42</v>
      </c>
      <c r="P1042" s="25">
        <v>44.116500000000002</v>
      </c>
    </row>
    <row r="1043" spans="1:16" x14ac:dyDescent="0.25">
      <c r="A1043" s="26">
        <v>43369</v>
      </c>
      <c r="B1043" s="25" t="s">
        <v>433</v>
      </c>
      <c r="C1043" s="25" t="s">
        <v>23</v>
      </c>
      <c r="D1043" s="25">
        <v>1500</v>
      </c>
      <c r="E1043" s="25">
        <v>12</v>
      </c>
      <c r="F1043" s="25">
        <v>18000</v>
      </c>
      <c r="G1043" s="25" t="s">
        <v>771</v>
      </c>
      <c r="H1043" s="25">
        <v>2018183</v>
      </c>
      <c r="I1043" s="25" t="s">
        <v>19</v>
      </c>
      <c r="J1043" s="25" t="s">
        <v>20</v>
      </c>
      <c r="K1043" s="25" t="s">
        <v>25</v>
      </c>
      <c r="L1043" s="25">
        <v>4.4800000000000004</v>
      </c>
      <c r="M1043" s="25">
        <v>0.54</v>
      </c>
      <c r="N1043" s="25">
        <v>0</v>
      </c>
      <c r="O1043" s="25">
        <v>29.6</v>
      </c>
      <c r="P1043" s="25">
        <v>34.619999999999997</v>
      </c>
    </row>
    <row r="1044" spans="1:16" x14ac:dyDescent="0.25">
      <c r="A1044" s="26">
        <v>43369</v>
      </c>
      <c r="B1044" s="25" t="s">
        <v>433</v>
      </c>
      <c r="C1044" s="25" t="s">
        <v>17</v>
      </c>
      <c r="D1044" s="25">
        <v>1500</v>
      </c>
      <c r="E1044" s="25">
        <v>11.9</v>
      </c>
      <c r="F1044" s="25">
        <v>17850</v>
      </c>
      <c r="G1044" s="25" t="s">
        <v>772</v>
      </c>
      <c r="H1044" s="25">
        <v>2018183</v>
      </c>
      <c r="I1044" s="25" t="s">
        <v>19</v>
      </c>
      <c r="J1044" s="25" t="s">
        <v>20</v>
      </c>
      <c r="K1044" s="25" t="s">
        <v>25</v>
      </c>
      <c r="L1044" s="25">
        <v>0</v>
      </c>
      <c r="M1044" s="25">
        <v>0.54</v>
      </c>
      <c r="N1044" s="25">
        <v>0</v>
      </c>
      <c r="O1044" s="25">
        <v>29.6</v>
      </c>
      <c r="P1044" s="25">
        <v>30.1355</v>
      </c>
    </row>
    <row r="1045" spans="1:16" x14ac:dyDescent="0.25">
      <c r="A1045" s="26">
        <v>43369</v>
      </c>
      <c r="B1045" s="25" t="s">
        <v>677</v>
      </c>
      <c r="C1045" s="25" t="s">
        <v>23</v>
      </c>
      <c r="D1045" s="25">
        <v>329</v>
      </c>
      <c r="E1045" s="25">
        <v>197.2</v>
      </c>
      <c r="F1045" s="25">
        <v>64879.9</v>
      </c>
      <c r="G1045" s="25" t="s">
        <v>773</v>
      </c>
      <c r="H1045" s="25">
        <v>2018183</v>
      </c>
      <c r="I1045" s="25" t="s">
        <v>19</v>
      </c>
      <c r="J1045" s="25" t="s">
        <v>20</v>
      </c>
      <c r="K1045" s="25" t="s">
        <v>25</v>
      </c>
      <c r="L1045" s="25">
        <v>16.52</v>
      </c>
      <c r="M1045" s="25">
        <v>1.95</v>
      </c>
      <c r="N1045" s="25">
        <v>0</v>
      </c>
      <c r="O1045" s="25">
        <v>38.630000000000003</v>
      </c>
      <c r="P1045" s="25">
        <v>57.096400000000003</v>
      </c>
    </row>
    <row r="1046" spans="1:16" x14ac:dyDescent="0.25">
      <c r="A1046" s="26">
        <v>43368</v>
      </c>
      <c r="B1046" s="25" t="s">
        <v>279</v>
      </c>
      <c r="C1046" s="25" t="s">
        <v>23</v>
      </c>
      <c r="D1046" s="25">
        <v>500</v>
      </c>
      <c r="E1046" s="25">
        <v>249.12</v>
      </c>
      <c r="F1046" s="25">
        <v>124560.6</v>
      </c>
      <c r="G1046" s="25" t="s">
        <v>655</v>
      </c>
      <c r="H1046" s="25">
        <v>2018182</v>
      </c>
      <c r="I1046" s="25" t="s">
        <v>19</v>
      </c>
      <c r="J1046" s="25" t="s">
        <v>20</v>
      </c>
      <c r="K1046" s="25" t="s">
        <v>25</v>
      </c>
      <c r="L1046" s="25">
        <v>31.48</v>
      </c>
      <c r="M1046" s="25">
        <v>3.74</v>
      </c>
      <c r="N1046" s="25">
        <v>0</v>
      </c>
      <c r="O1046" s="25">
        <v>74.17</v>
      </c>
      <c r="P1046" s="25">
        <v>109.38679999999999</v>
      </c>
    </row>
    <row r="1047" spans="1:16" x14ac:dyDescent="0.25">
      <c r="A1047" s="26">
        <v>43368</v>
      </c>
      <c r="B1047" s="25" t="s">
        <v>279</v>
      </c>
      <c r="C1047" s="25" t="s">
        <v>17</v>
      </c>
      <c r="D1047" s="25">
        <v>500</v>
      </c>
      <c r="E1047" s="25">
        <v>254.51</v>
      </c>
      <c r="F1047" s="25">
        <v>127255.9</v>
      </c>
      <c r="G1047" s="25" t="s">
        <v>656</v>
      </c>
      <c r="H1047" s="25">
        <v>2018182</v>
      </c>
      <c r="I1047" s="25" t="s">
        <v>19</v>
      </c>
      <c r="J1047" s="25" t="s">
        <v>20</v>
      </c>
      <c r="K1047" s="25" t="s">
        <v>25</v>
      </c>
      <c r="L1047" s="25">
        <v>0</v>
      </c>
      <c r="M1047" s="25">
        <v>3.82</v>
      </c>
      <c r="N1047" s="25">
        <v>0</v>
      </c>
      <c r="O1047" s="25">
        <v>75.760000000000005</v>
      </c>
      <c r="P1047" s="25">
        <v>79.5779</v>
      </c>
    </row>
    <row r="1048" spans="1:16" x14ac:dyDescent="0.25">
      <c r="A1048" s="26">
        <v>43368</v>
      </c>
      <c r="B1048" s="25" t="s">
        <v>321</v>
      </c>
      <c r="C1048" s="25" t="s">
        <v>17</v>
      </c>
      <c r="D1048" s="25">
        <v>700</v>
      </c>
      <c r="E1048" s="25">
        <v>240.5</v>
      </c>
      <c r="F1048" s="25">
        <v>168350</v>
      </c>
      <c r="G1048" s="25" t="s">
        <v>657</v>
      </c>
      <c r="H1048" s="25">
        <v>2018182</v>
      </c>
      <c r="I1048" s="25" t="s">
        <v>19</v>
      </c>
      <c r="J1048" s="25" t="s">
        <v>20</v>
      </c>
      <c r="K1048" s="25" t="s">
        <v>25</v>
      </c>
      <c r="L1048" s="25">
        <v>0</v>
      </c>
      <c r="M1048" s="25">
        <v>5.05</v>
      </c>
      <c r="N1048" s="25">
        <v>30.9</v>
      </c>
      <c r="O1048" s="25">
        <v>100.24</v>
      </c>
      <c r="P1048" s="25">
        <v>136.19049999999999</v>
      </c>
    </row>
    <row r="1049" spans="1:16" x14ac:dyDescent="0.25">
      <c r="A1049" s="26">
        <v>43368</v>
      </c>
      <c r="B1049" s="25" t="s">
        <v>321</v>
      </c>
      <c r="C1049" s="25" t="s">
        <v>23</v>
      </c>
      <c r="D1049" s="25">
        <v>700</v>
      </c>
      <c r="E1049" s="25">
        <v>241.11</v>
      </c>
      <c r="F1049" s="25">
        <v>168778.25</v>
      </c>
      <c r="G1049" s="25" t="s">
        <v>658</v>
      </c>
      <c r="H1049" s="25">
        <v>2018182</v>
      </c>
      <c r="I1049" s="25" t="s">
        <v>19</v>
      </c>
      <c r="J1049" s="25" t="s">
        <v>20</v>
      </c>
      <c r="K1049" s="25" t="s">
        <v>25</v>
      </c>
      <c r="L1049" s="25">
        <v>42.02</v>
      </c>
      <c r="M1049" s="25">
        <v>5.0599999999999996</v>
      </c>
      <c r="N1049" s="25">
        <v>0</v>
      </c>
      <c r="O1049" s="25">
        <v>100.5</v>
      </c>
      <c r="P1049" s="25">
        <v>147.58340000000001</v>
      </c>
    </row>
    <row r="1050" spans="1:16" x14ac:dyDescent="0.25">
      <c r="A1050" s="26">
        <v>43368</v>
      </c>
      <c r="B1050" s="25" t="s">
        <v>659</v>
      </c>
      <c r="C1050" s="25" t="s">
        <v>23</v>
      </c>
      <c r="D1050" s="25">
        <v>1000</v>
      </c>
      <c r="E1050" s="25">
        <v>213.1</v>
      </c>
      <c r="F1050" s="25">
        <v>213100</v>
      </c>
      <c r="G1050" s="25" t="s">
        <v>660</v>
      </c>
      <c r="H1050" s="25">
        <v>2018182</v>
      </c>
      <c r="I1050" s="25" t="s">
        <v>19</v>
      </c>
      <c r="J1050" s="25" t="s">
        <v>20</v>
      </c>
      <c r="K1050" s="25" t="s">
        <v>25</v>
      </c>
      <c r="L1050" s="25">
        <v>54.5</v>
      </c>
      <c r="M1050" s="25">
        <v>6.39</v>
      </c>
      <c r="N1050" s="25">
        <v>0</v>
      </c>
      <c r="O1050" s="25">
        <v>126.88</v>
      </c>
      <c r="P1050" s="25">
        <v>187.773</v>
      </c>
    </row>
    <row r="1051" spans="1:16" x14ac:dyDescent="0.25">
      <c r="A1051" s="26">
        <v>43368</v>
      </c>
      <c r="B1051" s="25" t="s">
        <v>659</v>
      </c>
      <c r="C1051" s="25" t="s">
        <v>17</v>
      </c>
      <c r="D1051" s="25">
        <v>1000</v>
      </c>
      <c r="E1051" s="25">
        <v>222.89</v>
      </c>
      <c r="F1051" s="25">
        <v>222893.9</v>
      </c>
      <c r="G1051" s="25" t="s">
        <v>661</v>
      </c>
      <c r="H1051" s="25">
        <v>2018182</v>
      </c>
      <c r="I1051" s="25" t="s">
        <v>19</v>
      </c>
      <c r="J1051" s="25" t="s">
        <v>20</v>
      </c>
      <c r="K1051" s="25" t="s">
        <v>25</v>
      </c>
      <c r="L1051" s="25">
        <v>0</v>
      </c>
      <c r="M1051" s="25">
        <v>6.69</v>
      </c>
      <c r="N1051" s="25">
        <v>0</v>
      </c>
      <c r="O1051" s="25">
        <v>132.69999999999999</v>
      </c>
      <c r="P1051" s="25">
        <v>139.387</v>
      </c>
    </row>
    <row r="1052" spans="1:16" x14ac:dyDescent="0.25">
      <c r="A1052" s="26">
        <v>43367</v>
      </c>
      <c r="B1052" s="25" t="s">
        <v>179</v>
      </c>
      <c r="C1052" s="25" t="s">
        <v>23</v>
      </c>
      <c r="D1052" s="25">
        <v>350</v>
      </c>
      <c r="E1052" s="25">
        <v>40</v>
      </c>
      <c r="F1052" s="25">
        <v>14000</v>
      </c>
      <c r="G1052" s="25" t="s">
        <v>662</v>
      </c>
      <c r="H1052" s="25">
        <v>2018181</v>
      </c>
      <c r="I1052" s="25" t="s">
        <v>19</v>
      </c>
      <c r="J1052" s="25" t="s">
        <v>20</v>
      </c>
      <c r="K1052" s="25" t="s">
        <v>25</v>
      </c>
      <c r="L1052" s="25">
        <v>14</v>
      </c>
      <c r="M1052" s="25">
        <v>0.42</v>
      </c>
      <c r="N1052" s="25">
        <v>0</v>
      </c>
      <c r="O1052" s="25">
        <v>90.94</v>
      </c>
      <c r="P1052" s="25">
        <v>105.36</v>
      </c>
    </row>
    <row r="1053" spans="1:16" x14ac:dyDescent="0.25">
      <c r="A1053" s="26">
        <v>43367</v>
      </c>
      <c r="B1053" s="25" t="s">
        <v>321</v>
      </c>
      <c r="C1053" s="25" t="s">
        <v>23</v>
      </c>
      <c r="D1053" s="25">
        <v>100</v>
      </c>
      <c r="E1053" s="25">
        <v>258</v>
      </c>
      <c r="F1053" s="25">
        <v>25800</v>
      </c>
      <c r="G1053" s="25" t="s">
        <v>663</v>
      </c>
      <c r="H1053" s="25">
        <v>2018181</v>
      </c>
      <c r="I1053" s="25" t="s">
        <v>19</v>
      </c>
      <c r="J1053" s="25" t="s">
        <v>20</v>
      </c>
      <c r="K1053" s="25" t="s">
        <v>25</v>
      </c>
      <c r="L1053" s="25">
        <v>6.41</v>
      </c>
      <c r="M1053" s="25">
        <v>0.77</v>
      </c>
      <c r="N1053" s="25">
        <v>0</v>
      </c>
      <c r="O1053" s="25">
        <v>29.64</v>
      </c>
      <c r="P1053" s="25">
        <v>36.823999999999998</v>
      </c>
    </row>
    <row r="1054" spans="1:16" x14ac:dyDescent="0.25">
      <c r="A1054" s="26">
        <v>43367</v>
      </c>
      <c r="B1054" s="25" t="s">
        <v>321</v>
      </c>
      <c r="C1054" s="25" t="s">
        <v>23</v>
      </c>
      <c r="D1054" s="25">
        <v>150</v>
      </c>
      <c r="E1054" s="25">
        <v>261.05</v>
      </c>
      <c r="F1054" s="25">
        <v>39157.5</v>
      </c>
      <c r="G1054" s="25" t="s">
        <v>664</v>
      </c>
      <c r="H1054" s="25">
        <v>2018181</v>
      </c>
      <c r="I1054" s="25" t="s">
        <v>19</v>
      </c>
      <c r="J1054" s="25" t="s">
        <v>20</v>
      </c>
      <c r="K1054" s="25" t="s">
        <v>25</v>
      </c>
      <c r="L1054" s="25">
        <v>9.6199999999999992</v>
      </c>
      <c r="M1054" s="25">
        <v>1.17</v>
      </c>
      <c r="N1054" s="25">
        <v>0</v>
      </c>
      <c r="O1054" s="25">
        <v>29.71</v>
      </c>
      <c r="P1054" s="25">
        <v>40.5047</v>
      </c>
    </row>
    <row r="1055" spans="1:16" x14ac:dyDescent="0.25">
      <c r="A1055" s="26">
        <v>43367</v>
      </c>
      <c r="B1055" s="25" t="s">
        <v>665</v>
      </c>
      <c r="C1055" s="25" t="s">
        <v>23</v>
      </c>
      <c r="D1055" s="25">
        <v>100</v>
      </c>
      <c r="E1055" s="25">
        <v>394.15</v>
      </c>
      <c r="F1055" s="25">
        <v>39415</v>
      </c>
      <c r="G1055" s="25" t="s">
        <v>666</v>
      </c>
      <c r="H1055" s="25">
        <v>2018181</v>
      </c>
      <c r="I1055" s="25" t="s">
        <v>19</v>
      </c>
      <c r="J1055" s="25" t="s">
        <v>20</v>
      </c>
      <c r="K1055" s="25" t="s">
        <v>25</v>
      </c>
      <c r="L1055" s="25">
        <v>9.7100000000000009</v>
      </c>
      <c r="M1055" s="25">
        <v>1.18</v>
      </c>
      <c r="N1055" s="25">
        <v>0</v>
      </c>
      <c r="O1055" s="25">
        <v>29.71</v>
      </c>
      <c r="P1055" s="25">
        <v>40.602400000000003</v>
      </c>
    </row>
    <row r="1056" spans="1:16" x14ac:dyDescent="0.25">
      <c r="A1056" s="26">
        <v>43367</v>
      </c>
      <c r="B1056" s="25" t="s">
        <v>665</v>
      </c>
      <c r="C1056" s="25" t="s">
        <v>17</v>
      </c>
      <c r="D1056" s="25">
        <v>100</v>
      </c>
      <c r="E1056" s="25">
        <v>375</v>
      </c>
      <c r="F1056" s="25">
        <v>37500</v>
      </c>
      <c r="G1056" s="25" t="s">
        <v>667</v>
      </c>
      <c r="H1056" s="25">
        <v>2018181</v>
      </c>
      <c r="I1056" s="25" t="s">
        <v>19</v>
      </c>
      <c r="J1056" s="25" t="s">
        <v>20</v>
      </c>
      <c r="K1056" s="25" t="s">
        <v>25</v>
      </c>
      <c r="L1056" s="25">
        <v>0</v>
      </c>
      <c r="M1056" s="25">
        <v>1.1299999999999999</v>
      </c>
      <c r="N1056" s="25">
        <v>0</v>
      </c>
      <c r="O1056" s="25">
        <v>29.7</v>
      </c>
      <c r="P1056" s="25">
        <v>30.825099999999999</v>
      </c>
    </row>
    <row r="1057" spans="1:16" x14ac:dyDescent="0.25">
      <c r="A1057" s="26">
        <v>43367</v>
      </c>
      <c r="B1057" s="25" t="s">
        <v>321</v>
      </c>
      <c r="C1057" s="25" t="s">
        <v>23</v>
      </c>
      <c r="D1057" s="25">
        <v>250</v>
      </c>
      <c r="E1057" s="25">
        <v>258.05</v>
      </c>
      <c r="F1057" s="25">
        <v>64512.45</v>
      </c>
      <c r="G1057" s="25" t="s">
        <v>668</v>
      </c>
      <c r="H1057" s="25">
        <v>2018181</v>
      </c>
      <c r="I1057" s="25" t="s">
        <v>19</v>
      </c>
      <c r="J1057" s="25" t="s">
        <v>20</v>
      </c>
      <c r="K1057" s="25" t="s">
        <v>25</v>
      </c>
      <c r="L1057" s="25">
        <v>15.78</v>
      </c>
      <c r="M1057" s="25">
        <v>1.94</v>
      </c>
      <c r="N1057" s="25">
        <v>23.1</v>
      </c>
      <c r="O1057" s="25">
        <v>38.340000000000003</v>
      </c>
      <c r="P1057" s="25">
        <v>79.1571</v>
      </c>
    </row>
    <row r="1058" spans="1:16" x14ac:dyDescent="0.25">
      <c r="A1058" s="26">
        <v>43367</v>
      </c>
      <c r="B1058" s="25" t="s">
        <v>321</v>
      </c>
      <c r="C1058" s="25" t="s">
        <v>17</v>
      </c>
      <c r="D1058" s="25">
        <v>500</v>
      </c>
      <c r="E1058" s="25">
        <v>254</v>
      </c>
      <c r="F1058" s="25">
        <v>127000</v>
      </c>
      <c r="G1058" s="25" t="s">
        <v>669</v>
      </c>
      <c r="H1058" s="25">
        <v>2018181</v>
      </c>
      <c r="I1058" s="25" t="s">
        <v>19</v>
      </c>
      <c r="J1058" s="25" t="s">
        <v>20</v>
      </c>
      <c r="K1058" s="25" t="s">
        <v>25</v>
      </c>
      <c r="L1058" s="25">
        <v>0</v>
      </c>
      <c r="M1058" s="25">
        <v>3.81</v>
      </c>
      <c r="N1058" s="25">
        <v>0</v>
      </c>
      <c r="O1058" s="25">
        <v>75.62</v>
      </c>
      <c r="P1058" s="25">
        <v>79.430000000000007</v>
      </c>
    </row>
    <row r="1059" spans="1:16" x14ac:dyDescent="0.25">
      <c r="A1059" s="26">
        <v>43367</v>
      </c>
      <c r="B1059" s="25" t="s">
        <v>665</v>
      </c>
      <c r="C1059" s="25" t="s">
        <v>23</v>
      </c>
      <c r="D1059" s="25">
        <v>100</v>
      </c>
      <c r="E1059" s="25">
        <v>391.69</v>
      </c>
      <c r="F1059" s="25">
        <v>39168.5</v>
      </c>
      <c r="G1059" s="25" t="s">
        <v>670</v>
      </c>
      <c r="H1059" s="25">
        <v>2018181</v>
      </c>
      <c r="I1059" s="25" t="s">
        <v>19</v>
      </c>
      <c r="J1059" s="25" t="s">
        <v>20</v>
      </c>
      <c r="K1059" s="25" t="s">
        <v>25</v>
      </c>
      <c r="L1059" s="25">
        <v>9.7100000000000009</v>
      </c>
      <c r="M1059" s="25">
        <v>1.18</v>
      </c>
      <c r="N1059" s="25">
        <v>0</v>
      </c>
      <c r="O1059" s="25">
        <v>29.71</v>
      </c>
      <c r="P1059" s="25">
        <v>40.595100000000002</v>
      </c>
    </row>
    <row r="1060" spans="1:16" x14ac:dyDescent="0.25">
      <c r="A1060" s="26">
        <v>43367</v>
      </c>
      <c r="B1060" s="25" t="s">
        <v>665</v>
      </c>
      <c r="C1060" s="25" t="s">
        <v>17</v>
      </c>
      <c r="D1060" s="25">
        <v>100</v>
      </c>
      <c r="E1060" s="25">
        <v>392.22</v>
      </c>
      <c r="F1060" s="25">
        <v>39222.15</v>
      </c>
      <c r="G1060" s="25" t="s">
        <v>671</v>
      </c>
      <c r="H1060" s="25">
        <v>2018181</v>
      </c>
      <c r="I1060" s="25" t="s">
        <v>19</v>
      </c>
      <c r="J1060" s="25" t="s">
        <v>20</v>
      </c>
      <c r="K1060" s="25" t="s">
        <v>25</v>
      </c>
      <c r="L1060" s="25">
        <v>0</v>
      </c>
      <c r="M1060" s="25">
        <v>1.18</v>
      </c>
      <c r="N1060" s="25">
        <v>0</v>
      </c>
      <c r="O1060" s="25">
        <v>29.72</v>
      </c>
      <c r="P1060" s="25">
        <v>30.896599999999999</v>
      </c>
    </row>
    <row r="1061" spans="1:16" x14ac:dyDescent="0.25">
      <c r="A1061" s="26">
        <v>43367</v>
      </c>
      <c r="B1061" s="25" t="s">
        <v>282</v>
      </c>
      <c r="C1061" s="25" t="s">
        <v>23</v>
      </c>
      <c r="D1061" s="25">
        <v>250</v>
      </c>
      <c r="E1061" s="25">
        <v>669</v>
      </c>
      <c r="F1061" s="25">
        <v>167250</v>
      </c>
      <c r="G1061" s="25" t="s">
        <v>672</v>
      </c>
      <c r="H1061" s="25">
        <v>2018181</v>
      </c>
      <c r="I1061" s="25" t="s">
        <v>19</v>
      </c>
      <c r="J1061" s="25" t="s">
        <v>20</v>
      </c>
      <c r="K1061" s="25" t="s">
        <v>25</v>
      </c>
      <c r="L1061" s="25">
        <v>41.78</v>
      </c>
      <c r="M1061" s="25">
        <v>5.0199999999999996</v>
      </c>
      <c r="N1061" s="25">
        <v>0</v>
      </c>
      <c r="O1061" s="25">
        <v>99.58</v>
      </c>
      <c r="P1061" s="25">
        <v>146.3775</v>
      </c>
    </row>
    <row r="1062" spans="1:16" x14ac:dyDescent="0.25">
      <c r="A1062" s="26">
        <v>43367</v>
      </c>
      <c r="B1062" s="25" t="s">
        <v>282</v>
      </c>
      <c r="C1062" s="25" t="s">
        <v>17</v>
      </c>
      <c r="D1062" s="25">
        <v>250</v>
      </c>
      <c r="E1062" s="25">
        <v>668</v>
      </c>
      <c r="F1062" s="25">
        <v>167000</v>
      </c>
      <c r="G1062" s="25" t="s">
        <v>673</v>
      </c>
      <c r="H1062" s="25">
        <v>2018181</v>
      </c>
      <c r="I1062" s="25" t="s">
        <v>19</v>
      </c>
      <c r="J1062" s="25" t="s">
        <v>20</v>
      </c>
      <c r="K1062" s="25" t="s">
        <v>25</v>
      </c>
      <c r="L1062" s="25">
        <v>0</v>
      </c>
      <c r="M1062" s="25">
        <v>5.01</v>
      </c>
      <c r="N1062" s="25">
        <v>0</v>
      </c>
      <c r="O1062" s="25">
        <v>99.43</v>
      </c>
      <c r="P1062" s="25">
        <v>104.44</v>
      </c>
    </row>
    <row r="1063" spans="1:16" x14ac:dyDescent="0.25">
      <c r="A1063" s="26">
        <v>43364</v>
      </c>
      <c r="B1063" s="25" t="s">
        <v>433</v>
      </c>
      <c r="C1063" s="25" t="s">
        <v>23</v>
      </c>
      <c r="D1063" s="25">
        <v>100</v>
      </c>
      <c r="E1063" s="25">
        <v>14.45</v>
      </c>
      <c r="F1063" s="25">
        <v>1445</v>
      </c>
      <c r="G1063" s="25" t="s">
        <v>674</v>
      </c>
      <c r="H1063" s="25">
        <v>2018180</v>
      </c>
      <c r="I1063" s="25" t="s">
        <v>19</v>
      </c>
      <c r="J1063" s="25" t="s">
        <v>20</v>
      </c>
      <c r="K1063" s="25" t="s">
        <v>25</v>
      </c>
      <c r="L1063" s="25">
        <v>1.49</v>
      </c>
      <c r="M1063" s="25">
        <v>0.04</v>
      </c>
      <c r="N1063" s="25">
        <v>0</v>
      </c>
      <c r="O1063" s="25">
        <v>29.51</v>
      </c>
      <c r="P1063" s="25">
        <v>31.043399999999998</v>
      </c>
    </row>
    <row r="1064" spans="1:16" x14ac:dyDescent="0.25">
      <c r="A1064" s="26">
        <v>43364</v>
      </c>
      <c r="B1064" s="25" t="s">
        <v>433</v>
      </c>
      <c r="C1064" s="25" t="s">
        <v>23</v>
      </c>
      <c r="D1064" s="25">
        <v>100</v>
      </c>
      <c r="E1064" s="25">
        <v>14.45</v>
      </c>
      <c r="F1064" s="25">
        <v>1445</v>
      </c>
      <c r="G1064" s="25" t="s">
        <v>675</v>
      </c>
      <c r="H1064" s="25">
        <v>2018180</v>
      </c>
      <c r="I1064" s="25" t="s">
        <v>19</v>
      </c>
      <c r="J1064" s="25" t="s">
        <v>20</v>
      </c>
      <c r="K1064" s="25" t="s">
        <v>25</v>
      </c>
      <c r="L1064" s="25">
        <v>1.49</v>
      </c>
      <c r="M1064" s="25">
        <v>0.04</v>
      </c>
      <c r="N1064" s="25">
        <v>0</v>
      </c>
      <c r="O1064" s="25">
        <v>29.51</v>
      </c>
      <c r="P1064" s="25">
        <v>31.043399999999998</v>
      </c>
    </row>
    <row r="1065" spans="1:16" x14ac:dyDescent="0.25">
      <c r="A1065" s="26">
        <v>43364</v>
      </c>
      <c r="B1065" s="25" t="s">
        <v>433</v>
      </c>
      <c r="C1065" s="25" t="s">
        <v>17</v>
      </c>
      <c r="D1065" s="25">
        <v>200</v>
      </c>
      <c r="E1065" s="25">
        <v>14.15</v>
      </c>
      <c r="F1065" s="25">
        <v>2830</v>
      </c>
      <c r="G1065" s="25" t="s">
        <v>676</v>
      </c>
      <c r="H1065" s="25">
        <v>2018180</v>
      </c>
      <c r="I1065" s="25" t="s">
        <v>19</v>
      </c>
      <c r="J1065" s="25" t="s">
        <v>20</v>
      </c>
      <c r="K1065" s="25" t="s">
        <v>25</v>
      </c>
      <c r="L1065" s="25">
        <v>0</v>
      </c>
      <c r="M1065" s="25">
        <v>0.08</v>
      </c>
      <c r="N1065" s="25">
        <v>0</v>
      </c>
      <c r="O1065" s="25">
        <v>29.52</v>
      </c>
      <c r="P1065" s="25">
        <v>29.604900000000001</v>
      </c>
    </row>
    <row r="1066" spans="1:16" x14ac:dyDescent="0.25">
      <c r="A1066" s="26">
        <v>43364</v>
      </c>
      <c r="B1066" s="25" t="s">
        <v>677</v>
      </c>
      <c r="C1066" s="25" t="s">
        <v>23</v>
      </c>
      <c r="D1066" s="25">
        <v>250</v>
      </c>
      <c r="E1066" s="25">
        <v>201.17</v>
      </c>
      <c r="F1066" s="25">
        <v>50292.1</v>
      </c>
      <c r="G1066" s="25" t="s">
        <v>678</v>
      </c>
      <c r="H1066" s="25">
        <v>2018180</v>
      </c>
      <c r="I1066" s="25" t="s">
        <v>19</v>
      </c>
      <c r="J1066" s="25" t="s">
        <v>20</v>
      </c>
      <c r="K1066" s="25" t="s">
        <v>25</v>
      </c>
      <c r="L1066" s="25">
        <v>12.41</v>
      </c>
      <c r="M1066" s="25">
        <v>1.51</v>
      </c>
      <c r="N1066" s="25">
        <v>0</v>
      </c>
      <c r="O1066" s="25">
        <v>29.94</v>
      </c>
      <c r="P1066" s="25">
        <v>43.858699999999999</v>
      </c>
    </row>
    <row r="1067" spans="1:16" x14ac:dyDescent="0.25">
      <c r="A1067" s="26">
        <v>43364</v>
      </c>
      <c r="B1067" s="25" t="s">
        <v>677</v>
      </c>
      <c r="C1067" s="25" t="s">
        <v>17</v>
      </c>
      <c r="D1067" s="25">
        <v>250</v>
      </c>
      <c r="E1067" s="25">
        <v>196</v>
      </c>
      <c r="F1067" s="25">
        <v>49000</v>
      </c>
      <c r="G1067" s="25" t="s">
        <v>679</v>
      </c>
      <c r="H1067" s="25">
        <v>2018180</v>
      </c>
      <c r="I1067" s="25" t="s">
        <v>19</v>
      </c>
      <c r="J1067" s="25" t="s">
        <v>20</v>
      </c>
      <c r="K1067" s="25" t="s">
        <v>25</v>
      </c>
      <c r="L1067" s="25">
        <v>0</v>
      </c>
      <c r="M1067" s="25">
        <v>1.47</v>
      </c>
      <c r="N1067" s="25">
        <v>0</v>
      </c>
      <c r="O1067" s="25">
        <v>29.76</v>
      </c>
      <c r="P1067" s="25">
        <v>31.23</v>
      </c>
    </row>
    <row r="1068" spans="1:16" x14ac:dyDescent="0.25">
      <c r="A1068" s="26">
        <v>43364</v>
      </c>
      <c r="B1068" s="25" t="s">
        <v>433</v>
      </c>
      <c r="C1068" s="25" t="s">
        <v>23</v>
      </c>
      <c r="D1068" s="25">
        <v>1750</v>
      </c>
      <c r="E1068" s="25">
        <v>15</v>
      </c>
      <c r="F1068" s="25">
        <v>26250</v>
      </c>
      <c r="G1068" s="25" t="s">
        <v>680</v>
      </c>
      <c r="H1068" s="25">
        <v>2018180</v>
      </c>
      <c r="I1068" s="25" t="s">
        <v>19</v>
      </c>
      <c r="J1068" s="25" t="s">
        <v>20</v>
      </c>
      <c r="K1068" s="25" t="s">
        <v>25</v>
      </c>
      <c r="L1068" s="25">
        <v>23.61</v>
      </c>
      <c r="M1068" s="25">
        <v>0.79</v>
      </c>
      <c r="N1068" s="25">
        <v>4.2</v>
      </c>
      <c r="O1068" s="25">
        <v>170.5</v>
      </c>
      <c r="P1068" s="25">
        <v>199.0975</v>
      </c>
    </row>
    <row r="1069" spans="1:16" x14ac:dyDescent="0.25">
      <c r="A1069" s="26">
        <v>43362</v>
      </c>
      <c r="B1069" s="25" t="s">
        <v>677</v>
      </c>
      <c r="C1069" s="25" t="s">
        <v>17</v>
      </c>
      <c r="D1069" s="25">
        <v>50</v>
      </c>
      <c r="E1069" s="25">
        <v>196</v>
      </c>
      <c r="F1069" s="25">
        <v>9800</v>
      </c>
      <c r="G1069" s="25" t="s">
        <v>681</v>
      </c>
      <c r="H1069" s="25">
        <v>2018179</v>
      </c>
      <c r="I1069" s="25" t="s">
        <v>19</v>
      </c>
      <c r="J1069" s="25" t="s">
        <v>20</v>
      </c>
      <c r="K1069" s="25" t="s">
        <v>25</v>
      </c>
      <c r="L1069" s="25">
        <v>0</v>
      </c>
      <c r="M1069" s="25">
        <v>0.28999999999999998</v>
      </c>
      <c r="N1069" s="25">
        <v>0</v>
      </c>
      <c r="O1069" s="25">
        <v>29.55</v>
      </c>
      <c r="P1069" s="25">
        <v>29.844000000000001</v>
      </c>
    </row>
    <row r="1070" spans="1:16" x14ac:dyDescent="0.25">
      <c r="A1070" s="26">
        <v>43362</v>
      </c>
      <c r="B1070" s="25" t="s">
        <v>677</v>
      </c>
      <c r="C1070" s="25" t="s">
        <v>23</v>
      </c>
      <c r="D1070" s="25">
        <v>50</v>
      </c>
      <c r="E1070" s="25">
        <v>194.95</v>
      </c>
      <c r="F1070" s="25">
        <v>9747.5</v>
      </c>
      <c r="G1070" s="25" t="s">
        <v>682</v>
      </c>
      <c r="H1070" s="25">
        <v>2018179</v>
      </c>
      <c r="I1070" s="25" t="s">
        <v>19</v>
      </c>
      <c r="J1070" s="25" t="s">
        <v>20</v>
      </c>
      <c r="K1070" s="25" t="s">
        <v>25</v>
      </c>
      <c r="L1070" s="25">
        <v>2</v>
      </c>
      <c r="M1070" s="25">
        <v>0.28999999999999998</v>
      </c>
      <c r="N1070" s="25">
        <v>0.6</v>
      </c>
      <c r="O1070" s="25">
        <v>29.55</v>
      </c>
      <c r="P1070" s="25">
        <v>32.442399999999999</v>
      </c>
    </row>
    <row r="1071" spans="1:16" x14ac:dyDescent="0.25">
      <c r="A1071" s="26">
        <v>43357</v>
      </c>
      <c r="B1071" s="25" t="s">
        <v>683</v>
      </c>
      <c r="C1071" s="25" t="s">
        <v>17</v>
      </c>
      <c r="D1071" s="25">
        <v>10</v>
      </c>
      <c r="E1071" s="25">
        <v>111.45</v>
      </c>
      <c r="F1071" s="25">
        <v>1114.5</v>
      </c>
      <c r="G1071" s="25" t="s">
        <v>684</v>
      </c>
      <c r="H1071" s="25">
        <v>2018176</v>
      </c>
      <c r="I1071" s="25" t="s">
        <v>19</v>
      </c>
      <c r="J1071" s="25" t="s">
        <v>20</v>
      </c>
      <c r="K1071" s="25" t="s">
        <v>25</v>
      </c>
      <c r="L1071" s="25">
        <v>1</v>
      </c>
      <c r="M1071" s="25">
        <v>0.03</v>
      </c>
      <c r="N1071" s="25">
        <v>0.3</v>
      </c>
      <c r="O1071" s="25">
        <v>32.880000000000003</v>
      </c>
      <c r="P1071" s="25">
        <v>34.213500000000003</v>
      </c>
    </row>
    <row r="1072" spans="1:16" x14ac:dyDescent="0.25">
      <c r="A1072" s="26">
        <v>43350</v>
      </c>
      <c r="B1072" s="25" t="s">
        <v>677</v>
      </c>
      <c r="C1072" s="25" t="s">
        <v>17</v>
      </c>
      <c r="D1072" s="25">
        <v>100</v>
      </c>
      <c r="E1072" s="25">
        <v>215.53</v>
      </c>
      <c r="F1072" s="25">
        <v>21552.55</v>
      </c>
      <c r="G1072" s="25" t="s">
        <v>685</v>
      </c>
      <c r="H1072" s="25">
        <v>2018172</v>
      </c>
      <c r="I1072" s="25" t="s">
        <v>19</v>
      </c>
      <c r="J1072" s="25" t="s">
        <v>20</v>
      </c>
      <c r="K1072" s="25" t="s">
        <v>25</v>
      </c>
      <c r="L1072" s="25">
        <v>0</v>
      </c>
      <c r="M1072" s="25">
        <v>0.65</v>
      </c>
      <c r="N1072" s="25">
        <v>0</v>
      </c>
      <c r="O1072" s="25">
        <v>29.61</v>
      </c>
      <c r="P1072" s="25">
        <v>30.256499999999999</v>
      </c>
    </row>
    <row r="1073" spans="1:16" x14ac:dyDescent="0.25">
      <c r="A1073" s="26">
        <v>43350</v>
      </c>
      <c r="B1073" s="25" t="s">
        <v>677</v>
      </c>
      <c r="C1073" s="25" t="s">
        <v>17</v>
      </c>
      <c r="D1073" s="25">
        <v>50</v>
      </c>
      <c r="E1073" s="25">
        <v>215.6</v>
      </c>
      <c r="F1073" s="25">
        <v>10780</v>
      </c>
      <c r="G1073" s="25" t="s">
        <v>686</v>
      </c>
      <c r="H1073" s="25">
        <v>2018172</v>
      </c>
      <c r="I1073" s="25" t="s">
        <v>19</v>
      </c>
      <c r="J1073" s="25" t="s">
        <v>20</v>
      </c>
      <c r="K1073" s="25" t="s">
        <v>25</v>
      </c>
      <c r="L1073" s="25">
        <v>0</v>
      </c>
      <c r="M1073" s="25">
        <v>0.32</v>
      </c>
      <c r="N1073" s="25">
        <v>0</v>
      </c>
      <c r="O1073" s="25">
        <v>29.56</v>
      </c>
      <c r="P1073" s="25">
        <v>29.883400000000002</v>
      </c>
    </row>
    <row r="1074" spans="1:16" x14ac:dyDescent="0.25">
      <c r="A1074" s="26">
        <v>43350</v>
      </c>
      <c r="B1074" s="25" t="s">
        <v>677</v>
      </c>
      <c r="C1074" s="25" t="s">
        <v>23</v>
      </c>
      <c r="D1074" s="25">
        <v>11</v>
      </c>
      <c r="E1074" s="25">
        <v>216.95</v>
      </c>
      <c r="F1074" s="25">
        <v>2386.4499999999998</v>
      </c>
      <c r="G1074" s="25" t="s">
        <v>687</v>
      </c>
      <c r="H1074" s="25">
        <v>2018172</v>
      </c>
      <c r="I1074" s="25" t="s">
        <v>19</v>
      </c>
      <c r="J1074" s="25" t="s">
        <v>20</v>
      </c>
      <c r="K1074" s="25" t="s">
        <v>25</v>
      </c>
      <c r="L1074" s="25">
        <v>0.51</v>
      </c>
      <c r="M1074" s="25">
        <v>7.0000000000000007E-2</v>
      </c>
      <c r="N1074" s="25">
        <v>2.1</v>
      </c>
      <c r="O1074" s="25">
        <v>29.51</v>
      </c>
      <c r="P1074" s="25">
        <v>32.191600000000001</v>
      </c>
    </row>
    <row r="1075" spans="1:16" x14ac:dyDescent="0.25">
      <c r="A1075" s="26">
        <v>43350</v>
      </c>
      <c r="B1075" s="25" t="s">
        <v>677</v>
      </c>
      <c r="C1075" s="25" t="s">
        <v>23</v>
      </c>
      <c r="D1075" s="25">
        <v>139</v>
      </c>
      <c r="E1075" s="25">
        <v>215.15</v>
      </c>
      <c r="F1075" s="25">
        <v>29905.85</v>
      </c>
      <c r="G1075" s="25" t="s">
        <v>688</v>
      </c>
      <c r="H1075" s="25">
        <v>2018172</v>
      </c>
      <c r="I1075" s="25" t="s">
        <v>19</v>
      </c>
      <c r="J1075" s="25" t="s">
        <v>20</v>
      </c>
      <c r="K1075" s="25" t="s">
        <v>25</v>
      </c>
      <c r="L1075" s="25">
        <v>7.49</v>
      </c>
      <c r="M1075" s="25">
        <v>0.9</v>
      </c>
      <c r="N1075" s="25">
        <v>0</v>
      </c>
      <c r="O1075" s="25">
        <v>29.66</v>
      </c>
      <c r="P1075" s="25">
        <v>38.047199999999997</v>
      </c>
    </row>
    <row r="1076" spans="1:16" x14ac:dyDescent="0.25">
      <c r="A1076" s="26">
        <v>43349</v>
      </c>
      <c r="B1076" s="25" t="s">
        <v>205</v>
      </c>
      <c r="C1076" s="25" t="s">
        <v>17</v>
      </c>
      <c r="D1076" s="25">
        <v>1000</v>
      </c>
      <c r="E1076" s="25">
        <v>36.35</v>
      </c>
      <c r="F1076" s="25">
        <v>36350</v>
      </c>
      <c r="G1076" s="25" t="s">
        <v>689</v>
      </c>
      <c r="H1076" s="25">
        <v>2018171</v>
      </c>
      <c r="I1076" s="25" t="s">
        <v>19</v>
      </c>
      <c r="J1076" s="25" t="s">
        <v>20</v>
      </c>
      <c r="K1076" s="25" t="s">
        <v>25</v>
      </c>
      <c r="L1076" s="25">
        <v>0</v>
      </c>
      <c r="M1076" s="25">
        <v>1.0900000000000001</v>
      </c>
      <c r="N1076" s="25">
        <v>2.4</v>
      </c>
      <c r="O1076" s="25">
        <v>29.7</v>
      </c>
      <c r="P1076" s="25">
        <v>33.1905</v>
      </c>
    </row>
    <row r="1077" spans="1:16" x14ac:dyDescent="0.25">
      <c r="A1077" s="26">
        <v>43349</v>
      </c>
      <c r="B1077" s="25" t="s">
        <v>205</v>
      </c>
      <c r="C1077" s="25" t="s">
        <v>23</v>
      </c>
      <c r="D1077" s="25">
        <v>1000</v>
      </c>
      <c r="E1077" s="25">
        <v>36.4</v>
      </c>
      <c r="F1077" s="25">
        <v>36400</v>
      </c>
      <c r="G1077" s="25" t="s">
        <v>690</v>
      </c>
      <c r="H1077" s="25">
        <v>2018171</v>
      </c>
      <c r="I1077" s="25" t="s">
        <v>19</v>
      </c>
      <c r="J1077" s="25" t="s">
        <v>20</v>
      </c>
      <c r="K1077" s="25" t="s">
        <v>25</v>
      </c>
      <c r="L1077" s="25">
        <v>9</v>
      </c>
      <c r="M1077" s="25">
        <v>1.0900000000000001</v>
      </c>
      <c r="N1077" s="25">
        <v>0</v>
      </c>
      <c r="O1077" s="25">
        <v>29.7</v>
      </c>
      <c r="P1077" s="25">
        <v>39.792000000000002</v>
      </c>
    </row>
    <row r="1078" spans="1:16" x14ac:dyDescent="0.25">
      <c r="A1078" s="26">
        <v>43349</v>
      </c>
      <c r="B1078" s="25" t="s">
        <v>190</v>
      </c>
      <c r="C1078" s="25" t="s">
        <v>17</v>
      </c>
      <c r="D1078" s="25">
        <v>1000</v>
      </c>
      <c r="E1078" s="25">
        <v>5</v>
      </c>
      <c r="F1078" s="25">
        <v>5000</v>
      </c>
      <c r="G1078" s="25" t="s">
        <v>691</v>
      </c>
      <c r="H1078" s="25">
        <v>2018171</v>
      </c>
      <c r="I1078" s="25" t="s">
        <v>140</v>
      </c>
      <c r="J1078" s="25" t="s">
        <v>20</v>
      </c>
      <c r="K1078" s="25" t="s">
        <v>25</v>
      </c>
      <c r="L1078" s="25">
        <v>5</v>
      </c>
      <c r="M1078" s="25">
        <v>0.15</v>
      </c>
      <c r="N1078" s="25">
        <v>0.3</v>
      </c>
      <c r="O1078" s="25">
        <v>59.03</v>
      </c>
      <c r="P1078" s="25">
        <v>64.48</v>
      </c>
    </row>
    <row r="1079" spans="1:16" x14ac:dyDescent="0.25">
      <c r="A1079" s="26">
        <v>43348</v>
      </c>
      <c r="B1079" s="25" t="s">
        <v>205</v>
      </c>
      <c r="C1079" s="25" t="s">
        <v>17</v>
      </c>
      <c r="D1079" s="25">
        <v>100</v>
      </c>
      <c r="E1079" s="25">
        <v>35.450000000000003</v>
      </c>
      <c r="F1079" s="25">
        <v>3545</v>
      </c>
      <c r="G1079" s="25" t="s">
        <v>692</v>
      </c>
      <c r="H1079" s="25">
        <v>2018170</v>
      </c>
      <c r="I1079" s="25" t="s">
        <v>19</v>
      </c>
      <c r="J1079" s="25" t="s">
        <v>20</v>
      </c>
      <c r="K1079" s="25" t="s">
        <v>25</v>
      </c>
      <c r="L1079" s="25">
        <v>4</v>
      </c>
      <c r="M1079" s="25">
        <v>0.11</v>
      </c>
      <c r="N1079" s="25">
        <v>0.3</v>
      </c>
      <c r="O1079" s="25">
        <v>41.32</v>
      </c>
      <c r="P1079" s="25">
        <v>45.726300000000002</v>
      </c>
    </row>
    <row r="1080" spans="1:16" x14ac:dyDescent="0.25">
      <c r="A1080" s="26">
        <v>43347</v>
      </c>
      <c r="B1080" s="25" t="s">
        <v>433</v>
      </c>
      <c r="C1080" s="25" t="s">
        <v>17</v>
      </c>
      <c r="D1080" s="25">
        <v>2500</v>
      </c>
      <c r="E1080" s="25">
        <v>18.2</v>
      </c>
      <c r="F1080" s="25">
        <v>45500</v>
      </c>
      <c r="G1080" s="25" t="s">
        <v>509</v>
      </c>
      <c r="H1080" s="25">
        <v>2018169</v>
      </c>
      <c r="I1080" s="25" t="s">
        <v>19</v>
      </c>
      <c r="J1080" s="25" t="s">
        <v>20</v>
      </c>
      <c r="K1080" s="25" t="s">
        <v>25</v>
      </c>
      <c r="L1080" s="25">
        <v>0</v>
      </c>
      <c r="M1080" s="25">
        <v>1.37</v>
      </c>
      <c r="N1080" s="25">
        <v>0</v>
      </c>
      <c r="O1080" s="25">
        <v>29.75</v>
      </c>
      <c r="P1080" s="25">
        <v>31.115100000000002</v>
      </c>
    </row>
    <row r="1081" spans="1:16" x14ac:dyDescent="0.25">
      <c r="A1081" s="26">
        <v>43347</v>
      </c>
      <c r="B1081" s="25" t="s">
        <v>397</v>
      </c>
      <c r="C1081" s="25" t="s">
        <v>17</v>
      </c>
      <c r="D1081" s="25">
        <v>100</v>
      </c>
      <c r="E1081" s="25">
        <v>292.25</v>
      </c>
      <c r="F1081" s="25">
        <v>29225</v>
      </c>
      <c r="G1081" s="25" t="s">
        <v>510</v>
      </c>
      <c r="H1081" s="25">
        <v>2018169</v>
      </c>
      <c r="I1081" s="25" t="s">
        <v>19</v>
      </c>
      <c r="J1081" s="25" t="s">
        <v>20</v>
      </c>
      <c r="K1081" s="25" t="s">
        <v>25</v>
      </c>
      <c r="L1081" s="25">
        <v>0</v>
      </c>
      <c r="M1081" s="25">
        <v>0.88</v>
      </c>
      <c r="N1081" s="25">
        <v>4.5</v>
      </c>
      <c r="O1081" s="25">
        <v>29.66</v>
      </c>
      <c r="P1081" s="25">
        <v>35.036700000000003</v>
      </c>
    </row>
    <row r="1082" spans="1:16" x14ac:dyDescent="0.25">
      <c r="A1082" s="26">
        <v>43347</v>
      </c>
      <c r="B1082" s="25" t="s">
        <v>397</v>
      </c>
      <c r="C1082" s="25" t="s">
        <v>23</v>
      </c>
      <c r="D1082" s="25">
        <v>100</v>
      </c>
      <c r="E1082" s="25">
        <v>289.5</v>
      </c>
      <c r="F1082" s="25">
        <v>28950</v>
      </c>
      <c r="G1082" s="25" t="s">
        <v>511</v>
      </c>
      <c r="H1082" s="25">
        <v>2018169</v>
      </c>
      <c r="I1082" s="25" t="s">
        <v>19</v>
      </c>
      <c r="J1082" s="25" t="s">
        <v>20</v>
      </c>
      <c r="K1082" s="25" t="s">
        <v>25</v>
      </c>
      <c r="L1082" s="25">
        <v>6.88</v>
      </c>
      <c r="M1082" s="25">
        <v>0.87</v>
      </c>
      <c r="N1082" s="25">
        <v>0</v>
      </c>
      <c r="O1082" s="25">
        <v>29.66</v>
      </c>
      <c r="P1082" s="25">
        <v>37.408499999999997</v>
      </c>
    </row>
    <row r="1083" spans="1:16" x14ac:dyDescent="0.25">
      <c r="A1083" s="26">
        <v>43347</v>
      </c>
      <c r="B1083" s="25" t="s">
        <v>433</v>
      </c>
      <c r="C1083" s="25" t="s">
        <v>23</v>
      </c>
      <c r="D1083" s="25">
        <v>2500</v>
      </c>
      <c r="E1083" s="25">
        <v>17.399999999999999</v>
      </c>
      <c r="F1083" s="25">
        <v>43500</v>
      </c>
      <c r="G1083" s="25" t="s">
        <v>512</v>
      </c>
      <c r="H1083" s="25">
        <v>2018169</v>
      </c>
      <c r="I1083" s="25" t="s">
        <v>19</v>
      </c>
      <c r="J1083" s="25" t="s">
        <v>20</v>
      </c>
      <c r="K1083" s="25" t="s">
        <v>25</v>
      </c>
      <c r="L1083" s="25">
        <v>11.13</v>
      </c>
      <c r="M1083" s="25">
        <v>1.31</v>
      </c>
      <c r="N1083" s="25">
        <v>0</v>
      </c>
      <c r="O1083" s="25">
        <v>29.74</v>
      </c>
      <c r="P1083" s="25">
        <v>42.1751</v>
      </c>
    </row>
    <row r="1084" spans="1:16" x14ac:dyDescent="0.25">
      <c r="A1084" s="26">
        <v>43346</v>
      </c>
      <c r="B1084" s="25" t="s">
        <v>397</v>
      </c>
      <c r="C1084" s="25" t="s">
        <v>17</v>
      </c>
      <c r="D1084" s="25">
        <v>250</v>
      </c>
      <c r="E1084" s="25">
        <v>294.39999999999998</v>
      </c>
      <c r="F1084" s="25">
        <v>73599.25</v>
      </c>
      <c r="G1084" s="25" t="s">
        <v>513</v>
      </c>
      <c r="H1084" s="25">
        <v>2018168</v>
      </c>
      <c r="I1084" s="25" t="s">
        <v>19</v>
      </c>
      <c r="J1084" s="25" t="s">
        <v>1634</v>
      </c>
      <c r="K1084" s="25" t="s">
        <v>25</v>
      </c>
      <c r="L1084" s="25">
        <v>0</v>
      </c>
      <c r="M1084" s="25">
        <v>2.21</v>
      </c>
      <c r="N1084" s="25">
        <v>0</v>
      </c>
      <c r="O1084" s="25">
        <v>43.82</v>
      </c>
      <c r="P1084" s="25">
        <v>46.027900000000002</v>
      </c>
    </row>
    <row r="1085" spans="1:16" x14ac:dyDescent="0.25">
      <c r="A1085" s="26">
        <v>43346</v>
      </c>
      <c r="B1085" s="25" t="s">
        <v>397</v>
      </c>
      <c r="C1085" s="25" t="s">
        <v>23</v>
      </c>
      <c r="D1085" s="25">
        <v>250</v>
      </c>
      <c r="E1085" s="25">
        <v>294.42</v>
      </c>
      <c r="F1085" s="25">
        <v>73606.149999999994</v>
      </c>
      <c r="G1085" s="25" t="s">
        <v>514</v>
      </c>
      <c r="H1085" s="25">
        <v>2018168</v>
      </c>
      <c r="I1085" s="25" t="s">
        <v>19</v>
      </c>
      <c r="J1085" s="25" t="s">
        <v>1634</v>
      </c>
      <c r="K1085" s="25" t="s">
        <v>25</v>
      </c>
      <c r="L1085" s="25">
        <v>17.989999999999998</v>
      </c>
      <c r="M1085" s="25">
        <v>2.21</v>
      </c>
      <c r="N1085" s="25">
        <v>5.0999999999999996</v>
      </c>
      <c r="O1085" s="25">
        <v>43.83</v>
      </c>
      <c r="P1085" s="25">
        <v>69.128100000000003</v>
      </c>
    </row>
    <row r="1086" spans="1:16" x14ac:dyDescent="0.25">
      <c r="A1086" s="26">
        <v>43346</v>
      </c>
      <c r="B1086" s="25" t="s">
        <v>397</v>
      </c>
      <c r="C1086" s="25" t="s">
        <v>17</v>
      </c>
      <c r="D1086" s="25">
        <v>60</v>
      </c>
      <c r="E1086" s="25">
        <v>295</v>
      </c>
      <c r="F1086" s="25">
        <v>17700</v>
      </c>
      <c r="G1086" s="25" t="s">
        <v>515</v>
      </c>
      <c r="H1086" s="25">
        <v>2018168</v>
      </c>
      <c r="I1086" s="25" t="s">
        <v>19</v>
      </c>
      <c r="J1086" s="25" t="s">
        <v>1634</v>
      </c>
      <c r="K1086" s="25" t="s">
        <v>25</v>
      </c>
      <c r="L1086" s="25">
        <v>16.79</v>
      </c>
      <c r="M1086" s="25">
        <v>0.53</v>
      </c>
      <c r="N1086" s="25">
        <v>0</v>
      </c>
      <c r="O1086" s="25">
        <v>135.33000000000001</v>
      </c>
      <c r="P1086" s="25">
        <v>152.65090000000001</v>
      </c>
    </row>
    <row r="1087" spans="1:16" x14ac:dyDescent="0.25">
      <c r="A1087" s="26">
        <v>43346</v>
      </c>
      <c r="B1087" s="25" t="s">
        <v>397</v>
      </c>
      <c r="C1087" s="25" t="s">
        <v>23</v>
      </c>
      <c r="D1087" s="25">
        <v>3</v>
      </c>
      <c r="E1087" s="25">
        <v>299.25</v>
      </c>
      <c r="F1087" s="25">
        <v>897.75</v>
      </c>
      <c r="G1087" s="25" t="s">
        <v>516</v>
      </c>
      <c r="H1087" s="25">
        <v>2018168</v>
      </c>
      <c r="I1087" s="25" t="s">
        <v>19</v>
      </c>
      <c r="J1087" s="25" t="s">
        <v>1634</v>
      </c>
      <c r="K1087" s="25" t="s">
        <v>25</v>
      </c>
      <c r="L1087" s="25">
        <v>0.22</v>
      </c>
      <c r="M1087" s="25">
        <v>0.03</v>
      </c>
      <c r="N1087" s="25">
        <v>0</v>
      </c>
      <c r="O1087" s="25">
        <v>26.49</v>
      </c>
      <c r="P1087" s="25">
        <v>26.736899999999999</v>
      </c>
    </row>
    <row r="1088" spans="1:16" x14ac:dyDescent="0.25">
      <c r="A1088" s="26">
        <v>43343</v>
      </c>
      <c r="B1088" s="25" t="s">
        <v>397</v>
      </c>
      <c r="C1088" s="25" t="s">
        <v>17</v>
      </c>
      <c r="D1088" s="25">
        <v>100</v>
      </c>
      <c r="E1088" s="25">
        <v>296.17</v>
      </c>
      <c r="F1088" s="25">
        <v>29617</v>
      </c>
      <c r="G1088" s="25" t="s">
        <v>517</v>
      </c>
      <c r="H1088" s="25">
        <v>2018167</v>
      </c>
      <c r="I1088" s="25" t="s">
        <v>19</v>
      </c>
      <c r="J1088" s="25" t="s">
        <v>20</v>
      </c>
      <c r="K1088" s="25" t="s">
        <v>25</v>
      </c>
      <c r="L1088" s="25">
        <v>0</v>
      </c>
      <c r="M1088" s="25">
        <v>0.89</v>
      </c>
      <c r="N1088" s="25">
        <v>3.6</v>
      </c>
      <c r="O1088" s="25">
        <v>29.67</v>
      </c>
      <c r="P1088" s="25">
        <v>34.158299999999997</v>
      </c>
    </row>
    <row r="1089" spans="1:16" x14ac:dyDescent="0.25">
      <c r="A1089" s="26">
        <v>43343</v>
      </c>
      <c r="B1089" s="25" t="s">
        <v>397</v>
      </c>
      <c r="C1089" s="25" t="s">
        <v>17</v>
      </c>
      <c r="D1089" s="25">
        <v>100</v>
      </c>
      <c r="E1089" s="25">
        <v>292</v>
      </c>
      <c r="F1089" s="25">
        <v>29200</v>
      </c>
      <c r="G1089" s="25" t="s">
        <v>518</v>
      </c>
      <c r="H1089" s="25">
        <v>2018167</v>
      </c>
      <c r="I1089" s="25" t="s">
        <v>19</v>
      </c>
      <c r="J1089" s="25" t="s">
        <v>20</v>
      </c>
      <c r="K1089" s="25" t="s">
        <v>25</v>
      </c>
      <c r="L1089" s="25">
        <v>0</v>
      </c>
      <c r="M1089" s="25">
        <v>0.88</v>
      </c>
      <c r="N1089" s="25">
        <v>0</v>
      </c>
      <c r="O1089" s="25">
        <v>29.66</v>
      </c>
      <c r="P1089" s="25">
        <v>30.536000000000001</v>
      </c>
    </row>
    <row r="1090" spans="1:16" x14ac:dyDescent="0.25">
      <c r="A1090" s="26">
        <v>43343</v>
      </c>
      <c r="B1090" s="25" t="s">
        <v>397</v>
      </c>
      <c r="C1090" s="25" t="s">
        <v>23</v>
      </c>
      <c r="D1090" s="25">
        <v>200</v>
      </c>
      <c r="E1090" s="25">
        <v>292.52</v>
      </c>
      <c r="F1090" s="25">
        <v>58504.95</v>
      </c>
      <c r="G1090" s="25" t="s">
        <v>519</v>
      </c>
      <c r="H1090" s="25">
        <v>2018167</v>
      </c>
      <c r="I1090" s="25" t="s">
        <v>19</v>
      </c>
      <c r="J1090" s="25" t="s">
        <v>20</v>
      </c>
      <c r="K1090" s="25" t="s">
        <v>25</v>
      </c>
      <c r="L1090" s="25">
        <v>15</v>
      </c>
      <c r="M1090" s="25">
        <v>1.76</v>
      </c>
      <c r="N1090" s="25">
        <v>0</v>
      </c>
      <c r="O1090" s="25">
        <v>34.83</v>
      </c>
      <c r="P1090" s="25">
        <v>51.585099999999997</v>
      </c>
    </row>
    <row r="1091" spans="1:16" x14ac:dyDescent="0.25">
      <c r="A1091" s="26">
        <v>43341</v>
      </c>
      <c r="B1091" s="25" t="s">
        <v>397</v>
      </c>
      <c r="C1091" s="25" t="s">
        <v>17</v>
      </c>
      <c r="D1091" s="25">
        <v>50</v>
      </c>
      <c r="E1091" s="25">
        <v>295.91000000000003</v>
      </c>
      <c r="F1091" s="25">
        <v>14795.65</v>
      </c>
      <c r="G1091" s="25" t="s">
        <v>520</v>
      </c>
      <c r="H1091" s="25">
        <v>2018165</v>
      </c>
      <c r="I1091" s="25" t="s">
        <v>19</v>
      </c>
      <c r="J1091" s="25" t="s">
        <v>20</v>
      </c>
      <c r="K1091" s="25" t="s">
        <v>25</v>
      </c>
      <c r="L1091" s="25">
        <v>0</v>
      </c>
      <c r="M1091" s="25">
        <v>0.44</v>
      </c>
      <c r="N1091" s="25">
        <v>0.9</v>
      </c>
      <c r="O1091" s="25">
        <v>29.58</v>
      </c>
      <c r="P1091" s="25">
        <v>30.9238</v>
      </c>
    </row>
    <row r="1092" spans="1:16" x14ac:dyDescent="0.25">
      <c r="A1092" s="26">
        <v>43341</v>
      </c>
      <c r="B1092" s="25" t="s">
        <v>397</v>
      </c>
      <c r="C1092" s="25" t="s">
        <v>23</v>
      </c>
      <c r="D1092" s="25">
        <v>50</v>
      </c>
      <c r="E1092" s="25">
        <v>296.95999999999998</v>
      </c>
      <c r="F1092" s="25">
        <v>14847.85</v>
      </c>
      <c r="G1092" s="25" t="s">
        <v>521</v>
      </c>
      <c r="H1092" s="25">
        <v>2018165</v>
      </c>
      <c r="I1092" s="25" t="s">
        <v>19</v>
      </c>
      <c r="J1092" s="25" t="s">
        <v>20</v>
      </c>
      <c r="K1092" s="25" t="s">
        <v>25</v>
      </c>
      <c r="L1092" s="25">
        <v>4</v>
      </c>
      <c r="M1092" s="25">
        <v>0.45</v>
      </c>
      <c r="N1092" s="25">
        <v>0</v>
      </c>
      <c r="O1092" s="25">
        <v>29.58</v>
      </c>
      <c r="P1092" s="25">
        <v>34.025500000000001</v>
      </c>
    </row>
    <row r="1093" spans="1:16" x14ac:dyDescent="0.25">
      <c r="A1093" s="26">
        <v>43340</v>
      </c>
      <c r="B1093" s="25" t="s">
        <v>433</v>
      </c>
      <c r="C1093" s="25" t="s">
        <v>17</v>
      </c>
      <c r="D1093" s="25">
        <v>1000</v>
      </c>
      <c r="E1093" s="25">
        <v>18.8</v>
      </c>
      <c r="F1093" s="25">
        <v>18800</v>
      </c>
      <c r="G1093" s="25" t="s">
        <v>522</v>
      </c>
      <c r="H1093" s="25">
        <v>2018164</v>
      </c>
      <c r="I1093" s="25" t="s">
        <v>19</v>
      </c>
      <c r="J1093" s="25" t="s">
        <v>1634</v>
      </c>
      <c r="K1093" s="25" t="s">
        <v>25</v>
      </c>
      <c r="L1093" s="25">
        <v>0</v>
      </c>
      <c r="M1093" s="25">
        <v>0.56000000000000005</v>
      </c>
      <c r="N1093" s="25">
        <v>0</v>
      </c>
      <c r="O1093" s="25">
        <v>122.11</v>
      </c>
      <c r="P1093" s="25">
        <v>122.67400000000001</v>
      </c>
    </row>
    <row r="1094" spans="1:16" x14ac:dyDescent="0.25">
      <c r="A1094" s="26">
        <v>43340</v>
      </c>
      <c r="B1094" s="25" t="s">
        <v>321</v>
      </c>
      <c r="C1094" s="25" t="s">
        <v>17</v>
      </c>
      <c r="D1094" s="25">
        <v>15</v>
      </c>
      <c r="E1094" s="25">
        <v>257.55</v>
      </c>
      <c r="F1094" s="25">
        <v>3863.25</v>
      </c>
      <c r="G1094" s="25" t="s">
        <v>523</v>
      </c>
      <c r="H1094" s="25">
        <v>2018164</v>
      </c>
      <c r="I1094" s="25" t="s">
        <v>19</v>
      </c>
      <c r="J1094" s="25" t="s">
        <v>20</v>
      </c>
      <c r="K1094" s="25" t="s">
        <v>25</v>
      </c>
      <c r="L1094" s="25">
        <v>3.86</v>
      </c>
      <c r="M1094" s="25">
        <v>0.12</v>
      </c>
      <c r="N1094" s="25">
        <v>0</v>
      </c>
      <c r="O1094" s="25">
        <v>41.32</v>
      </c>
      <c r="P1094" s="25">
        <v>45.295900000000003</v>
      </c>
    </row>
    <row r="1095" spans="1:16" x14ac:dyDescent="0.25">
      <c r="A1095" s="26">
        <v>43340</v>
      </c>
      <c r="B1095" s="25" t="s">
        <v>433</v>
      </c>
      <c r="C1095" s="25" t="s">
        <v>23</v>
      </c>
      <c r="D1095" s="25">
        <v>5000</v>
      </c>
      <c r="E1095" s="25">
        <v>18.399999999999999</v>
      </c>
      <c r="F1095" s="25">
        <v>92000</v>
      </c>
      <c r="G1095" s="25" t="s">
        <v>524</v>
      </c>
      <c r="H1095" s="25">
        <v>2018164</v>
      </c>
      <c r="I1095" s="25" t="s">
        <v>19</v>
      </c>
      <c r="J1095" s="25" t="s">
        <v>1634</v>
      </c>
      <c r="K1095" s="25" t="s">
        <v>25</v>
      </c>
      <c r="L1095" s="25">
        <v>78.14</v>
      </c>
      <c r="M1095" s="25">
        <v>2.76</v>
      </c>
      <c r="N1095" s="25">
        <v>3.6</v>
      </c>
      <c r="O1095" s="25">
        <v>478.16</v>
      </c>
      <c r="P1095" s="25">
        <v>562.65989999999999</v>
      </c>
    </row>
    <row r="1096" spans="1:16" x14ac:dyDescent="0.25">
      <c r="A1096" s="26">
        <v>43339</v>
      </c>
      <c r="B1096" s="25" t="s">
        <v>179</v>
      </c>
      <c r="C1096" s="25" t="s">
        <v>17</v>
      </c>
      <c r="D1096" s="25">
        <v>100</v>
      </c>
      <c r="E1096" s="25">
        <v>50</v>
      </c>
      <c r="F1096" s="25">
        <v>5000</v>
      </c>
      <c r="G1096" s="25" t="s">
        <v>525</v>
      </c>
      <c r="H1096" s="25">
        <v>2018163</v>
      </c>
      <c r="I1096" s="25" t="s">
        <v>19</v>
      </c>
      <c r="J1096" s="25" t="s">
        <v>20</v>
      </c>
      <c r="K1096" s="25" t="s">
        <v>25</v>
      </c>
      <c r="L1096" s="25">
        <v>5</v>
      </c>
      <c r="M1096" s="25">
        <v>0.15</v>
      </c>
      <c r="N1096" s="25">
        <v>0</v>
      </c>
      <c r="O1096" s="25">
        <v>41.33</v>
      </c>
      <c r="P1096" s="25">
        <v>46.48</v>
      </c>
    </row>
    <row r="1097" spans="1:16" x14ac:dyDescent="0.25">
      <c r="A1097" s="26">
        <v>43339</v>
      </c>
      <c r="B1097" s="25" t="s">
        <v>397</v>
      </c>
      <c r="C1097" s="25" t="s">
        <v>17</v>
      </c>
      <c r="D1097" s="25">
        <v>100</v>
      </c>
      <c r="E1097" s="25">
        <v>295</v>
      </c>
      <c r="F1097" s="25">
        <v>29500</v>
      </c>
      <c r="G1097" s="25" t="s">
        <v>526</v>
      </c>
      <c r="H1097" s="25">
        <v>2018163</v>
      </c>
      <c r="I1097" s="25" t="s">
        <v>19</v>
      </c>
      <c r="J1097" s="25" t="s">
        <v>20</v>
      </c>
      <c r="K1097" s="25" t="s">
        <v>25</v>
      </c>
      <c r="L1097" s="25">
        <v>0</v>
      </c>
      <c r="M1097" s="25">
        <v>0.89</v>
      </c>
      <c r="N1097" s="25">
        <v>0</v>
      </c>
      <c r="O1097" s="25">
        <v>29.66</v>
      </c>
      <c r="P1097" s="25">
        <v>30.545100000000001</v>
      </c>
    </row>
    <row r="1098" spans="1:16" x14ac:dyDescent="0.25">
      <c r="A1098" s="26">
        <v>43339</v>
      </c>
      <c r="B1098" s="25" t="s">
        <v>397</v>
      </c>
      <c r="C1098" s="25" t="s">
        <v>17</v>
      </c>
      <c r="D1098" s="25">
        <v>150</v>
      </c>
      <c r="E1098" s="25">
        <v>292.89999999999998</v>
      </c>
      <c r="F1098" s="25">
        <v>43935</v>
      </c>
      <c r="G1098" s="25" t="s">
        <v>527</v>
      </c>
      <c r="H1098" s="25">
        <v>2018163</v>
      </c>
      <c r="I1098" s="25" t="s">
        <v>19</v>
      </c>
      <c r="J1098" s="25" t="s">
        <v>20</v>
      </c>
      <c r="K1098" s="25" t="s">
        <v>25</v>
      </c>
      <c r="L1098" s="25">
        <v>0</v>
      </c>
      <c r="M1098" s="25">
        <v>1.32</v>
      </c>
      <c r="N1098" s="25">
        <v>5.4</v>
      </c>
      <c r="O1098" s="25">
        <v>29.74</v>
      </c>
      <c r="P1098" s="25">
        <v>36.457999999999998</v>
      </c>
    </row>
    <row r="1099" spans="1:16" x14ac:dyDescent="0.25">
      <c r="A1099" s="26">
        <v>43339</v>
      </c>
      <c r="B1099" s="25" t="s">
        <v>397</v>
      </c>
      <c r="C1099" s="25" t="s">
        <v>23</v>
      </c>
      <c r="D1099" s="25">
        <v>250</v>
      </c>
      <c r="E1099" s="25">
        <v>292.33</v>
      </c>
      <c r="F1099" s="25">
        <v>73083.600000000006</v>
      </c>
      <c r="G1099" s="25" t="s">
        <v>528</v>
      </c>
      <c r="H1099" s="25">
        <v>2018163</v>
      </c>
      <c r="I1099" s="25" t="s">
        <v>19</v>
      </c>
      <c r="J1099" s="25" t="s">
        <v>20</v>
      </c>
      <c r="K1099" s="25" t="s">
        <v>25</v>
      </c>
      <c r="L1099" s="25">
        <v>18.46</v>
      </c>
      <c r="M1099" s="25">
        <v>2.19</v>
      </c>
      <c r="N1099" s="25">
        <v>0</v>
      </c>
      <c r="O1099" s="25">
        <v>43.52</v>
      </c>
      <c r="P1099" s="25">
        <v>64.172399999999996</v>
      </c>
    </row>
    <row r="1100" spans="1:16" x14ac:dyDescent="0.25">
      <c r="A1100" s="26">
        <v>43339</v>
      </c>
      <c r="B1100" s="25" t="s">
        <v>26</v>
      </c>
      <c r="C1100" s="25" t="s">
        <v>17</v>
      </c>
      <c r="D1100" s="25">
        <v>100</v>
      </c>
      <c r="E1100" s="25">
        <v>101.8</v>
      </c>
      <c r="F1100" s="25">
        <v>10180</v>
      </c>
      <c r="G1100" s="25" t="s">
        <v>529</v>
      </c>
      <c r="H1100" s="25">
        <v>2018163</v>
      </c>
      <c r="I1100" s="25" t="s">
        <v>19</v>
      </c>
      <c r="J1100" s="25" t="s">
        <v>20</v>
      </c>
      <c r="K1100" s="25" t="s">
        <v>25</v>
      </c>
      <c r="L1100" s="25">
        <v>0</v>
      </c>
      <c r="M1100" s="25">
        <v>0.31</v>
      </c>
      <c r="N1100" s="25">
        <v>0</v>
      </c>
      <c r="O1100" s="25">
        <v>29.56</v>
      </c>
      <c r="P1100" s="25">
        <v>29.865400000000001</v>
      </c>
    </row>
    <row r="1101" spans="1:16" x14ac:dyDescent="0.25">
      <c r="A1101" s="26">
        <v>43339</v>
      </c>
      <c r="B1101" s="25" t="s">
        <v>26</v>
      </c>
      <c r="C1101" s="25" t="s">
        <v>23</v>
      </c>
      <c r="D1101" s="25">
        <v>100</v>
      </c>
      <c r="E1101" s="25">
        <v>101.5</v>
      </c>
      <c r="F1101" s="25">
        <v>10150</v>
      </c>
      <c r="G1101" s="25" t="s">
        <v>530</v>
      </c>
      <c r="H1101" s="25">
        <v>2018163</v>
      </c>
      <c r="I1101" s="25" t="s">
        <v>19</v>
      </c>
      <c r="J1101" s="25" t="s">
        <v>20</v>
      </c>
      <c r="K1101" s="25" t="s">
        <v>25</v>
      </c>
      <c r="L1101" s="25">
        <v>2.54</v>
      </c>
      <c r="M1101" s="25">
        <v>0.3</v>
      </c>
      <c r="N1101" s="25">
        <v>0</v>
      </c>
      <c r="O1101" s="25">
        <v>29.56</v>
      </c>
      <c r="P1101" s="25">
        <v>32.404499999999999</v>
      </c>
    </row>
    <row r="1102" spans="1:16" x14ac:dyDescent="0.25">
      <c r="A1102" s="26">
        <v>43333</v>
      </c>
      <c r="B1102" s="25" t="s">
        <v>433</v>
      </c>
      <c r="C1102" s="25" t="s">
        <v>17</v>
      </c>
      <c r="D1102" s="25">
        <v>5000</v>
      </c>
      <c r="E1102" s="25">
        <v>19.25</v>
      </c>
      <c r="F1102" s="25">
        <v>96250</v>
      </c>
      <c r="G1102" s="25" t="s">
        <v>531</v>
      </c>
      <c r="H1102" s="25">
        <v>2018160</v>
      </c>
      <c r="I1102" s="25" t="s">
        <v>19</v>
      </c>
      <c r="J1102" s="25" t="s">
        <v>1634</v>
      </c>
      <c r="K1102" s="25" t="s">
        <v>25</v>
      </c>
      <c r="L1102" s="25">
        <v>96.25</v>
      </c>
      <c r="M1102" s="25">
        <v>2.89</v>
      </c>
      <c r="N1102" s="25">
        <v>0</v>
      </c>
      <c r="O1102" s="25">
        <v>625.17999999999995</v>
      </c>
      <c r="P1102" s="25">
        <v>724.3175</v>
      </c>
    </row>
    <row r="1103" spans="1:16" x14ac:dyDescent="0.25">
      <c r="A1103" s="26">
        <v>43333</v>
      </c>
      <c r="B1103" s="25" t="s">
        <v>16</v>
      </c>
      <c r="C1103" s="25" t="s">
        <v>17</v>
      </c>
      <c r="D1103" s="25">
        <v>1000</v>
      </c>
      <c r="E1103" s="25">
        <v>57</v>
      </c>
      <c r="F1103" s="25">
        <v>57000</v>
      </c>
      <c r="G1103" s="25" t="s">
        <v>532</v>
      </c>
      <c r="H1103" s="25">
        <v>2018160</v>
      </c>
      <c r="I1103" s="25" t="s">
        <v>19</v>
      </c>
      <c r="J1103" s="25" t="s">
        <v>20</v>
      </c>
      <c r="K1103" s="25" t="s">
        <v>25</v>
      </c>
      <c r="L1103" s="25">
        <v>0</v>
      </c>
      <c r="M1103" s="25">
        <v>1.71</v>
      </c>
      <c r="N1103" s="25">
        <v>0</v>
      </c>
      <c r="O1103" s="25">
        <v>33.950000000000003</v>
      </c>
      <c r="P1103" s="25">
        <v>35.659999999999997</v>
      </c>
    </row>
    <row r="1104" spans="1:16" x14ac:dyDescent="0.25">
      <c r="A1104" s="26">
        <v>43333</v>
      </c>
      <c r="B1104" s="25" t="s">
        <v>16</v>
      </c>
      <c r="C1104" s="25" t="s">
        <v>23</v>
      </c>
      <c r="D1104" s="25">
        <v>1000</v>
      </c>
      <c r="E1104" s="25">
        <v>58.1</v>
      </c>
      <c r="F1104" s="25">
        <v>58100</v>
      </c>
      <c r="G1104" s="25" t="s">
        <v>533</v>
      </c>
      <c r="H1104" s="25">
        <v>2018160</v>
      </c>
      <c r="I1104" s="25" t="s">
        <v>19</v>
      </c>
      <c r="J1104" s="25" t="s">
        <v>20</v>
      </c>
      <c r="K1104" s="25" t="s">
        <v>25</v>
      </c>
      <c r="L1104" s="25">
        <v>14.39</v>
      </c>
      <c r="M1104" s="25">
        <v>1.74</v>
      </c>
      <c r="N1104" s="25">
        <v>0</v>
      </c>
      <c r="O1104" s="25">
        <v>34.590000000000003</v>
      </c>
      <c r="P1104" s="25">
        <v>50.723100000000002</v>
      </c>
    </row>
    <row r="1105" spans="1:16" x14ac:dyDescent="0.25">
      <c r="A1105" s="26">
        <v>43333</v>
      </c>
      <c r="B1105" s="25" t="s">
        <v>397</v>
      </c>
      <c r="C1105" s="25" t="s">
        <v>17</v>
      </c>
      <c r="D1105" s="25">
        <v>100</v>
      </c>
      <c r="E1105" s="25">
        <v>300</v>
      </c>
      <c r="F1105" s="25">
        <v>30000</v>
      </c>
      <c r="G1105" s="25" t="s">
        <v>534</v>
      </c>
      <c r="H1105" s="25">
        <v>2018160</v>
      </c>
      <c r="I1105" s="25" t="s">
        <v>19</v>
      </c>
      <c r="J1105" s="25" t="s">
        <v>20</v>
      </c>
      <c r="K1105" s="25" t="s">
        <v>25</v>
      </c>
      <c r="L1105" s="25">
        <v>0</v>
      </c>
      <c r="M1105" s="25">
        <v>0.9</v>
      </c>
      <c r="N1105" s="25">
        <v>8.4</v>
      </c>
      <c r="O1105" s="25">
        <v>29.66</v>
      </c>
      <c r="P1105" s="25">
        <v>38.96</v>
      </c>
    </row>
    <row r="1106" spans="1:16" x14ac:dyDescent="0.25">
      <c r="A1106" s="26">
        <v>43333</v>
      </c>
      <c r="B1106" s="25" t="s">
        <v>397</v>
      </c>
      <c r="C1106" s="25" t="s">
        <v>23</v>
      </c>
      <c r="D1106" s="25">
        <v>100</v>
      </c>
      <c r="E1106" s="25">
        <v>299</v>
      </c>
      <c r="F1106" s="25">
        <v>29900</v>
      </c>
      <c r="G1106" s="25" t="s">
        <v>535</v>
      </c>
      <c r="H1106" s="25">
        <v>2018160</v>
      </c>
      <c r="I1106" s="25" t="s">
        <v>19</v>
      </c>
      <c r="J1106" s="25" t="s">
        <v>20</v>
      </c>
      <c r="K1106" s="25" t="s">
        <v>25</v>
      </c>
      <c r="L1106" s="25">
        <v>7.36</v>
      </c>
      <c r="M1106" s="25">
        <v>0.9</v>
      </c>
      <c r="N1106" s="25">
        <v>0</v>
      </c>
      <c r="O1106" s="25">
        <v>29.66</v>
      </c>
      <c r="P1106" s="25">
        <v>37.917099999999998</v>
      </c>
    </row>
    <row r="1107" spans="1:16" x14ac:dyDescent="0.25">
      <c r="A1107" s="26">
        <v>43332</v>
      </c>
      <c r="B1107" s="25" t="s">
        <v>433</v>
      </c>
      <c r="C1107" s="25" t="s">
        <v>17</v>
      </c>
      <c r="D1107" s="25">
        <v>1500</v>
      </c>
      <c r="E1107" s="25">
        <v>19.5</v>
      </c>
      <c r="F1107" s="25">
        <v>29250</v>
      </c>
      <c r="G1107" s="25" t="s">
        <v>536</v>
      </c>
      <c r="H1107" s="25">
        <v>2018159</v>
      </c>
      <c r="I1107" s="25" t="s">
        <v>19</v>
      </c>
      <c r="J1107" s="25" t="s">
        <v>20</v>
      </c>
      <c r="K1107" s="25" t="s">
        <v>25</v>
      </c>
      <c r="L1107" s="25">
        <v>0</v>
      </c>
      <c r="M1107" s="25">
        <v>0.88</v>
      </c>
      <c r="N1107" s="25">
        <v>0</v>
      </c>
      <c r="O1107" s="25">
        <v>92.94</v>
      </c>
      <c r="P1107" s="25">
        <v>93.817599999999999</v>
      </c>
    </row>
    <row r="1108" spans="1:16" x14ac:dyDescent="0.25">
      <c r="A1108" s="26">
        <v>43332</v>
      </c>
      <c r="B1108" s="25" t="s">
        <v>433</v>
      </c>
      <c r="C1108" s="25" t="s">
        <v>23</v>
      </c>
      <c r="D1108" s="25">
        <v>1500</v>
      </c>
      <c r="E1108" s="25">
        <v>19.75</v>
      </c>
      <c r="F1108" s="25">
        <v>29625</v>
      </c>
      <c r="G1108" s="25" t="s">
        <v>537</v>
      </c>
      <c r="H1108" s="25">
        <v>2018159</v>
      </c>
      <c r="I1108" s="25" t="s">
        <v>19</v>
      </c>
      <c r="J1108" s="25" t="s">
        <v>20</v>
      </c>
      <c r="K1108" s="25" t="s">
        <v>25</v>
      </c>
      <c r="L1108" s="25">
        <v>6.81</v>
      </c>
      <c r="M1108" s="25">
        <v>0.89</v>
      </c>
      <c r="N1108" s="25">
        <v>12.3</v>
      </c>
      <c r="O1108" s="25">
        <v>29.66</v>
      </c>
      <c r="P1108" s="25">
        <v>49.658700000000003</v>
      </c>
    </row>
    <row r="1109" spans="1:16" x14ac:dyDescent="0.25">
      <c r="A1109" s="26">
        <v>43332</v>
      </c>
      <c r="B1109" s="25" t="s">
        <v>433</v>
      </c>
      <c r="C1109" s="25" t="s">
        <v>17</v>
      </c>
      <c r="D1109" s="25">
        <v>1000</v>
      </c>
      <c r="E1109" s="25">
        <v>19.45</v>
      </c>
      <c r="F1109" s="25">
        <v>19450</v>
      </c>
      <c r="G1109" s="25" t="s">
        <v>538</v>
      </c>
      <c r="H1109" s="25">
        <v>2018159</v>
      </c>
      <c r="I1109" s="25" t="s">
        <v>19</v>
      </c>
      <c r="J1109" s="25" t="s">
        <v>20</v>
      </c>
      <c r="K1109" s="25" t="s">
        <v>25</v>
      </c>
      <c r="L1109" s="25">
        <v>0</v>
      </c>
      <c r="M1109" s="25">
        <v>0.57999999999999996</v>
      </c>
      <c r="N1109" s="25">
        <v>0</v>
      </c>
      <c r="O1109" s="25">
        <v>29.61</v>
      </c>
      <c r="P1109" s="25">
        <v>30.1935</v>
      </c>
    </row>
    <row r="1110" spans="1:16" x14ac:dyDescent="0.25">
      <c r="A1110" s="26">
        <v>43332</v>
      </c>
      <c r="B1110" s="25" t="s">
        <v>433</v>
      </c>
      <c r="C1110" s="25" t="s">
        <v>17</v>
      </c>
      <c r="D1110" s="25">
        <v>2500</v>
      </c>
      <c r="E1110" s="25">
        <v>19.5</v>
      </c>
      <c r="F1110" s="25">
        <v>48750</v>
      </c>
      <c r="G1110" s="25" t="s">
        <v>539</v>
      </c>
      <c r="H1110" s="25">
        <v>2018159</v>
      </c>
      <c r="I1110" s="25" t="s">
        <v>19</v>
      </c>
      <c r="J1110" s="25" t="s">
        <v>20</v>
      </c>
      <c r="K1110" s="25" t="s">
        <v>25</v>
      </c>
      <c r="L1110" s="25">
        <v>0</v>
      </c>
      <c r="M1110" s="25">
        <v>1.46</v>
      </c>
      <c r="N1110" s="25">
        <v>0</v>
      </c>
      <c r="O1110" s="25">
        <v>29.77</v>
      </c>
      <c r="P1110" s="25">
        <v>31.232399999999998</v>
      </c>
    </row>
    <row r="1111" spans="1:16" x14ac:dyDescent="0.25">
      <c r="A1111" s="26">
        <v>43332</v>
      </c>
      <c r="B1111" s="25" t="s">
        <v>397</v>
      </c>
      <c r="C1111" s="25" t="s">
        <v>23</v>
      </c>
      <c r="D1111" s="25">
        <v>100</v>
      </c>
      <c r="E1111" s="25">
        <v>309.39999999999998</v>
      </c>
      <c r="F1111" s="25">
        <v>30940</v>
      </c>
      <c r="G1111" s="25" t="s">
        <v>540</v>
      </c>
      <c r="H1111" s="25">
        <v>2018159</v>
      </c>
      <c r="I1111" s="25" t="s">
        <v>19</v>
      </c>
      <c r="J1111" s="25" t="s">
        <v>20</v>
      </c>
      <c r="K1111" s="25" t="s">
        <v>25</v>
      </c>
      <c r="L1111" s="25">
        <v>30.94</v>
      </c>
      <c r="M1111" s="25">
        <v>0.93</v>
      </c>
      <c r="N1111" s="25">
        <v>0</v>
      </c>
      <c r="O1111" s="25">
        <v>200.97</v>
      </c>
      <c r="P1111" s="25">
        <v>232.8382</v>
      </c>
    </row>
    <row r="1112" spans="1:16" x14ac:dyDescent="0.25">
      <c r="A1112" s="26">
        <v>43332</v>
      </c>
      <c r="B1112" s="25" t="s">
        <v>433</v>
      </c>
      <c r="C1112" s="25" t="s">
        <v>17</v>
      </c>
      <c r="D1112" s="25">
        <v>5000</v>
      </c>
      <c r="E1112" s="25">
        <v>19.05</v>
      </c>
      <c r="F1112" s="25">
        <v>95250</v>
      </c>
      <c r="G1112" s="25" t="s">
        <v>541</v>
      </c>
      <c r="H1112" s="25">
        <v>2018159</v>
      </c>
      <c r="I1112" s="25" t="s">
        <v>19</v>
      </c>
      <c r="J1112" s="25" t="s">
        <v>20</v>
      </c>
      <c r="K1112" s="25" t="s">
        <v>25</v>
      </c>
      <c r="L1112" s="25">
        <v>9.65</v>
      </c>
      <c r="M1112" s="25">
        <v>2.86</v>
      </c>
      <c r="N1112" s="25">
        <v>0</v>
      </c>
      <c r="O1112" s="25">
        <v>56.71</v>
      </c>
      <c r="P1112" s="25">
        <v>69.217500000000001</v>
      </c>
    </row>
    <row r="1113" spans="1:16" x14ac:dyDescent="0.25">
      <c r="A1113" s="26">
        <v>43332</v>
      </c>
      <c r="B1113" s="25" t="s">
        <v>433</v>
      </c>
      <c r="C1113" s="25" t="s">
        <v>23</v>
      </c>
      <c r="D1113" s="25">
        <v>8000</v>
      </c>
      <c r="E1113" s="25">
        <v>19.25</v>
      </c>
      <c r="F1113" s="25">
        <v>154000</v>
      </c>
      <c r="G1113" s="25" t="s">
        <v>542</v>
      </c>
      <c r="H1113" s="25">
        <v>2018159</v>
      </c>
      <c r="I1113" s="25" t="s">
        <v>19</v>
      </c>
      <c r="J1113" s="25" t="s">
        <v>20</v>
      </c>
      <c r="K1113" s="25" t="s">
        <v>25</v>
      </c>
      <c r="L1113" s="25">
        <v>38.6</v>
      </c>
      <c r="M1113" s="25">
        <v>4.62</v>
      </c>
      <c r="N1113" s="25">
        <v>0</v>
      </c>
      <c r="O1113" s="25">
        <v>91.69</v>
      </c>
      <c r="P1113" s="25">
        <v>134.91</v>
      </c>
    </row>
    <row r="1114" spans="1:16" x14ac:dyDescent="0.25">
      <c r="A1114" s="26">
        <v>43328</v>
      </c>
      <c r="B1114" s="25" t="s">
        <v>433</v>
      </c>
      <c r="C1114" s="25" t="s">
        <v>23</v>
      </c>
      <c r="D1114" s="25">
        <v>2250</v>
      </c>
      <c r="E1114" s="25">
        <v>21</v>
      </c>
      <c r="F1114" s="25">
        <v>47250</v>
      </c>
      <c r="G1114" s="25" t="s">
        <v>543</v>
      </c>
      <c r="H1114" s="25">
        <v>2018157</v>
      </c>
      <c r="I1114" s="25" t="s">
        <v>19</v>
      </c>
      <c r="J1114" s="25" t="s">
        <v>1634</v>
      </c>
      <c r="K1114" s="25" t="s">
        <v>25</v>
      </c>
      <c r="L1114" s="25">
        <v>47.25</v>
      </c>
      <c r="M1114" s="25">
        <v>1.42</v>
      </c>
      <c r="N1114" s="25">
        <v>0</v>
      </c>
      <c r="O1114" s="25">
        <v>306.91000000000003</v>
      </c>
      <c r="P1114" s="25">
        <v>355.57749999999999</v>
      </c>
    </row>
    <row r="1115" spans="1:16" x14ac:dyDescent="0.25">
      <c r="A1115" s="26">
        <v>43328</v>
      </c>
      <c r="B1115" s="25" t="s">
        <v>16</v>
      </c>
      <c r="C1115" s="25" t="s">
        <v>23</v>
      </c>
      <c r="D1115" s="25">
        <v>1900</v>
      </c>
      <c r="E1115" s="25">
        <v>58</v>
      </c>
      <c r="F1115" s="25">
        <v>110200</v>
      </c>
      <c r="G1115" s="25" t="s">
        <v>544</v>
      </c>
      <c r="H1115" s="25">
        <v>2018157</v>
      </c>
      <c r="I1115" s="25" t="s">
        <v>19</v>
      </c>
      <c r="J1115" s="25" t="s">
        <v>1634</v>
      </c>
      <c r="K1115" s="25" t="s">
        <v>25</v>
      </c>
      <c r="L1115" s="25">
        <v>109.75</v>
      </c>
      <c r="M1115" s="25">
        <v>3.31</v>
      </c>
      <c r="N1115" s="25">
        <v>4.8</v>
      </c>
      <c r="O1115" s="25">
        <v>715.79</v>
      </c>
      <c r="P1115" s="25">
        <v>833.64599999999996</v>
      </c>
    </row>
    <row r="1116" spans="1:16" x14ac:dyDescent="0.25">
      <c r="A1116" s="26">
        <v>43326</v>
      </c>
      <c r="B1116" s="25" t="s">
        <v>16</v>
      </c>
      <c r="C1116" s="25" t="s">
        <v>17</v>
      </c>
      <c r="D1116" s="25">
        <v>1500</v>
      </c>
      <c r="E1116" s="25">
        <v>62.3</v>
      </c>
      <c r="F1116" s="25">
        <v>93450</v>
      </c>
      <c r="G1116" s="25" t="s">
        <v>545</v>
      </c>
      <c r="H1116" s="25">
        <v>2018156</v>
      </c>
      <c r="I1116" s="25" t="s">
        <v>19</v>
      </c>
      <c r="J1116" s="25" t="s">
        <v>20</v>
      </c>
      <c r="K1116" s="25" t="s">
        <v>25</v>
      </c>
      <c r="L1116" s="25">
        <v>0</v>
      </c>
      <c r="M1116" s="25">
        <v>2.8</v>
      </c>
      <c r="N1116" s="25">
        <v>0</v>
      </c>
      <c r="O1116" s="25">
        <v>55.64</v>
      </c>
      <c r="P1116" s="25">
        <v>58.4435</v>
      </c>
    </row>
    <row r="1117" spans="1:16" x14ac:dyDescent="0.25">
      <c r="A1117" s="26">
        <v>43326</v>
      </c>
      <c r="B1117" s="25" t="s">
        <v>16</v>
      </c>
      <c r="C1117" s="25" t="s">
        <v>23</v>
      </c>
      <c r="D1117" s="25">
        <v>1500</v>
      </c>
      <c r="E1117" s="25">
        <v>60</v>
      </c>
      <c r="F1117" s="25">
        <v>90000</v>
      </c>
      <c r="G1117" s="25" t="s">
        <v>546</v>
      </c>
      <c r="H1117" s="25">
        <v>2018156</v>
      </c>
      <c r="I1117" s="25" t="s">
        <v>19</v>
      </c>
      <c r="J1117" s="25" t="s">
        <v>20</v>
      </c>
      <c r="K1117" s="25" t="s">
        <v>25</v>
      </c>
      <c r="L1117" s="25">
        <v>23</v>
      </c>
      <c r="M1117" s="25">
        <v>2.7</v>
      </c>
      <c r="N1117" s="25">
        <v>5.7</v>
      </c>
      <c r="O1117" s="25">
        <v>53.62</v>
      </c>
      <c r="P1117" s="25">
        <v>85.020799999999994</v>
      </c>
    </row>
    <row r="1118" spans="1:16" x14ac:dyDescent="0.25">
      <c r="A1118" s="26">
        <v>43322</v>
      </c>
      <c r="B1118" s="25" t="s">
        <v>256</v>
      </c>
      <c r="C1118" s="25" t="s">
        <v>17</v>
      </c>
      <c r="D1118" s="25">
        <v>500</v>
      </c>
      <c r="E1118" s="25">
        <v>108.95</v>
      </c>
      <c r="F1118" s="25">
        <v>54474.6</v>
      </c>
      <c r="G1118" s="25" t="s">
        <v>547</v>
      </c>
      <c r="H1118" s="25">
        <v>2018154</v>
      </c>
      <c r="I1118" s="25" t="s">
        <v>19</v>
      </c>
      <c r="J1118" s="25" t="s">
        <v>20</v>
      </c>
      <c r="K1118" s="25" t="s">
        <v>25</v>
      </c>
      <c r="L1118" s="25">
        <v>0</v>
      </c>
      <c r="M1118" s="25">
        <v>1.63</v>
      </c>
      <c r="N1118" s="25">
        <v>0</v>
      </c>
      <c r="O1118" s="25">
        <v>32.43</v>
      </c>
      <c r="P1118" s="25">
        <v>34.0642</v>
      </c>
    </row>
    <row r="1119" spans="1:16" x14ac:dyDescent="0.25">
      <c r="A1119" s="26">
        <v>43322</v>
      </c>
      <c r="B1119" s="25" t="s">
        <v>256</v>
      </c>
      <c r="C1119" s="25" t="s">
        <v>17</v>
      </c>
      <c r="D1119" s="25">
        <v>1000</v>
      </c>
      <c r="E1119" s="25">
        <v>107.15</v>
      </c>
      <c r="F1119" s="25">
        <v>107150</v>
      </c>
      <c r="G1119" s="25" t="s">
        <v>548</v>
      </c>
      <c r="H1119" s="25">
        <v>2018154</v>
      </c>
      <c r="I1119" s="25" t="s">
        <v>19</v>
      </c>
      <c r="J1119" s="25" t="s">
        <v>20</v>
      </c>
      <c r="K1119" s="25" t="s">
        <v>25</v>
      </c>
      <c r="L1119" s="25">
        <v>0</v>
      </c>
      <c r="M1119" s="25">
        <v>3.21</v>
      </c>
      <c r="N1119" s="25">
        <v>0</v>
      </c>
      <c r="O1119" s="25">
        <v>63.8</v>
      </c>
      <c r="P1119" s="25">
        <v>67.014499999999998</v>
      </c>
    </row>
    <row r="1120" spans="1:16" x14ac:dyDescent="0.25">
      <c r="A1120" s="26">
        <v>43322</v>
      </c>
      <c r="B1120" s="25" t="s">
        <v>256</v>
      </c>
      <c r="C1120" s="25" t="s">
        <v>23</v>
      </c>
      <c r="D1120" s="25">
        <v>1500</v>
      </c>
      <c r="E1120" s="25">
        <v>107</v>
      </c>
      <c r="F1120" s="25">
        <v>160500</v>
      </c>
      <c r="G1120" s="25" t="s">
        <v>549</v>
      </c>
      <c r="H1120" s="25">
        <v>2018154</v>
      </c>
      <c r="I1120" s="25" t="s">
        <v>19</v>
      </c>
      <c r="J1120" s="25" t="s">
        <v>20</v>
      </c>
      <c r="K1120" s="25" t="s">
        <v>25</v>
      </c>
      <c r="L1120" s="25">
        <v>40</v>
      </c>
      <c r="M1120" s="25">
        <v>4.8099999999999996</v>
      </c>
      <c r="N1120" s="25">
        <v>11.1</v>
      </c>
      <c r="O1120" s="25">
        <v>95.56</v>
      </c>
      <c r="P1120" s="25">
        <v>151.47489999999999</v>
      </c>
    </row>
    <row r="1121" spans="1:16" x14ac:dyDescent="0.25">
      <c r="A1121" s="26">
        <v>43322</v>
      </c>
      <c r="B1121" s="25" t="s">
        <v>433</v>
      </c>
      <c r="C1121" s="25" t="s">
        <v>17</v>
      </c>
      <c r="D1121" s="25">
        <v>2250</v>
      </c>
      <c r="E1121" s="25">
        <v>20</v>
      </c>
      <c r="F1121" s="25">
        <v>45000</v>
      </c>
      <c r="G1121" s="25" t="s">
        <v>550</v>
      </c>
      <c r="H1121" s="25">
        <v>2018154</v>
      </c>
      <c r="I1121" s="25" t="s">
        <v>19</v>
      </c>
      <c r="J1121" s="25" t="s">
        <v>1634</v>
      </c>
      <c r="K1121" s="25" t="s">
        <v>25</v>
      </c>
      <c r="L1121" s="25">
        <v>45</v>
      </c>
      <c r="M1121" s="25">
        <v>1.35</v>
      </c>
      <c r="N1121" s="25">
        <v>0</v>
      </c>
      <c r="O1121" s="25">
        <v>292.29000000000002</v>
      </c>
      <c r="P1121" s="25">
        <v>338.64</v>
      </c>
    </row>
    <row r="1122" spans="1:16" x14ac:dyDescent="0.25">
      <c r="A1122" s="26">
        <v>43321</v>
      </c>
      <c r="B1122" s="25" t="s">
        <v>16</v>
      </c>
      <c r="C1122" s="25" t="s">
        <v>17</v>
      </c>
      <c r="D1122" s="25">
        <v>1000</v>
      </c>
      <c r="E1122" s="25">
        <v>64.75</v>
      </c>
      <c r="F1122" s="25">
        <v>64750</v>
      </c>
      <c r="G1122" s="25" t="s">
        <v>551</v>
      </c>
      <c r="H1122" s="25">
        <v>2018153</v>
      </c>
      <c r="I1122" s="25" t="s">
        <v>19</v>
      </c>
      <c r="J1122" s="25" t="s">
        <v>1634</v>
      </c>
      <c r="K1122" s="25" t="s">
        <v>25</v>
      </c>
      <c r="L1122" s="25">
        <v>64.19</v>
      </c>
      <c r="M1122" s="25">
        <v>1.94</v>
      </c>
      <c r="N1122" s="25">
        <v>24.9</v>
      </c>
      <c r="O1122" s="25">
        <v>420.6</v>
      </c>
      <c r="P1122" s="25">
        <v>511.63260000000002</v>
      </c>
    </row>
    <row r="1123" spans="1:16" x14ac:dyDescent="0.25">
      <c r="A1123" s="26">
        <v>43321</v>
      </c>
      <c r="B1123" s="25" t="s">
        <v>433</v>
      </c>
      <c r="C1123" s="25" t="s">
        <v>17</v>
      </c>
      <c r="D1123" s="25">
        <v>2250</v>
      </c>
      <c r="E1123" s="25">
        <v>19.8</v>
      </c>
      <c r="F1123" s="25">
        <v>44550</v>
      </c>
      <c r="G1123" s="25" t="s">
        <v>552</v>
      </c>
      <c r="H1123" s="25">
        <v>2018153</v>
      </c>
      <c r="I1123" s="25" t="s">
        <v>19</v>
      </c>
      <c r="J1123" s="25" t="s">
        <v>20</v>
      </c>
      <c r="K1123" s="25" t="s">
        <v>25</v>
      </c>
      <c r="L1123" s="25">
        <v>0</v>
      </c>
      <c r="M1123" s="25">
        <v>1.34</v>
      </c>
      <c r="N1123" s="25">
        <v>0</v>
      </c>
      <c r="O1123" s="25">
        <v>29.74</v>
      </c>
      <c r="P1123" s="25">
        <v>31.076499999999999</v>
      </c>
    </row>
    <row r="1124" spans="1:16" x14ac:dyDescent="0.25">
      <c r="A1124" s="26">
        <v>43321</v>
      </c>
      <c r="B1124" s="25" t="s">
        <v>16</v>
      </c>
      <c r="C1124" s="25" t="s">
        <v>17</v>
      </c>
      <c r="D1124" s="25">
        <v>1000</v>
      </c>
      <c r="E1124" s="25">
        <v>63.5</v>
      </c>
      <c r="F1124" s="25">
        <v>63500</v>
      </c>
      <c r="G1124" s="25" t="s">
        <v>553</v>
      </c>
      <c r="H1124" s="25">
        <v>2018153</v>
      </c>
      <c r="I1124" s="25" t="s">
        <v>19</v>
      </c>
      <c r="J1124" s="25" t="s">
        <v>1634</v>
      </c>
      <c r="K1124" s="25" t="s">
        <v>25</v>
      </c>
      <c r="L1124" s="25">
        <v>64.13</v>
      </c>
      <c r="M1124" s="25">
        <v>1.91</v>
      </c>
      <c r="N1124" s="25">
        <v>0</v>
      </c>
      <c r="O1124" s="25">
        <v>412.45</v>
      </c>
      <c r="P1124" s="25">
        <v>478.48509999999999</v>
      </c>
    </row>
    <row r="1125" spans="1:16" x14ac:dyDescent="0.25">
      <c r="A1125" s="26">
        <v>43321</v>
      </c>
      <c r="B1125" s="25" t="s">
        <v>433</v>
      </c>
      <c r="C1125" s="25" t="s">
        <v>17</v>
      </c>
      <c r="D1125" s="25">
        <v>5000</v>
      </c>
      <c r="E1125" s="25">
        <v>19.5</v>
      </c>
      <c r="F1125" s="25">
        <v>97500</v>
      </c>
      <c r="G1125" s="25" t="s">
        <v>554</v>
      </c>
      <c r="H1125" s="25">
        <v>2018153</v>
      </c>
      <c r="I1125" s="25" t="s">
        <v>19</v>
      </c>
      <c r="J1125" s="25" t="s">
        <v>20</v>
      </c>
      <c r="K1125" s="25" t="s">
        <v>25</v>
      </c>
      <c r="L1125" s="25">
        <v>0</v>
      </c>
      <c r="M1125" s="25">
        <v>2.93</v>
      </c>
      <c r="N1125" s="25">
        <v>0</v>
      </c>
      <c r="O1125" s="25">
        <v>58.05</v>
      </c>
      <c r="P1125" s="25">
        <v>60.975000000000001</v>
      </c>
    </row>
    <row r="1126" spans="1:16" x14ac:dyDescent="0.25">
      <c r="A1126" s="26">
        <v>43321</v>
      </c>
      <c r="B1126" s="25" t="s">
        <v>433</v>
      </c>
      <c r="C1126" s="25" t="s">
        <v>23</v>
      </c>
      <c r="D1126" s="25">
        <v>5000</v>
      </c>
      <c r="E1126" s="25">
        <v>19.75</v>
      </c>
      <c r="F1126" s="25">
        <v>98750</v>
      </c>
      <c r="G1126" s="25" t="s">
        <v>555</v>
      </c>
      <c r="H1126" s="25">
        <v>2018153</v>
      </c>
      <c r="I1126" s="25" t="s">
        <v>19</v>
      </c>
      <c r="J1126" s="25" t="s">
        <v>20</v>
      </c>
      <c r="K1126" s="25" t="s">
        <v>25</v>
      </c>
      <c r="L1126" s="25">
        <v>24.85</v>
      </c>
      <c r="M1126" s="25">
        <v>2.96</v>
      </c>
      <c r="N1126" s="25">
        <v>0</v>
      </c>
      <c r="O1126" s="25">
        <v>58.8</v>
      </c>
      <c r="P1126" s="25">
        <v>86.612499999999997</v>
      </c>
    </row>
    <row r="1127" spans="1:16" x14ac:dyDescent="0.25">
      <c r="A1127" s="26">
        <v>43321</v>
      </c>
      <c r="B1127" s="25" t="s">
        <v>26</v>
      </c>
      <c r="C1127" s="25" t="s">
        <v>17</v>
      </c>
      <c r="D1127" s="25">
        <v>500</v>
      </c>
      <c r="E1127" s="25">
        <v>107.05</v>
      </c>
      <c r="F1127" s="25">
        <v>53525</v>
      </c>
      <c r="G1127" s="25" t="s">
        <v>556</v>
      </c>
      <c r="H1127" s="25">
        <v>2018153</v>
      </c>
      <c r="I1127" s="25" t="s">
        <v>19</v>
      </c>
      <c r="J1127" s="25" t="s">
        <v>20</v>
      </c>
      <c r="K1127" s="25" t="s">
        <v>25</v>
      </c>
      <c r="L1127" s="25">
        <v>0</v>
      </c>
      <c r="M1127" s="25">
        <v>1.61</v>
      </c>
      <c r="N1127" s="25">
        <v>0</v>
      </c>
      <c r="O1127" s="25">
        <v>31.87</v>
      </c>
      <c r="P1127" s="25">
        <v>33.4758</v>
      </c>
    </row>
    <row r="1128" spans="1:16" x14ac:dyDescent="0.25">
      <c r="A1128" s="26">
        <v>43321</v>
      </c>
      <c r="B1128" s="25" t="s">
        <v>26</v>
      </c>
      <c r="C1128" s="25" t="s">
        <v>23</v>
      </c>
      <c r="D1128" s="25">
        <v>500</v>
      </c>
      <c r="E1128" s="25">
        <v>107</v>
      </c>
      <c r="F1128" s="25">
        <v>53500</v>
      </c>
      <c r="G1128" s="25" t="s">
        <v>557</v>
      </c>
      <c r="H1128" s="25">
        <v>2018153</v>
      </c>
      <c r="I1128" s="25" t="s">
        <v>19</v>
      </c>
      <c r="J1128" s="25" t="s">
        <v>20</v>
      </c>
      <c r="K1128" s="25" t="s">
        <v>25</v>
      </c>
      <c r="L1128" s="25">
        <v>13.38</v>
      </c>
      <c r="M1128" s="25">
        <v>1.61</v>
      </c>
      <c r="N1128" s="25">
        <v>0</v>
      </c>
      <c r="O1128" s="25">
        <v>31.85</v>
      </c>
      <c r="P1128" s="25">
        <v>46.835000000000001</v>
      </c>
    </row>
    <row r="1129" spans="1:16" x14ac:dyDescent="0.25">
      <c r="A1129" s="26">
        <v>43321</v>
      </c>
      <c r="B1129" s="25" t="s">
        <v>433</v>
      </c>
      <c r="C1129" s="25" t="s">
        <v>17</v>
      </c>
      <c r="D1129" s="25">
        <v>7500</v>
      </c>
      <c r="E1129" s="25">
        <v>20.149999999999999</v>
      </c>
      <c r="F1129" s="25">
        <v>151125</v>
      </c>
      <c r="G1129" s="25" t="s">
        <v>558</v>
      </c>
      <c r="H1129" s="25">
        <v>2018153</v>
      </c>
      <c r="I1129" s="25" t="s">
        <v>19</v>
      </c>
      <c r="J1129" s="25" t="s">
        <v>20</v>
      </c>
      <c r="K1129" s="25" t="s">
        <v>25</v>
      </c>
      <c r="L1129" s="25">
        <v>0</v>
      </c>
      <c r="M1129" s="25">
        <v>4.53</v>
      </c>
      <c r="N1129" s="25">
        <v>0</v>
      </c>
      <c r="O1129" s="25">
        <v>89.98</v>
      </c>
      <c r="P1129" s="25">
        <v>94.513999999999996</v>
      </c>
    </row>
    <row r="1130" spans="1:16" x14ac:dyDescent="0.25">
      <c r="A1130" s="26">
        <v>43321</v>
      </c>
      <c r="B1130" s="25" t="s">
        <v>433</v>
      </c>
      <c r="C1130" s="25" t="s">
        <v>23</v>
      </c>
      <c r="D1130" s="25">
        <v>9750</v>
      </c>
      <c r="E1130" s="25">
        <v>19.95</v>
      </c>
      <c r="F1130" s="25">
        <v>194512.5</v>
      </c>
      <c r="G1130" s="25" t="s">
        <v>559</v>
      </c>
      <c r="H1130" s="25">
        <v>2018153</v>
      </c>
      <c r="I1130" s="25" t="s">
        <v>19</v>
      </c>
      <c r="J1130" s="25" t="s">
        <v>20</v>
      </c>
      <c r="K1130" s="25" t="s">
        <v>25</v>
      </c>
      <c r="L1130" s="25">
        <v>48.46</v>
      </c>
      <c r="M1130" s="25">
        <v>5.84</v>
      </c>
      <c r="N1130" s="25">
        <v>0</v>
      </c>
      <c r="O1130" s="25">
        <v>115.82</v>
      </c>
      <c r="P1130" s="25">
        <v>170.1155</v>
      </c>
    </row>
    <row r="1131" spans="1:16" x14ac:dyDescent="0.25">
      <c r="A1131" s="26">
        <v>43320</v>
      </c>
      <c r="B1131" s="25" t="s">
        <v>26</v>
      </c>
      <c r="C1131" s="25" t="s">
        <v>17</v>
      </c>
      <c r="D1131" s="25">
        <v>679</v>
      </c>
      <c r="E1131" s="25">
        <v>106</v>
      </c>
      <c r="F1131" s="25">
        <v>71974</v>
      </c>
      <c r="G1131" s="25" t="s">
        <v>560</v>
      </c>
      <c r="H1131" s="25">
        <v>2018152</v>
      </c>
      <c r="I1131" s="25" t="s">
        <v>19</v>
      </c>
      <c r="J1131" s="25" t="s">
        <v>20</v>
      </c>
      <c r="K1131" s="25" t="s">
        <v>25</v>
      </c>
      <c r="L1131" s="25">
        <v>0</v>
      </c>
      <c r="M1131" s="25">
        <v>2.16</v>
      </c>
      <c r="N1131" s="25">
        <v>0</v>
      </c>
      <c r="O1131" s="25">
        <v>42.85</v>
      </c>
      <c r="P1131" s="25">
        <v>45.009300000000003</v>
      </c>
    </row>
    <row r="1132" spans="1:16" x14ac:dyDescent="0.25">
      <c r="A1132" s="26">
        <v>43320</v>
      </c>
      <c r="B1132" s="25" t="s">
        <v>26</v>
      </c>
      <c r="C1132" s="25" t="s">
        <v>23</v>
      </c>
      <c r="D1132" s="25">
        <v>679</v>
      </c>
      <c r="E1132" s="25">
        <v>106.32</v>
      </c>
      <c r="F1132" s="25">
        <v>72192.149999999994</v>
      </c>
      <c r="G1132" s="25" t="s">
        <v>561</v>
      </c>
      <c r="H1132" s="25">
        <v>2018152</v>
      </c>
      <c r="I1132" s="25" t="s">
        <v>19</v>
      </c>
      <c r="J1132" s="25" t="s">
        <v>20</v>
      </c>
      <c r="K1132" s="25" t="s">
        <v>25</v>
      </c>
      <c r="L1132" s="25">
        <v>18.09</v>
      </c>
      <c r="M1132" s="25">
        <v>2.17</v>
      </c>
      <c r="N1132" s="25">
        <v>0</v>
      </c>
      <c r="O1132" s="25">
        <v>43</v>
      </c>
      <c r="P1132" s="25">
        <v>63.255800000000001</v>
      </c>
    </row>
    <row r="1133" spans="1:16" x14ac:dyDescent="0.25">
      <c r="A1133" s="26">
        <v>43320</v>
      </c>
      <c r="B1133" s="25" t="s">
        <v>16</v>
      </c>
      <c r="C1133" s="25" t="s">
        <v>17</v>
      </c>
      <c r="D1133" s="25">
        <v>2500</v>
      </c>
      <c r="E1133" s="25">
        <v>65</v>
      </c>
      <c r="F1133" s="25">
        <v>162500</v>
      </c>
      <c r="G1133" s="25" t="s">
        <v>562</v>
      </c>
      <c r="H1133" s="25">
        <v>2018152</v>
      </c>
      <c r="I1133" s="25" t="s">
        <v>19</v>
      </c>
      <c r="J1133" s="25" t="s">
        <v>20</v>
      </c>
      <c r="K1133" s="25" t="s">
        <v>25</v>
      </c>
      <c r="L1133" s="25">
        <v>0</v>
      </c>
      <c r="M1133" s="25">
        <v>4.88</v>
      </c>
      <c r="N1133" s="25">
        <v>14.4</v>
      </c>
      <c r="O1133" s="25">
        <v>96.72</v>
      </c>
      <c r="P1133" s="25">
        <v>115.9961</v>
      </c>
    </row>
    <row r="1134" spans="1:16" x14ac:dyDescent="0.25">
      <c r="A1134" s="26">
        <v>43320</v>
      </c>
      <c r="B1134" s="25" t="s">
        <v>16</v>
      </c>
      <c r="C1134" s="25" t="s">
        <v>23</v>
      </c>
      <c r="D1134" s="25">
        <v>2500</v>
      </c>
      <c r="E1134" s="25">
        <v>65.900000000000006</v>
      </c>
      <c r="F1134" s="25">
        <v>164750</v>
      </c>
      <c r="G1134" s="25" t="s">
        <v>563</v>
      </c>
      <c r="H1134" s="25">
        <v>2018152</v>
      </c>
      <c r="I1134" s="25" t="s">
        <v>19</v>
      </c>
      <c r="J1134" s="25" t="s">
        <v>20</v>
      </c>
      <c r="K1134" s="25" t="s">
        <v>25</v>
      </c>
      <c r="L1134" s="25">
        <v>40.909999999999997</v>
      </c>
      <c r="M1134" s="25">
        <v>4.9400000000000004</v>
      </c>
      <c r="N1134" s="25">
        <v>0</v>
      </c>
      <c r="O1134" s="25">
        <v>98.09</v>
      </c>
      <c r="P1134" s="25">
        <v>143.9425</v>
      </c>
    </row>
    <row r="1135" spans="1:16" x14ac:dyDescent="0.25">
      <c r="A1135" s="26">
        <v>43319</v>
      </c>
      <c r="B1135" s="25" t="s">
        <v>433</v>
      </c>
      <c r="C1135" s="25" t="s">
        <v>17</v>
      </c>
      <c r="D1135" s="25">
        <v>2750</v>
      </c>
      <c r="E1135" s="25">
        <v>16.5</v>
      </c>
      <c r="F1135" s="25">
        <v>45375</v>
      </c>
      <c r="G1135" s="25" t="s">
        <v>564</v>
      </c>
      <c r="H1135" s="25">
        <v>2018151</v>
      </c>
      <c r="I1135" s="25" t="s">
        <v>19</v>
      </c>
      <c r="J1135" s="25" t="s">
        <v>20</v>
      </c>
      <c r="K1135" s="25" t="s">
        <v>25</v>
      </c>
      <c r="L1135" s="25">
        <v>0</v>
      </c>
      <c r="M1135" s="25">
        <v>1.36</v>
      </c>
      <c r="N1135" s="25">
        <v>0</v>
      </c>
      <c r="O1135" s="25">
        <v>29.75</v>
      </c>
      <c r="P1135" s="25">
        <v>31.1113</v>
      </c>
    </row>
    <row r="1136" spans="1:16" x14ac:dyDescent="0.25">
      <c r="A1136" s="26">
        <v>43319</v>
      </c>
      <c r="B1136" s="25" t="s">
        <v>433</v>
      </c>
      <c r="C1136" s="25" t="s">
        <v>17</v>
      </c>
      <c r="D1136" s="25">
        <v>2500</v>
      </c>
      <c r="E1136" s="25">
        <v>16.7</v>
      </c>
      <c r="F1136" s="25">
        <v>41750</v>
      </c>
      <c r="G1136" s="25" t="s">
        <v>565</v>
      </c>
      <c r="H1136" s="25">
        <v>2018151</v>
      </c>
      <c r="I1136" s="25" t="s">
        <v>19</v>
      </c>
      <c r="J1136" s="25" t="s">
        <v>20</v>
      </c>
      <c r="K1136" s="25" t="s">
        <v>25</v>
      </c>
      <c r="L1136" s="25">
        <v>0</v>
      </c>
      <c r="M1136" s="25">
        <v>1.25</v>
      </c>
      <c r="N1136" s="25">
        <v>0</v>
      </c>
      <c r="O1136" s="25">
        <v>29.73</v>
      </c>
      <c r="P1136" s="25">
        <v>30.982500000000002</v>
      </c>
    </row>
    <row r="1137" spans="1:16" x14ac:dyDescent="0.25">
      <c r="A1137" s="26">
        <v>43319</v>
      </c>
      <c r="B1137" s="25" t="s">
        <v>282</v>
      </c>
      <c r="C1137" s="25" t="s">
        <v>17</v>
      </c>
      <c r="D1137" s="25">
        <v>250</v>
      </c>
      <c r="E1137" s="25">
        <v>575.45000000000005</v>
      </c>
      <c r="F1137" s="25">
        <v>143862.5</v>
      </c>
      <c r="G1137" s="25" t="s">
        <v>566</v>
      </c>
      <c r="H1137" s="25">
        <v>2018151</v>
      </c>
      <c r="I1137" s="25" t="s">
        <v>19</v>
      </c>
      <c r="J1137" s="25" t="s">
        <v>20</v>
      </c>
      <c r="K1137" s="25" t="s">
        <v>25</v>
      </c>
      <c r="L1137" s="25">
        <v>0</v>
      </c>
      <c r="M1137" s="25">
        <v>4.32</v>
      </c>
      <c r="N1137" s="25">
        <v>0</v>
      </c>
      <c r="O1137" s="25">
        <v>85.66</v>
      </c>
      <c r="P1137" s="25">
        <v>89.975899999999996</v>
      </c>
    </row>
    <row r="1138" spans="1:16" x14ac:dyDescent="0.25">
      <c r="A1138" s="26">
        <v>43319</v>
      </c>
      <c r="B1138" s="25" t="s">
        <v>282</v>
      </c>
      <c r="C1138" s="25" t="s">
        <v>23</v>
      </c>
      <c r="D1138" s="25">
        <v>250</v>
      </c>
      <c r="E1138" s="25">
        <v>573.45000000000005</v>
      </c>
      <c r="F1138" s="25">
        <v>143362.5</v>
      </c>
      <c r="G1138" s="25" t="s">
        <v>567</v>
      </c>
      <c r="H1138" s="25">
        <v>2018151</v>
      </c>
      <c r="I1138" s="25" t="s">
        <v>19</v>
      </c>
      <c r="J1138" s="25" t="s">
        <v>20</v>
      </c>
      <c r="K1138" s="25" t="s">
        <v>25</v>
      </c>
      <c r="L1138" s="25">
        <v>36.29</v>
      </c>
      <c r="M1138" s="25">
        <v>4.3</v>
      </c>
      <c r="N1138" s="25">
        <v>15</v>
      </c>
      <c r="O1138" s="25">
        <v>85.36</v>
      </c>
      <c r="P1138" s="25">
        <v>140.95079999999999</v>
      </c>
    </row>
    <row r="1139" spans="1:16" x14ac:dyDescent="0.25">
      <c r="A1139" s="26">
        <v>43319</v>
      </c>
      <c r="B1139" s="25" t="s">
        <v>433</v>
      </c>
      <c r="C1139" s="25" t="s">
        <v>23</v>
      </c>
      <c r="D1139" s="25">
        <v>5250</v>
      </c>
      <c r="E1139" s="25">
        <v>17.05</v>
      </c>
      <c r="F1139" s="25">
        <v>89512.5</v>
      </c>
      <c r="G1139" s="25" t="s">
        <v>568</v>
      </c>
      <c r="H1139" s="25">
        <v>2018151</v>
      </c>
      <c r="I1139" s="25" t="s">
        <v>19</v>
      </c>
      <c r="J1139" s="25" t="s">
        <v>20</v>
      </c>
      <c r="K1139" s="25" t="s">
        <v>25</v>
      </c>
      <c r="L1139" s="25">
        <v>22.07</v>
      </c>
      <c r="M1139" s="25">
        <v>2.69</v>
      </c>
      <c r="N1139" s="25">
        <v>0</v>
      </c>
      <c r="O1139" s="25">
        <v>53.3</v>
      </c>
      <c r="P1139" s="25">
        <v>78.055400000000006</v>
      </c>
    </row>
    <row r="1140" spans="1:16" x14ac:dyDescent="0.25">
      <c r="A1140" s="26">
        <v>43319</v>
      </c>
      <c r="B1140" s="25" t="s">
        <v>433</v>
      </c>
      <c r="C1140" s="25" t="s">
        <v>23</v>
      </c>
      <c r="D1140" s="25">
        <v>2000</v>
      </c>
      <c r="E1140" s="25">
        <v>16.8</v>
      </c>
      <c r="F1140" s="25">
        <v>33600</v>
      </c>
      <c r="G1140" s="25" t="s">
        <v>569</v>
      </c>
      <c r="H1140" s="25">
        <v>2018151</v>
      </c>
      <c r="I1140" s="25" t="s">
        <v>19</v>
      </c>
      <c r="J1140" s="25" t="s">
        <v>1634</v>
      </c>
      <c r="K1140" s="25" t="s">
        <v>25</v>
      </c>
      <c r="L1140" s="25">
        <v>33.64</v>
      </c>
      <c r="M1140" s="25">
        <v>1.01</v>
      </c>
      <c r="N1140" s="25">
        <v>0</v>
      </c>
      <c r="O1140" s="25">
        <v>218.25</v>
      </c>
      <c r="P1140" s="25">
        <v>252.898</v>
      </c>
    </row>
    <row r="1141" spans="1:16" x14ac:dyDescent="0.25">
      <c r="A1141" s="26">
        <v>43318</v>
      </c>
      <c r="B1141" s="25" t="s">
        <v>26</v>
      </c>
      <c r="C1141" s="25" t="s">
        <v>17</v>
      </c>
      <c r="D1141" s="25">
        <v>100</v>
      </c>
      <c r="E1141" s="25">
        <v>109.75</v>
      </c>
      <c r="F1141" s="25">
        <v>10974.55</v>
      </c>
      <c r="G1141" s="25" t="s">
        <v>570</v>
      </c>
      <c r="H1141" s="25">
        <v>2018150</v>
      </c>
      <c r="I1141" s="25" t="s">
        <v>19</v>
      </c>
      <c r="J1141" s="25" t="s">
        <v>1634</v>
      </c>
      <c r="K1141" s="25" t="s">
        <v>25</v>
      </c>
      <c r="L1141" s="25">
        <v>10.68</v>
      </c>
      <c r="M1141" s="25">
        <v>0.33</v>
      </c>
      <c r="N1141" s="25">
        <v>4.5</v>
      </c>
      <c r="O1141" s="25">
        <v>71.28</v>
      </c>
      <c r="P1141" s="25">
        <v>86.789199999999994</v>
      </c>
    </row>
    <row r="1142" spans="1:16" x14ac:dyDescent="0.25">
      <c r="A1142" s="26">
        <v>43318</v>
      </c>
      <c r="B1142" s="25" t="s">
        <v>433</v>
      </c>
      <c r="C1142" s="25" t="s">
        <v>17</v>
      </c>
      <c r="D1142" s="25">
        <v>2500</v>
      </c>
      <c r="E1142" s="25">
        <v>16.149999999999999</v>
      </c>
      <c r="F1142" s="25">
        <v>40375</v>
      </c>
      <c r="G1142" s="25" t="s">
        <v>571</v>
      </c>
      <c r="H1142" s="25">
        <v>2018150</v>
      </c>
      <c r="I1142" s="25" t="s">
        <v>19</v>
      </c>
      <c r="J1142" s="25" t="s">
        <v>1634</v>
      </c>
      <c r="K1142" s="25" t="s">
        <v>25</v>
      </c>
      <c r="L1142" s="25">
        <v>0</v>
      </c>
      <c r="M1142" s="25">
        <v>1.21</v>
      </c>
      <c r="N1142" s="25">
        <v>0</v>
      </c>
      <c r="O1142" s="25">
        <v>29.72</v>
      </c>
      <c r="P1142" s="25">
        <v>30.9313</v>
      </c>
    </row>
    <row r="1143" spans="1:16" x14ac:dyDescent="0.25">
      <c r="A1143" s="26">
        <v>43318</v>
      </c>
      <c r="B1143" s="25" t="s">
        <v>26</v>
      </c>
      <c r="C1143" s="25" t="s">
        <v>17</v>
      </c>
      <c r="D1143" s="25">
        <v>150</v>
      </c>
      <c r="E1143" s="25">
        <v>109</v>
      </c>
      <c r="F1143" s="25">
        <v>16350</v>
      </c>
      <c r="G1143" s="25" t="s">
        <v>572</v>
      </c>
      <c r="H1143" s="25">
        <v>2018150</v>
      </c>
      <c r="I1143" s="25" t="s">
        <v>19</v>
      </c>
      <c r="J1143" s="25" t="s">
        <v>1634</v>
      </c>
      <c r="K1143" s="25" t="s">
        <v>25</v>
      </c>
      <c r="L1143" s="25">
        <v>16.39</v>
      </c>
      <c r="M1143" s="25">
        <v>0.49</v>
      </c>
      <c r="N1143" s="25">
        <v>0</v>
      </c>
      <c r="O1143" s="25">
        <v>106.2</v>
      </c>
      <c r="P1143" s="25">
        <v>123.0805</v>
      </c>
    </row>
    <row r="1144" spans="1:16" x14ac:dyDescent="0.25">
      <c r="A1144" s="26">
        <v>43318</v>
      </c>
      <c r="B1144" s="25" t="s">
        <v>433</v>
      </c>
      <c r="C1144" s="25" t="s">
        <v>23</v>
      </c>
      <c r="D1144" s="25">
        <v>2500</v>
      </c>
      <c r="E1144" s="25">
        <v>16.399999999999999</v>
      </c>
      <c r="F1144" s="25">
        <v>41000</v>
      </c>
      <c r="G1144" s="25" t="s">
        <v>573</v>
      </c>
      <c r="H1144" s="25">
        <v>2018150</v>
      </c>
      <c r="I1144" s="25" t="s">
        <v>19</v>
      </c>
      <c r="J1144" s="25" t="s">
        <v>1634</v>
      </c>
      <c r="K1144" s="25" t="s">
        <v>25</v>
      </c>
      <c r="L1144" s="25">
        <v>10.220000000000001</v>
      </c>
      <c r="M1144" s="25">
        <v>1.23</v>
      </c>
      <c r="N1144" s="25">
        <v>0</v>
      </c>
      <c r="O1144" s="25">
        <v>29.72</v>
      </c>
      <c r="P1144" s="25">
        <v>41.17</v>
      </c>
    </row>
    <row r="1145" spans="1:16" x14ac:dyDescent="0.25">
      <c r="A1145" s="26">
        <v>43318</v>
      </c>
      <c r="B1145" s="25" t="s">
        <v>433</v>
      </c>
      <c r="C1145" s="25" t="s">
        <v>17</v>
      </c>
      <c r="D1145" s="25">
        <v>2000</v>
      </c>
      <c r="E1145" s="25">
        <v>16.55</v>
      </c>
      <c r="F1145" s="25">
        <v>33100</v>
      </c>
      <c r="G1145" s="25" t="s">
        <v>574</v>
      </c>
      <c r="H1145" s="25">
        <v>2018150</v>
      </c>
      <c r="I1145" s="25" t="s">
        <v>19</v>
      </c>
      <c r="J1145" s="25" t="s">
        <v>1634</v>
      </c>
      <c r="K1145" s="25" t="s">
        <v>25</v>
      </c>
      <c r="L1145" s="25">
        <v>32.71</v>
      </c>
      <c r="M1145" s="25">
        <v>0.99</v>
      </c>
      <c r="N1145" s="25">
        <v>0</v>
      </c>
      <c r="O1145" s="25">
        <v>215</v>
      </c>
      <c r="P1145" s="25">
        <v>248.70310000000001</v>
      </c>
    </row>
    <row r="1146" spans="1:16" x14ac:dyDescent="0.25">
      <c r="A1146" s="26">
        <v>43315</v>
      </c>
      <c r="B1146" s="25" t="s">
        <v>575</v>
      </c>
      <c r="C1146" s="25" t="s">
        <v>17</v>
      </c>
      <c r="D1146" s="25">
        <v>1100</v>
      </c>
      <c r="E1146" s="25">
        <v>62.25</v>
      </c>
      <c r="F1146" s="25">
        <v>68475</v>
      </c>
      <c r="G1146" s="25" t="s">
        <v>576</v>
      </c>
      <c r="H1146" s="25">
        <v>2018149</v>
      </c>
      <c r="I1146" s="25" t="s">
        <v>19</v>
      </c>
      <c r="J1146" s="25" t="s">
        <v>20</v>
      </c>
      <c r="K1146" s="25" t="s">
        <v>25</v>
      </c>
      <c r="L1146" s="25">
        <v>0</v>
      </c>
      <c r="M1146" s="25">
        <v>2.0499999999999998</v>
      </c>
      <c r="N1146" s="25">
        <v>7.8</v>
      </c>
      <c r="O1146" s="25">
        <v>40.78</v>
      </c>
      <c r="P1146" s="25">
        <v>50.6342</v>
      </c>
    </row>
    <row r="1147" spans="1:16" x14ac:dyDescent="0.25">
      <c r="A1147" s="26">
        <v>43315</v>
      </c>
      <c r="B1147" s="25" t="s">
        <v>575</v>
      </c>
      <c r="C1147" s="25" t="s">
        <v>23</v>
      </c>
      <c r="D1147" s="25">
        <v>1100</v>
      </c>
      <c r="E1147" s="25">
        <v>62.4</v>
      </c>
      <c r="F1147" s="25">
        <v>68640</v>
      </c>
      <c r="G1147" s="25" t="s">
        <v>577</v>
      </c>
      <c r="H1147" s="25">
        <v>2018149</v>
      </c>
      <c r="I1147" s="25" t="s">
        <v>19</v>
      </c>
      <c r="J1147" s="25" t="s">
        <v>20</v>
      </c>
      <c r="K1147" s="25" t="s">
        <v>25</v>
      </c>
      <c r="L1147" s="25">
        <v>17.14</v>
      </c>
      <c r="M1147" s="25">
        <v>2.06</v>
      </c>
      <c r="N1147" s="25">
        <v>0</v>
      </c>
      <c r="O1147" s="25">
        <v>40.869999999999997</v>
      </c>
      <c r="P1147" s="25">
        <v>60.069200000000002</v>
      </c>
    </row>
    <row r="1148" spans="1:16" x14ac:dyDescent="0.25">
      <c r="A1148" s="26">
        <v>43315</v>
      </c>
      <c r="B1148" s="25" t="s">
        <v>433</v>
      </c>
      <c r="C1148" s="25" t="s">
        <v>23</v>
      </c>
      <c r="D1148" s="25">
        <v>6000</v>
      </c>
      <c r="E1148" s="25">
        <v>16</v>
      </c>
      <c r="F1148" s="25">
        <v>96000</v>
      </c>
      <c r="G1148" s="25" t="s">
        <v>578</v>
      </c>
      <c r="H1148" s="25">
        <v>2018149</v>
      </c>
      <c r="I1148" s="25" t="s">
        <v>19</v>
      </c>
      <c r="J1148" s="25" t="s">
        <v>20</v>
      </c>
      <c r="K1148" s="25" t="s">
        <v>25</v>
      </c>
      <c r="L1148" s="25">
        <v>92.95</v>
      </c>
      <c r="M1148" s="25">
        <v>2.88</v>
      </c>
      <c r="N1148" s="25">
        <v>0</v>
      </c>
      <c r="O1148" s="25">
        <v>623.54999999999995</v>
      </c>
      <c r="P1148" s="25">
        <v>719.38</v>
      </c>
    </row>
    <row r="1149" spans="1:16" x14ac:dyDescent="0.25">
      <c r="A1149" s="26">
        <v>43315</v>
      </c>
      <c r="B1149" s="25" t="s">
        <v>179</v>
      </c>
      <c r="C1149" s="25" t="s">
        <v>17</v>
      </c>
      <c r="D1149" s="25">
        <v>150</v>
      </c>
      <c r="E1149" s="25">
        <v>60.19</v>
      </c>
      <c r="F1149" s="25">
        <v>9029.0499999999993</v>
      </c>
      <c r="G1149" s="25" t="s">
        <v>579</v>
      </c>
      <c r="H1149" s="25">
        <v>2018149</v>
      </c>
      <c r="I1149" s="25" t="s">
        <v>19</v>
      </c>
      <c r="J1149" s="25" t="s">
        <v>20</v>
      </c>
      <c r="K1149" s="25" t="s">
        <v>25</v>
      </c>
      <c r="L1149" s="25">
        <v>9.0299999999999994</v>
      </c>
      <c r="M1149" s="25">
        <v>0.27</v>
      </c>
      <c r="N1149" s="25">
        <v>0</v>
      </c>
      <c r="O1149" s="25">
        <v>58.64</v>
      </c>
      <c r="P1149" s="25">
        <v>67.940899999999999</v>
      </c>
    </row>
    <row r="1150" spans="1:16" x14ac:dyDescent="0.25">
      <c r="A1150" s="26">
        <v>43315</v>
      </c>
      <c r="B1150" s="25" t="s">
        <v>190</v>
      </c>
      <c r="C1150" s="25" t="s">
        <v>17</v>
      </c>
      <c r="D1150" s="25">
        <v>1000</v>
      </c>
      <c r="E1150" s="25">
        <v>6</v>
      </c>
      <c r="F1150" s="25">
        <v>6000</v>
      </c>
      <c r="G1150" s="25" t="s">
        <v>580</v>
      </c>
      <c r="H1150" s="25">
        <v>2018149</v>
      </c>
      <c r="I1150" s="25" t="s">
        <v>19</v>
      </c>
      <c r="J1150" s="25" t="s">
        <v>20</v>
      </c>
      <c r="K1150" s="25" t="s">
        <v>25</v>
      </c>
      <c r="L1150" s="25">
        <v>5.88</v>
      </c>
      <c r="M1150" s="25">
        <v>0.18</v>
      </c>
      <c r="N1150" s="25">
        <v>0</v>
      </c>
      <c r="O1150" s="25">
        <v>59.03</v>
      </c>
      <c r="P1150" s="25">
        <v>65.09</v>
      </c>
    </row>
    <row r="1151" spans="1:16" x14ac:dyDescent="0.25">
      <c r="A1151" s="26">
        <v>43315</v>
      </c>
      <c r="B1151" s="25" t="s">
        <v>433</v>
      </c>
      <c r="C1151" s="25" t="s">
        <v>17</v>
      </c>
      <c r="D1151" s="25">
        <v>250</v>
      </c>
      <c r="E1151" s="25">
        <v>15.8</v>
      </c>
      <c r="F1151" s="25">
        <v>3950</v>
      </c>
      <c r="G1151" s="25" t="s">
        <v>581</v>
      </c>
      <c r="H1151" s="25">
        <v>2018149</v>
      </c>
      <c r="I1151" s="25" t="s">
        <v>19</v>
      </c>
      <c r="J1151" s="25" t="s">
        <v>20</v>
      </c>
      <c r="K1151" s="25" t="s">
        <v>25</v>
      </c>
      <c r="L1151" s="25">
        <v>0</v>
      </c>
      <c r="M1151" s="25">
        <v>0.12</v>
      </c>
      <c r="N1151" s="25">
        <v>0</v>
      </c>
      <c r="O1151" s="25">
        <v>0.02</v>
      </c>
      <c r="P1151" s="25">
        <v>0.13850000000000001</v>
      </c>
    </row>
    <row r="1152" spans="1:16" x14ac:dyDescent="0.25">
      <c r="A1152" s="26">
        <v>43314</v>
      </c>
      <c r="B1152" s="25" t="s">
        <v>433</v>
      </c>
      <c r="C1152" s="25" t="s">
        <v>17</v>
      </c>
      <c r="D1152" s="25">
        <v>5000</v>
      </c>
      <c r="E1152" s="25">
        <v>14.7</v>
      </c>
      <c r="F1152" s="25">
        <v>73500</v>
      </c>
      <c r="G1152" s="25" t="s">
        <v>582</v>
      </c>
      <c r="H1152" s="25">
        <v>2018148</v>
      </c>
      <c r="I1152" s="25" t="s">
        <v>19</v>
      </c>
      <c r="J1152" s="25" t="s">
        <v>20</v>
      </c>
      <c r="K1152" s="25" t="s">
        <v>25</v>
      </c>
      <c r="L1152" s="25">
        <v>0</v>
      </c>
      <c r="M1152" s="25">
        <v>2.21</v>
      </c>
      <c r="N1152" s="25">
        <v>0</v>
      </c>
      <c r="O1152" s="25">
        <v>43.77</v>
      </c>
      <c r="P1152" s="25">
        <v>45.975099999999998</v>
      </c>
    </row>
    <row r="1153" spans="1:16" x14ac:dyDescent="0.25">
      <c r="A1153" s="26">
        <v>43314</v>
      </c>
      <c r="B1153" s="25" t="s">
        <v>433</v>
      </c>
      <c r="C1153" s="25" t="s">
        <v>23</v>
      </c>
      <c r="D1153" s="25">
        <v>5000</v>
      </c>
      <c r="E1153" s="25">
        <v>14.75</v>
      </c>
      <c r="F1153" s="25">
        <v>73750</v>
      </c>
      <c r="G1153" s="25" t="s">
        <v>583</v>
      </c>
      <c r="H1153" s="25">
        <v>2018148</v>
      </c>
      <c r="I1153" s="25" t="s">
        <v>19</v>
      </c>
      <c r="J1153" s="25" t="s">
        <v>20</v>
      </c>
      <c r="K1153" s="25" t="s">
        <v>25</v>
      </c>
      <c r="L1153" s="25">
        <v>18</v>
      </c>
      <c r="M1153" s="25">
        <v>2.21</v>
      </c>
      <c r="N1153" s="25">
        <v>4.5</v>
      </c>
      <c r="O1153" s="25">
        <v>43.91</v>
      </c>
      <c r="P1153" s="25">
        <v>68.622500000000002</v>
      </c>
    </row>
    <row r="1154" spans="1:16" x14ac:dyDescent="0.25">
      <c r="A1154" s="26">
        <v>43313</v>
      </c>
      <c r="B1154" s="25" t="s">
        <v>26</v>
      </c>
      <c r="C1154" s="25" t="s">
        <v>17</v>
      </c>
      <c r="D1154" s="25">
        <v>1100</v>
      </c>
      <c r="E1154" s="25">
        <v>117</v>
      </c>
      <c r="F1154" s="25">
        <v>128700</v>
      </c>
      <c r="G1154" s="25" t="s">
        <v>584</v>
      </c>
      <c r="H1154" s="25">
        <v>2018147</v>
      </c>
      <c r="I1154" s="25" t="s">
        <v>19</v>
      </c>
      <c r="J1154" s="25" t="s">
        <v>20</v>
      </c>
      <c r="K1154" s="25" t="s">
        <v>25</v>
      </c>
      <c r="L1154" s="25">
        <v>0</v>
      </c>
      <c r="M1154" s="25">
        <v>3.86</v>
      </c>
      <c r="N1154" s="25">
        <v>15.6</v>
      </c>
      <c r="O1154" s="25">
        <v>76.63</v>
      </c>
      <c r="P1154" s="25">
        <v>96.090999999999994</v>
      </c>
    </row>
    <row r="1155" spans="1:16" x14ac:dyDescent="0.25">
      <c r="A1155" s="26">
        <v>43313</v>
      </c>
      <c r="B1155" s="25" t="s">
        <v>26</v>
      </c>
      <c r="C1155" s="25" t="s">
        <v>23</v>
      </c>
      <c r="D1155" s="25">
        <v>1100</v>
      </c>
      <c r="E1155" s="25">
        <v>113.39</v>
      </c>
      <c r="F1155" s="25">
        <v>124734.45</v>
      </c>
      <c r="G1155" s="25" t="s">
        <v>585</v>
      </c>
      <c r="H1155" s="25">
        <v>2018147</v>
      </c>
      <c r="I1155" s="25" t="s">
        <v>19</v>
      </c>
      <c r="J1155" s="25" t="s">
        <v>20</v>
      </c>
      <c r="K1155" s="25" t="s">
        <v>25</v>
      </c>
      <c r="L1155" s="25">
        <v>31.9</v>
      </c>
      <c r="M1155" s="25">
        <v>3.74</v>
      </c>
      <c r="N1155" s="25">
        <v>0</v>
      </c>
      <c r="O1155" s="25">
        <v>74.27</v>
      </c>
      <c r="P1155" s="25">
        <v>109.9121</v>
      </c>
    </row>
    <row r="1156" spans="1:16" x14ac:dyDescent="0.25">
      <c r="A1156" s="26">
        <v>43313</v>
      </c>
      <c r="B1156" s="25" t="s">
        <v>26</v>
      </c>
      <c r="C1156" s="25" t="s">
        <v>17</v>
      </c>
      <c r="D1156" s="25">
        <v>1100</v>
      </c>
      <c r="E1156" s="25">
        <v>114</v>
      </c>
      <c r="F1156" s="25">
        <v>125400</v>
      </c>
      <c r="G1156" s="25" t="s">
        <v>586</v>
      </c>
      <c r="H1156" s="25">
        <v>2018147</v>
      </c>
      <c r="I1156" s="25" t="s">
        <v>19</v>
      </c>
      <c r="J1156" s="25" t="s">
        <v>20</v>
      </c>
      <c r="K1156" s="25" t="s">
        <v>25</v>
      </c>
      <c r="L1156" s="25">
        <v>0</v>
      </c>
      <c r="M1156" s="25">
        <v>3.76</v>
      </c>
      <c r="N1156" s="25">
        <v>0</v>
      </c>
      <c r="O1156" s="25">
        <v>74.66</v>
      </c>
      <c r="P1156" s="25">
        <v>78.4221</v>
      </c>
    </row>
    <row r="1157" spans="1:16" x14ac:dyDescent="0.25">
      <c r="A1157" s="26">
        <v>43313</v>
      </c>
      <c r="B1157" s="25" t="s">
        <v>26</v>
      </c>
      <c r="C1157" s="25" t="s">
        <v>23</v>
      </c>
      <c r="D1157" s="25">
        <v>1100</v>
      </c>
      <c r="E1157" s="25">
        <v>114</v>
      </c>
      <c r="F1157" s="25">
        <v>125400</v>
      </c>
      <c r="G1157" s="25" t="s">
        <v>587</v>
      </c>
      <c r="H1157" s="25">
        <v>2018147</v>
      </c>
      <c r="I1157" s="25" t="s">
        <v>19</v>
      </c>
      <c r="J1157" s="25" t="s">
        <v>20</v>
      </c>
      <c r="K1157" s="25" t="s">
        <v>25</v>
      </c>
      <c r="L1157" s="25">
        <v>40.950000000000003</v>
      </c>
      <c r="M1157" s="25">
        <v>3.76</v>
      </c>
      <c r="N1157" s="25">
        <v>0</v>
      </c>
      <c r="O1157" s="25">
        <v>74.67</v>
      </c>
      <c r="P1157" s="25">
        <v>119.38209999999999</v>
      </c>
    </row>
    <row r="1158" spans="1:16" x14ac:dyDescent="0.25">
      <c r="A1158" s="26">
        <v>43313</v>
      </c>
      <c r="B1158" s="25" t="s">
        <v>26</v>
      </c>
      <c r="C1158" s="25" t="s">
        <v>23</v>
      </c>
      <c r="D1158" s="25">
        <v>110</v>
      </c>
      <c r="E1158" s="25">
        <v>112</v>
      </c>
      <c r="F1158" s="25">
        <v>12320</v>
      </c>
      <c r="G1158" s="25" t="s">
        <v>588</v>
      </c>
      <c r="H1158" s="25">
        <v>2018147</v>
      </c>
      <c r="I1158" s="25" t="s">
        <v>19</v>
      </c>
      <c r="J1158" s="25" t="s">
        <v>1634</v>
      </c>
      <c r="K1158" s="25" t="s">
        <v>25</v>
      </c>
      <c r="L1158" s="25">
        <v>3.15</v>
      </c>
      <c r="M1158" s="25">
        <v>0.37</v>
      </c>
      <c r="N1158" s="25">
        <v>0</v>
      </c>
      <c r="O1158" s="25">
        <v>80.02</v>
      </c>
      <c r="P1158" s="25">
        <v>83.539599999999993</v>
      </c>
    </row>
    <row r="1159" spans="1:16" x14ac:dyDescent="0.25">
      <c r="A1159" s="26">
        <v>43312</v>
      </c>
      <c r="B1159" s="25" t="s">
        <v>433</v>
      </c>
      <c r="C1159" s="25" t="s">
        <v>17</v>
      </c>
      <c r="D1159" s="25">
        <v>1000</v>
      </c>
      <c r="E1159" s="25">
        <v>14.1</v>
      </c>
      <c r="F1159" s="25">
        <v>14100</v>
      </c>
      <c r="G1159" s="25" t="s">
        <v>589</v>
      </c>
      <c r="H1159" s="25">
        <v>2018146</v>
      </c>
      <c r="I1159" s="25" t="s">
        <v>19</v>
      </c>
      <c r="J1159" s="25" t="s">
        <v>20</v>
      </c>
      <c r="K1159" s="25" t="s">
        <v>25</v>
      </c>
      <c r="L1159" s="25">
        <v>0</v>
      </c>
      <c r="M1159" s="25">
        <v>0.42</v>
      </c>
      <c r="N1159" s="25">
        <v>0</v>
      </c>
      <c r="O1159" s="25">
        <v>29.58</v>
      </c>
      <c r="P1159" s="25">
        <v>30.0029</v>
      </c>
    </row>
    <row r="1160" spans="1:16" x14ac:dyDescent="0.25">
      <c r="A1160" s="26">
        <v>43312</v>
      </c>
      <c r="B1160" s="25" t="s">
        <v>433</v>
      </c>
      <c r="C1160" s="25" t="s">
        <v>17</v>
      </c>
      <c r="D1160" s="25">
        <v>5000</v>
      </c>
      <c r="E1160" s="25">
        <v>14</v>
      </c>
      <c r="F1160" s="25">
        <v>70000</v>
      </c>
      <c r="G1160" s="25" t="s">
        <v>590</v>
      </c>
      <c r="H1160" s="25">
        <v>2018146</v>
      </c>
      <c r="I1160" s="25" t="s">
        <v>19</v>
      </c>
      <c r="J1160" s="25" t="s">
        <v>20</v>
      </c>
      <c r="K1160" s="25" t="s">
        <v>25</v>
      </c>
      <c r="L1160" s="25">
        <v>0</v>
      </c>
      <c r="M1160" s="25">
        <v>2.1</v>
      </c>
      <c r="N1160" s="25">
        <v>0</v>
      </c>
      <c r="O1160" s="25">
        <v>41.68</v>
      </c>
      <c r="P1160" s="25">
        <v>43.78</v>
      </c>
    </row>
    <row r="1161" spans="1:16" x14ac:dyDescent="0.25">
      <c r="A1161" s="26">
        <v>43312</v>
      </c>
      <c r="B1161" s="25" t="s">
        <v>433</v>
      </c>
      <c r="C1161" s="25" t="s">
        <v>23</v>
      </c>
      <c r="D1161" s="25">
        <v>6000</v>
      </c>
      <c r="E1161" s="25">
        <v>14.1</v>
      </c>
      <c r="F1161" s="25">
        <v>84600</v>
      </c>
      <c r="G1161" s="25" t="s">
        <v>591</v>
      </c>
      <c r="H1161" s="25">
        <v>2018146</v>
      </c>
      <c r="I1161" s="25" t="s">
        <v>19</v>
      </c>
      <c r="J1161" s="25" t="s">
        <v>20</v>
      </c>
      <c r="K1161" s="25" t="s">
        <v>25</v>
      </c>
      <c r="L1161" s="25">
        <v>21</v>
      </c>
      <c r="M1161" s="25">
        <v>2.54</v>
      </c>
      <c r="N1161" s="25">
        <v>5.0999999999999996</v>
      </c>
      <c r="O1161" s="25">
        <v>50.37</v>
      </c>
      <c r="P1161" s="25">
        <v>79.007999999999996</v>
      </c>
    </row>
    <row r="1162" spans="1:16" x14ac:dyDescent="0.25">
      <c r="A1162" s="26">
        <v>43311</v>
      </c>
      <c r="B1162" s="25" t="s">
        <v>26</v>
      </c>
      <c r="C1162" s="25" t="s">
        <v>17</v>
      </c>
      <c r="D1162" s="25">
        <v>100</v>
      </c>
      <c r="E1162" s="25">
        <v>110</v>
      </c>
      <c r="F1162" s="25">
        <v>11000</v>
      </c>
      <c r="G1162" s="25" t="s">
        <v>592</v>
      </c>
      <c r="H1162" s="25">
        <v>2018145</v>
      </c>
      <c r="I1162" s="25" t="s">
        <v>19</v>
      </c>
      <c r="J1162" s="25" t="s">
        <v>1634</v>
      </c>
      <c r="K1162" s="25" t="s">
        <v>25</v>
      </c>
      <c r="L1162" s="25">
        <v>10.98</v>
      </c>
      <c r="M1162" s="25">
        <v>0.33</v>
      </c>
      <c r="N1162" s="25">
        <v>0</v>
      </c>
      <c r="O1162" s="25">
        <v>71.45</v>
      </c>
      <c r="P1162" s="25">
        <v>82.76</v>
      </c>
    </row>
    <row r="1163" spans="1:16" x14ac:dyDescent="0.25">
      <c r="A1163" s="26">
        <v>43311</v>
      </c>
      <c r="B1163" s="25" t="s">
        <v>26</v>
      </c>
      <c r="C1163" s="25" t="s">
        <v>17</v>
      </c>
      <c r="D1163" s="25">
        <v>10</v>
      </c>
      <c r="E1163" s="25">
        <v>107.66</v>
      </c>
      <c r="F1163" s="25">
        <v>1076.55</v>
      </c>
      <c r="G1163" s="25" t="s">
        <v>593</v>
      </c>
      <c r="H1163" s="25">
        <v>2018145</v>
      </c>
      <c r="I1163" s="25" t="s">
        <v>19</v>
      </c>
      <c r="J1163" s="25" t="s">
        <v>1634</v>
      </c>
      <c r="K1163" s="25" t="s">
        <v>25</v>
      </c>
      <c r="L1163" s="25">
        <v>1.02</v>
      </c>
      <c r="M1163" s="25">
        <v>0.03</v>
      </c>
      <c r="N1163" s="25">
        <v>0.6</v>
      </c>
      <c r="O1163" s="25">
        <v>31.77</v>
      </c>
      <c r="P1163" s="25">
        <v>33.422400000000003</v>
      </c>
    </row>
    <row r="1164" spans="1:16" x14ac:dyDescent="0.25">
      <c r="A1164" s="26">
        <v>43300</v>
      </c>
      <c r="B1164" s="25" t="s">
        <v>594</v>
      </c>
      <c r="C1164" s="25" t="s">
        <v>23</v>
      </c>
      <c r="D1164" s="25">
        <v>10</v>
      </c>
      <c r="E1164" s="25">
        <v>130.9</v>
      </c>
      <c r="F1164" s="25">
        <v>1309</v>
      </c>
      <c r="G1164" s="25" t="s">
        <v>595</v>
      </c>
      <c r="H1164" s="25">
        <v>2018138</v>
      </c>
      <c r="I1164" s="25" t="s">
        <v>19</v>
      </c>
      <c r="J1164" s="25" t="s">
        <v>20</v>
      </c>
      <c r="K1164" s="25" t="s">
        <v>25</v>
      </c>
      <c r="L1164" s="25">
        <v>1</v>
      </c>
      <c r="M1164" s="25">
        <v>0.04</v>
      </c>
      <c r="N1164" s="25">
        <v>0.3</v>
      </c>
      <c r="O1164" s="25">
        <v>38.619999999999997</v>
      </c>
      <c r="P1164" s="25">
        <v>39.959299999999999</v>
      </c>
    </row>
    <row r="1165" spans="1:16" x14ac:dyDescent="0.25">
      <c r="A1165" s="26">
        <v>43299</v>
      </c>
      <c r="B1165" s="25" t="s">
        <v>65</v>
      </c>
      <c r="C1165" s="25" t="s">
        <v>17</v>
      </c>
      <c r="D1165" s="25">
        <v>500</v>
      </c>
      <c r="E1165" s="25">
        <v>80.099999999999994</v>
      </c>
      <c r="F1165" s="25">
        <v>40050</v>
      </c>
      <c r="G1165" s="25" t="s">
        <v>596</v>
      </c>
      <c r="H1165" s="25">
        <v>2018137</v>
      </c>
      <c r="I1165" s="25" t="s">
        <v>19</v>
      </c>
      <c r="J1165" s="25" t="s">
        <v>20</v>
      </c>
      <c r="K1165" s="25" t="s">
        <v>25</v>
      </c>
      <c r="L1165" s="25">
        <v>0</v>
      </c>
      <c r="M1165" s="25">
        <v>1.2</v>
      </c>
      <c r="N1165" s="25">
        <v>0</v>
      </c>
      <c r="O1165" s="25">
        <v>29.72</v>
      </c>
      <c r="P1165" s="25">
        <v>30.921399999999998</v>
      </c>
    </row>
    <row r="1166" spans="1:16" x14ac:dyDescent="0.25">
      <c r="A1166" s="26">
        <v>43299</v>
      </c>
      <c r="B1166" s="25" t="s">
        <v>65</v>
      </c>
      <c r="C1166" s="25" t="s">
        <v>23</v>
      </c>
      <c r="D1166" s="25">
        <v>106</v>
      </c>
      <c r="E1166" s="25">
        <v>75.8</v>
      </c>
      <c r="F1166" s="25">
        <v>8034.8</v>
      </c>
      <c r="G1166" s="25" t="s">
        <v>597</v>
      </c>
      <c r="H1166" s="25">
        <v>2018137</v>
      </c>
      <c r="I1166" s="25" t="s">
        <v>19</v>
      </c>
      <c r="J1166" s="25" t="s">
        <v>20</v>
      </c>
      <c r="K1166" s="25" t="s">
        <v>25</v>
      </c>
      <c r="L1166" s="25">
        <v>2.4</v>
      </c>
      <c r="M1166" s="25">
        <v>0.24</v>
      </c>
      <c r="N1166" s="25">
        <v>6.9</v>
      </c>
      <c r="O1166" s="25">
        <v>29.54</v>
      </c>
      <c r="P1166" s="25">
        <v>39.081000000000003</v>
      </c>
    </row>
    <row r="1167" spans="1:16" x14ac:dyDescent="0.25">
      <c r="A1167" s="26">
        <v>43299</v>
      </c>
      <c r="B1167" s="25" t="s">
        <v>65</v>
      </c>
      <c r="C1167" s="25" t="s">
        <v>17</v>
      </c>
      <c r="D1167" s="25">
        <v>1000</v>
      </c>
      <c r="E1167" s="25">
        <v>76.099999999999994</v>
      </c>
      <c r="F1167" s="25">
        <v>76100</v>
      </c>
      <c r="G1167" s="25" t="s">
        <v>598</v>
      </c>
      <c r="H1167" s="25">
        <v>2018137</v>
      </c>
      <c r="I1167" s="25" t="s">
        <v>19</v>
      </c>
      <c r="J1167" s="25" t="s">
        <v>20</v>
      </c>
      <c r="K1167" s="25" t="s">
        <v>25</v>
      </c>
      <c r="L1167" s="25">
        <v>0</v>
      </c>
      <c r="M1167" s="25">
        <v>2.2799999999999998</v>
      </c>
      <c r="N1167" s="25">
        <v>0</v>
      </c>
      <c r="O1167" s="25">
        <v>45.31</v>
      </c>
      <c r="P1167" s="25">
        <v>47.5931</v>
      </c>
    </row>
    <row r="1168" spans="1:16" x14ac:dyDescent="0.25">
      <c r="A1168" s="26">
        <v>43299</v>
      </c>
      <c r="B1168" s="25" t="s">
        <v>65</v>
      </c>
      <c r="C1168" s="25" t="s">
        <v>23</v>
      </c>
      <c r="D1168" s="25">
        <v>1394</v>
      </c>
      <c r="E1168" s="25">
        <v>75.150000000000006</v>
      </c>
      <c r="F1168" s="25">
        <v>104759.1</v>
      </c>
      <c r="G1168" s="25" t="s">
        <v>599</v>
      </c>
      <c r="H1168" s="25">
        <v>2018137</v>
      </c>
      <c r="I1168" s="25" t="s">
        <v>19</v>
      </c>
      <c r="J1168" s="25" t="s">
        <v>20</v>
      </c>
      <c r="K1168" s="25" t="s">
        <v>25</v>
      </c>
      <c r="L1168" s="25">
        <v>26.6</v>
      </c>
      <c r="M1168" s="25">
        <v>3.14</v>
      </c>
      <c r="N1168" s="25">
        <v>0</v>
      </c>
      <c r="O1168" s="25">
        <v>62.37</v>
      </c>
      <c r="P1168" s="25">
        <v>92.112700000000004</v>
      </c>
    </row>
    <row r="1169" spans="1:16" x14ac:dyDescent="0.25">
      <c r="A1169" s="26">
        <v>43287</v>
      </c>
      <c r="B1169" s="25" t="s">
        <v>594</v>
      </c>
      <c r="C1169" s="25" t="s">
        <v>17</v>
      </c>
      <c r="D1169" s="25">
        <v>10</v>
      </c>
      <c r="E1169" s="25">
        <v>81</v>
      </c>
      <c r="F1169" s="25">
        <v>810</v>
      </c>
      <c r="G1169" s="25" t="s">
        <v>600</v>
      </c>
      <c r="H1169" s="25">
        <v>2018129</v>
      </c>
      <c r="I1169" s="25" t="s">
        <v>19</v>
      </c>
      <c r="J1169" s="25" t="s">
        <v>20</v>
      </c>
      <c r="K1169" s="25" t="s">
        <v>25</v>
      </c>
      <c r="L1169" s="25">
        <v>1</v>
      </c>
      <c r="M1169" s="25">
        <v>0.02</v>
      </c>
      <c r="N1169" s="25">
        <v>0.3</v>
      </c>
      <c r="O1169" s="25">
        <v>23.9</v>
      </c>
      <c r="P1169" s="25">
        <v>25.224299999999999</v>
      </c>
    </row>
    <row r="1170" spans="1:16" x14ac:dyDescent="0.25">
      <c r="A1170" s="26">
        <v>43277</v>
      </c>
      <c r="B1170" s="25" t="s">
        <v>321</v>
      </c>
      <c r="C1170" s="25" t="s">
        <v>17</v>
      </c>
      <c r="D1170" s="25">
        <v>500</v>
      </c>
      <c r="E1170" s="25">
        <v>303.45</v>
      </c>
      <c r="F1170" s="25">
        <v>151725.9</v>
      </c>
      <c r="G1170" s="25" t="s">
        <v>601</v>
      </c>
      <c r="H1170" s="25">
        <v>2018121</v>
      </c>
      <c r="I1170" s="25" t="s">
        <v>19</v>
      </c>
      <c r="J1170" s="25" t="s">
        <v>20</v>
      </c>
      <c r="K1170" s="25" t="s">
        <v>25</v>
      </c>
      <c r="L1170" s="25">
        <v>0</v>
      </c>
      <c r="M1170" s="25">
        <v>4.55</v>
      </c>
      <c r="N1170" s="25">
        <v>0</v>
      </c>
      <c r="O1170" s="25">
        <v>90.33</v>
      </c>
      <c r="P1170" s="25">
        <v>94.881699999999995</v>
      </c>
    </row>
    <row r="1171" spans="1:16" x14ac:dyDescent="0.25">
      <c r="A1171" s="26">
        <v>43277</v>
      </c>
      <c r="B1171" s="25" t="s">
        <v>321</v>
      </c>
      <c r="C1171" s="25" t="s">
        <v>17</v>
      </c>
      <c r="D1171" s="25">
        <v>1000</v>
      </c>
      <c r="E1171" s="25">
        <v>300</v>
      </c>
      <c r="F1171" s="25">
        <v>300000</v>
      </c>
      <c r="G1171" s="25" t="s">
        <v>602</v>
      </c>
      <c r="H1171" s="25">
        <v>2018121</v>
      </c>
      <c r="I1171" s="25" t="s">
        <v>19</v>
      </c>
      <c r="J1171" s="25" t="s">
        <v>20</v>
      </c>
      <c r="K1171" s="25" t="s">
        <v>25</v>
      </c>
      <c r="L1171" s="25">
        <v>0</v>
      </c>
      <c r="M1171" s="25">
        <v>9</v>
      </c>
      <c r="N1171" s="25">
        <v>0</v>
      </c>
      <c r="O1171" s="25">
        <v>178.62</v>
      </c>
      <c r="P1171" s="25">
        <v>187.62</v>
      </c>
    </row>
    <row r="1172" spans="1:16" x14ac:dyDescent="0.25">
      <c r="A1172" s="26">
        <v>43277</v>
      </c>
      <c r="B1172" s="25" t="s">
        <v>321</v>
      </c>
      <c r="C1172" s="25" t="s">
        <v>23</v>
      </c>
      <c r="D1172" s="25">
        <v>1500</v>
      </c>
      <c r="E1172" s="25">
        <v>298.91000000000003</v>
      </c>
      <c r="F1172" s="25">
        <v>448366.65</v>
      </c>
      <c r="G1172" s="25" t="s">
        <v>603</v>
      </c>
      <c r="H1172" s="25">
        <v>2018121</v>
      </c>
      <c r="I1172" s="25" t="s">
        <v>19</v>
      </c>
      <c r="J1172" s="25" t="s">
        <v>20</v>
      </c>
      <c r="K1172" s="25" t="s">
        <v>25</v>
      </c>
      <c r="L1172" s="25">
        <v>113</v>
      </c>
      <c r="M1172" s="25">
        <v>13.45</v>
      </c>
      <c r="N1172" s="25">
        <v>27.3</v>
      </c>
      <c r="O1172" s="25">
        <v>266.99</v>
      </c>
      <c r="P1172" s="25">
        <v>420.74029999999999</v>
      </c>
    </row>
    <row r="1173" spans="1:16" x14ac:dyDescent="0.25">
      <c r="A1173" s="26">
        <v>43273</v>
      </c>
      <c r="B1173" s="25" t="s">
        <v>321</v>
      </c>
      <c r="C1173" s="25" t="s">
        <v>17</v>
      </c>
      <c r="D1173" s="25">
        <v>100</v>
      </c>
      <c r="E1173" s="25">
        <v>313.60000000000002</v>
      </c>
      <c r="F1173" s="25">
        <v>31359.75</v>
      </c>
      <c r="G1173" s="25" t="s">
        <v>604</v>
      </c>
      <c r="H1173" s="25">
        <v>2018119</v>
      </c>
      <c r="I1173" s="25" t="s">
        <v>19</v>
      </c>
      <c r="J1173" s="25" t="s">
        <v>20</v>
      </c>
      <c r="K1173" s="25" t="s">
        <v>25</v>
      </c>
      <c r="L1173" s="25">
        <v>0</v>
      </c>
      <c r="M1173" s="25">
        <v>0.94</v>
      </c>
      <c r="N1173" s="25">
        <v>23.4</v>
      </c>
      <c r="O1173" s="25">
        <v>29.67</v>
      </c>
      <c r="P1173" s="25">
        <v>54.0107</v>
      </c>
    </row>
    <row r="1174" spans="1:16" x14ac:dyDescent="0.25">
      <c r="A1174" s="26">
        <v>43273</v>
      </c>
      <c r="B1174" s="25" t="s">
        <v>321</v>
      </c>
      <c r="C1174" s="25" t="s">
        <v>17</v>
      </c>
      <c r="D1174" s="25">
        <v>500</v>
      </c>
      <c r="E1174" s="25">
        <v>313</v>
      </c>
      <c r="F1174" s="25">
        <v>156500</v>
      </c>
      <c r="G1174" s="25" t="s">
        <v>605</v>
      </c>
      <c r="H1174" s="25">
        <v>2018119</v>
      </c>
      <c r="I1174" s="25" t="s">
        <v>19</v>
      </c>
      <c r="J1174" s="25" t="s">
        <v>20</v>
      </c>
      <c r="K1174" s="25" t="s">
        <v>25</v>
      </c>
      <c r="L1174" s="25">
        <v>0</v>
      </c>
      <c r="M1174" s="25">
        <v>4.7</v>
      </c>
      <c r="N1174" s="25">
        <v>0</v>
      </c>
      <c r="O1174" s="25">
        <v>93.18</v>
      </c>
      <c r="P1174" s="25">
        <v>97.875100000000003</v>
      </c>
    </row>
    <row r="1175" spans="1:16" x14ac:dyDescent="0.25">
      <c r="A1175" s="26">
        <v>43273</v>
      </c>
      <c r="B1175" s="25" t="s">
        <v>321</v>
      </c>
      <c r="C1175" s="25" t="s">
        <v>17</v>
      </c>
      <c r="D1175" s="25">
        <v>500</v>
      </c>
      <c r="E1175" s="25">
        <v>309.25</v>
      </c>
      <c r="F1175" s="25">
        <v>154625</v>
      </c>
      <c r="G1175" s="25" t="s">
        <v>606</v>
      </c>
      <c r="H1175" s="25">
        <v>2018119</v>
      </c>
      <c r="I1175" s="25" t="s">
        <v>19</v>
      </c>
      <c r="J1175" s="25" t="s">
        <v>20</v>
      </c>
      <c r="K1175" s="25" t="s">
        <v>25</v>
      </c>
      <c r="L1175" s="25">
        <v>0</v>
      </c>
      <c r="M1175" s="25">
        <v>4.6399999999999997</v>
      </c>
      <c r="N1175" s="25">
        <v>0</v>
      </c>
      <c r="O1175" s="25">
        <v>92.06</v>
      </c>
      <c r="P1175" s="25">
        <v>96.698700000000002</v>
      </c>
    </row>
    <row r="1176" spans="1:16" x14ac:dyDescent="0.25">
      <c r="A1176" s="26">
        <v>43273</v>
      </c>
      <c r="B1176" s="25" t="s">
        <v>321</v>
      </c>
      <c r="C1176" s="25" t="s">
        <v>17</v>
      </c>
      <c r="D1176" s="25">
        <v>150</v>
      </c>
      <c r="E1176" s="25">
        <v>311.25</v>
      </c>
      <c r="F1176" s="25">
        <v>46687.5</v>
      </c>
      <c r="G1176" s="25" t="s">
        <v>607</v>
      </c>
      <c r="H1176" s="25">
        <v>2018119</v>
      </c>
      <c r="I1176" s="25" t="s">
        <v>19</v>
      </c>
      <c r="J1176" s="25" t="s">
        <v>20</v>
      </c>
      <c r="K1176" s="25" t="s">
        <v>25</v>
      </c>
      <c r="L1176" s="25">
        <v>0</v>
      </c>
      <c r="M1176" s="25">
        <v>1.4</v>
      </c>
      <c r="N1176" s="25">
        <v>0</v>
      </c>
      <c r="O1176" s="25">
        <v>29.75</v>
      </c>
      <c r="P1176" s="25">
        <v>31.150600000000001</v>
      </c>
    </row>
    <row r="1177" spans="1:16" x14ac:dyDescent="0.25">
      <c r="A1177" s="26">
        <v>43273</v>
      </c>
      <c r="B1177" s="25" t="s">
        <v>321</v>
      </c>
      <c r="C1177" s="25" t="s">
        <v>23</v>
      </c>
      <c r="D1177" s="25">
        <v>1250</v>
      </c>
      <c r="E1177" s="25">
        <v>310.25</v>
      </c>
      <c r="F1177" s="25">
        <v>387812.5</v>
      </c>
      <c r="G1177" s="25" t="s">
        <v>608</v>
      </c>
      <c r="H1177" s="25">
        <v>2018119</v>
      </c>
      <c r="I1177" s="25" t="s">
        <v>19</v>
      </c>
      <c r="J1177" s="25" t="s">
        <v>20</v>
      </c>
      <c r="K1177" s="25" t="s">
        <v>25</v>
      </c>
      <c r="L1177" s="25">
        <v>97</v>
      </c>
      <c r="M1177" s="25">
        <v>11.63</v>
      </c>
      <c r="N1177" s="25">
        <v>0</v>
      </c>
      <c r="O1177" s="25">
        <v>230.91</v>
      </c>
      <c r="P1177" s="25">
        <v>339.54450000000003</v>
      </c>
    </row>
    <row r="1178" spans="1:16" x14ac:dyDescent="0.25">
      <c r="A1178" s="26">
        <v>43271</v>
      </c>
      <c r="B1178" s="25" t="s">
        <v>321</v>
      </c>
      <c r="C1178" s="25" t="s">
        <v>17</v>
      </c>
      <c r="D1178" s="25">
        <v>250</v>
      </c>
      <c r="E1178" s="25">
        <v>309</v>
      </c>
      <c r="F1178" s="25">
        <v>77250</v>
      </c>
      <c r="G1178" s="25" t="s">
        <v>609</v>
      </c>
      <c r="H1178" s="25">
        <v>2018117</v>
      </c>
      <c r="I1178" s="25" t="s">
        <v>19</v>
      </c>
      <c r="J1178" s="25" t="s">
        <v>20</v>
      </c>
      <c r="K1178" s="25" t="s">
        <v>25</v>
      </c>
      <c r="L1178" s="25">
        <v>0</v>
      </c>
      <c r="M1178" s="25">
        <v>2.3199999999999998</v>
      </c>
      <c r="N1178" s="25">
        <v>0</v>
      </c>
      <c r="O1178" s="25">
        <v>45.99</v>
      </c>
      <c r="P1178" s="25">
        <v>48.307499999999997</v>
      </c>
    </row>
    <row r="1179" spans="1:16" x14ac:dyDescent="0.25">
      <c r="A1179" s="26">
        <v>43271</v>
      </c>
      <c r="B1179" s="25" t="s">
        <v>321</v>
      </c>
      <c r="C1179" s="25" t="s">
        <v>23</v>
      </c>
      <c r="D1179" s="25">
        <v>250</v>
      </c>
      <c r="E1179" s="25">
        <v>308.25</v>
      </c>
      <c r="F1179" s="25">
        <v>77062.5</v>
      </c>
      <c r="G1179" s="25" t="s">
        <v>610</v>
      </c>
      <c r="H1179" s="25">
        <v>2018117</v>
      </c>
      <c r="I1179" s="25" t="s">
        <v>19</v>
      </c>
      <c r="J1179" s="25" t="s">
        <v>20</v>
      </c>
      <c r="K1179" s="25" t="s">
        <v>25</v>
      </c>
      <c r="L1179" s="25">
        <v>19.45</v>
      </c>
      <c r="M1179" s="25">
        <v>2.31</v>
      </c>
      <c r="N1179" s="25">
        <v>6.3</v>
      </c>
      <c r="O1179" s="25">
        <v>45.87</v>
      </c>
      <c r="P1179" s="25">
        <v>73.931899999999999</v>
      </c>
    </row>
    <row r="1180" spans="1:16" x14ac:dyDescent="0.25">
      <c r="A1180" s="26">
        <v>43271</v>
      </c>
      <c r="B1180" s="25" t="s">
        <v>179</v>
      </c>
      <c r="C1180" s="25" t="s">
        <v>23</v>
      </c>
      <c r="D1180" s="25">
        <v>900</v>
      </c>
      <c r="E1180" s="25">
        <v>59.5</v>
      </c>
      <c r="F1180" s="25">
        <v>53550</v>
      </c>
      <c r="G1180" s="25" t="s">
        <v>611</v>
      </c>
      <c r="H1180" s="25">
        <v>2018117</v>
      </c>
      <c r="I1180" s="25" t="s">
        <v>19</v>
      </c>
      <c r="J1180" s="25" t="s">
        <v>20</v>
      </c>
      <c r="K1180" s="25" t="s">
        <v>25</v>
      </c>
      <c r="L1180" s="25">
        <v>53.55</v>
      </c>
      <c r="M1180" s="25">
        <v>1.61</v>
      </c>
      <c r="N1180" s="25">
        <v>0</v>
      </c>
      <c r="O1180" s="25">
        <v>347.82</v>
      </c>
      <c r="P1180" s="25">
        <v>402.97660000000002</v>
      </c>
    </row>
    <row r="1181" spans="1:16" x14ac:dyDescent="0.25">
      <c r="A1181" s="26">
        <v>43270</v>
      </c>
      <c r="B1181" s="25" t="s">
        <v>321</v>
      </c>
      <c r="C1181" s="25" t="s">
        <v>23</v>
      </c>
      <c r="D1181" s="25">
        <v>1000</v>
      </c>
      <c r="E1181" s="25">
        <v>315</v>
      </c>
      <c r="F1181" s="25">
        <v>315000</v>
      </c>
      <c r="G1181" s="25" t="s">
        <v>612</v>
      </c>
      <c r="H1181" s="25">
        <v>2018116</v>
      </c>
      <c r="I1181" s="25" t="s">
        <v>19</v>
      </c>
      <c r="J1181" s="25" t="s">
        <v>1634</v>
      </c>
      <c r="K1181" s="25" t="s">
        <v>25</v>
      </c>
      <c r="L1181" s="25">
        <v>315</v>
      </c>
      <c r="M1181" s="25">
        <v>9.4499999999999993</v>
      </c>
      <c r="N1181" s="25">
        <v>9.6</v>
      </c>
      <c r="O1181" s="25">
        <v>2046.11</v>
      </c>
      <c r="P1181" s="25">
        <v>2380.1606999999999</v>
      </c>
    </row>
    <row r="1182" spans="1:16" x14ac:dyDescent="0.25">
      <c r="A1182" s="26">
        <v>43269</v>
      </c>
      <c r="B1182" s="25" t="s">
        <v>321</v>
      </c>
      <c r="C1182" s="25" t="s">
        <v>17</v>
      </c>
      <c r="D1182" s="25">
        <v>250</v>
      </c>
      <c r="E1182" s="25">
        <v>322.10000000000002</v>
      </c>
      <c r="F1182" s="25">
        <v>80525</v>
      </c>
      <c r="G1182" s="25" t="s">
        <v>613</v>
      </c>
      <c r="H1182" s="25">
        <v>2018115</v>
      </c>
      <c r="I1182" s="25" t="s">
        <v>19</v>
      </c>
      <c r="J1182" s="25" t="s">
        <v>1634</v>
      </c>
      <c r="K1182" s="25" t="s">
        <v>25</v>
      </c>
      <c r="L1182" s="25">
        <v>0</v>
      </c>
      <c r="M1182" s="25">
        <v>2.42</v>
      </c>
      <c r="N1182" s="25">
        <v>0</v>
      </c>
      <c r="O1182" s="25">
        <v>47.94</v>
      </c>
      <c r="P1182" s="25">
        <v>50.355800000000002</v>
      </c>
    </row>
    <row r="1183" spans="1:16" x14ac:dyDescent="0.25">
      <c r="A1183" s="26">
        <v>43269</v>
      </c>
      <c r="B1183" s="25" t="s">
        <v>321</v>
      </c>
      <c r="C1183" s="25" t="s">
        <v>23</v>
      </c>
      <c r="D1183" s="25">
        <v>250</v>
      </c>
      <c r="E1183" s="25">
        <v>323.85000000000002</v>
      </c>
      <c r="F1183" s="25">
        <v>80962.5</v>
      </c>
      <c r="G1183" s="25" t="s">
        <v>614</v>
      </c>
      <c r="H1183" s="25">
        <v>2018115</v>
      </c>
      <c r="I1183" s="25" t="s">
        <v>19</v>
      </c>
      <c r="J1183" s="25" t="s">
        <v>1634</v>
      </c>
      <c r="K1183" s="25" t="s">
        <v>25</v>
      </c>
      <c r="L1183" s="25">
        <v>19.97</v>
      </c>
      <c r="M1183" s="25">
        <v>2.4300000000000002</v>
      </c>
      <c r="N1183" s="25">
        <v>33.9</v>
      </c>
      <c r="O1183" s="25">
        <v>48.2</v>
      </c>
      <c r="P1183" s="25">
        <v>104.49930000000001</v>
      </c>
    </row>
    <row r="1184" spans="1:16" x14ac:dyDescent="0.25">
      <c r="A1184" s="26">
        <v>43269</v>
      </c>
      <c r="B1184" s="25" t="s">
        <v>321</v>
      </c>
      <c r="C1184" s="25" t="s">
        <v>17</v>
      </c>
      <c r="D1184" s="25">
        <v>1000</v>
      </c>
      <c r="E1184" s="25">
        <v>323.5</v>
      </c>
      <c r="F1184" s="25">
        <v>323500</v>
      </c>
      <c r="G1184" s="25" t="s">
        <v>615</v>
      </c>
      <c r="H1184" s="25">
        <v>2018115</v>
      </c>
      <c r="I1184" s="25" t="s">
        <v>19</v>
      </c>
      <c r="J1184" s="25" t="s">
        <v>1634</v>
      </c>
      <c r="K1184" s="25" t="s">
        <v>25</v>
      </c>
      <c r="L1184" s="25">
        <v>0</v>
      </c>
      <c r="M1184" s="25">
        <v>9.6999999999999993</v>
      </c>
      <c r="N1184" s="25">
        <v>0</v>
      </c>
      <c r="O1184" s="25">
        <v>192.62</v>
      </c>
      <c r="P1184" s="25">
        <v>202.32490000000001</v>
      </c>
    </row>
    <row r="1185" spans="1:16" x14ac:dyDescent="0.25">
      <c r="A1185" s="26">
        <v>43269</v>
      </c>
      <c r="B1185" s="25" t="s">
        <v>321</v>
      </c>
      <c r="C1185" s="25" t="s">
        <v>23</v>
      </c>
      <c r="D1185" s="25">
        <v>1000</v>
      </c>
      <c r="E1185" s="25">
        <v>322.25</v>
      </c>
      <c r="F1185" s="25">
        <v>322250</v>
      </c>
      <c r="G1185" s="25" t="s">
        <v>616</v>
      </c>
      <c r="H1185" s="25">
        <v>2018115</v>
      </c>
      <c r="I1185" s="25" t="s">
        <v>19</v>
      </c>
      <c r="J1185" s="25" t="s">
        <v>1634</v>
      </c>
      <c r="K1185" s="25" t="s">
        <v>25</v>
      </c>
      <c r="L1185" s="25">
        <v>80.61</v>
      </c>
      <c r="M1185" s="25">
        <v>9.67</v>
      </c>
      <c r="N1185" s="25">
        <v>0</v>
      </c>
      <c r="O1185" s="25">
        <v>191.87</v>
      </c>
      <c r="P1185" s="25">
        <v>282.14749999999998</v>
      </c>
    </row>
    <row r="1186" spans="1:16" x14ac:dyDescent="0.25">
      <c r="A1186" s="26">
        <v>43269</v>
      </c>
      <c r="B1186" s="25" t="s">
        <v>321</v>
      </c>
      <c r="C1186" s="25" t="s">
        <v>17</v>
      </c>
      <c r="D1186" s="25">
        <v>1000</v>
      </c>
      <c r="E1186" s="25">
        <v>321.25</v>
      </c>
      <c r="F1186" s="25">
        <v>321250</v>
      </c>
      <c r="G1186" s="25" t="s">
        <v>617</v>
      </c>
      <c r="H1186" s="25">
        <v>2018115</v>
      </c>
      <c r="I1186" s="25" t="s">
        <v>19</v>
      </c>
      <c r="J1186" s="25" t="s">
        <v>1634</v>
      </c>
      <c r="K1186" s="25" t="s">
        <v>25</v>
      </c>
      <c r="L1186" s="25">
        <v>322.43</v>
      </c>
      <c r="M1186" s="25">
        <v>9.64</v>
      </c>
      <c r="N1186" s="25">
        <v>0</v>
      </c>
      <c r="O1186" s="25">
        <v>2086.64</v>
      </c>
      <c r="P1186" s="25">
        <v>2418.7078000000001</v>
      </c>
    </row>
    <row r="1187" spans="1:16" x14ac:dyDescent="0.25">
      <c r="A1187" s="26">
        <v>43266</v>
      </c>
      <c r="B1187" s="25" t="s">
        <v>51</v>
      </c>
      <c r="C1187" s="25" t="s">
        <v>17</v>
      </c>
      <c r="D1187" s="25">
        <v>60</v>
      </c>
      <c r="E1187" s="25">
        <v>280</v>
      </c>
      <c r="F1187" s="25">
        <v>16800</v>
      </c>
      <c r="G1187" s="25" t="s">
        <v>618</v>
      </c>
      <c r="H1187" s="25">
        <v>2018114</v>
      </c>
      <c r="I1187" s="25" t="s">
        <v>19</v>
      </c>
      <c r="J1187" s="25" t="s">
        <v>20</v>
      </c>
      <c r="K1187" s="25" t="s">
        <v>25</v>
      </c>
      <c r="L1187" s="25">
        <v>0</v>
      </c>
      <c r="M1187" s="25">
        <v>0.5</v>
      </c>
      <c r="N1187" s="25">
        <v>34.200000000000003</v>
      </c>
      <c r="O1187" s="25">
        <v>29.59</v>
      </c>
      <c r="P1187" s="25">
        <v>64.293999999999997</v>
      </c>
    </row>
    <row r="1188" spans="1:16" x14ac:dyDescent="0.25">
      <c r="A1188" s="26">
        <v>43266</v>
      </c>
      <c r="B1188" s="25" t="s">
        <v>51</v>
      </c>
      <c r="C1188" s="25" t="s">
        <v>23</v>
      </c>
      <c r="D1188" s="25">
        <v>60</v>
      </c>
      <c r="E1188" s="25">
        <v>281.85000000000002</v>
      </c>
      <c r="F1188" s="25">
        <v>16910.75</v>
      </c>
      <c r="G1188" s="25" t="s">
        <v>619</v>
      </c>
      <c r="H1188" s="25">
        <v>2018114</v>
      </c>
      <c r="I1188" s="25" t="s">
        <v>19</v>
      </c>
      <c r="J1188" s="25" t="s">
        <v>20</v>
      </c>
      <c r="K1188" s="25" t="s">
        <v>25</v>
      </c>
      <c r="L1188" s="25">
        <v>3.98</v>
      </c>
      <c r="M1188" s="25">
        <v>0.51</v>
      </c>
      <c r="N1188" s="25">
        <v>0</v>
      </c>
      <c r="O1188" s="25">
        <v>29.59</v>
      </c>
      <c r="P1188" s="25">
        <v>34.077300000000001</v>
      </c>
    </row>
    <row r="1189" spans="1:16" x14ac:dyDescent="0.25">
      <c r="A1189" s="26">
        <v>43266</v>
      </c>
      <c r="B1189" s="25" t="s">
        <v>65</v>
      </c>
      <c r="C1189" s="25" t="s">
        <v>17</v>
      </c>
      <c r="D1189" s="25">
        <v>1000</v>
      </c>
      <c r="E1189" s="25">
        <v>92.8</v>
      </c>
      <c r="F1189" s="25">
        <v>92800</v>
      </c>
      <c r="G1189" s="25" t="s">
        <v>620</v>
      </c>
      <c r="H1189" s="25">
        <v>2018114</v>
      </c>
      <c r="I1189" s="25" t="s">
        <v>19</v>
      </c>
      <c r="J1189" s="25" t="s">
        <v>20</v>
      </c>
      <c r="K1189" s="25" t="s">
        <v>25</v>
      </c>
      <c r="L1189" s="25">
        <v>0</v>
      </c>
      <c r="M1189" s="25">
        <v>2.78</v>
      </c>
      <c r="N1189" s="25">
        <v>0</v>
      </c>
      <c r="O1189" s="25">
        <v>55.26</v>
      </c>
      <c r="P1189" s="25">
        <v>58.043900000000001</v>
      </c>
    </row>
    <row r="1190" spans="1:16" x14ac:dyDescent="0.25">
      <c r="A1190" s="26">
        <v>43266</v>
      </c>
      <c r="B1190" s="25" t="s">
        <v>65</v>
      </c>
      <c r="C1190" s="25" t="s">
        <v>23</v>
      </c>
      <c r="D1190" s="25">
        <v>1000</v>
      </c>
      <c r="E1190" s="25">
        <v>92.7</v>
      </c>
      <c r="F1190" s="25">
        <v>92700</v>
      </c>
      <c r="G1190" s="25" t="s">
        <v>621</v>
      </c>
      <c r="H1190" s="25">
        <v>2018114</v>
      </c>
      <c r="I1190" s="25" t="s">
        <v>19</v>
      </c>
      <c r="J1190" s="25" t="s">
        <v>20</v>
      </c>
      <c r="K1190" s="25" t="s">
        <v>25</v>
      </c>
      <c r="L1190" s="25">
        <v>23.19</v>
      </c>
      <c r="M1190" s="25">
        <v>2.78</v>
      </c>
      <c r="N1190" s="25">
        <v>0</v>
      </c>
      <c r="O1190" s="25">
        <v>55.19</v>
      </c>
      <c r="P1190" s="25">
        <v>81.161100000000005</v>
      </c>
    </row>
    <row r="1191" spans="1:16" x14ac:dyDescent="0.25">
      <c r="A1191" s="26">
        <v>43266</v>
      </c>
      <c r="B1191" s="25" t="s">
        <v>321</v>
      </c>
      <c r="C1191" s="25" t="s">
        <v>17</v>
      </c>
      <c r="D1191" s="25">
        <v>1000</v>
      </c>
      <c r="E1191" s="25">
        <v>306.64999999999998</v>
      </c>
      <c r="F1191" s="25">
        <v>306650</v>
      </c>
      <c r="G1191" s="25" t="s">
        <v>622</v>
      </c>
      <c r="H1191" s="25">
        <v>2018114</v>
      </c>
      <c r="I1191" s="25" t="s">
        <v>19</v>
      </c>
      <c r="J1191" s="25" t="s">
        <v>20</v>
      </c>
      <c r="K1191" s="25" t="s">
        <v>25</v>
      </c>
      <c r="L1191" s="25">
        <v>0</v>
      </c>
      <c r="M1191" s="25">
        <v>9.1999999999999993</v>
      </c>
      <c r="N1191" s="25">
        <v>0</v>
      </c>
      <c r="O1191" s="25">
        <v>182.56</v>
      </c>
      <c r="P1191" s="25">
        <v>191.7595</v>
      </c>
    </row>
    <row r="1192" spans="1:16" x14ac:dyDescent="0.25">
      <c r="A1192" s="26">
        <v>43266</v>
      </c>
      <c r="B1192" s="25" t="s">
        <v>321</v>
      </c>
      <c r="C1192" s="25" t="s">
        <v>17</v>
      </c>
      <c r="D1192" s="25">
        <v>500</v>
      </c>
      <c r="E1192" s="25">
        <v>304.3</v>
      </c>
      <c r="F1192" s="25">
        <v>152150</v>
      </c>
      <c r="G1192" s="25" t="s">
        <v>623</v>
      </c>
      <c r="H1192" s="25">
        <v>2018114</v>
      </c>
      <c r="I1192" s="25" t="s">
        <v>19</v>
      </c>
      <c r="J1192" s="25" t="s">
        <v>20</v>
      </c>
      <c r="K1192" s="25" t="s">
        <v>25</v>
      </c>
      <c r="L1192" s="25">
        <v>0</v>
      </c>
      <c r="M1192" s="25">
        <v>4.5599999999999996</v>
      </c>
      <c r="N1192" s="25">
        <v>0</v>
      </c>
      <c r="O1192" s="25">
        <v>90.59</v>
      </c>
      <c r="P1192" s="25">
        <v>95.154499999999999</v>
      </c>
    </row>
    <row r="1193" spans="1:16" x14ac:dyDescent="0.25">
      <c r="A1193" s="26">
        <v>43266</v>
      </c>
      <c r="B1193" s="25" t="s">
        <v>321</v>
      </c>
      <c r="C1193" s="25" t="s">
        <v>23</v>
      </c>
      <c r="D1193" s="25">
        <v>1500</v>
      </c>
      <c r="E1193" s="25">
        <v>306.55</v>
      </c>
      <c r="F1193" s="25">
        <v>459825</v>
      </c>
      <c r="G1193" s="25" t="s">
        <v>624</v>
      </c>
      <c r="H1193" s="25">
        <v>2018114</v>
      </c>
      <c r="I1193" s="25" t="s">
        <v>19</v>
      </c>
      <c r="J1193" s="25" t="s">
        <v>20</v>
      </c>
      <c r="K1193" s="25" t="s">
        <v>25</v>
      </c>
      <c r="L1193" s="25">
        <v>114.83</v>
      </c>
      <c r="M1193" s="25">
        <v>13.79</v>
      </c>
      <c r="N1193" s="25">
        <v>0</v>
      </c>
      <c r="O1193" s="25">
        <v>273.77999999999997</v>
      </c>
      <c r="P1193" s="25">
        <v>402.40469999999999</v>
      </c>
    </row>
    <row r="1194" spans="1:16" x14ac:dyDescent="0.25">
      <c r="A1194" s="26">
        <v>43265</v>
      </c>
      <c r="B1194" s="25" t="s">
        <v>397</v>
      </c>
      <c r="C1194" s="25" t="s">
        <v>17</v>
      </c>
      <c r="D1194" s="25">
        <v>500</v>
      </c>
      <c r="E1194" s="25">
        <v>269.42</v>
      </c>
      <c r="F1194" s="25">
        <v>134711.45000000001</v>
      </c>
      <c r="G1194" s="25" t="s">
        <v>625</v>
      </c>
      <c r="H1194" s="25">
        <v>2018113</v>
      </c>
      <c r="I1194" s="25" t="s">
        <v>19</v>
      </c>
      <c r="J1194" s="25" t="s">
        <v>20</v>
      </c>
      <c r="K1194" s="25" t="s">
        <v>25</v>
      </c>
      <c r="L1194" s="25">
        <v>0</v>
      </c>
      <c r="M1194" s="25">
        <v>4.04</v>
      </c>
      <c r="N1194" s="25">
        <v>8.1</v>
      </c>
      <c r="O1194" s="25">
        <v>80.209999999999994</v>
      </c>
      <c r="P1194" s="25">
        <v>92.351399999999998</v>
      </c>
    </row>
    <row r="1195" spans="1:16" x14ac:dyDescent="0.25">
      <c r="A1195" s="26">
        <v>43265</v>
      </c>
      <c r="B1195" s="25" t="s">
        <v>397</v>
      </c>
      <c r="C1195" s="25" t="s">
        <v>23</v>
      </c>
      <c r="D1195" s="25">
        <v>500</v>
      </c>
      <c r="E1195" s="25">
        <v>268.61</v>
      </c>
      <c r="F1195" s="25">
        <v>134304.5</v>
      </c>
      <c r="G1195" s="25" t="s">
        <v>626</v>
      </c>
      <c r="H1195" s="25">
        <v>2018113</v>
      </c>
      <c r="I1195" s="25" t="s">
        <v>19</v>
      </c>
      <c r="J1195" s="25" t="s">
        <v>20</v>
      </c>
      <c r="K1195" s="25" t="s">
        <v>25</v>
      </c>
      <c r="L1195" s="25">
        <v>34</v>
      </c>
      <c r="M1195" s="25">
        <v>4.03</v>
      </c>
      <c r="N1195" s="25">
        <v>0</v>
      </c>
      <c r="O1195" s="25">
        <v>79.94</v>
      </c>
      <c r="P1195" s="25">
        <v>117.96899999999999</v>
      </c>
    </row>
    <row r="1196" spans="1:16" x14ac:dyDescent="0.25">
      <c r="A1196" s="26">
        <v>43264</v>
      </c>
      <c r="B1196" s="25" t="s">
        <v>65</v>
      </c>
      <c r="C1196" s="25" t="s">
        <v>17</v>
      </c>
      <c r="D1196" s="25">
        <v>500</v>
      </c>
      <c r="E1196" s="25">
        <v>92.5</v>
      </c>
      <c r="F1196" s="25">
        <v>46250</v>
      </c>
      <c r="G1196" s="25" t="s">
        <v>627</v>
      </c>
      <c r="H1196" s="25">
        <v>2018112</v>
      </c>
      <c r="I1196" s="25" t="s">
        <v>19</v>
      </c>
      <c r="J1196" s="25" t="s">
        <v>20</v>
      </c>
      <c r="K1196" s="25" t="s">
        <v>25</v>
      </c>
      <c r="L1196" s="25">
        <v>0</v>
      </c>
      <c r="M1196" s="25">
        <v>1.39</v>
      </c>
      <c r="N1196" s="25">
        <v>21.9</v>
      </c>
      <c r="O1196" s="25">
        <v>29.75</v>
      </c>
      <c r="P1196" s="25">
        <v>53.037500000000001</v>
      </c>
    </row>
    <row r="1197" spans="1:16" x14ac:dyDescent="0.25">
      <c r="A1197" s="26">
        <v>43264</v>
      </c>
      <c r="B1197" s="25" t="s">
        <v>65</v>
      </c>
      <c r="C1197" s="25" t="s">
        <v>23</v>
      </c>
      <c r="D1197" s="25">
        <v>500</v>
      </c>
      <c r="E1197" s="25">
        <v>92.85</v>
      </c>
      <c r="F1197" s="25">
        <v>46425</v>
      </c>
      <c r="G1197" s="25" t="s">
        <v>628</v>
      </c>
      <c r="H1197" s="25">
        <v>2018112</v>
      </c>
      <c r="I1197" s="25" t="s">
        <v>19</v>
      </c>
      <c r="J1197" s="25" t="s">
        <v>20</v>
      </c>
      <c r="K1197" s="25" t="s">
        <v>25</v>
      </c>
      <c r="L1197" s="25">
        <v>11.43</v>
      </c>
      <c r="M1197" s="25">
        <v>1.39</v>
      </c>
      <c r="N1197" s="25">
        <v>0</v>
      </c>
      <c r="O1197" s="25">
        <v>29.75</v>
      </c>
      <c r="P1197" s="25">
        <v>42.572699999999998</v>
      </c>
    </row>
    <row r="1198" spans="1:16" x14ac:dyDescent="0.25">
      <c r="A1198" s="26">
        <v>43264</v>
      </c>
      <c r="B1198" s="25" t="s">
        <v>321</v>
      </c>
      <c r="C1198" s="25" t="s">
        <v>17</v>
      </c>
      <c r="D1198" s="25">
        <v>1000</v>
      </c>
      <c r="E1198" s="25">
        <v>313.10000000000002</v>
      </c>
      <c r="F1198" s="25">
        <v>313100</v>
      </c>
      <c r="G1198" s="25" t="s">
        <v>629</v>
      </c>
      <c r="H1198" s="25">
        <v>2018112</v>
      </c>
      <c r="I1198" s="25" t="s">
        <v>19</v>
      </c>
      <c r="J1198" s="25" t="s">
        <v>20</v>
      </c>
      <c r="K1198" s="25" t="s">
        <v>25</v>
      </c>
      <c r="L1198" s="25">
        <v>0</v>
      </c>
      <c r="M1198" s="25">
        <v>9.39</v>
      </c>
      <c r="N1198" s="25">
        <v>0</v>
      </c>
      <c r="O1198" s="25">
        <v>186.42</v>
      </c>
      <c r="P1198" s="25">
        <v>195.81290000000001</v>
      </c>
    </row>
    <row r="1199" spans="1:16" x14ac:dyDescent="0.25">
      <c r="A1199" s="26">
        <v>43264</v>
      </c>
      <c r="B1199" s="25" t="s">
        <v>321</v>
      </c>
      <c r="C1199" s="25" t="s">
        <v>23</v>
      </c>
      <c r="D1199" s="25">
        <v>1000</v>
      </c>
      <c r="E1199" s="25">
        <v>315.5</v>
      </c>
      <c r="F1199" s="25">
        <v>315500</v>
      </c>
      <c r="G1199" s="25" t="s">
        <v>630</v>
      </c>
      <c r="H1199" s="25">
        <v>2018112</v>
      </c>
      <c r="I1199" s="25" t="s">
        <v>19</v>
      </c>
      <c r="J1199" s="25" t="s">
        <v>20</v>
      </c>
      <c r="K1199" s="25" t="s">
        <v>25</v>
      </c>
      <c r="L1199" s="25">
        <v>78.58</v>
      </c>
      <c r="M1199" s="25">
        <v>9.4700000000000006</v>
      </c>
      <c r="N1199" s="25">
        <v>0</v>
      </c>
      <c r="O1199" s="25">
        <v>187.85</v>
      </c>
      <c r="P1199" s="25">
        <v>275.89510000000001</v>
      </c>
    </row>
    <row r="1200" spans="1:16" x14ac:dyDescent="0.25">
      <c r="A1200" s="26">
        <v>43263</v>
      </c>
      <c r="B1200" s="25" t="s">
        <v>282</v>
      </c>
      <c r="C1200" s="25" t="s">
        <v>17</v>
      </c>
      <c r="D1200" s="25">
        <v>250</v>
      </c>
      <c r="E1200" s="25">
        <v>608</v>
      </c>
      <c r="F1200" s="25">
        <v>152000</v>
      </c>
      <c r="G1200" s="25" t="s">
        <v>631</v>
      </c>
      <c r="H1200" s="25">
        <v>2018111</v>
      </c>
      <c r="I1200" s="25" t="s">
        <v>19</v>
      </c>
      <c r="J1200" s="25" t="s">
        <v>20</v>
      </c>
      <c r="K1200" s="25" t="s">
        <v>25</v>
      </c>
      <c r="L1200" s="25">
        <v>0</v>
      </c>
      <c r="M1200" s="25">
        <v>4.5599999999999996</v>
      </c>
      <c r="N1200" s="25">
        <v>0</v>
      </c>
      <c r="O1200" s="25">
        <v>90.5</v>
      </c>
      <c r="P1200" s="25">
        <v>95.06</v>
      </c>
    </row>
    <row r="1201" spans="1:16" x14ac:dyDescent="0.25">
      <c r="A1201" s="26">
        <v>43263</v>
      </c>
      <c r="B1201" s="25" t="s">
        <v>282</v>
      </c>
      <c r="C1201" s="25" t="s">
        <v>23</v>
      </c>
      <c r="D1201" s="25">
        <v>250</v>
      </c>
      <c r="E1201" s="25">
        <v>611</v>
      </c>
      <c r="F1201" s="25">
        <v>152750</v>
      </c>
      <c r="G1201" s="25" t="s">
        <v>632</v>
      </c>
      <c r="H1201" s="25">
        <v>2018111</v>
      </c>
      <c r="I1201" s="25" t="s">
        <v>19</v>
      </c>
      <c r="J1201" s="25" t="s">
        <v>20</v>
      </c>
      <c r="K1201" s="25" t="s">
        <v>25</v>
      </c>
      <c r="L1201" s="25">
        <v>38.11</v>
      </c>
      <c r="M1201" s="25">
        <v>4.58</v>
      </c>
      <c r="N1201" s="25">
        <v>0</v>
      </c>
      <c r="O1201" s="25">
        <v>90.95</v>
      </c>
      <c r="P1201" s="25">
        <v>133.64250000000001</v>
      </c>
    </row>
    <row r="1202" spans="1:16" x14ac:dyDescent="0.25">
      <c r="A1202" s="26">
        <v>43263</v>
      </c>
      <c r="B1202" s="25" t="s">
        <v>321</v>
      </c>
      <c r="C1202" s="25" t="s">
        <v>17</v>
      </c>
      <c r="D1202" s="25">
        <v>500</v>
      </c>
      <c r="E1202" s="25">
        <v>316</v>
      </c>
      <c r="F1202" s="25">
        <v>158000</v>
      </c>
      <c r="G1202" s="25" t="s">
        <v>633</v>
      </c>
      <c r="H1202" s="25">
        <v>2018111</v>
      </c>
      <c r="I1202" s="25" t="s">
        <v>19</v>
      </c>
      <c r="J1202" s="25" t="s">
        <v>20</v>
      </c>
      <c r="K1202" s="25" t="s">
        <v>25</v>
      </c>
      <c r="L1202" s="25">
        <v>0</v>
      </c>
      <c r="M1202" s="25">
        <v>4.74</v>
      </c>
      <c r="N1202" s="25">
        <v>30</v>
      </c>
      <c r="O1202" s="25">
        <v>94.06</v>
      </c>
      <c r="P1202" s="25">
        <v>128.80000000000001</v>
      </c>
    </row>
    <row r="1203" spans="1:16" x14ac:dyDescent="0.25">
      <c r="A1203" s="26">
        <v>43263</v>
      </c>
      <c r="B1203" s="25" t="s">
        <v>321</v>
      </c>
      <c r="C1203" s="25" t="s">
        <v>17</v>
      </c>
      <c r="D1203" s="25">
        <v>250</v>
      </c>
      <c r="E1203" s="25">
        <v>316.39</v>
      </c>
      <c r="F1203" s="25">
        <v>79096.649999999994</v>
      </c>
      <c r="G1203" s="25" t="s">
        <v>634</v>
      </c>
      <c r="H1203" s="25">
        <v>2018111</v>
      </c>
      <c r="I1203" s="25" t="s">
        <v>19</v>
      </c>
      <c r="J1203" s="25" t="s">
        <v>20</v>
      </c>
      <c r="K1203" s="25" t="s">
        <v>25</v>
      </c>
      <c r="L1203" s="25">
        <v>0</v>
      </c>
      <c r="M1203" s="25">
        <v>2.37</v>
      </c>
      <c r="N1203" s="25">
        <v>0</v>
      </c>
      <c r="O1203" s="25">
        <v>47.13</v>
      </c>
      <c r="P1203" s="25">
        <v>49.502299999999998</v>
      </c>
    </row>
    <row r="1204" spans="1:16" x14ac:dyDescent="0.25">
      <c r="A1204" s="26">
        <v>43263</v>
      </c>
      <c r="B1204" s="25" t="s">
        <v>321</v>
      </c>
      <c r="C1204" s="25" t="s">
        <v>17</v>
      </c>
      <c r="D1204" s="25">
        <v>250</v>
      </c>
      <c r="E1204" s="25">
        <v>315.25</v>
      </c>
      <c r="F1204" s="25">
        <v>78812.5</v>
      </c>
      <c r="G1204" s="25" t="s">
        <v>635</v>
      </c>
      <c r="H1204" s="25">
        <v>2018111</v>
      </c>
      <c r="I1204" s="25" t="s">
        <v>19</v>
      </c>
      <c r="J1204" s="25" t="s">
        <v>20</v>
      </c>
      <c r="K1204" s="25" t="s">
        <v>25</v>
      </c>
      <c r="L1204" s="25">
        <v>0</v>
      </c>
      <c r="M1204" s="25">
        <v>2.36</v>
      </c>
      <c r="N1204" s="25">
        <v>0</v>
      </c>
      <c r="O1204" s="25">
        <v>46.93</v>
      </c>
      <c r="P1204" s="25">
        <v>49.294400000000003</v>
      </c>
    </row>
    <row r="1205" spans="1:16" x14ac:dyDescent="0.25">
      <c r="A1205" s="26">
        <v>43263</v>
      </c>
      <c r="B1205" s="25" t="s">
        <v>321</v>
      </c>
      <c r="C1205" s="25" t="s">
        <v>23</v>
      </c>
      <c r="D1205" s="25">
        <v>1000</v>
      </c>
      <c r="E1205" s="25">
        <v>316.7</v>
      </c>
      <c r="F1205" s="25">
        <v>316700</v>
      </c>
      <c r="G1205" s="25" t="s">
        <v>636</v>
      </c>
      <c r="H1205" s="25">
        <v>2018111</v>
      </c>
      <c r="I1205" s="25" t="s">
        <v>19</v>
      </c>
      <c r="J1205" s="25" t="s">
        <v>20</v>
      </c>
      <c r="K1205" s="25" t="s">
        <v>25</v>
      </c>
      <c r="L1205" s="25">
        <v>78.92</v>
      </c>
      <c r="M1205" s="25">
        <v>9.5</v>
      </c>
      <c r="N1205" s="25">
        <v>0</v>
      </c>
      <c r="O1205" s="25">
        <v>188.56</v>
      </c>
      <c r="P1205" s="25">
        <v>276.98099999999999</v>
      </c>
    </row>
    <row r="1206" spans="1:16" x14ac:dyDescent="0.25">
      <c r="A1206" s="26">
        <v>43263</v>
      </c>
      <c r="B1206" s="25" t="s">
        <v>282</v>
      </c>
      <c r="C1206" s="25" t="s">
        <v>23</v>
      </c>
      <c r="D1206" s="25">
        <v>100</v>
      </c>
      <c r="E1206" s="25">
        <v>611</v>
      </c>
      <c r="F1206" s="25">
        <v>61100</v>
      </c>
      <c r="G1206" s="25" t="s">
        <v>637</v>
      </c>
      <c r="H1206" s="25">
        <v>2018111</v>
      </c>
      <c r="I1206" s="25" t="s">
        <v>19</v>
      </c>
      <c r="J1206" s="25" t="s">
        <v>1634</v>
      </c>
      <c r="K1206" s="25" t="s">
        <v>25</v>
      </c>
      <c r="L1206" s="25">
        <v>60.98</v>
      </c>
      <c r="M1206" s="25">
        <v>1.83</v>
      </c>
      <c r="N1206" s="25">
        <v>0</v>
      </c>
      <c r="O1206" s="25">
        <v>396.87</v>
      </c>
      <c r="P1206" s="25">
        <v>459.68310000000002</v>
      </c>
    </row>
    <row r="1207" spans="1:16" x14ac:dyDescent="0.25">
      <c r="A1207" s="26">
        <v>43262</v>
      </c>
      <c r="B1207" s="25" t="s">
        <v>321</v>
      </c>
      <c r="C1207" s="25" t="s">
        <v>17</v>
      </c>
      <c r="D1207" s="25">
        <v>500</v>
      </c>
      <c r="E1207" s="25">
        <v>311.43</v>
      </c>
      <c r="F1207" s="25">
        <v>155713.15</v>
      </c>
      <c r="G1207" s="25" t="s">
        <v>638</v>
      </c>
      <c r="H1207" s="25">
        <v>2018110</v>
      </c>
      <c r="I1207" s="25" t="s">
        <v>19</v>
      </c>
      <c r="J1207" s="25" t="s">
        <v>20</v>
      </c>
      <c r="K1207" s="25" t="s">
        <v>25</v>
      </c>
      <c r="L1207" s="25">
        <v>0</v>
      </c>
      <c r="M1207" s="25">
        <v>4.67</v>
      </c>
      <c r="N1207" s="25">
        <v>11.7</v>
      </c>
      <c r="O1207" s="25">
        <v>92.74</v>
      </c>
      <c r="P1207" s="25">
        <v>109.11150000000001</v>
      </c>
    </row>
    <row r="1208" spans="1:16" x14ac:dyDescent="0.25">
      <c r="A1208" s="26">
        <v>43262</v>
      </c>
      <c r="B1208" s="25" t="s">
        <v>256</v>
      </c>
      <c r="C1208" s="25" t="s">
        <v>17</v>
      </c>
      <c r="D1208" s="25">
        <v>250</v>
      </c>
      <c r="E1208" s="25">
        <v>147.25</v>
      </c>
      <c r="F1208" s="25">
        <v>36812.5</v>
      </c>
      <c r="G1208" s="25" t="s">
        <v>639</v>
      </c>
      <c r="H1208" s="25">
        <v>2018110</v>
      </c>
      <c r="I1208" s="25" t="s">
        <v>19</v>
      </c>
      <c r="J1208" s="25" t="s">
        <v>20</v>
      </c>
      <c r="K1208" s="25" t="s">
        <v>25</v>
      </c>
      <c r="L1208" s="25">
        <v>0</v>
      </c>
      <c r="M1208" s="25">
        <v>1.1000000000000001</v>
      </c>
      <c r="N1208" s="25">
        <v>0</v>
      </c>
      <c r="O1208" s="25">
        <v>29.7</v>
      </c>
      <c r="P1208" s="25">
        <v>30.804400000000001</v>
      </c>
    </row>
    <row r="1209" spans="1:16" x14ac:dyDescent="0.25">
      <c r="A1209" s="26">
        <v>43262</v>
      </c>
      <c r="B1209" s="25" t="s">
        <v>321</v>
      </c>
      <c r="C1209" s="25" t="s">
        <v>23</v>
      </c>
      <c r="D1209" s="25">
        <v>500</v>
      </c>
      <c r="E1209" s="25">
        <v>313.25</v>
      </c>
      <c r="F1209" s="25">
        <v>156625</v>
      </c>
      <c r="G1209" s="25" t="s">
        <v>640</v>
      </c>
      <c r="H1209" s="25">
        <v>2018110</v>
      </c>
      <c r="I1209" s="25" t="s">
        <v>19</v>
      </c>
      <c r="J1209" s="25" t="s">
        <v>20</v>
      </c>
      <c r="K1209" s="25" t="s">
        <v>25</v>
      </c>
      <c r="L1209" s="25">
        <v>38.869999999999997</v>
      </c>
      <c r="M1209" s="25">
        <v>4.7</v>
      </c>
      <c r="N1209" s="25">
        <v>0</v>
      </c>
      <c r="O1209" s="25">
        <v>93.25</v>
      </c>
      <c r="P1209" s="25">
        <v>136.81870000000001</v>
      </c>
    </row>
    <row r="1210" spans="1:16" x14ac:dyDescent="0.25">
      <c r="A1210" s="26">
        <v>43262</v>
      </c>
      <c r="B1210" s="25" t="s">
        <v>256</v>
      </c>
      <c r="C1210" s="25" t="s">
        <v>23</v>
      </c>
      <c r="D1210" s="25">
        <v>250</v>
      </c>
      <c r="E1210" s="25">
        <v>144.80000000000001</v>
      </c>
      <c r="F1210" s="25">
        <v>36200</v>
      </c>
      <c r="G1210" s="25" t="s">
        <v>641</v>
      </c>
      <c r="H1210" s="25">
        <v>2018110</v>
      </c>
      <c r="I1210" s="25" t="s">
        <v>19</v>
      </c>
      <c r="J1210" s="25" t="s">
        <v>20</v>
      </c>
      <c r="K1210" s="25" t="s">
        <v>25</v>
      </c>
      <c r="L1210" s="25">
        <v>9.1300000000000008</v>
      </c>
      <c r="M1210" s="25">
        <v>1.0900000000000001</v>
      </c>
      <c r="N1210" s="25">
        <v>0</v>
      </c>
      <c r="O1210" s="25">
        <v>29.69</v>
      </c>
      <c r="P1210" s="25">
        <v>39.905999999999999</v>
      </c>
    </row>
    <row r="1211" spans="1:16" x14ac:dyDescent="0.25">
      <c r="A1211" s="26">
        <v>43259</v>
      </c>
      <c r="B1211" s="25" t="s">
        <v>282</v>
      </c>
      <c r="C1211" s="25" t="s">
        <v>17</v>
      </c>
      <c r="D1211" s="25">
        <v>100</v>
      </c>
      <c r="E1211" s="25">
        <v>610</v>
      </c>
      <c r="F1211" s="25">
        <v>61000</v>
      </c>
      <c r="G1211" s="25" t="s">
        <v>642</v>
      </c>
      <c r="H1211" s="25">
        <v>2018109</v>
      </c>
      <c r="I1211" s="25" t="s">
        <v>19</v>
      </c>
      <c r="J1211" s="25" t="s">
        <v>20</v>
      </c>
      <c r="K1211" s="25" t="s">
        <v>25</v>
      </c>
      <c r="L1211" s="25">
        <v>0</v>
      </c>
      <c r="M1211" s="25">
        <v>1.83</v>
      </c>
      <c r="N1211" s="25">
        <v>0</v>
      </c>
      <c r="O1211" s="25">
        <v>36.32</v>
      </c>
      <c r="P1211" s="25">
        <v>38.15</v>
      </c>
    </row>
    <row r="1212" spans="1:16" x14ac:dyDescent="0.25">
      <c r="A1212" s="26">
        <v>43259</v>
      </c>
      <c r="B1212" s="25" t="s">
        <v>282</v>
      </c>
      <c r="C1212" s="25" t="s">
        <v>23</v>
      </c>
      <c r="D1212" s="25">
        <v>100</v>
      </c>
      <c r="E1212" s="25">
        <v>612</v>
      </c>
      <c r="F1212" s="25">
        <v>61200</v>
      </c>
      <c r="G1212" s="25" t="s">
        <v>643</v>
      </c>
      <c r="H1212" s="25">
        <v>2018109</v>
      </c>
      <c r="I1212" s="25" t="s">
        <v>19</v>
      </c>
      <c r="J1212" s="25" t="s">
        <v>20</v>
      </c>
      <c r="K1212" s="25" t="s">
        <v>25</v>
      </c>
      <c r="L1212" s="25">
        <v>15</v>
      </c>
      <c r="M1212" s="25">
        <v>1.84</v>
      </c>
      <c r="N1212" s="25">
        <v>3.9</v>
      </c>
      <c r="O1212" s="25">
        <v>36.44</v>
      </c>
      <c r="P1212" s="25">
        <v>57.176000000000002</v>
      </c>
    </row>
    <row r="1213" spans="1:16" x14ac:dyDescent="0.25">
      <c r="A1213" s="26">
        <v>43258</v>
      </c>
      <c r="B1213" s="25" t="s">
        <v>644</v>
      </c>
      <c r="C1213" s="25" t="s">
        <v>17</v>
      </c>
      <c r="D1213" s="25">
        <v>1000</v>
      </c>
      <c r="E1213" s="25">
        <v>57.9</v>
      </c>
      <c r="F1213" s="25">
        <v>57900</v>
      </c>
      <c r="G1213" s="25" t="s">
        <v>645</v>
      </c>
      <c r="H1213" s="25">
        <v>2018108</v>
      </c>
      <c r="I1213" s="25" t="s">
        <v>19</v>
      </c>
      <c r="J1213" s="25" t="s">
        <v>20</v>
      </c>
      <c r="K1213" s="25" t="s">
        <v>25</v>
      </c>
      <c r="L1213" s="25">
        <v>0</v>
      </c>
      <c r="M1213" s="25">
        <v>1.74</v>
      </c>
      <c r="N1213" s="25">
        <v>0</v>
      </c>
      <c r="O1213" s="25">
        <v>34.46</v>
      </c>
      <c r="P1213" s="25">
        <v>36.197099999999999</v>
      </c>
    </row>
    <row r="1214" spans="1:16" x14ac:dyDescent="0.25">
      <c r="A1214" s="26">
        <v>43258</v>
      </c>
      <c r="B1214" s="25" t="s">
        <v>644</v>
      </c>
      <c r="C1214" s="25" t="s">
        <v>17</v>
      </c>
      <c r="D1214" s="25">
        <v>500</v>
      </c>
      <c r="E1214" s="25">
        <v>57.45</v>
      </c>
      <c r="F1214" s="25">
        <v>28725</v>
      </c>
      <c r="G1214" s="25" t="s">
        <v>646</v>
      </c>
      <c r="H1214" s="25">
        <v>2018108</v>
      </c>
      <c r="I1214" s="25" t="s">
        <v>19</v>
      </c>
      <c r="J1214" s="25" t="s">
        <v>20</v>
      </c>
      <c r="K1214" s="25" t="s">
        <v>25</v>
      </c>
      <c r="L1214" s="25">
        <v>0</v>
      </c>
      <c r="M1214" s="25">
        <v>0.86</v>
      </c>
      <c r="N1214" s="25">
        <v>5.4</v>
      </c>
      <c r="O1214" s="25">
        <v>29.66</v>
      </c>
      <c r="P1214" s="25">
        <v>35.921799999999998</v>
      </c>
    </row>
    <row r="1215" spans="1:16" x14ac:dyDescent="0.25">
      <c r="A1215" s="26">
        <v>43258</v>
      </c>
      <c r="B1215" s="25" t="s">
        <v>644</v>
      </c>
      <c r="C1215" s="25" t="s">
        <v>23</v>
      </c>
      <c r="D1215" s="25">
        <v>1500</v>
      </c>
      <c r="E1215" s="25">
        <v>57.85</v>
      </c>
      <c r="F1215" s="25">
        <v>86775</v>
      </c>
      <c r="G1215" s="25" t="s">
        <v>647</v>
      </c>
      <c r="H1215" s="25">
        <v>2018108</v>
      </c>
      <c r="I1215" s="25" t="s">
        <v>19</v>
      </c>
      <c r="J1215" s="25" t="s">
        <v>20</v>
      </c>
      <c r="K1215" s="25" t="s">
        <v>25</v>
      </c>
      <c r="L1215" s="25">
        <v>22</v>
      </c>
      <c r="M1215" s="25">
        <v>2.6</v>
      </c>
      <c r="N1215" s="25">
        <v>0</v>
      </c>
      <c r="O1215" s="25">
        <v>51.67</v>
      </c>
      <c r="P1215" s="25">
        <v>76.273300000000006</v>
      </c>
    </row>
    <row r="1216" spans="1:16" x14ac:dyDescent="0.25">
      <c r="A1216" s="26">
        <v>43257</v>
      </c>
      <c r="B1216" s="25" t="s">
        <v>282</v>
      </c>
      <c r="C1216" s="25" t="s">
        <v>17</v>
      </c>
      <c r="D1216" s="25">
        <v>100</v>
      </c>
      <c r="E1216" s="25">
        <v>600</v>
      </c>
      <c r="F1216" s="25">
        <v>60000</v>
      </c>
      <c r="G1216" s="25" t="s">
        <v>648</v>
      </c>
      <c r="H1216" s="25">
        <v>2018107</v>
      </c>
      <c r="I1216" s="25" t="s">
        <v>19</v>
      </c>
      <c r="J1216" s="25" t="s">
        <v>20</v>
      </c>
      <c r="K1216" s="25" t="s">
        <v>25</v>
      </c>
      <c r="L1216" s="25">
        <v>0</v>
      </c>
      <c r="M1216" s="25">
        <v>1.8</v>
      </c>
      <c r="N1216" s="25">
        <v>0</v>
      </c>
      <c r="O1216" s="25">
        <v>35.72</v>
      </c>
      <c r="P1216" s="25">
        <v>37.520000000000003</v>
      </c>
    </row>
    <row r="1217" spans="1:16" x14ac:dyDescent="0.25">
      <c r="A1217" s="26">
        <v>43257</v>
      </c>
      <c r="B1217" s="25" t="s">
        <v>282</v>
      </c>
      <c r="C1217" s="25" t="s">
        <v>17</v>
      </c>
      <c r="D1217" s="25">
        <v>150</v>
      </c>
      <c r="E1217" s="25">
        <v>603</v>
      </c>
      <c r="F1217" s="25">
        <v>90450</v>
      </c>
      <c r="G1217" s="25" t="s">
        <v>649</v>
      </c>
      <c r="H1217" s="25">
        <v>2018107</v>
      </c>
      <c r="I1217" s="25" t="s">
        <v>19</v>
      </c>
      <c r="J1217" s="25" t="s">
        <v>20</v>
      </c>
      <c r="K1217" s="25" t="s">
        <v>25</v>
      </c>
      <c r="L1217" s="25">
        <v>0</v>
      </c>
      <c r="M1217" s="25">
        <v>2.71</v>
      </c>
      <c r="N1217" s="25">
        <v>0</v>
      </c>
      <c r="O1217" s="25">
        <v>53.85</v>
      </c>
      <c r="P1217" s="25">
        <v>56.563499999999998</v>
      </c>
    </row>
    <row r="1218" spans="1:16" x14ac:dyDescent="0.25">
      <c r="A1218" s="26">
        <v>43257</v>
      </c>
      <c r="B1218" s="25" t="s">
        <v>282</v>
      </c>
      <c r="C1218" s="25" t="s">
        <v>23</v>
      </c>
      <c r="D1218" s="25">
        <v>250</v>
      </c>
      <c r="E1218" s="25">
        <v>612</v>
      </c>
      <c r="F1218" s="25">
        <v>153000</v>
      </c>
      <c r="G1218" s="25" t="s">
        <v>650</v>
      </c>
      <c r="H1218" s="25">
        <v>2018107</v>
      </c>
      <c r="I1218" s="25" t="s">
        <v>19</v>
      </c>
      <c r="J1218" s="25" t="s">
        <v>20</v>
      </c>
      <c r="K1218" s="25" t="s">
        <v>25</v>
      </c>
      <c r="L1218" s="25">
        <v>37.93</v>
      </c>
      <c r="M1218" s="25">
        <v>4.59</v>
      </c>
      <c r="N1218" s="25">
        <v>0</v>
      </c>
      <c r="O1218" s="25">
        <v>91.1</v>
      </c>
      <c r="P1218" s="25">
        <v>133.62</v>
      </c>
    </row>
    <row r="1219" spans="1:16" x14ac:dyDescent="0.25">
      <c r="A1219" s="26">
        <v>43257</v>
      </c>
      <c r="B1219" s="25" t="s">
        <v>16</v>
      </c>
      <c r="C1219" s="25" t="s">
        <v>17</v>
      </c>
      <c r="D1219" s="25">
        <v>1500</v>
      </c>
      <c r="E1219" s="25">
        <v>68.150000000000006</v>
      </c>
      <c r="F1219" s="25">
        <v>102225</v>
      </c>
      <c r="G1219" s="25" t="s">
        <v>651</v>
      </c>
      <c r="H1219" s="25">
        <v>2018107</v>
      </c>
      <c r="I1219" s="25" t="s">
        <v>19</v>
      </c>
      <c r="J1219" s="25" t="s">
        <v>20</v>
      </c>
      <c r="K1219" s="25" t="s">
        <v>25</v>
      </c>
      <c r="L1219" s="25">
        <v>0</v>
      </c>
      <c r="M1219" s="25">
        <v>3.07</v>
      </c>
      <c r="N1219" s="25">
        <v>0</v>
      </c>
      <c r="O1219" s="25">
        <v>60.86</v>
      </c>
      <c r="P1219" s="25">
        <v>63.926699999999997</v>
      </c>
    </row>
    <row r="1220" spans="1:16" x14ac:dyDescent="0.25">
      <c r="A1220" s="26">
        <v>43257</v>
      </c>
      <c r="B1220" s="25" t="s">
        <v>16</v>
      </c>
      <c r="C1220" s="25" t="s">
        <v>23</v>
      </c>
      <c r="D1220" s="25">
        <v>1500</v>
      </c>
      <c r="E1220" s="25">
        <v>66.67</v>
      </c>
      <c r="F1220" s="25">
        <v>99997.9</v>
      </c>
      <c r="G1220" s="25" t="s">
        <v>652</v>
      </c>
      <c r="H1220" s="25">
        <v>2018107</v>
      </c>
      <c r="I1220" s="25" t="s">
        <v>19</v>
      </c>
      <c r="J1220" s="25" t="s">
        <v>20</v>
      </c>
      <c r="K1220" s="25" t="s">
        <v>25</v>
      </c>
      <c r="L1220" s="25">
        <v>25.1</v>
      </c>
      <c r="M1220" s="25">
        <v>3</v>
      </c>
      <c r="N1220" s="25">
        <v>20.100000000000001</v>
      </c>
      <c r="O1220" s="25">
        <v>59.54</v>
      </c>
      <c r="P1220" s="25">
        <v>107.73990000000001</v>
      </c>
    </row>
    <row r="1221" spans="1:16" x14ac:dyDescent="0.25">
      <c r="A1221" s="26">
        <v>43257</v>
      </c>
      <c r="B1221" s="25" t="s">
        <v>433</v>
      </c>
      <c r="C1221" s="25" t="s">
        <v>17</v>
      </c>
      <c r="D1221" s="25">
        <v>5000</v>
      </c>
      <c r="E1221" s="25">
        <v>15.85</v>
      </c>
      <c r="F1221" s="25">
        <v>79250</v>
      </c>
      <c r="G1221" s="25" t="s">
        <v>653</v>
      </c>
      <c r="H1221" s="25">
        <v>2018107</v>
      </c>
      <c r="I1221" s="25" t="s">
        <v>19</v>
      </c>
      <c r="J1221" s="25" t="s">
        <v>20</v>
      </c>
      <c r="K1221" s="25" t="s">
        <v>25</v>
      </c>
      <c r="L1221" s="25">
        <v>0</v>
      </c>
      <c r="M1221" s="25">
        <v>2.38</v>
      </c>
      <c r="N1221" s="25">
        <v>0</v>
      </c>
      <c r="O1221" s="25">
        <v>47.19</v>
      </c>
      <c r="P1221" s="25">
        <v>49.567500000000003</v>
      </c>
    </row>
    <row r="1222" spans="1:16" x14ac:dyDescent="0.25">
      <c r="A1222" s="26">
        <v>43257</v>
      </c>
      <c r="B1222" s="25" t="s">
        <v>433</v>
      </c>
      <c r="C1222" s="25" t="s">
        <v>23</v>
      </c>
      <c r="D1222" s="25">
        <v>5000</v>
      </c>
      <c r="E1222" s="25">
        <v>16.100000000000001</v>
      </c>
      <c r="F1222" s="25">
        <v>80500</v>
      </c>
      <c r="G1222" s="25" t="s">
        <v>654</v>
      </c>
      <c r="H1222" s="25">
        <v>2018107</v>
      </c>
      <c r="I1222" s="25" t="s">
        <v>19</v>
      </c>
      <c r="J1222" s="25" t="s">
        <v>20</v>
      </c>
      <c r="K1222" s="25" t="s">
        <v>25</v>
      </c>
      <c r="L1222" s="25">
        <v>19.97</v>
      </c>
      <c r="M1222" s="25">
        <v>2.42</v>
      </c>
      <c r="N1222" s="25">
        <v>0</v>
      </c>
      <c r="O1222" s="25">
        <v>47.93</v>
      </c>
      <c r="P1222" s="25">
        <v>70.315100000000001</v>
      </c>
    </row>
    <row r="1223" spans="1:16" x14ac:dyDescent="0.25">
      <c r="A1223" s="26">
        <v>43256</v>
      </c>
      <c r="B1223" s="25" t="s">
        <v>256</v>
      </c>
      <c r="C1223" s="25" t="s">
        <v>17</v>
      </c>
      <c r="D1223" s="25">
        <v>100</v>
      </c>
      <c r="E1223" s="25">
        <v>130</v>
      </c>
      <c r="F1223" s="25">
        <v>13000</v>
      </c>
      <c r="G1223" s="25" t="s">
        <v>490</v>
      </c>
      <c r="H1223" s="25">
        <v>2018106</v>
      </c>
      <c r="I1223" s="25" t="s">
        <v>19</v>
      </c>
      <c r="J1223" s="25" t="s">
        <v>20</v>
      </c>
      <c r="K1223" s="25" t="s">
        <v>25</v>
      </c>
      <c r="L1223" s="25">
        <v>0</v>
      </c>
      <c r="M1223" s="25">
        <v>0.39</v>
      </c>
      <c r="N1223" s="25">
        <v>0</v>
      </c>
      <c r="O1223" s="25">
        <v>29.57</v>
      </c>
      <c r="P1223" s="25">
        <v>29.96</v>
      </c>
    </row>
    <row r="1224" spans="1:16" x14ac:dyDescent="0.25">
      <c r="A1224" s="26">
        <v>43256</v>
      </c>
      <c r="B1224" s="25" t="s">
        <v>256</v>
      </c>
      <c r="C1224" s="25" t="s">
        <v>17</v>
      </c>
      <c r="D1224" s="25">
        <v>150</v>
      </c>
      <c r="E1224" s="25">
        <v>130.5</v>
      </c>
      <c r="F1224" s="25">
        <v>19575</v>
      </c>
      <c r="G1224" s="25" t="s">
        <v>491</v>
      </c>
      <c r="H1224" s="25">
        <v>2018106</v>
      </c>
      <c r="I1224" s="25" t="s">
        <v>19</v>
      </c>
      <c r="J1224" s="25" t="s">
        <v>20</v>
      </c>
      <c r="K1224" s="25" t="s">
        <v>25</v>
      </c>
      <c r="L1224" s="25">
        <v>0</v>
      </c>
      <c r="M1224" s="25">
        <v>0.59</v>
      </c>
      <c r="N1224" s="25">
        <v>0</v>
      </c>
      <c r="O1224" s="25">
        <v>29.61</v>
      </c>
      <c r="P1224" s="25">
        <v>30.197299999999998</v>
      </c>
    </row>
    <row r="1225" spans="1:16" x14ac:dyDescent="0.25">
      <c r="A1225" s="26">
        <v>43256</v>
      </c>
      <c r="B1225" s="25" t="s">
        <v>256</v>
      </c>
      <c r="C1225" s="25" t="s">
        <v>17</v>
      </c>
      <c r="D1225" s="25">
        <v>250</v>
      </c>
      <c r="E1225" s="25">
        <v>133</v>
      </c>
      <c r="F1225" s="25">
        <v>33250</v>
      </c>
      <c r="G1225" s="25" t="s">
        <v>492</v>
      </c>
      <c r="H1225" s="25">
        <v>2018106</v>
      </c>
      <c r="I1225" s="25" t="s">
        <v>19</v>
      </c>
      <c r="J1225" s="25" t="s">
        <v>20</v>
      </c>
      <c r="K1225" s="25" t="s">
        <v>25</v>
      </c>
      <c r="L1225" s="25">
        <v>0</v>
      </c>
      <c r="M1225" s="25">
        <v>1</v>
      </c>
      <c r="N1225" s="25">
        <v>0</v>
      </c>
      <c r="O1225" s="25">
        <v>29.68</v>
      </c>
      <c r="P1225" s="25">
        <v>30.677600000000002</v>
      </c>
    </row>
    <row r="1226" spans="1:16" x14ac:dyDescent="0.25">
      <c r="A1226" s="26">
        <v>43256</v>
      </c>
      <c r="B1226" s="25" t="s">
        <v>256</v>
      </c>
      <c r="C1226" s="25" t="s">
        <v>23</v>
      </c>
      <c r="D1226" s="25">
        <v>500</v>
      </c>
      <c r="E1226" s="25">
        <v>133</v>
      </c>
      <c r="F1226" s="25">
        <v>66500</v>
      </c>
      <c r="G1226" s="25" t="s">
        <v>493</v>
      </c>
      <c r="H1226" s="25">
        <v>2018106</v>
      </c>
      <c r="I1226" s="25" t="s">
        <v>19</v>
      </c>
      <c r="J1226" s="25" t="s">
        <v>20</v>
      </c>
      <c r="K1226" s="25" t="s">
        <v>25</v>
      </c>
      <c r="L1226" s="25">
        <v>16.5</v>
      </c>
      <c r="M1226" s="25">
        <v>2</v>
      </c>
      <c r="N1226" s="25">
        <v>0</v>
      </c>
      <c r="O1226" s="25">
        <v>39.590000000000003</v>
      </c>
      <c r="P1226" s="25">
        <v>58.085099999999997</v>
      </c>
    </row>
    <row r="1227" spans="1:16" x14ac:dyDescent="0.25">
      <c r="A1227" s="26">
        <v>43256</v>
      </c>
      <c r="B1227" s="25" t="s">
        <v>256</v>
      </c>
      <c r="C1227" s="25" t="s">
        <v>17</v>
      </c>
      <c r="D1227" s="25">
        <v>500</v>
      </c>
      <c r="E1227" s="25">
        <v>132</v>
      </c>
      <c r="F1227" s="25">
        <v>66000</v>
      </c>
      <c r="G1227" s="25" t="s">
        <v>494</v>
      </c>
      <c r="H1227" s="25">
        <v>2018106</v>
      </c>
      <c r="I1227" s="25" t="s">
        <v>19</v>
      </c>
      <c r="J1227" s="25" t="s">
        <v>20</v>
      </c>
      <c r="K1227" s="25" t="s">
        <v>25</v>
      </c>
      <c r="L1227" s="25">
        <v>0</v>
      </c>
      <c r="M1227" s="25">
        <v>1.98</v>
      </c>
      <c r="N1227" s="25">
        <v>0</v>
      </c>
      <c r="O1227" s="25">
        <v>39.299999999999997</v>
      </c>
      <c r="P1227" s="25">
        <v>41.28</v>
      </c>
    </row>
    <row r="1228" spans="1:16" x14ac:dyDescent="0.25">
      <c r="A1228" s="26">
        <v>43256</v>
      </c>
      <c r="B1228" s="25" t="s">
        <v>256</v>
      </c>
      <c r="C1228" s="25" t="s">
        <v>23</v>
      </c>
      <c r="D1228" s="25">
        <v>500</v>
      </c>
      <c r="E1228" s="25">
        <v>131.5</v>
      </c>
      <c r="F1228" s="25">
        <v>65750</v>
      </c>
      <c r="G1228" s="25" t="s">
        <v>495</v>
      </c>
      <c r="H1228" s="25">
        <v>2018106</v>
      </c>
      <c r="I1228" s="25" t="s">
        <v>19</v>
      </c>
      <c r="J1228" s="25" t="s">
        <v>20</v>
      </c>
      <c r="K1228" s="25" t="s">
        <v>25</v>
      </c>
      <c r="L1228" s="25">
        <v>16.5</v>
      </c>
      <c r="M1228" s="25">
        <v>1.97</v>
      </c>
      <c r="N1228" s="25">
        <v>0</v>
      </c>
      <c r="O1228" s="25">
        <v>39.15</v>
      </c>
      <c r="P1228" s="25">
        <v>57.622500000000002</v>
      </c>
    </row>
    <row r="1229" spans="1:16" x14ac:dyDescent="0.25">
      <c r="A1229" s="26">
        <v>43256</v>
      </c>
      <c r="B1229" s="25" t="s">
        <v>16</v>
      </c>
      <c r="C1229" s="25" t="s">
        <v>17</v>
      </c>
      <c r="D1229" s="25">
        <v>1000</v>
      </c>
      <c r="E1229" s="25">
        <v>67.28</v>
      </c>
      <c r="F1229" s="25">
        <v>67284.899999999994</v>
      </c>
      <c r="G1229" s="25" t="s">
        <v>496</v>
      </c>
      <c r="H1229" s="25">
        <v>2018106</v>
      </c>
      <c r="I1229" s="25" t="s">
        <v>19</v>
      </c>
      <c r="J1229" s="25" t="s">
        <v>20</v>
      </c>
      <c r="K1229" s="25" t="s">
        <v>25</v>
      </c>
      <c r="L1229" s="25">
        <v>0</v>
      </c>
      <c r="M1229" s="25">
        <v>2.02</v>
      </c>
      <c r="N1229" s="25">
        <v>0</v>
      </c>
      <c r="O1229" s="25">
        <v>40.06</v>
      </c>
      <c r="P1229" s="25">
        <v>42.078600000000002</v>
      </c>
    </row>
    <row r="1230" spans="1:16" x14ac:dyDescent="0.25">
      <c r="A1230" s="26">
        <v>43256</v>
      </c>
      <c r="B1230" s="25" t="s">
        <v>16</v>
      </c>
      <c r="C1230" s="25" t="s">
        <v>17</v>
      </c>
      <c r="D1230" s="25">
        <v>1000</v>
      </c>
      <c r="E1230" s="25">
        <v>66.5</v>
      </c>
      <c r="F1230" s="25">
        <v>66500</v>
      </c>
      <c r="G1230" s="25" t="s">
        <v>497</v>
      </c>
      <c r="H1230" s="25">
        <v>2018106</v>
      </c>
      <c r="I1230" s="25" t="s">
        <v>19</v>
      </c>
      <c r="J1230" s="25" t="s">
        <v>20</v>
      </c>
      <c r="K1230" s="25" t="s">
        <v>25</v>
      </c>
      <c r="L1230" s="25">
        <v>0</v>
      </c>
      <c r="M1230" s="25">
        <v>2</v>
      </c>
      <c r="N1230" s="25">
        <v>0</v>
      </c>
      <c r="O1230" s="25">
        <v>39.590000000000003</v>
      </c>
      <c r="P1230" s="25">
        <v>41.585099999999997</v>
      </c>
    </row>
    <row r="1231" spans="1:16" x14ac:dyDescent="0.25">
      <c r="A1231" s="26">
        <v>43256</v>
      </c>
      <c r="B1231" s="25" t="s">
        <v>282</v>
      </c>
      <c r="C1231" s="25" t="s">
        <v>17</v>
      </c>
      <c r="D1231" s="25">
        <v>100</v>
      </c>
      <c r="E1231" s="25">
        <v>591.64</v>
      </c>
      <c r="F1231" s="25">
        <v>59164.1</v>
      </c>
      <c r="G1231" s="25" t="s">
        <v>498</v>
      </c>
      <c r="H1231" s="25">
        <v>2018106</v>
      </c>
      <c r="I1231" s="25" t="s">
        <v>19</v>
      </c>
      <c r="J1231" s="25" t="s">
        <v>1634</v>
      </c>
      <c r="K1231" s="25" t="s">
        <v>25</v>
      </c>
      <c r="L1231" s="25">
        <v>0</v>
      </c>
      <c r="M1231" s="25">
        <v>1.78</v>
      </c>
      <c r="N1231" s="25">
        <v>34.200000000000003</v>
      </c>
      <c r="O1231" s="25">
        <v>35.229999999999997</v>
      </c>
      <c r="P1231" s="25">
        <v>71.204999999999998</v>
      </c>
    </row>
    <row r="1232" spans="1:16" x14ac:dyDescent="0.25">
      <c r="A1232" s="26">
        <v>43256</v>
      </c>
      <c r="B1232" s="25" t="s">
        <v>282</v>
      </c>
      <c r="C1232" s="25" t="s">
        <v>23</v>
      </c>
      <c r="D1232" s="25">
        <v>100</v>
      </c>
      <c r="E1232" s="25">
        <v>605</v>
      </c>
      <c r="F1232" s="25">
        <v>60500</v>
      </c>
      <c r="G1232" s="25" t="s">
        <v>499</v>
      </c>
      <c r="H1232" s="25">
        <v>2018106</v>
      </c>
      <c r="I1232" s="25" t="s">
        <v>19</v>
      </c>
      <c r="J1232" s="25" t="s">
        <v>1634</v>
      </c>
      <c r="K1232" s="25" t="s">
        <v>25</v>
      </c>
      <c r="L1232" s="25">
        <v>15.15</v>
      </c>
      <c r="M1232" s="25">
        <v>1.82</v>
      </c>
      <c r="N1232" s="25">
        <v>0</v>
      </c>
      <c r="O1232" s="25">
        <v>36.020000000000003</v>
      </c>
      <c r="P1232" s="25">
        <v>52.985100000000003</v>
      </c>
    </row>
    <row r="1233" spans="1:16" x14ac:dyDescent="0.25">
      <c r="A1233" s="26">
        <v>43256</v>
      </c>
      <c r="B1233" s="25" t="s">
        <v>16</v>
      </c>
      <c r="C1233" s="25" t="s">
        <v>23</v>
      </c>
      <c r="D1233" s="25">
        <v>2000</v>
      </c>
      <c r="E1233" s="25">
        <v>67.099999999999994</v>
      </c>
      <c r="F1233" s="25">
        <v>134200</v>
      </c>
      <c r="G1233" s="25" t="s">
        <v>500</v>
      </c>
      <c r="H1233" s="25">
        <v>2018106</v>
      </c>
      <c r="I1233" s="25" t="s">
        <v>19</v>
      </c>
      <c r="J1233" s="25" t="s">
        <v>20</v>
      </c>
      <c r="K1233" s="25" t="s">
        <v>25</v>
      </c>
      <c r="L1233" s="25">
        <v>33.5</v>
      </c>
      <c r="M1233" s="25">
        <v>4.03</v>
      </c>
      <c r="N1233" s="25">
        <v>0</v>
      </c>
      <c r="O1233" s="25">
        <v>79.91</v>
      </c>
      <c r="P1233" s="25">
        <v>117.4362</v>
      </c>
    </row>
    <row r="1234" spans="1:16" x14ac:dyDescent="0.25">
      <c r="A1234" s="26">
        <v>43256</v>
      </c>
      <c r="B1234" s="25" t="s">
        <v>282</v>
      </c>
      <c r="C1234" s="25" t="s">
        <v>17</v>
      </c>
      <c r="D1234" s="25">
        <v>150</v>
      </c>
      <c r="E1234" s="25">
        <v>602.95000000000005</v>
      </c>
      <c r="F1234" s="25">
        <v>90442.5</v>
      </c>
      <c r="G1234" s="25" t="s">
        <v>501</v>
      </c>
      <c r="H1234" s="25">
        <v>2018106</v>
      </c>
      <c r="I1234" s="25" t="s">
        <v>19</v>
      </c>
      <c r="J1234" s="25" t="s">
        <v>1634</v>
      </c>
      <c r="K1234" s="25" t="s">
        <v>25</v>
      </c>
      <c r="L1234" s="25">
        <v>0</v>
      </c>
      <c r="M1234" s="25">
        <v>2.71</v>
      </c>
      <c r="N1234" s="25">
        <v>0</v>
      </c>
      <c r="O1234" s="25">
        <v>53.85</v>
      </c>
      <c r="P1234" s="25">
        <v>56.563299999999998</v>
      </c>
    </row>
    <row r="1235" spans="1:16" x14ac:dyDescent="0.25">
      <c r="A1235" s="26">
        <v>43256</v>
      </c>
      <c r="B1235" s="25" t="s">
        <v>282</v>
      </c>
      <c r="C1235" s="25" t="s">
        <v>17</v>
      </c>
      <c r="D1235" s="25">
        <v>100</v>
      </c>
      <c r="E1235" s="25">
        <v>605</v>
      </c>
      <c r="F1235" s="25">
        <v>60500</v>
      </c>
      <c r="G1235" s="25" t="s">
        <v>502</v>
      </c>
      <c r="H1235" s="25">
        <v>2018106</v>
      </c>
      <c r="I1235" s="25" t="s">
        <v>19</v>
      </c>
      <c r="J1235" s="25" t="s">
        <v>1634</v>
      </c>
      <c r="K1235" s="25" t="s">
        <v>25</v>
      </c>
      <c r="L1235" s="25">
        <v>0</v>
      </c>
      <c r="M1235" s="25">
        <v>1.82</v>
      </c>
      <c r="N1235" s="25">
        <v>0</v>
      </c>
      <c r="O1235" s="25">
        <v>36.020000000000003</v>
      </c>
      <c r="P1235" s="25">
        <v>37.835099999999997</v>
      </c>
    </row>
    <row r="1236" spans="1:16" x14ac:dyDescent="0.25">
      <c r="A1236" s="26">
        <v>43256</v>
      </c>
      <c r="B1236" s="25" t="s">
        <v>282</v>
      </c>
      <c r="C1236" s="25" t="s">
        <v>17</v>
      </c>
      <c r="D1236" s="25">
        <v>100</v>
      </c>
      <c r="E1236" s="25">
        <v>602</v>
      </c>
      <c r="F1236" s="25">
        <v>60200</v>
      </c>
      <c r="G1236" s="25" t="s">
        <v>503</v>
      </c>
      <c r="H1236" s="25">
        <v>2018106</v>
      </c>
      <c r="I1236" s="25" t="s">
        <v>19</v>
      </c>
      <c r="J1236" s="25" t="s">
        <v>1634</v>
      </c>
      <c r="K1236" s="25" t="s">
        <v>25</v>
      </c>
      <c r="L1236" s="25">
        <v>0</v>
      </c>
      <c r="M1236" s="25">
        <v>1.81</v>
      </c>
      <c r="N1236" s="25">
        <v>0</v>
      </c>
      <c r="O1236" s="25">
        <v>35.840000000000003</v>
      </c>
      <c r="P1236" s="25">
        <v>37.646000000000001</v>
      </c>
    </row>
    <row r="1237" spans="1:16" x14ac:dyDescent="0.25">
      <c r="A1237" s="26">
        <v>43256</v>
      </c>
      <c r="B1237" s="25" t="s">
        <v>282</v>
      </c>
      <c r="C1237" s="25" t="s">
        <v>23</v>
      </c>
      <c r="D1237" s="25">
        <v>350</v>
      </c>
      <c r="E1237" s="25">
        <v>612</v>
      </c>
      <c r="F1237" s="25">
        <v>214200</v>
      </c>
      <c r="G1237" s="25" t="s">
        <v>504</v>
      </c>
      <c r="H1237" s="25">
        <v>2018106</v>
      </c>
      <c r="I1237" s="25" t="s">
        <v>19</v>
      </c>
      <c r="J1237" s="25" t="s">
        <v>1634</v>
      </c>
      <c r="K1237" s="25" t="s">
        <v>25</v>
      </c>
      <c r="L1237" s="25">
        <v>53.03</v>
      </c>
      <c r="M1237" s="25">
        <v>6.43</v>
      </c>
      <c r="N1237" s="25">
        <v>0</v>
      </c>
      <c r="O1237" s="25">
        <v>127.53</v>
      </c>
      <c r="P1237" s="25">
        <v>186.98599999999999</v>
      </c>
    </row>
    <row r="1238" spans="1:16" x14ac:dyDescent="0.25">
      <c r="A1238" s="26">
        <v>43256</v>
      </c>
      <c r="B1238" s="25" t="s">
        <v>282</v>
      </c>
      <c r="C1238" s="25" t="s">
        <v>17</v>
      </c>
      <c r="D1238" s="25">
        <v>100</v>
      </c>
      <c r="E1238" s="25">
        <v>611</v>
      </c>
      <c r="F1238" s="25">
        <v>61100</v>
      </c>
      <c r="G1238" s="25" t="s">
        <v>505</v>
      </c>
      <c r="H1238" s="25">
        <v>2018106</v>
      </c>
      <c r="I1238" s="25" t="s">
        <v>19</v>
      </c>
      <c r="J1238" s="25" t="s">
        <v>1634</v>
      </c>
      <c r="K1238" s="25" t="s">
        <v>25</v>
      </c>
      <c r="L1238" s="25">
        <v>60.31</v>
      </c>
      <c r="M1238" s="25">
        <v>1.83</v>
      </c>
      <c r="N1238" s="25">
        <v>0</v>
      </c>
      <c r="O1238" s="25">
        <v>396.87</v>
      </c>
      <c r="P1238" s="25">
        <v>459.01310000000001</v>
      </c>
    </row>
    <row r="1239" spans="1:16" x14ac:dyDescent="0.25">
      <c r="A1239" s="26">
        <v>43255</v>
      </c>
      <c r="B1239" s="25" t="s">
        <v>29</v>
      </c>
      <c r="C1239" s="25" t="s">
        <v>17</v>
      </c>
      <c r="D1239" s="25">
        <v>2500</v>
      </c>
      <c r="E1239" s="25">
        <v>16.75</v>
      </c>
      <c r="F1239" s="25">
        <v>41875</v>
      </c>
      <c r="G1239" s="25" t="s">
        <v>506</v>
      </c>
      <c r="H1239" s="25">
        <v>2018105</v>
      </c>
      <c r="I1239" s="25" t="s">
        <v>19</v>
      </c>
      <c r="J1239" s="25" t="s">
        <v>20</v>
      </c>
      <c r="K1239" s="25" t="s">
        <v>25</v>
      </c>
      <c r="L1239" s="25">
        <v>0</v>
      </c>
      <c r="M1239" s="25">
        <v>1.26</v>
      </c>
      <c r="N1239" s="25">
        <v>5.0999999999999996</v>
      </c>
      <c r="O1239" s="25">
        <v>29.73</v>
      </c>
      <c r="P1239" s="25">
        <v>36.086199999999998</v>
      </c>
    </row>
    <row r="1240" spans="1:16" x14ac:dyDescent="0.25">
      <c r="A1240" s="26">
        <v>43255</v>
      </c>
      <c r="B1240" s="25" t="s">
        <v>29</v>
      </c>
      <c r="C1240" s="25" t="s">
        <v>17</v>
      </c>
      <c r="D1240" s="25">
        <v>2500</v>
      </c>
      <c r="E1240" s="25">
        <v>16.899999999999999</v>
      </c>
      <c r="F1240" s="25">
        <v>42250</v>
      </c>
      <c r="G1240" s="25" t="s">
        <v>507</v>
      </c>
      <c r="H1240" s="25">
        <v>2018105</v>
      </c>
      <c r="I1240" s="25" t="s">
        <v>19</v>
      </c>
      <c r="J1240" s="25" t="s">
        <v>20</v>
      </c>
      <c r="K1240" s="25" t="s">
        <v>25</v>
      </c>
      <c r="L1240" s="25">
        <v>0</v>
      </c>
      <c r="M1240" s="25">
        <v>1.27</v>
      </c>
      <c r="N1240" s="25">
        <v>0</v>
      </c>
      <c r="O1240" s="25">
        <v>29.72</v>
      </c>
      <c r="P1240" s="25">
        <v>30.987500000000001</v>
      </c>
    </row>
    <row r="1241" spans="1:16" x14ac:dyDescent="0.25">
      <c r="A1241" s="26">
        <v>43255</v>
      </c>
      <c r="B1241" s="25" t="s">
        <v>29</v>
      </c>
      <c r="C1241" s="25" t="s">
        <v>23</v>
      </c>
      <c r="D1241" s="25">
        <v>5000</v>
      </c>
      <c r="E1241" s="25">
        <v>16.399999999999999</v>
      </c>
      <c r="F1241" s="25">
        <v>82000</v>
      </c>
      <c r="G1241" s="25" t="s">
        <v>508</v>
      </c>
      <c r="H1241" s="25">
        <v>2018105</v>
      </c>
      <c r="I1241" s="25" t="s">
        <v>19</v>
      </c>
      <c r="J1241" s="25" t="s">
        <v>20</v>
      </c>
      <c r="K1241" s="25" t="s">
        <v>25</v>
      </c>
      <c r="L1241" s="25">
        <v>21</v>
      </c>
      <c r="M1241" s="25">
        <v>2.46</v>
      </c>
      <c r="N1241" s="25">
        <v>0</v>
      </c>
      <c r="O1241" s="25">
        <v>48.83</v>
      </c>
      <c r="P1241" s="25">
        <v>72.290000000000006</v>
      </c>
    </row>
    <row r="1242" spans="1:16" x14ac:dyDescent="0.25">
      <c r="A1242" s="26">
        <v>43252</v>
      </c>
      <c r="B1242" s="25" t="s">
        <v>29</v>
      </c>
      <c r="C1242" s="25" t="s">
        <v>17</v>
      </c>
      <c r="D1242" s="25">
        <v>5000</v>
      </c>
      <c r="E1242" s="25">
        <v>16</v>
      </c>
      <c r="F1242" s="25">
        <v>80000</v>
      </c>
      <c r="G1242" s="25" t="s">
        <v>425</v>
      </c>
      <c r="H1242" s="25">
        <v>2018104</v>
      </c>
      <c r="I1242" s="25" t="s">
        <v>19</v>
      </c>
      <c r="J1242" s="25" t="s">
        <v>20</v>
      </c>
      <c r="K1242" s="25" t="s">
        <v>25</v>
      </c>
      <c r="L1242" s="25">
        <v>0</v>
      </c>
      <c r="M1242" s="25">
        <v>2.4</v>
      </c>
      <c r="N1242" s="25">
        <v>0</v>
      </c>
      <c r="O1242" s="25">
        <v>47.63</v>
      </c>
      <c r="P1242" s="25">
        <v>50.03</v>
      </c>
    </row>
    <row r="1243" spans="1:16" x14ac:dyDescent="0.25">
      <c r="A1243" s="26">
        <v>43252</v>
      </c>
      <c r="B1243" s="25" t="s">
        <v>29</v>
      </c>
      <c r="C1243" s="25" t="s">
        <v>23</v>
      </c>
      <c r="D1243" s="25">
        <v>5000</v>
      </c>
      <c r="E1243" s="25">
        <v>16.25</v>
      </c>
      <c r="F1243" s="25">
        <v>81250</v>
      </c>
      <c r="G1243" s="25" t="s">
        <v>426</v>
      </c>
      <c r="H1243" s="25">
        <v>2018104</v>
      </c>
      <c r="I1243" s="25" t="s">
        <v>19</v>
      </c>
      <c r="J1243" s="25" t="s">
        <v>20</v>
      </c>
      <c r="K1243" s="25" t="s">
        <v>25</v>
      </c>
      <c r="L1243" s="25">
        <v>20</v>
      </c>
      <c r="M1243" s="25">
        <v>2.44</v>
      </c>
      <c r="N1243" s="25">
        <v>5.0999999999999996</v>
      </c>
      <c r="O1243" s="25">
        <v>48.38</v>
      </c>
      <c r="P1243" s="25">
        <v>75.917500000000004</v>
      </c>
    </row>
    <row r="1244" spans="1:16" x14ac:dyDescent="0.25">
      <c r="A1244" s="26">
        <v>43251</v>
      </c>
      <c r="B1244" s="25" t="s">
        <v>179</v>
      </c>
      <c r="C1244" s="25" t="s">
        <v>17</v>
      </c>
      <c r="D1244" s="25">
        <v>1000</v>
      </c>
      <c r="E1244" s="25">
        <v>64.599999999999994</v>
      </c>
      <c r="F1244" s="25">
        <v>64600</v>
      </c>
      <c r="G1244" s="25" t="s">
        <v>427</v>
      </c>
      <c r="H1244" s="25">
        <v>2018103</v>
      </c>
      <c r="I1244" s="25" t="s">
        <v>19</v>
      </c>
      <c r="J1244" s="25" t="s">
        <v>20</v>
      </c>
      <c r="K1244" s="25" t="s">
        <v>25</v>
      </c>
      <c r="L1244" s="25">
        <v>0</v>
      </c>
      <c r="M1244" s="25">
        <v>1.94</v>
      </c>
      <c r="N1244" s="25">
        <v>0</v>
      </c>
      <c r="O1244" s="25">
        <v>38.46</v>
      </c>
      <c r="P1244" s="25">
        <v>40.398000000000003</v>
      </c>
    </row>
    <row r="1245" spans="1:16" x14ac:dyDescent="0.25">
      <c r="A1245" s="26">
        <v>43251</v>
      </c>
      <c r="B1245" s="25" t="s">
        <v>179</v>
      </c>
      <c r="C1245" s="25" t="s">
        <v>17</v>
      </c>
      <c r="D1245" s="25">
        <v>1000</v>
      </c>
      <c r="E1245" s="25">
        <v>65.25</v>
      </c>
      <c r="F1245" s="25">
        <v>65250</v>
      </c>
      <c r="G1245" s="25" t="s">
        <v>428</v>
      </c>
      <c r="H1245" s="25">
        <v>2018103</v>
      </c>
      <c r="I1245" s="25" t="s">
        <v>19</v>
      </c>
      <c r="J1245" s="25" t="s">
        <v>20</v>
      </c>
      <c r="K1245" s="25" t="s">
        <v>25</v>
      </c>
      <c r="L1245" s="25">
        <v>0</v>
      </c>
      <c r="M1245" s="25">
        <v>1.96</v>
      </c>
      <c r="N1245" s="25">
        <v>0</v>
      </c>
      <c r="O1245" s="25">
        <v>38.840000000000003</v>
      </c>
      <c r="P1245" s="25">
        <v>40.797499999999999</v>
      </c>
    </row>
    <row r="1246" spans="1:16" x14ac:dyDescent="0.25">
      <c r="A1246" s="26">
        <v>43251</v>
      </c>
      <c r="B1246" s="25" t="s">
        <v>179</v>
      </c>
      <c r="C1246" s="25" t="s">
        <v>23</v>
      </c>
      <c r="D1246" s="25">
        <v>2000</v>
      </c>
      <c r="E1246" s="25">
        <v>65.25</v>
      </c>
      <c r="F1246" s="25">
        <v>130500</v>
      </c>
      <c r="G1246" s="25" t="s">
        <v>429</v>
      </c>
      <c r="H1246" s="25">
        <v>2018103</v>
      </c>
      <c r="I1246" s="25" t="s">
        <v>19</v>
      </c>
      <c r="J1246" s="25" t="s">
        <v>20</v>
      </c>
      <c r="K1246" s="25" t="s">
        <v>25</v>
      </c>
      <c r="L1246" s="25">
        <v>33</v>
      </c>
      <c r="M1246" s="25">
        <v>3.92</v>
      </c>
      <c r="N1246" s="25">
        <v>8.4</v>
      </c>
      <c r="O1246" s="25">
        <v>77.680000000000007</v>
      </c>
      <c r="P1246" s="25">
        <v>122.9953</v>
      </c>
    </row>
    <row r="1247" spans="1:16" x14ac:dyDescent="0.25">
      <c r="A1247" s="26">
        <v>43251</v>
      </c>
      <c r="B1247" s="25" t="s">
        <v>35</v>
      </c>
      <c r="C1247" s="25" t="s">
        <v>17</v>
      </c>
      <c r="D1247" s="25">
        <v>500</v>
      </c>
      <c r="E1247" s="25">
        <v>15.65</v>
      </c>
      <c r="F1247" s="25">
        <v>7825</v>
      </c>
      <c r="G1247" s="25" t="s">
        <v>430</v>
      </c>
      <c r="H1247" s="25">
        <v>2018103</v>
      </c>
      <c r="I1247" s="25" t="s">
        <v>19</v>
      </c>
      <c r="J1247" s="25" t="s">
        <v>20</v>
      </c>
      <c r="K1247" s="25" t="s">
        <v>25</v>
      </c>
      <c r="L1247" s="25">
        <v>0</v>
      </c>
      <c r="M1247" s="25">
        <v>0.23</v>
      </c>
      <c r="N1247" s="25">
        <v>0</v>
      </c>
      <c r="O1247" s="25">
        <v>29.54</v>
      </c>
      <c r="P1247" s="25">
        <v>29.774699999999999</v>
      </c>
    </row>
    <row r="1248" spans="1:16" x14ac:dyDescent="0.25">
      <c r="A1248" s="26">
        <v>43251</v>
      </c>
      <c r="B1248" s="25" t="s">
        <v>35</v>
      </c>
      <c r="C1248" s="25" t="s">
        <v>23</v>
      </c>
      <c r="D1248" s="25">
        <v>500</v>
      </c>
      <c r="E1248" s="25">
        <v>16.3</v>
      </c>
      <c r="F1248" s="25">
        <v>8150</v>
      </c>
      <c r="G1248" s="25" t="s">
        <v>431</v>
      </c>
      <c r="H1248" s="25">
        <v>2018103</v>
      </c>
      <c r="I1248" s="25" t="s">
        <v>19</v>
      </c>
      <c r="J1248" s="25" t="s">
        <v>20</v>
      </c>
      <c r="K1248" s="25" t="s">
        <v>25</v>
      </c>
      <c r="L1248" s="25">
        <v>2</v>
      </c>
      <c r="M1248" s="25">
        <v>0.24</v>
      </c>
      <c r="N1248" s="25">
        <v>0</v>
      </c>
      <c r="O1248" s="25">
        <v>29.54</v>
      </c>
      <c r="P1248" s="25">
        <v>31.784500000000001</v>
      </c>
    </row>
    <row r="1249" spans="1:16" x14ac:dyDescent="0.25">
      <c r="A1249" s="26">
        <v>43250</v>
      </c>
      <c r="B1249" s="25" t="s">
        <v>256</v>
      </c>
      <c r="C1249" s="25" t="s">
        <v>17</v>
      </c>
      <c r="D1249" s="25">
        <v>100</v>
      </c>
      <c r="E1249" s="25">
        <v>178.9</v>
      </c>
      <c r="F1249" s="25">
        <v>17890</v>
      </c>
      <c r="G1249" s="25" t="s">
        <v>432</v>
      </c>
      <c r="H1249" s="25">
        <v>2018102</v>
      </c>
      <c r="I1249" s="25" t="s">
        <v>19</v>
      </c>
      <c r="J1249" s="25" t="s">
        <v>20</v>
      </c>
      <c r="K1249" s="25" t="s">
        <v>25</v>
      </c>
      <c r="L1249" s="25">
        <v>0</v>
      </c>
      <c r="M1249" s="25">
        <v>0.54</v>
      </c>
      <c r="N1249" s="25">
        <v>0</v>
      </c>
      <c r="O1249" s="25">
        <v>29.59</v>
      </c>
      <c r="P1249" s="25">
        <v>30.126799999999999</v>
      </c>
    </row>
    <row r="1250" spans="1:16" x14ac:dyDescent="0.25">
      <c r="A1250" s="26">
        <v>43250</v>
      </c>
      <c r="B1250" s="25" t="s">
        <v>433</v>
      </c>
      <c r="C1250" s="25" t="s">
        <v>17</v>
      </c>
      <c r="D1250" s="25">
        <v>1000</v>
      </c>
      <c r="E1250" s="25">
        <v>17.649999999999999</v>
      </c>
      <c r="F1250" s="25">
        <v>17650</v>
      </c>
      <c r="G1250" s="25" t="s">
        <v>434</v>
      </c>
      <c r="H1250" s="25">
        <v>2018102</v>
      </c>
      <c r="I1250" s="25" t="s">
        <v>19</v>
      </c>
      <c r="J1250" s="25" t="s">
        <v>1634</v>
      </c>
      <c r="K1250" s="25" t="s">
        <v>25</v>
      </c>
      <c r="L1250" s="25">
        <v>0</v>
      </c>
      <c r="M1250" s="25">
        <v>0.53</v>
      </c>
      <c r="N1250" s="25">
        <v>0</v>
      </c>
      <c r="O1250" s="25">
        <v>114.64</v>
      </c>
      <c r="P1250" s="25">
        <v>115.1695</v>
      </c>
    </row>
    <row r="1251" spans="1:16" x14ac:dyDescent="0.25">
      <c r="A1251" s="26">
        <v>43250</v>
      </c>
      <c r="B1251" s="25" t="s">
        <v>433</v>
      </c>
      <c r="C1251" s="25" t="s">
        <v>23</v>
      </c>
      <c r="D1251" s="25">
        <v>2000</v>
      </c>
      <c r="E1251" s="25">
        <v>17.600000000000001</v>
      </c>
      <c r="F1251" s="25">
        <v>35200</v>
      </c>
      <c r="G1251" s="25" t="s">
        <v>435</v>
      </c>
      <c r="H1251" s="25">
        <v>2018102</v>
      </c>
      <c r="I1251" s="25" t="s">
        <v>19</v>
      </c>
      <c r="J1251" s="25" t="s">
        <v>1634</v>
      </c>
      <c r="K1251" s="25" t="s">
        <v>25</v>
      </c>
      <c r="L1251" s="25">
        <v>22.02</v>
      </c>
      <c r="M1251" s="25">
        <v>1.06</v>
      </c>
      <c r="N1251" s="25">
        <v>2.7</v>
      </c>
      <c r="O1251" s="25">
        <v>114.41</v>
      </c>
      <c r="P1251" s="25">
        <v>140.1859</v>
      </c>
    </row>
    <row r="1252" spans="1:16" x14ac:dyDescent="0.25">
      <c r="A1252" s="26">
        <v>43250</v>
      </c>
      <c r="B1252" s="25" t="s">
        <v>256</v>
      </c>
      <c r="C1252" s="25" t="s">
        <v>23</v>
      </c>
      <c r="D1252" s="25">
        <v>100</v>
      </c>
      <c r="E1252" s="25">
        <v>174.5</v>
      </c>
      <c r="F1252" s="25">
        <v>17450</v>
      </c>
      <c r="G1252" s="25" t="s">
        <v>436</v>
      </c>
      <c r="H1252" s="25">
        <v>2018102</v>
      </c>
      <c r="I1252" s="25" t="s">
        <v>19</v>
      </c>
      <c r="J1252" s="25" t="s">
        <v>20</v>
      </c>
      <c r="K1252" s="25" t="s">
        <v>25</v>
      </c>
      <c r="L1252" s="25">
        <v>3.98</v>
      </c>
      <c r="M1252" s="25">
        <v>0.52</v>
      </c>
      <c r="N1252" s="25">
        <v>0</v>
      </c>
      <c r="O1252" s="25">
        <v>29.59</v>
      </c>
      <c r="P1252" s="25">
        <v>34.093499999999999</v>
      </c>
    </row>
    <row r="1253" spans="1:16" x14ac:dyDescent="0.25">
      <c r="A1253" s="26">
        <v>43249</v>
      </c>
      <c r="B1253" s="25" t="s">
        <v>433</v>
      </c>
      <c r="C1253" s="25" t="s">
        <v>17</v>
      </c>
      <c r="D1253" s="25">
        <v>1000</v>
      </c>
      <c r="E1253" s="25">
        <v>16</v>
      </c>
      <c r="F1253" s="25">
        <v>16000</v>
      </c>
      <c r="G1253" s="25" t="s">
        <v>437</v>
      </c>
      <c r="H1253" s="25">
        <v>2018101</v>
      </c>
      <c r="I1253" s="25" t="s">
        <v>19</v>
      </c>
      <c r="J1253" s="25" t="s">
        <v>1634</v>
      </c>
      <c r="K1253" s="25" t="s">
        <v>25</v>
      </c>
      <c r="L1253" s="25">
        <v>0</v>
      </c>
      <c r="M1253" s="25">
        <v>0.48</v>
      </c>
      <c r="N1253" s="25">
        <v>0</v>
      </c>
      <c r="O1253" s="25">
        <v>29.59</v>
      </c>
      <c r="P1253" s="25">
        <v>30.07</v>
      </c>
    </row>
    <row r="1254" spans="1:16" x14ac:dyDescent="0.25">
      <c r="A1254" s="26">
        <v>43249</v>
      </c>
      <c r="B1254" s="25" t="s">
        <v>433</v>
      </c>
      <c r="C1254" s="25" t="s">
        <v>23</v>
      </c>
      <c r="D1254" s="25">
        <v>1000</v>
      </c>
      <c r="E1254" s="25">
        <v>16.8</v>
      </c>
      <c r="F1254" s="25">
        <v>16800</v>
      </c>
      <c r="G1254" s="25" t="s">
        <v>438</v>
      </c>
      <c r="H1254" s="25">
        <v>2018101</v>
      </c>
      <c r="I1254" s="25" t="s">
        <v>19</v>
      </c>
      <c r="J1254" s="25" t="s">
        <v>1634</v>
      </c>
      <c r="K1254" s="25" t="s">
        <v>25</v>
      </c>
      <c r="L1254" s="25">
        <v>4.0599999999999996</v>
      </c>
      <c r="M1254" s="25">
        <v>0.5</v>
      </c>
      <c r="N1254" s="25">
        <v>0</v>
      </c>
      <c r="O1254" s="25">
        <v>29.59</v>
      </c>
      <c r="P1254" s="25">
        <v>34.154000000000003</v>
      </c>
    </row>
    <row r="1255" spans="1:16" x14ac:dyDescent="0.25">
      <c r="A1255" s="26">
        <v>43249</v>
      </c>
      <c r="B1255" s="25" t="s">
        <v>433</v>
      </c>
      <c r="C1255" s="25" t="s">
        <v>17</v>
      </c>
      <c r="D1255" s="25">
        <v>1000</v>
      </c>
      <c r="E1255" s="25">
        <v>16</v>
      </c>
      <c r="F1255" s="25">
        <v>16000</v>
      </c>
      <c r="G1255" s="25" t="s">
        <v>439</v>
      </c>
      <c r="H1255" s="25">
        <v>2018101</v>
      </c>
      <c r="I1255" s="25" t="s">
        <v>19</v>
      </c>
      <c r="J1255" s="25" t="s">
        <v>1634</v>
      </c>
      <c r="K1255" s="25" t="s">
        <v>25</v>
      </c>
      <c r="L1255" s="25">
        <v>16.239999999999998</v>
      </c>
      <c r="M1255" s="25">
        <v>0.48</v>
      </c>
      <c r="N1255" s="25">
        <v>0</v>
      </c>
      <c r="O1255" s="25">
        <v>103.93</v>
      </c>
      <c r="P1255" s="25">
        <v>120.65</v>
      </c>
    </row>
    <row r="1256" spans="1:16" x14ac:dyDescent="0.25">
      <c r="A1256" s="26">
        <v>43249</v>
      </c>
      <c r="B1256" s="25" t="s">
        <v>433</v>
      </c>
      <c r="C1256" s="25" t="s">
        <v>17</v>
      </c>
      <c r="D1256" s="25">
        <v>1000</v>
      </c>
      <c r="E1256" s="25">
        <v>16.149999999999999</v>
      </c>
      <c r="F1256" s="25">
        <v>16150</v>
      </c>
      <c r="G1256" s="25" t="s">
        <v>440</v>
      </c>
      <c r="H1256" s="25">
        <v>2018101</v>
      </c>
      <c r="I1256" s="25" t="s">
        <v>19</v>
      </c>
      <c r="J1256" s="25" t="s">
        <v>1634</v>
      </c>
      <c r="K1256" s="25" t="s">
        <v>25</v>
      </c>
      <c r="L1256" s="25">
        <v>16.239999999999998</v>
      </c>
      <c r="M1256" s="25">
        <v>0.48</v>
      </c>
      <c r="N1256" s="25">
        <v>0</v>
      </c>
      <c r="O1256" s="25">
        <v>104.9</v>
      </c>
      <c r="P1256" s="25">
        <v>121.6245</v>
      </c>
    </row>
    <row r="1257" spans="1:16" x14ac:dyDescent="0.25">
      <c r="A1257" s="26">
        <v>43249</v>
      </c>
      <c r="B1257" s="25" t="s">
        <v>26</v>
      </c>
      <c r="C1257" s="25" t="s">
        <v>17</v>
      </c>
      <c r="D1257" s="25">
        <v>100</v>
      </c>
      <c r="E1257" s="25">
        <v>101.08</v>
      </c>
      <c r="F1257" s="25">
        <v>10107.5</v>
      </c>
      <c r="G1257" s="25" t="s">
        <v>441</v>
      </c>
      <c r="H1257" s="25">
        <v>2018101</v>
      </c>
      <c r="I1257" s="25" t="s">
        <v>19</v>
      </c>
      <c r="J1257" s="25" t="s">
        <v>20</v>
      </c>
      <c r="K1257" s="25" t="s">
        <v>25</v>
      </c>
      <c r="L1257" s="25">
        <v>0</v>
      </c>
      <c r="M1257" s="25">
        <v>0.3</v>
      </c>
      <c r="N1257" s="25">
        <v>0</v>
      </c>
      <c r="O1257" s="25">
        <v>29.55</v>
      </c>
      <c r="P1257" s="25">
        <v>29.853300000000001</v>
      </c>
    </row>
    <row r="1258" spans="1:16" x14ac:dyDescent="0.25">
      <c r="A1258" s="26">
        <v>43249</v>
      </c>
      <c r="B1258" s="25" t="s">
        <v>26</v>
      </c>
      <c r="C1258" s="25" t="s">
        <v>17</v>
      </c>
      <c r="D1258" s="25">
        <v>100</v>
      </c>
      <c r="E1258" s="25">
        <v>98.5</v>
      </c>
      <c r="F1258" s="25">
        <v>9850</v>
      </c>
      <c r="G1258" s="25" t="s">
        <v>442</v>
      </c>
      <c r="H1258" s="25">
        <v>2018101</v>
      </c>
      <c r="I1258" s="25" t="s">
        <v>19</v>
      </c>
      <c r="J1258" s="25" t="s">
        <v>20</v>
      </c>
      <c r="K1258" s="25" t="s">
        <v>25</v>
      </c>
      <c r="L1258" s="25">
        <v>0</v>
      </c>
      <c r="M1258" s="25">
        <v>0.3</v>
      </c>
      <c r="N1258" s="25">
        <v>0</v>
      </c>
      <c r="O1258" s="25">
        <v>29.55</v>
      </c>
      <c r="P1258" s="25">
        <v>29.845500000000001</v>
      </c>
    </row>
    <row r="1259" spans="1:16" x14ac:dyDescent="0.25">
      <c r="A1259" s="26">
        <v>43249</v>
      </c>
      <c r="B1259" s="25" t="s">
        <v>26</v>
      </c>
      <c r="C1259" s="25" t="s">
        <v>23</v>
      </c>
      <c r="D1259" s="25">
        <v>200</v>
      </c>
      <c r="E1259" s="25">
        <v>98.25</v>
      </c>
      <c r="F1259" s="25">
        <v>19650</v>
      </c>
      <c r="G1259" s="25" t="s">
        <v>443</v>
      </c>
      <c r="H1259" s="25">
        <v>2018101</v>
      </c>
      <c r="I1259" s="25" t="s">
        <v>19</v>
      </c>
      <c r="J1259" s="25" t="s">
        <v>20</v>
      </c>
      <c r="K1259" s="25" t="s">
        <v>25</v>
      </c>
      <c r="L1259" s="25">
        <v>4.95</v>
      </c>
      <c r="M1259" s="25">
        <v>0.59</v>
      </c>
      <c r="N1259" s="25">
        <v>0</v>
      </c>
      <c r="O1259" s="25">
        <v>29.61</v>
      </c>
      <c r="P1259" s="25">
        <v>35.149500000000003</v>
      </c>
    </row>
    <row r="1260" spans="1:16" x14ac:dyDescent="0.25">
      <c r="A1260" s="26">
        <v>43249</v>
      </c>
      <c r="B1260" s="25" t="s">
        <v>179</v>
      </c>
      <c r="C1260" s="25" t="s">
        <v>23</v>
      </c>
      <c r="D1260" s="25">
        <v>2000</v>
      </c>
      <c r="E1260" s="25">
        <v>76</v>
      </c>
      <c r="F1260" s="25">
        <v>152000</v>
      </c>
      <c r="G1260" s="25" t="s">
        <v>444</v>
      </c>
      <c r="H1260" s="25">
        <v>2018101</v>
      </c>
      <c r="I1260" s="25" t="s">
        <v>19</v>
      </c>
      <c r="J1260" s="25" t="s">
        <v>1634</v>
      </c>
      <c r="K1260" s="25" t="s">
        <v>25</v>
      </c>
      <c r="L1260" s="25">
        <v>151.51</v>
      </c>
      <c r="M1260" s="25">
        <v>4.5599999999999996</v>
      </c>
      <c r="N1260" s="25">
        <v>7.8</v>
      </c>
      <c r="O1260" s="25">
        <v>987.3</v>
      </c>
      <c r="P1260" s="25">
        <v>1151.17</v>
      </c>
    </row>
    <row r="1261" spans="1:16" x14ac:dyDescent="0.25">
      <c r="A1261" s="26">
        <v>43245</v>
      </c>
      <c r="B1261" s="25" t="s">
        <v>179</v>
      </c>
      <c r="C1261" s="25" t="s">
        <v>17</v>
      </c>
      <c r="D1261" s="25">
        <v>1000</v>
      </c>
      <c r="E1261" s="25">
        <v>72</v>
      </c>
      <c r="F1261" s="25">
        <v>72000</v>
      </c>
      <c r="G1261" s="25" t="s">
        <v>445</v>
      </c>
      <c r="H1261" s="25">
        <v>2018099</v>
      </c>
      <c r="I1261" s="25" t="s">
        <v>19</v>
      </c>
      <c r="J1261" s="25" t="s">
        <v>1634</v>
      </c>
      <c r="K1261" s="25" t="s">
        <v>25</v>
      </c>
      <c r="L1261" s="25">
        <v>72.349999999999994</v>
      </c>
      <c r="M1261" s="25">
        <v>2.16</v>
      </c>
      <c r="N1261" s="25">
        <v>0</v>
      </c>
      <c r="O1261" s="25">
        <v>467.67</v>
      </c>
      <c r="P1261" s="25">
        <v>542.17999999999995</v>
      </c>
    </row>
    <row r="1262" spans="1:16" x14ac:dyDescent="0.25">
      <c r="A1262" s="26">
        <v>43245</v>
      </c>
      <c r="B1262" s="25" t="s">
        <v>179</v>
      </c>
      <c r="C1262" s="25" t="s">
        <v>17</v>
      </c>
      <c r="D1262" s="25">
        <v>1000</v>
      </c>
      <c r="E1262" s="25">
        <v>72.7</v>
      </c>
      <c r="F1262" s="25">
        <v>72700</v>
      </c>
      <c r="G1262" s="25" t="s">
        <v>446</v>
      </c>
      <c r="H1262" s="25">
        <v>2018099</v>
      </c>
      <c r="I1262" s="25" t="s">
        <v>19</v>
      </c>
      <c r="J1262" s="25" t="s">
        <v>1634</v>
      </c>
      <c r="K1262" s="25" t="s">
        <v>25</v>
      </c>
      <c r="L1262" s="25">
        <v>72.349999999999994</v>
      </c>
      <c r="M1262" s="25">
        <v>2.1800000000000002</v>
      </c>
      <c r="N1262" s="25">
        <v>0</v>
      </c>
      <c r="O1262" s="25">
        <v>472.22</v>
      </c>
      <c r="P1262" s="25">
        <v>546.75109999999995</v>
      </c>
    </row>
    <row r="1263" spans="1:16" x14ac:dyDescent="0.25">
      <c r="A1263" s="26">
        <v>43245</v>
      </c>
      <c r="B1263" s="25" t="s">
        <v>433</v>
      </c>
      <c r="C1263" s="25" t="s">
        <v>23</v>
      </c>
      <c r="D1263" s="25">
        <v>5000</v>
      </c>
      <c r="E1263" s="25">
        <v>14.3</v>
      </c>
      <c r="F1263" s="25">
        <v>71500</v>
      </c>
      <c r="G1263" s="25" t="s">
        <v>447</v>
      </c>
      <c r="H1263" s="25">
        <v>2018099</v>
      </c>
      <c r="I1263" s="25" t="s">
        <v>19</v>
      </c>
      <c r="J1263" s="25" t="s">
        <v>1634</v>
      </c>
      <c r="K1263" s="25" t="s">
        <v>25</v>
      </c>
      <c r="L1263" s="25">
        <v>71.3</v>
      </c>
      <c r="M1263" s="25">
        <v>2.15</v>
      </c>
      <c r="N1263" s="25">
        <v>6.6</v>
      </c>
      <c r="O1263" s="25">
        <v>464.42</v>
      </c>
      <c r="P1263" s="25">
        <v>544.46500000000003</v>
      </c>
    </row>
    <row r="1264" spans="1:16" x14ac:dyDescent="0.25">
      <c r="A1264" s="26">
        <v>43244</v>
      </c>
      <c r="B1264" s="25" t="s">
        <v>179</v>
      </c>
      <c r="C1264" s="25" t="s">
        <v>17</v>
      </c>
      <c r="D1264" s="25">
        <v>1000</v>
      </c>
      <c r="E1264" s="25">
        <v>70.349999999999994</v>
      </c>
      <c r="F1264" s="25">
        <v>70350</v>
      </c>
      <c r="G1264" s="25" t="s">
        <v>448</v>
      </c>
      <c r="H1264" s="25">
        <v>2018098</v>
      </c>
      <c r="I1264" s="25" t="s">
        <v>19</v>
      </c>
      <c r="J1264" s="25" t="s">
        <v>20</v>
      </c>
      <c r="K1264" s="25" t="s">
        <v>25</v>
      </c>
      <c r="L1264" s="25">
        <v>0</v>
      </c>
      <c r="M1264" s="25">
        <v>2.11</v>
      </c>
      <c r="N1264" s="25">
        <v>0</v>
      </c>
      <c r="O1264" s="25">
        <v>41.89</v>
      </c>
      <c r="P1264" s="25">
        <v>44.000500000000002</v>
      </c>
    </row>
    <row r="1265" spans="1:16" x14ac:dyDescent="0.25">
      <c r="A1265" s="26">
        <v>43244</v>
      </c>
      <c r="B1265" s="25" t="s">
        <v>179</v>
      </c>
      <c r="C1265" s="25" t="s">
        <v>23</v>
      </c>
      <c r="D1265" s="25">
        <v>1000</v>
      </c>
      <c r="E1265" s="25">
        <v>71.349999999999994</v>
      </c>
      <c r="F1265" s="25">
        <v>71350</v>
      </c>
      <c r="G1265" s="25" t="s">
        <v>449</v>
      </c>
      <c r="H1265" s="25">
        <v>2018098</v>
      </c>
      <c r="I1265" s="25" t="s">
        <v>19</v>
      </c>
      <c r="J1265" s="25" t="s">
        <v>20</v>
      </c>
      <c r="K1265" s="25" t="s">
        <v>25</v>
      </c>
      <c r="L1265" s="25">
        <v>17.670000000000002</v>
      </c>
      <c r="M1265" s="25">
        <v>2.14</v>
      </c>
      <c r="N1265" s="25">
        <v>0</v>
      </c>
      <c r="O1265" s="25">
        <v>42.47</v>
      </c>
      <c r="P1265" s="25">
        <v>62.2804</v>
      </c>
    </row>
    <row r="1266" spans="1:16" x14ac:dyDescent="0.25">
      <c r="A1266" s="26">
        <v>43244</v>
      </c>
      <c r="B1266" s="25" t="s">
        <v>179</v>
      </c>
      <c r="C1266" s="25" t="s">
        <v>23</v>
      </c>
      <c r="D1266" s="25">
        <v>2000</v>
      </c>
      <c r="E1266" s="25">
        <v>70.5</v>
      </c>
      <c r="F1266" s="25">
        <v>141000</v>
      </c>
      <c r="G1266" s="25" t="s">
        <v>450</v>
      </c>
      <c r="H1266" s="25">
        <v>2018098</v>
      </c>
      <c r="I1266" s="25" t="s">
        <v>19</v>
      </c>
      <c r="J1266" s="25" t="s">
        <v>1634</v>
      </c>
      <c r="K1266" s="25" t="s">
        <v>25</v>
      </c>
      <c r="L1266" s="25">
        <v>141.33000000000001</v>
      </c>
      <c r="M1266" s="25">
        <v>4.2300000000000004</v>
      </c>
      <c r="N1266" s="25">
        <v>8.6999999999999993</v>
      </c>
      <c r="O1266" s="25">
        <v>915.85</v>
      </c>
      <c r="P1266" s="25">
        <v>1070.1099999999999</v>
      </c>
    </row>
    <row r="1267" spans="1:16" x14ac:dyDescent="0.25">
      <c r="A1267" s="26">
        <v>43243</v>
      </c>
      <c r="B1267" s="25" t="s">
        <v>321</v>
      </c>
      <c r="C1267" s="25" t="s">
        <v>17</v>
      </c>
      <c r="D1267" s="25">
        <v>250</v>
      </c>
      <c r="E1267" s="25">
        <v>295.14999999999998</v>
      </c>
      <c r="F1267" s="25">
        <v>73787.5</v>
      </c>
      <c r="G1267" s="25" t="s">
        <v>451</v>
      </c>
      <c r="H1267" s="25">
        <v>2018097</v>
      </c>
      <c r="I1267" s="25" t="s">
        <v>19</v>
      </c>
      <c r="J1267" s="25" t="s">
        <v>20</v>
      </c>
      <c r="K1267" s="25" t="s">
        <v>25</v>
      </c>
      <c r="L1267" s="25">
        <v>0</v>
      </c>
      <c r="M1267" s="25">
        <v>2.21</v>
      </c>
      <c r="N1267" s="25">
        <v>0</v>
      </c>
      <c r="O1267" s="25">
        <v>43.94</v>
      </c>
      <c r="P1267" s="25">
        <v>46.153599999999997</v>
      </c>
    </row>
    <row r="1268" spans="1:16" x14ac:dyDescent="0.25">
      <c r="A1268" s="26">
        <v>43243</v>
      </c>
      <c r="B1268" s="25" t="s">
        <v>321</v>
      </c>
      <c r="C1268" s="25" t="s">
        <v>17</v>
      </c>
      <c r="D1268" s="25">
        <v>250</v>
      </c>
      <c r="E1268" s="25">
        <v>294.64999999999998</v>
      </c>
      <c r="F1268" s="25">
        <v>73662.5</v>
      </c>
      <c r="G1268" s="25" t="s">
        <v>452</v>
      </c>
      <c r="H1268" s="25">
        <v>2018097</v>
      </c>
      <c r="I1268" s="25" t="s">
        <v>19</v>
      </c>
      <c r="J1268" s="25" t="s">
        <v>20</v>
      </c>
      <c r="K1268" s="25" t="s">
        <v>25</v>
      </c>
      <c r="L1268" s="25">
        <v>0</v>
      </c>
      <c r="M1268" s="25">
        <v>2.21</v>
      </c>
      <c r="N1268" s="25">
        <v>0</v>
      </c>
      <c r="O1268" s="25">
        <v>43.86</v>
      </c>
      <c r="P1268" s="25">
        <v>46.069899999999997</v>
      </c>
    </row>
    <row r="1269" spans="1:16" x14ac:dyDescent="0.25">
      <c r="A1269" s="26">
        <v>43243</v>
      </c>
      <c r="B1269" s="25" t="s">
        <v>321</v>
      </c>
      <c r="C1269" s="25" t="s">
        <v>17</v>
      </c>
      <c r="D1269" s="25">
        <v>250</v>
      </c>
      <c r="E1269" s="25">
        <v>292</v>
      </c>
      <c r="F1269" s="25">
        <v>73000</v>
      </c>
      <c r="G1269" s="25" t="s">
        <v>453</v>
      </c>
      <c r="H1269" s="25">
        <v>2018097</v>
      </c>
      <c r="I1269" s="25" t="s">
        <v>19</v>
      </c>
      <c r="J1269" s="25" t="s">
        <v>20</v>
      </c>
      <c r="K1269" s="25" t="s">
        <v>25</v>
      </c>
      <c r="L1269" s="25">
        <v>0</v>
      </c>
      <c r="M1269" s="25">
        <v>2.19</v>
      </c>
      <c r="N1269" s="25">
        <v>0</v>
      </c>
      <c r="O1269" s="25">
        <v>43.46</v>
      </c>
      <c r="P1269" s="25">
        <v>45.65</v>
      </c>
    </row>
    <row r="1270" spans="1:16" x14ac:dyDescent="0.25">
      <c r="A1270" s="26">
        <v>43243</v>
      </c>
      <c r="B1270" s="25" t="s">
        <v>321</v>
      </c>
      <c r="C1270" s="25" t="s">
        <v>17</v>
      </c>
      <c r="D1270" s="25">
        <v>250</v>
      </c>
      <c r="E1270" s="25">
        <v>286</v>
      </c>
      <c r="F1270" s="25">
        <v>71500</v>
      </c>
      <c r="G1270" s="25" t="s">
        <v>454</v>
      </c>
      <c r="H1270" s="25">
        <v>2018097</v>
      </c>
      <c r="I1270" s="25" t="s">
        <v>19</v>
      </c>
      <c r="J1270" s="25" t="s">
        <v>20</v>
      </c>
      <c r="K1270" s="25" t="s">
        <v>25</v>
      </c>
      <c r="L1270" s="25">
        <v>0</v>
      </c>
      <c r="M1270" s="25">
        <v>2.15</v>
      </c>
      <c r="N1270" s="25">
        <v>17.399999999999999</v>
      </c>
      <c r="O1270" s="25">
        <v>42.57</v>
      </c>
      <c r="P1270" s="25">
        <v>62.115099999999998</v>
      </c>
    </row>
    <row r="1271" spans="1:16" x14ac:dyDescent="0.25">
      <c r="A1271" s="26">
        <v>43243</v>
      </c>
      <c r="B1271" s="25" t="s">
        <v>321</v>
      </c>
      <c r="C1271" s="25" t="s">
        <v>23</v>
      </c>
      <c r="D1271" s="25">
        <v>1000</v>
      </c>
      <c r="E1271" s="25">
        <v>286</v>
      </c>
      <c r="F1271" s="25">
        <v>286000</v>
      </c>
      <c r="G1271" s="25" t="s">
        <v>455</v>
      </c>
      <c r="H1271" s="25">
        <v>2018097</v>
      </c>
      <c r="I1271" s="25" t="s">
        <v>19</v>
      </c>
      <c r="J1271" s="25" t="s">
        <v>20</v>
      </c>
      <c r="K1271" s="25" t="s">
        <v>25</v>
      </c>
      <c r="L1271" s="25">
        <v>72</v>
      </c>
      <c r="M1271" s="25">
        <v>8.58</v>
      </c>
      <c r="N1271" s="25">
        <v>0</v>
      </c>
      <c r="O1271" s="25">
        <v>170.28</v>
      </c>
      <c r="P1271" s="25">
        <v>250.86009999999999</v>
      </c>
    </row>
    <row r="1272" spans="1:16" x14ac:dyDescent="0.25">
      <c r="A1272" s="26">
        <v>43242</v>
      </c>
      <c r="B1272" s="25" t="s">
        <v>179</v>
      </c>
      <c r="C1272" s="25" t="s">
        <v>17</v>
      </c>
      <c r="D1272" s="25">
        <v>2000</v>
      </c>
      <c r="E1272" s="25">
        <v>67.5</v>
      </c>
      <c r="F1272" s="25">
        <v>135000</v>
      </c>
      <c r="G1272" s="25" t="s">
        <v>456</v>
      </c>
      <c r="H1272" s="25">
        <v>2018096</v>
      </c>
      <c r="I1272" s="25" t="s">
        <v>19</v>
      </c>
      <c r="J1272" s="25" t="s">
        <v>1634</v>
      </c>
      <c r="K1272" s="25" t="s">
        <v>25</v>
      </c>
      <c r="L1272" s="25">
        <v>135</v>
      </c>
      <c r="M1272" s="25">
        <v>4.05</v>
      </c>
      <c r="N1272" s="25">
        <v>4.2</v>
      </c>
      <c r="O1272" s="25">
        <v>876.88</v>
      </c>
      <c r="P1272" s="25">
        <v>1020.13</v>
      </c>
    </row>
    <row r="1273" spans="1:16" x14ac:dyDescent="0.25">
      <c r="A1273" s="26">
        <v>43241</v>
      </c>
      <c r="B1273" s="25" t="s">
        <v>433</v>
      </c>
      <c r="C1273" s="25" t="s">
        <v>17</v>
      </c>
      <c r="D1273" s="25">
        <v>2500</v>
      </c>
      <c r="E1273" s="25">
        <v>14</v>
      </c>
      <c r="F1273" s="25">
        <v>35000</v>
      </c>
      <c r="G1273" s="25" t="s">
        <v>457</v>
      </c>
      <c r="H1273" s="25">
        <v>2018095</v>
      </c>
      <c r="I1273" s="25" t="s">
        <v>19</v>
      </c>
      <c r="J1273" s="25" t="s">
        <v>1634</v>
      </c>
      <c r="K1273" s="25" t="s">
        <v>25</v>
      </c>
      <c r="L1273" s="25">
        <v>35</v>
      </c>
      <c r="M1273" s="25">
        <v>1.05</v>
      </c>
      <c r="N1273" s="25">
        <v>0</v>
      </c>
      <c r="O1273" s="25">
        <v>227.34</v>
      </c>
      <c r="P1273" s="25">
        <v>263.39</v>
      </c>
    </row>
    <row r="1274" spans="1:16" x14ac:dyDescent="0.25">
      <c r="A1274" s="26">
        <v>43241</v>
      </c>
      <c r="B1274" s="25" t="s">
        <v>100</v>
      </c>
      <c r="C1274" s="25" t="s">
        <v>17</v>
      </c>
      <c r="D1274" s="25">
        <v>2000</v>
      </c>
      <c r="E1274" s="25">
        <v>140.9</v>
      </c>
      <c r="F1274" s="25">
        <v>281800</v>
      </c>
      <c r="G1274" s="25" t="s">
        <v>458</v>
      </c>
      <c r="H1274" s="25">
        <v>2018095</v>
      </c>
      <c r="I1274" s="25" t="s">
        <v>19</v>
      </c>
      <c r="J1274" s="25" t="s">
        <v>20</v>
      </c>
      <c r="K1274" s="25" t="s">
        <v>25</v>
      </c>
      <c r="L1274" s="25">
        <v>0</v>
      </c>
      <c r="M1274" s="25">
        <v>8.4499999999999993</v>
      </c>
      <c r="N1274" s="25">
        <v>0</v>
      </c>
      <c r="O1274" s="25">
        <v>167.78</v>
      </c>
      <c r="P1274" s="25">
        <v>176.23400000000001</v>
      </c>
    </row>
    <row r="1275" spans="1:16" x14ac:dyDescent="0.25">
      <c r="A1275" s="26">
        <v>43241</v>
      </c>
      <c r="B1275" s="25" t="s">
        <v>100</v>
      </c>
      <c r="C1275" s="25" t="s">
        <v>23</v>
      </c>
      <c r="D1275" s="25">
        <v>2000</v>
      </c>
      <c r="E1275" s="25">
        <v>139</v>
      </c>
      <c r="F1275" s="25">
        <v>278000</v>
      </c>
      <c r="G1275" s="25" t="s">
        <v>459</v>
      </c>
      <c r="H1275" s="25">
        <v>2018095</v>
      </c>
      <c r="I1275" s="25" t="s">
        <v>19</v>
      </c>
      <c r="J1275" s="25" t="s">
        <v>20</v>
      </c>
      <c r="K1275" s="25" t="s">
        <v>25</v>
      </c>
      <c r="L1275" s="25">
        <v>68.260000000000005</v>
      </c>
      <c r="M1275" s="25">
        <v>8.34</v>
      </c>
      <c r="N1275" s="25">
        <v>0</v>
      </c>
      <c r="O1275" s="25">
        <v>165.52</v>
      </c>
      <c r="P1275" s="25">
        <v>242.12010000000001</v>
      </c>
    </row>
    <row r="1276" spans="1:16" x14ac:dyDescent="0.25">
      <c r="A1276" s="26">
        <v>43241</v>
      </c>
      <c r="B1276" s="25" t="s">
        <v>100</v>
      </c>
      <c r="C1276" s="25" t="s">
        <v>17</v>
      </c>
      <c r="D1276" s="25">
        <v>2000</v>
      </c>
      <c r="E1276" s="25">
        <v>136</v>
      </c>
      <c r="F1276" s="25">
        <v>272000</v>
      </c>
      <c r="G1276" s="25" t="s">
        <v>460</v>
      </c>
      <c r="H1276" s="25">
        <v>2018095</v>
      </c>
      <c r="I1276" s="25" t="s">
        <v>19</v>
      </c>
      <c r="J1276" s="25" t="s">
        <v>20</v>
      </c>
      <c r="K1276" s="25" t="s">
        <v>25</v>
      </c>
      <c r="L1276" s="25">
        <v>0</v>
      </c>
      <c r="M1276" s="25">
        <v>8.16</v>
      </c>
      <c r="N1276" s="25">
        <v>34.200000000000003</v>
      </c>
      <c r="O1276" s="25">
        <v>161.94999999999999</v>
      </c>
      <c r="P1276" s="25">
        <v>204.31</v>
      </c>
    </row>
    <row r="1277" spans="1:16" x14ac:dyDescent="0.25">
      <c r="A1277" s="26">
        <v>43241</v>
      </c>
      <c r="B1277" s="25" t="s">
        <v>100</v>
      </c>
      <c r="C1277" s="25" t="s">
        <v>23</v>
      </c>
      <c r="D1277" s="25">
        <v>2000</v>
      </c>
      <c r="E1277" s="25">
        <v>134</v>
      </c>
      <c r="F1277" s="25">
        <v>268000</v>
      </c>
      <c r="G1277" s="25" t="s">
        <v>461</v>
      </c>
      <c r="H1277" s="25">
        <v>2018095</v>
      </c>
      <c r="I1277" s="25" t="s">
        <v>19</v>
      </c>
      <c r="J1277" s="25" t="s">
        <v>20</v>
      </c>
      <c r="K1277" s="25" t="s">
        <v>25</v>
      </c>
      <c r="L1277" s="25">
        <v>68.739999999999995</v>
      </c>
      <c r="M1277" s="25">
        <v>8.0399999999999991</v>
      </c>
      <c r="N1277" s="25">
        <v>0</v>
      </c>
      <c r="O1277" s="25">
        <v>159.57</v>
      </c>
      <c r="P1277" s="25">
        <v>236.35</v>
      </c>
    </row>
    <row r="1278" spans="1:16" x14ac:dyDescent="0.25">
      <c r="A1278" s="26">
        <v>43238</v>
      </c>
      <c r="B1278" s="25" t="s">
        <v>282</v>
      </c>
      <c r="C1278" s="25" t="s">
        <v>23</v>
      </c>
      <c r="D1278" s="25">
        <v>100</v>
      </c>
      <c r="E1278" s="25">
        <v>635.35</v>
      </c>
      <c r="F1278" s="25">
        <v>63535</v>
      </c>
      <c r="G1278" s="25" t="s">
        <v>462</v>
      </c>
      <c r="H1278" s="25">
        <v>2018094</v>
      </c>
      <c r="I1278" s="25" t="s">
        <v>19</v>
      </c>
      <c r="J1278" s="25" t="s">
        <v>20</v>
      </c>
      <c r="K1278" s="25" t="s">
        <v>25</v>
      </c>
      <c r="L1278" s="25">
        <v>63.54</v>
      </c>
      <c r="M1278" s="25">
        <v>1.91</v>
      </c>
      <c r="N1278" s="25">
        <v>0</v>
      </c>
      <c r="O1278" s="25">
        <v>412.68</v>
      </c>
      <c r="P1278" s="25">
        <v>478.12610000000001</v>
      </c>
    </row>
    <row r="1279" spans="1:16" x14ac:dyDescent="0.25">
      <c r="A1279" s="26">
        <v>43238</v>
      </c>
      <c r="B1279" s="25" t="s">
        <v>433</v>
      </c>
      <c r="C1279" s="25" t="s">
        <v>17</v>
      </c>
      <c r="D1279" s="25">
        <v>2500</v>
      </c>
      <c r="E1279" s="25">
        <v>19.350000000000001</v>
      </c>
      <c r="F1279" s="25">
        <v>48375</v>
      </c>
      <c r="G1279" s="25" t="s">
        <v>463</v>
      </c>
      <c r="H1279" s="25">
        <v>2018094</v>
      </c>
      <c r="I1279" s="25" t="s">
        <v>19</v>
      </c>
      <c r="J1279" s="25" t="s">
        <v>1634</v>
      </c>
      <c r="K1279" s="25" t="s">
        <v>25</v>
      </c>
      <c r="L1279" s="25">
        <v>41.63</v>
      </c>
      <c r="M1279" s="25">
        <v>1.45</v>
      </c>
      <c r="N1279" s="25">
        <v>0</v>
      </c>
      <c r="O1279" s="25">
        <v>314.20999999999998</v>
      </c>
      <c r="P1279" s="25">
        <v>357.29129999999998</v>
      </c>
    </row>
    <row r="1280" spans="1:16" x14ac:dyDescent="0.25">
      <c r="A1280" s="26">
        <v>43238</v>
      </c>
      <c r="B1280" s="25" t="s">
        <v>100</v>
      </c>
      <c r="C1280" s="25" t="s">
        <v>17</v>
      </c>
      <c r="D1280" s="25">
        <v>1000</v>
      </c>
      <c r="E1280" s="25">
        <v>152</v>
      </c>
      <c r="F1280" s="25">
        <v>152000</v>
      </c>
      <c r="G1280" s="25" t="s">
        <v>464</v>
      </c>
      <c r="H1280" s="25">
        <v>2018094</v>
      </c>
      <c r="I1280" s="25" t="s">
        <v>19</v>
      </c>
      <c r="J1280" s="25" t="s">
        <v>20</v>
      </c>
      <c r="K1280" s="25" t="s">
        <v>25</v>
      </c>
      <c r="L1280" s="25">
        <v>0</v>
      </c>
      <c r="M1280" s="25">
        <v>4.5599999999999996</v>
      </c>
      <c r="N1280" s="25">
        <v>13.5</v>
      </c>
      <c r="O1280" s="25">
        <v>90.5</v>
      </c>
      <c r="P1280" s="25">
        <v>108.56</v>
      </c>
    </row>
    <row r="1281" spans="1:16" x14ac:dyDescent="0.25">
      <c r="A1281" s="26">
        <v>43238</v>
      </c>
      <c r="B1281" s="25" t="s">
        <v>100</v>
      </c>
      <c r="C1281" s="25" t="s">
        <v>23</v>
      </c>
      <c r="D1281" s="25">
        <v>1000</v>
      </c>
      <c r="E1281" s="25">
        <v>149</v>
      </c>
      <c r="F1281" s="25">
        <v>149000</v>
      </c>
      <c r="G1281" s="25" t="s">
        <v>465</v>
      </c>
      <c r="H1281" s="25">
        <v>2018094</v>
      </c>
      <c r="I1281" s="25" t="s">
        <v>19</v>
      </c>
      <c r="J1281" s="25" t="s">
        <v>20</v>
      </c>
      <c r="K1281" s="25" t="s">
        <v>25</v>
      </c>
      <c r="L1281" s="25">
        <v>37.22</v>
      </c>
      <c r="M1281" s="25">
        <v>4.47</v>
      </c>
      <c r="N1281" s="25">
        <v>0</v>
      </c>
      <c r="O1281" s="25">
        <v>88.71</v>
      </c>
      <c r="P1281" s="25">
        <v>130.4</v>
      </c>
    </row>
    <row r="1282" spans="1:16" x14ac:dyDescent="0.25">
      <c r="A1282" s="26">
        <v>43238</v>
      </c>
      <c r="B1282" s="25" t="s">
        <v>433</v>
      </c>
      <c r="C1282" s="25" t="s">
        <v>17</v>
      </c>
      <c r="D1282" s="25">
        <v>2500</v>
      </c>
      <c r="E1282" s="25">
        <v>13.95</v>
      </c>
      <c r="F1282" s="25">
        <v>34875</v>
      </c>
      <c r="G1282" s="25" t="s">
        <v>466</v>
      </c>
      <c r="H1282" s="25">
        <v>2018094</v>
      </c>
      <c r="I1282" s="25" t="s">
        <v>19</v>
      </c>
      <c r="J1282" s="25" t="s">
        <v>1634</v>
      </c>
      <c r="K1282" s="25" t="s">
        <v>25</v>
      </c>
      <c r="L1282" s="25">
        <v>41.63</v>
      </c>
      <c r="M1282" s="25">
        <v>1.05</v>
      </c>
      <c r="N1282" s="25">
        <v>0</v>
      </c>
      <c r="O1282" s="25">
        <v>226.53</v>
      </c>
      <c r="P1282" s="25">
        <v>269.20620000000002</v>
      </c>
    </row>
    <row r="1283" spans="1:16" x14ac:dyDescent="0.25">
      <c r="A1283" s="26">
        <v>43237</v>
      </c>
      <c r="B1283" s="25" t="s">
        <v>282</v>
      </c>
      <c r="C1283" s="25" t="s">
        <v>17</v>
      </c>
      <c r="D1283" s="25">
        <v>100</v>
      </c>
      <c r="E1283" s="25">
        <v>638</v>
      </c>
      <c r="F1283" s="25">
        <v>63800</v>
      </c>
      <c r="G1283" s="25" t="s">
        <v>467</v>
      </c>
      <c r="H1283" s="25">
        <v>2018093</v>
      </c>
      <c r="I1283" s="25" t="s">
        <v>19</v>
      </c>
      <c r="J1283" s="25" t="s">
        <v>20</v>
      </c>
      <c r="K1283" s="25" t="s">
        <v>25</v>
      </c>
      <c r="L1283" s="25">
        <v>0</v>
      </c>
      <c r="M1283" s="25">
        <v>1.91</v>
      </c>
      <c r="N1283" s="25">
        <v>0</v>
      </c>
      <c r="O1283" s="25">
        <v>37.99</v>
      </c>
      <c r="P1283" s="25">
        <v>39.904000000000003</v>
      </c>
    </row>
    <row r="1284" spans="1:16" x14ac:dyDescent="0.25">
      <c r="A1284" s="26">
        <v>43237</v>
      </c>
      <c r="B1284" s="25" t="s">
        <v>282</v>
      </c>
      <c r="C1284" s="25" t="s">
        <v>23</v>
      </c>
      <c r="D1284" s="25">
        <v>100</v>
      </c>
      <c r="E1284" s="25">
        <v>641.25</v>
      </c>
      <c r="F1284" s="25">
        <v>64125</v>
      </c>
      <c r="G1284" s="25" t="s">
        <v>468</v>
      </c>
      <c r="H1284" s="25">
        <v>2018093</v>
      </c>
      <c r="I1284" s="25" t="s">
        <v>19</v>
      </c>
      <c r="J1284" s="25" t="s">
        <v>20</v>
      </c>
      <c r="K1284" s="25" t="s">
        <v>25</v>
      </c>
      <c r="L1284" s="25">
        <v>16.350000000000001</v>
      </c>
      <c r="M1284" s="25">
        <v>1.92</v>
      </c>
      <c r="N1284" s="25">
        <v>5.0999999999999996</v>
      </c>
      <c r="O1284" s="25">
        <v>38.17</v>
      </c>
      <c r="P1284" s="25">
        <v>61.543799999999997</v>
      </c>
    </row>
    <row r="1285" spans="1:16" x14ac:dyDescent="0.25">
      <c r="A1285" s="26">
        <v>43237</v>
      </c>
      <c r="B1285" s="25" t="s">
        <v>433</v>
      </c>
      <c r="C1285" s="25" t="s">
        <v>17</v>
      </c>
      <c r="D1285" s="25">
        <v>1000</v>
      </c>
      <c r="E1285" s="25">
        <v>14.7</v>
      </c>
      <c r="F1285" s="25">
        <v>14700</v>
      </c>
      <c r="G1285" s="25" t="s">
        <v>469</v>
      </c>
      <c r="H1285" s="25">
        <v>2018093</v>
      </c>
      <c r="I1285" s="25" t="s">
        <v>19</v>
      </c>
      <c r="J1285" s="25" t="s">
        <v>1634</v>
      </c>
      <c r="K1285" s="25" t="s">
        <v>25</v>
      </c>
      <c r="L1285" s="25">
        <v>16.260000000000002</v>
      </c>
      <c r="M1285" s="25">
        <v>0.44</v>
      </c>
      <c r="N1285" s="25">
        <v>0</v>
      </c>
      <c r="O1285" s="25">
        <v>95.48</v>
      </c>
      <c r="P1285" s="25">
        <v>112.1811</v>
      </c>
    </row>
    <row r="1286" spans="1:16" x14ac:dyDescent="0.25">
      <c r="A1286" s="26">
        <v>43237</v>
      </c>
      <c r="B1286" s="25" t="s">
        <v>433</v>
      </c>
      <c r="C1286" s="25" t="s">
        <v>17</v>
      </c>
      <c r="D1286" s="25">
        <v>1500</v>
      </c>
      <c r="E1286" s="25">
        <v>17.3</v>
      </c>
      <c r="F1286" s="25">
        <v>25950</v>
      </c>
      <c r="G1286" s="25" t="s">
        <v>470</v>
      </c>
      <c r="H1286" s="25">
        <v>2018093</v>
      </c>
      <c r="I1286" s="25" t="s">
        <v>19</v>
      </c>
      <c r="J1286" s="25" t="s">
        <v>1634</v>
      </c>
      <c r="K1286" s="25" t="s">
        <v>25</v>
      </c>
      <c r="L1286" s="25">
        <v>24.39</v>
      </c>
      <c r="M1286" s="25">
        <v>0.78</v>
      </c>
      <c r="N1286" s="25">
        <v>0</v>
      </c>
      <c r="O1286" s="25">
        <v>168.56</v>
      </c>
      <c r="P1286" s="25">
        <v>193.7285</v>
      </c>
    </row>
    <row r="1287" spans="1:16" x14ac:dyDescent="0.25">
      <c r="A1287" s="26">
        <v>43236</v>
      </c>
      <c r="B1287" s="25" t="s">
        <v>471</v>
      </c>
      <c r="C1287" s="25" t="s">
        <v>17</v>
      </c>
      <c r="D1287" s="25">
        <v>1500</v>
      </c>
      <c r="E1287" s="25">
        <v>92</v>
      </c>
      <c r="F1287" s="25">
        <v>138000</v>
      </c>
      <c r="G1287" s="25" t="s">
        <v>472</v>
      </c>
      <c r="H1287" s="25">
        <v>2018092</v>
      </c>
      <c r="I1287" s="25" t="s">
        <v>19</v>
      </c>
      <c r="J1287" s="25" t="s">
        <v>20</v>
      </c>
      <c r="K1287" s="25" t="s">
        <v>25</v>
      </c>
      <c r="L1287" s="25">
        <v>0</v>
      </c>
      <c r="M1287" s="25">
        <v>4.1399999999999997</v>
      </c>
      <c r="N1287" s="25">
        <v>0</v>
      </c>
      <c r="O1287" s="25">
        <v>82.17</v>
      </c>
      <c r="P1287" s="25">
        <v>86.31</v>
      </c>
    </row>
    <row r="1288" spans="1:16" x14ac:dyDescent="0.25">
      <c r="A1288" s="26">
        <v>43236</v>
      </c>
      <c r="B1288" s="25" t="s">
        <v>471</v>
      </c>
      <c r="C1288" s="25" t="s">
        <v>17</v>
      </c>
      <c r="D1288" s="25">
        <v>1000</v>
      </c>
      <c r="E1288" s="25">
        <v>91.25</v>
      </c>
      <c r="F1288" s="25">
        <v>91250</v>
      </c>
      <c r="G1288" s="25" t="s">
        <v>473</v>
      </c>
      <c r="H1288" s="25">
        <v>2018092</v>
      </c>
      <c r="I1288" s="25" t="s">
        <v>19</v>
      </c>
      <c r="J1288" s="25" t="s">
        <v>20</v>
      </c>
      <c r="K1288" s="25" t="s">
        <v>25</v>
      </c>
      <c r="L1288" s="25">
        <v>0</v>
      </c>
      <c r="M1288" s="25">
        <v>2.74</v>
      </c>
      <c r="N1288" s="25">
        <v>0</v>
      </c>
      <c r="O1288" s="25">
        <v>54.33</v>
      </c>
      <c r="P1288" s="25">
        <v>57.067500000000003</v>
      </c>
    </row>
    <row r="1289" spans="1:16" x14ac:dyDescent="0.25">
      <c r="A1289" s="26">
        <v>43236</v>
      </c>
      <c r="B1289" s="25" t="s">
        <v>471</v>
      </c>
      <c r="C1289" s="25" t="s">
        <v>23</v>
      </c>
      <c r="D1289" s="25">
        <v>2500</v>
      </c>
      <c r="E1289" s="25">
        <v>91.85</v>
      </c>
      <c r="F1289" s="25">
        <v>229625</v>
      </c>
      <c r="G1289" s="25" t="s">
        <v>474</v>
      </c>
      <c r="H1289" s="25">
        <v>2018092</v>
      </c>
      <c r="I1289" s="25" t="s">
        <v>19</v>
      </c>
      <c r="J1289" s="25" t="s">
        <v>20</v>
      </c>
      <c r="K1289" s="25" t="s">
        <v>25</v>
      </c>
      <c r="L1289" s="25">
        <v>57</v>
      </c>
      <c r="M1289" s="25">
        <v>6.89</v>
      </c>
      <c r="N1289" s="25">
        <v>13.8</v>
      </c>
      <c r="O1289" s="25">
        <v>136.76</v>
      </c>
      <c r="P1289" s="25">
        <v>214.44800000000001</v>
      </c>
    </row>
    <row r="1290" spans="1:16" x14ac:dyDescent="0.25">
      <c r="A1290" s="26">
        <v>43234</v>
      </c>
      <c r="B1290" s="25" t="s">
        <v>471</v>
      </c>
      <c r="C1290" s="25" t="s">
        <v>17</v>
      </c>
      <c r="D1290" s="25">
        <v>1000</v>
      </c>
      <c r="E1290" s="25">
        <v>95.75</v>
      </c>
      <c r="F1290" s="25">
        <v>95750</v>
      </c>
      <c r="G1290" s="25" t="s">
        <v>475</v>
      </c>
      <c r="H1290" s="25">
        <v>2018090</v>
      </c>
      <c r="I1290" s="25" t="s">
        <v>19</v>
      </c>
      <c r="J1290" s="25" t="s">
        <v>20</v>
      </c>
      <c r="K1290" s="25" t="s">
        <v>25</v>
      </c>
      <c r="L1290" s="25">
        <v>0</v>
      </c>
      <c r="M1290" s="25">
        <v>2.87</v>
      </c>
      <c r="N1290" s="25">
        <v>8.6999999999999993</v>
      </c>
      <c r="O1290" s="25">
        <v>57</v>
      </c>
      <c r="P1290" s="25">
        <v>68.572599999999994</v>
      </c>
    </row>
    <row r="1291" spans="1:16" x14ac:dyDescent="0.25">
      <c r="A1291" s="26">
        <v>43234</v>
      </c>
      <c r="B1291" s="25" t="s">
        <v>471</v>
      </c>
      <c r="C1291" s="25" t="s">
        <v>17</v>
      </c>
      <c r="D1291" s="25">
        <v>500</v>
      </c>
      <c r="E1291" s="25">
        <v>94.5</v>
      </c>
      <c r="F1291" s="25">
        <v>47250</v>
      </c>
      <c r="G1291" s="25" t="s">
        <v>476</v>
      </c>
      <c r="H1291" s="25">
        <v>2018090</v>
      </c>
      <c r="I1291" s="25" t="s">
        <v>19</v>
      </c>
      <c r="J1291" s="25" t="s">
        <v>20</v>
      </c>
      <c r="K1291" s="25" t="s">
        <v>25</v>
      </c>
      <c r="L1291" s="25">
        <v>0</v>
      </c>
      <c r="M1291" s="25">
        <v>1.42</v>
      </c>
      <c r="N1291" s="25">
        <v>0</v>
      </c>
      <c r="O1291" s="25">
        <v>29.76</v>
      </c>
      <c r="P1291" s="25">
        <v>31.177499999999998</v>
      </c>
    </row>
    <row r="1292" spans="1:16" x14ac:dyDescent="0.25">
      <c r="A1292" s="26">
        <v>43234</v>
      </c>
      <c r="B1292" s="25" t="s">
        <v>471</v>
      </c>
      <c r="C1292" s="25" t="s">
        <v>23</v>
      </c>
      <c r="D1292" s="25">
        <v>1500</v>
      </c>
      <c r="E1292" s="25">
        <v>92</v>
      </c>
      <c r="F1292" s="25">
        <v>138000</v>
      </c>
      <c r="G1292" s="25" t="s">
        <v>477</v>
      </c>
      <c r="H1292" s="25">
        <v>2018090</v>
      </c>
      <c r="I1292" s="25" t="s">
        <v>19</v>
      </c>
      <c r="J1292" s="25" t="s">
        <v>20</v>
      </c>
      <c r="K1292" s="25" t="s">
        <v>25</v>
      </c>
      <c r="L1292" s="25">
        <v>35</v>
      </c>
      <c r="M1292" s="25">
        <v>4.1399999999999997</v>
      </c>
      <c r="N1292" s="25">
        <v>0</v>
      </c>
      <c r="O1292" s="25">
        <v>82.17</v>
      </c>
      <c r="P1292" s="25">
        <v>121.31</v>
      </c>
    </row>
    <row r="1293" spans="1:16" x14ac:dyDescent="0.25">
      <c r="A1293" s="26">
        <v>43231</v>
      </c>
      <c r="B1293" s="25" t="s">
        <v>179</v>
      </c>
      <c r="C1293" s="25" t="s">
        <v>17</v>
      </c>
      <c r="D1293" s="25">
        <v>1100</v>
      </c>
      <c r="E1293" s="25">
        <v>79.099999999999994</v>
      </c>
      <c r="F1293" s="25">
        <v>87010</v>
      </c>
      <c r="G1293" s="25" t="s">
        <v>478</v>
      </c>
      <c r="H1293" s="25">
        <v>2018089</v>
      </c>
      <c r="I1293" s="25" t="s">
        <v>19</v>
      </c>
      <c r="J1293" s="25" t="s">
        <v>20</v>
      </c>
      <c r="K1293" s="25" t="s">
        <v>25</v>
      </c>
      <c r="L1293" s="25">
        <v>0</v>
      </c>
      <c r="M1293" s="25">
        <v>2.61</v>
      </c>
      <c r="N1293" s="25">
        <v>0</v>
      </c>
      <c r="O1293" s="25">
        <v>51.81</v>
      </c>
      <c r="P1293" s="25">
        <v>54.420299999999997</v>
      </c>
    </row>
    <row r="1294" spans="1:16" x14ac:dyDescent="0.25">
      <c r="A1294" s="26">
        <v>43231</v>
      </c>
      <c r="B1294" s="25" t="s">
        <v>179</v>
      </c>
      <c r="C1294" s="25" t="s">
        <v>23</v>
      </c>
      <c r="D1294" s="25">
        <v>1100</v>
      </c>
      <c r="E1294" s="25">
        <v>76.8</v>
      </c>
      <c r="F1294" s="25">
        <v>84480</v>
      </c>
      <c r="G1294" s="25" t="s">
        <v>479</v>
      </c>
      <c r="H1294" s="25">
        <v>2018089</v>
      </c>
      <c r="I1294" s="25" t="s">
        <v>19</v>
      </c>
      <c r="J1294" s="25" t="s">
        <v>20</v>
      </c>
      <c r="K1294" s="25" t="s">
        <v>25</v>
      </c>
      <c r="L1294" s="25">
        <v>21</v>
      </c>
      <c r="M1294" s="25">
        <v>2.5299999999999998</v>
      </c>
      <c r="N1294" s="25">
        <v>5.4</v>
      </c>
      <c r="O1294" s="25">
        <v>50.3</v>
      </c>
      <c r="P1294" s="25">
        <v>79.234399999999994</v>
      </c>
    </row>
    <row r="1295" spans="1:16" x14ac:dyDescent="0.25">
      <c r="A1295" s="26">
        <v>43230</v>
      </c>
      <c r="B1295" s="25" t="s">
        <v>480</v>
      </c>
      <c r="C1295" s="25" t="s">
        <v>17</v>
      </c>
      <c r="D1295" s="25">
        <v>1000</v>
      </c>
      <c r="E1295" s="25">
        <v>91</v>
      </c>
      <c r="F1295" s="25">
        <v>91000</v>
      </c>
      <c r="G1295" s="25" t="s">
        <v>481</v>
      </c>
      <c r="H1295" s="25">
        <v>2018088</v>
      </c>
      <c r="I1295" s="25" t="s">
        <v>19</v>
      </c>
      <c r="J1295" s="25" t="s">
        <v>20</v>
      </c>
      <c r="K1295" s="25" t="s">
        <v>25</v>
      </c>
      <c r="L1295" s="25">
        <v>0</v>
      </c>
      <c r="M1295" s="25">
        <v>2.73</v>
      </c>
      <c r="N1295" s="25">
        <v>12.3</v>
      </c>
      <c r="O1295" s="25">
        <v>54.18</v>
      </c>
      <c r="P1295" s="25">
        <v>69.209999999999994</v>
      </c>
    </row>
    <row r="1296" spans="1:16" x14ac:dyDescent="0.25">
      <c r="A1296" s="26">
        <v>43230</v>
      </c>
      <c r="B1296" s="25" t="s">
        <v>205</v>
      </c>
      <c r="C1296" s="25" t="s">
        <v>23</v>
      </c>
      <c r="D1296" s="25">
        <v>900</v>
      </c>
      <c r="E1296" s="25">
        <v>51.17</v>
      </c>
      <c r="F1296" s="25">
        <v>46052.05</v>
      </c>
      <c r="G1296" s="25" t="s">
        <v>482</v>
      </c>
      <c r="H1296" s="25">
        <v>2018088</v>
      </c>
      <c r="I1296" s="25" t="s">
        <v>19</v>
      </c>
      <c r="J1296" s="25" t="s">
        <v>20</v>
      </c>
      <c r="K1296" s="25" t="s">
        <v>25</v>
      </c>
      <c r="L1296" s="25">
        <v>46.14</v>
      </c>
      <c r="M1296" s="25">
        <v>1.38</v>
      </c>
      <c r="N1296" s="25">
        <v>0</v>
      </c>
      <c r="O1296" s="25">
        <v>299.12</v>
      </c>
      <c r="P1296" s="25">
        <v>346.64159999999998</v>
      </c>
    </row>
    <row r="1297" spans="1:16" x14ac:dyDescent="0.25">
      <c r="A1297" s="26">
        <v>43230</v>
      </c>
      <c r="B1297" s="25" t="s">
        <v>480</v>
      </c>
      <c r="C1297" s="25" t="s">
        <v>17</v>
      </c>
      <c r="D1297" s="25">
        <v>1000</v>
      </c>
      <c r="E1297" s="25">
        <v>90.75</v>
      </c>
      <c r="F1297" s="25">
        <v>90750</v>
      </c>
      <c r="G1297" s="25" t="s">
        <v>483</v>
      </c>
      <c r="H1297" s="25">
        <v>2018088</v>
      </c>
      <c r="I1297" s="25" t="s">
        <v>19</v>
      </c>
      <c r="J1297" s="25" t="s">
        <v>20</v>
      </c>
      <c r="K1297" s="25" t="s">
        <v>25</v>
      </c>
      <c r="L1297" s="25">
        <v>0</v>
      </c>
      <c r="M1297" s="25">
        <v>2.72</v>
      </c>
      <c r="N1297" s="25">
        <v>0</v>
      </c>
      <c r="O1297" s="25">
        <v>54.03</v>
      </c>
      <c r="P1297" s="25">
        <v>56.752499999999998</v>
      </c>
    </row>
    <row r="1298" spans="1:16" x14ac:dyDescent="0.25">
      <c r="A1298" s="26">
        <v>43230</v>
      </c>
      <c r="B1298" s="25" t="s">
        <v>480</v>
      </c>
      <c r="C1298" s="25" t="s">
        <v>23</v>
      </c>
      <c r="D1298" s="25">
        <v>2000</v>
      </c>
      <c r="E1298" s="25">
        <v>88.55</v>
      </c>
      <c r="F1298" s="25">
        <v>177100</v>
      </c>
      <c r="G1298" s="25" t="s">
        <v>484</v>
      </c>
      <c r="H1298" s="25">
        <v>2018088</v>
      </c>
      <c r="I1298" s="25" t="s">
        <v>19</v>
      </c>
      <c r="J1298" s="25" t="s">
        <v>20</v>
      </c>
      <c r="K1298" s="25" t="s">
        <v>25</v>
      </c>
      <c r="L1298" s="25">
        <v>44.86</v>
      </c>
      <c r="M1298" s="25">
        <v>5.31</v>
      </c>
      <c r="N1298" s="25">
        <v>0</v>
      </c>
      <c r="O1298" s="25">
        <v>105.45</v>
      </c>
      <c r="P1298" s="25">
        <v>155.62309999999999</v>
      </c>
    </row>
    <row r="1299" spans="1:16" x14ac:dyDescent="0.25">
      <c r="A1299" s="26">
        <v>43230</v>
      </c>
      <c r="B1299" s="25" t="s">
        <v>190</v>
      </c>
      <c r="C1299" s="25" t="s">
        <v>17</v>
      </c>
      <c r="D1299" s="25">
        <v>1000</v>
      </c>
      <c r="E1299" s="25">
        <v>7</v>
      </c>
      <c r="F1299" s="25">
        <v>7000</v>
      </c>
      <c r="G1299" s="25" t="s">
        <v>485</v>
      </c>
      <c r="H1299" s="25">
        <v>2018088</v>
      </c>
      <c r="I1299" s="25" t="s">
        <v>140</v>
      </c>
      <c r="J1299" s="25" t="s">
        <v>20</v>
      </c>
      <c r="K1299" s="25" t="s">
        <v>25</v>
      </c>
      <c r="L1299" s="25">
        <v>7</v>
      </c>
      <c r="M1299" s="25">
        <v>0.21</v>
      </c>
      <c r="N1299" s="25">
        <v>0.3</v>
      </c>
      <c r="O1299" s="25">
        <v>59.04</v>
      </c>
      <c r="P1299" s="25">
        <v>66.55</v>
      </c>
    </row>
    <row r="1300" spans="1:16" x14ac:dyDescent="0.25">
      <c r="A1300" s="26">
        <v>43229</v>
      </c>
      <c r="B1300" s="25" t="s">
        <v>480</v>
      </c>
      <c r="C1300" s="25" t="s">
        <v>17</v>
      </c>
      <c r="D1300" s="25">
        <v>1000</v>
      </c>
      <c r="E1300" s="25">
        <v>100.5</v>
      </c>
      <c r="F1300" s="25">
        <v>100500</v>
      </c>
      <c r="G1300" s="25" t="s">
        <v>486</v>
      </c>
      <c r="H1300" s="25">
        <v>2018087</v>
      </c>
      <c r="I1300" s="25" t="s">
        <v>19</v>
      </c>
      <c r="J1300" s="25" t="s">
        <v>20</v>
      </c>
      <c r="K1300" s="25" t="s">
        <v>25</v>
      </c>
      <c r="L1300" s="25">
        <v>0</v>
      </c>
      <c r="M1300" s="25">
        <v>3.02</v>
      </c>
      <c r="N1300" s="25">
        <v>6.3</v>
      </c>
      <c r="O1300" s="25">
        <v>59.83</v>
      </c>
      <c r="P1300" s="25">
        <v>69.144999999999996</v>
      </c>
    </row>
    <row r="1301" spans="1:16" x14ac:dyDescent="0.25">
      <c r="A1301" s="26">
        <v>43229</v>
      </c>
      <c r="B1301" s="25" t="s">
        <v>480</v>
      </c>
      <c r="C1301" s="25" t="s">
        <v>23</v>
      </c>
      <c r="D1301" s="25">
        <v>1000</v>
      </c>
      <c r="E1301" s="25">
        <v>101</v>
      </c>
      <c r="F1301" s="25">
        <v>101000</v>
      </c>
      <c r="G1301" s="25" t="s">
        <v>487</v>
      </c>
      <c r="H1301" s="25">
        <v>2018087</v>
      </c>
      <c r="I1301" s="25" t="s">
        <v>19</v>
      </c>
      <c r="J1301" s="25" t="s">
        <v>20</v>
      </c>
      <c r="K1301" s="25" t="s">
        <v>25</v>
      </c>
      <c r="L1301" s="25">
        <v>25</v>
      </c>
      <c r="M1301" s="25">
        <v>3.03</v>
      </c>
      <c r="N1301" s="25">
        <v>0</v>
      </c>
      <c r="O1301" s="25">
        <v>60.14</v>
      </c>
      <c r="P1301" s="25">
        <v>88.17</v>
      </c>
    </row>
    <row r="1302" spans="1:16" x14ac:dyDescent="0.25">
      <c r="A1302" s="26">
        <v>43224</v>
      </c>
      <c r="B1302" s="25" t="s">
        <v>321</v>
      </c>
      <c r="C1302" s="25" t="s">
        <v>17</v>
      </c>
      <c r="D1302" s="25">
        <v>1000</v>
      </c>
      <c r="E1302" s="25">
        <v>293</v>
      </c>
      <c r="F1302" s="25">
        <v>293000</v>
      </c>
      <c r="G1302" s="25" t="s">
        <v>488</v>
      </c>
      <c r="H1302" s="25">
        <v>2018084</v>
      </c>
      <c r="I1302" s="25" t="s">
        <v>19</v>
      </c>
      <c r="J1302" s="25" t="s">
        <v>20</v>
      </c>
      <c r="K1302" s="25" t="s">
        <v>25</v>
      </c>
      <c r="L1302" s="25">
        <v>0</v>
      </c>
      <c r="M1302" s="25">
        <v>8.7899999999999991</v>
      </c>
      <c r="N1302" s="25">
        <v>17.7</v>
      </c>
      <c r="O1302" s="25">
        <v>174.45</v>
      </c>
      <c r="P1302" s="25">
        <v>200.9401</v>
      </c>
    </row>
    <row r="1303" spans="1:16" x14ac:dyDescent="0.25">
      <c r="A1303" s="26">
        <v>43224</v>
      </c>
      <c r="B1303" s="25" t="s">
        <v>321</v>
      </c>
      <c r="C1303" s="25" t="s">
        <v>23</v>
      </c>
      <c r="D1303" s="25">
        <v>1000</v>
      </c>
      <c r="E1303" s="25">
        <v>291</v>
      </c>
      <c r="F1303" s="25">
        <v>291000</v>
      </c>
      <c r="G1303" s="25" t="s">
        <v>489</v>
      </c>
      <c r="H1303" s="25">
        <v>2018084</v>
      </c>
      <c r="I1303" s="25" t="s">
        <v>19</v>
      </c>
      <c r="J1303" s="25" t="s">
        <v>20</v>
      </c>
      <c r="K1303" s="25" t="s">
        <v>25</v>
      </c>
      <c r="L1303" s="25">
        <v>73</v>
      </c>
      <c r="M1303" s="25">
        <v>8.73</v>
      </c>
      <c r="N1303" s="25">
        <v>0</v>
      </c>
      <c r="O1303" s="25">
        <v>173.26</v>
      </c>
      <c r="P1303" s="25">
        <v>254.99</v>
      </c>
    </row>
    <row r="1304" spans="1:16" x14ac:dyDescent="0.25">
      <c r="A1304" s="26">
        <v>43223</v>
      </c>
      <c r="B1304" s="25" t="s">
        <v>282</v>
      </c>
      <c r="C1304" s="25" t="s">
        <v>23</v>
      </c>
      <c r="D1304" s="25">
        <v>290</v>
      </c>
      <c r="E1304" s="25">
        <v>626.88</v>
      </c>
      <c r="F1304" s="25">
        <v>181796.1</v>
      </c>
      <c r="G1304" s="25" t="s">
        <v>412</v>
      </c>
      <c r="H1304" s="25">
        <v>2018083</v>
      </c>
      <c r="I1304" s="25" t="s">
        <v>19</v>
      </c>
      <c r="J1304" s="25" t="s">
        <v>1634</v>
      </c>
      <c r="K1304" s="25" t="s">
        <v>25</v>
      </c>
      <c r="L1304" s="25">
        <v>181.82</v>
      </c>
      <c r="M1304" s="25">
        <v>5.45</v>
      </c>
      <c r="N1304" s="25">
        <v>0</v>
      </c>
      <c r="O1304" s="25">
        <v>1180.8399999999999</v>
      </c>
      <c r="P1304" s="25">
        <v>1368.114</v>
      </c>
    </row>
    <row r="1305" spans="1:16" x14ac:dyDescent="0.25">
      <c r="A1305" s="26">
        <v>43223</v>
      </c>
      <c r="B1305" s="25" t="s">
        <v>282</v>
      </c>
      <c r="C1305" s="25" t="s">
        <v>23</v>
      </c>
      <c r="D1305" s="25">
        <v>710</v>
      </c>
      <c r="E1305" s="25">
        <v>627</v>
      </c>
      <c r="F1305" s="25">
        <v>445170</v>
      </c>
      <c r="G1305" s="25" t="s">
        <v>413</v>
      </c>
      <c r="H1305" s="25">
        <v>2018083</v>
      </c>
      <c r="I1305" s="25" t="s">
        <v>19</v>
      </c>
      <c r="J1305" s="25" t="s">
        <v>1634</v>
      </c>
      <c r="K1305" s="25" t="s">
        <v>25</v>
      </c>
      <c r="L1305" s="25">
        <v>445.18</v>
      </c>
      <c r="M1305" s="25">
        <v>13.36</v>
      </c>
      <c r="N1305" s="25">
        <v>18.899999999999999</v>
      </c>
      <c r="O1305" s="25">
        <v>2891.56</v>
      </c>
      <c r="P1305" s="25">
        <v>3368.9951000000001</v>
      </c>
    </row>
    <row r="1306" spans="1:16" x14ac:dyDescent="0.25">
      <c r="A1306" s="26">
        <v>43220</v>
      </c>
      <c r="B1306" s="25" t="s">
        <v>282</v>
      </c>
      <c r="C1306" s="25" t="s">
        <v>17</v>
      </c>
      <c r="D1306" s="25">
        <v>100</v>
      </c>
      <c r="E1306" s="25">
        <v>662</v>
      </c>
      <c r="F1306" s="25">
        <v>66200</v>
      </c>
      <c r="G1306" s="25" t="s">
        <v>414</v>
      </c>
      <c r="H1306" s="25">
        <v>2018081</v>
      </c>
      <c r="I1306" s="25" t="s">
        <v>19</v>
      </c>
      <c r="J1306" s="25" t="s">
        <v>1634</v>
      </c>
      <c r="K1306" s="25" t="s">
        <v>25</v>
      </c>
      <c r="L1306" s="25">
        <v>0</v>
      </c>
      <c r="M1306" s="25">
        <v>1.99</v>
      </c>
      <c r="N1306" s="25">
        <v>0</v>
      </c>
      <c r="O1306" s="25">
        <v>39.409999999999997</v>
      </c>
      <c r="P1306" s="25">
        <v>41.396099999999997</v>
      </c>
    </row>
    <row r="1307" spans="1:16" x14ac:dyDescent="0.25">
      <c r="A1307" s="26">
        <v>43220</v>
      </c>
      <c r="B1307" s="25" t="s">
        <v>282</v>
      </c>
      <c r="C1307" s="25" t="s">
        <v>17</v>
      </c>
      <c r="D1307" s="25">
        <v>150</v>
      </c>
      <c r="E1307" s="25">
        <v>661</v>
      </c>
      <c r="F1307" s="25">
        <v>99150</v>
      </c>
      <c r="G1307" s="25" t="s">
        <v>415</v>
      </c>
      <c r="H1307" s="25">
        <v>2018081</v>
      </c>
      <c r="I1307" s="25" t="s">
        <v>19</v>
      </c>
      <c r="J1307" s="25" t="s">
        <v>1634</v>
      </c>
      <c r="K1307" s="25" t="s">
        <v>25</v>
      </c>
      <c r="L1307" s="25">
        <v>0</v>
      </c>
      <c r="M1307" s="25">
        <v>2.97</v>
      </c>
      <c r="N1307" s="25">
        <v>0</v>
      </c>
      <c r="O1307" s="25">
        <v>59.03</v>
      </c>
      <c r="P1307" s="25">
        <v>62.0045</v>
      </c>
    </row>
    <row r="1308" spans="1:16" x14ac:dyDescent="0.25">
      <c r="A1308" s="26">
        <v>43220</v>
      </c>
      <c r="B1308" s="25" t="s">
        <v>282</v>
      </c>
      <c r="C1308" s="25" t="s">
        <v>17</v>
      </c>
      <c r="D1308" s="25">
        <v>250</v>
      </c>
      <c r="E1308" s="25">
        <v>663</v>
      </c>
      <c r="F1308" s="25">
        <v>165750</v>
      </c>
      <c r="G1308" s="25" t="s">
        <v>416</v>
      </c>
      <c r="H1308" s="25">
        <v>2018081</v>
      </c>
      <c r="I1308" s="25" t="s">
        <v>19</v>
      </c>
      <c r="J1308" s="25" t="s">
        <v>1634</v>
      </c>
      <c r="K1308" s="25" t="s">
        <v>25</v>
      </c>
      <c r="L1308" s="25">
        <v>0</v>
      </c>
      <c r="M1308" s="25">
        <v>4.97</v>
      </c>
      <c r="N1308" s="25">
        <v>40.200000000000003</v>
      </c>
      <c r="O1308" s="25">
        <v>98.69</v>
      </c>
      <c r="P1308" s="25">
        <v>143.86259999999999</v>
      </c>
    </row>
    <row r="1309" spans="1:16" x14ac:dyDescent="0.25">
      <c r="A1309" s="26">
        <v>43220</v>
      </c>
      <c r="B1309" s="25" t="s">
        <v>282</v>
      </c>
      <c r="C1309" s="25" t="s">
        <v>23</v>
      </c>
      <c r="D1309" s="25">
        <v>500</v>
      </c>
      <c r="E1309" s="25">
        <v>670</v>
      </c>
      <c r="F1309" s="25">
        <v>335000</v>
      </c>
      <c r="G1309" s="25" t="s">
        <v>417</v>
      </c>
      <c r="H1309" s="25">
        <v>2018081</v>
      </c>
      <c r="I1309" s="25" t="s">
        <v>19</v>
      </c>
      <c r="J1309" s="25" t="s">
        <v>1634</v>
      </c>
      <c r="K1309" s="25" t="s">
        <v>25</v>
      </c>
      <c r="L1309" s="25">
        <v>83.32</v>
      </c>
      <c r="M1309" s="25">
        <v>10.050000000000001</v>
      </c>
      <c r="N1309" s="25">
        <v>0</v>
      </c>
      <c r="O1309" s="25">
        <v>199.46</v>
      </c>
      <c r="P1309" s="25">
        <v>292.83</v>
      </c>
    </row>
    <row r="1310" spans="1:16" x14ac:dyDescent="0.25">
      <c r="A1310" s="26">
        <v>43220</v>
      </c>
      <c r="B1310" s="25" t="s">
        <v>282</v>
      </c>
      <c r="C1310" s="25" t="s">
        <v>17</v>
      </c>
      <c r="D1310" s="25">
        <v>1000</v>
      </c>
      <c r="E1310" s="25">
        <v>667</v>
      </c>
      <c r="F1310" s="25">
        <v>667000</v>
      </c>
      <c r="G1310" s="25" t="s">
        <v>418</v>
      </c>
      <c r="H1310" s="25">
        <v>2018081</v>
      </c>
      <c r="I1310" s="25" t="s">
        <v>19</v>
      </c>
      <c r="J1310" s="25" t="s">
        <v>1634</v>
      </c>
      <c r="K1310" s="25" t="s">
        <v>25</v>
      </c>
      <c r="L1310" s="25">
        <v>666.68</v>
      </c>
      <c r="M1310" s="25">
        <v>20.010000000000002</v>
      </c>
      <c r="N1310" s="25">
        <v>0</v>
      </c>
      <c r="O1310" s="25">
        <v>4332.42</v>
      </c>
      <c r="P1310" s="25">
        <v>5019.1100999999999</v>
      </c>
    </row>
    <row r="1311" spans="1:16" x14ac:dyDescent="0.25">
      <c r="A1311" s="26">
        <v>43217</v>
      </c>
      <c r="B1311" s="25" t="s">
        <v>179</v>
      </c>
      <c r="C1311" s="25" t="s">
        <v>17</v>
      </c>
      <c r="D1311" s="25">
        <v>1000</v>
      </c>
      <c r="E1311" s="25">
        <v>81</v>
      </c>
      <c r="F1311" s="25">
        <v>81000</v>
      </c>
      <c r="G1311" s="25" t="s">
        <v>419</v>
      </c>
      <c r="H1311" s="25">
        <v>2018080</v>
      </c>
      <c r="I1311" s="25" t="s">
        <v>19</v>
      </c>
      <c r="J1311" s="25" t="s">
        <v>1634</v>
      </c>
      <c r="K1311" s="25" t="s">
        <v>25</v>
      </c>
      <c r="L1311" s="25">
        <v>81</v>
      </c>
      <c r="M1311" s="25">
        <v>2.4300000000000002</v>
      </c>
      <c r="N1311" s="25">
        <v>0</v>
      </c>
      <c r="O1311" s="25">
        <v>526.13</v>
      </c>
      <c r="P1311" s="25">
        <v>609.55999999999995</v>
      </c>
    </row>
    <row r="1312" spans="1:16" x14ac:dyDescent="0.25">
      <c r="A1312" s="26">
        <v>43217</v>
      </c>
      <c r="B1312" s="25" t="s">
        <v>379</v>
      </c>
      <c r="C1312" s="25" t="s">
        <v>17</v>
      </c>
      <c r="D1312" s="25">
        <v>100</v>
      </c>
      <c r="E1312" s="25">
        <v>239</v>
      </c>
      <c r="F1312" s="25">
        <v>23900</v>
      </c>
      <c r="G1312" s="25" t="s">
        <v>420</v>
      </c>
      <c r="H1312" s="25">
        <v>2018080</v>
      </c>
      <c r="I1312" s="25" t="s">
        <v>19</v>
      </c>
      <c r="J1312" s="25" t="s">
        <v>20</v>
      </c>
      <c r="K1312" s="25" t="s">
        <v>25</v>
      </c>
      <c r="L1312" s="25">
        <v>0</v>
      </c>
      <c r="M1312" s="25">
        <v>0.72</v>
      </c>
      <c r="N1312" s="25">
        <v>11.1</v>
      </c>
      <c r="O1312" s="25">
        <v>29.63</v>
      </c>
      <c r="P1312" s="25">
        <v>41.447099999999999</v>
      </c>
    </row>
    <row r="1313" spans="1:16" x14ac:dyDescent="0.25">
      <c r="A1313" s="26">
        <v>43217</v>
      </c>
      <c r="B1313" s="25" t="s">
        <v>379</v>
      </c>
      <c r="C1313" s="25" t="s">
        <v>23</v>
      </c>
      <c r="D1313" s="25">
        <v>100</v>
      </c>
      <c r="E1313" s="25">
        <v>233</v>
      </c>
      <c r="F1313" s="25">
        <v>23300</v>
      </c>
      <c r="G1313" s="25" t="s">
        <v>421</v>
      </c>
      <c r="H1313" s="25">
        <v>2018080</v>
      </c>
      <c r="I1313" s="25" t="s">
        <v>19</v>
      </c>
      <c r="J1313" s="25" t="s">
        <v>20</v>
      </c>
      <c r="K1313" s="25" t="s">
        <v>25</v>
      </c>
      <c r="L1313" s="25">
        <v>5.9</v>
      </c>
      <c r="M1313" s="25">
        <v>0.7</v>
      </c>
      <c r="N1313" s="25">
        <v>0</v>
      </c>
      <c r="O1313" s="25">
        <v>29.63</v>
      </c>
      <c r="P1313" s="25">
        <v>36.229100000000003</v>
      </c>
    </row>
    <row r="1314" spans="1:16" x14ac:dyDescent="0.25">
      <c r="A1314" s="26">
        <v>43217</v>
      </c>
      <c r="B1314" s="25" t="s">
        <v>282</v>
      </c>
      <c r="C1314" s="25" t="s">
        <v>23</v>
      </c>
      <c r="D1314" s="25">
        <v>350</v>
      </c>
      <c r="E1314" s="25">
        <v>670</v>
      </c>
      <c r="F1314" s="25">
        <v>234500</v>
      </c>
      <c r="G1314" s="25" t="s">
        <v>422</v>
      </c>
      <c r="H1314" s="25">
        <v>2018080</v>
      </c>
      <c r="I1314" s="25" t="s">
        <v>19</v>
      </c>
      <c r="J1314" s="25" t="s">
        <v>1634</v>
      </c>
      <c r="K1314" s="25" t="s">
        <v>25</v>
      </c>
      <c r="L1314" s="25">
        <v>234.1</v>
      </c>
      <c r="M1314" s="25">
        <v>7.04</v>
      </c>
      <c r="N1314" s="25">
        <v>0</v>
      </c>
      <c r="O1314" s="25">
        <v>1523.18</v>
      </c>
      <c r="P1314" s="25">
        <v>1764.3150000000001</v>
      </c>
    </row>
    <row r="1315" spans="1:16" x14ac:dyDescent="0.25">
      <c r="A1315" s="26">
        <v>43216</v>
      </c>
      <c r="B1315" s="25" t="s">
        <v>397</v>
      </c>
      <c r="C1315" s="25" t="s">
        <v>17</v>
      </c>
      <c r="D1315" s="25">
        <v>75</v>
      </c>
      <c r="E1315" s="25">
        <v>281</v>
      </c>
      <c r="F1315" s="25">
        <v>21075</v>
      </c>
      <c r="G1315" s="25" t="s">
        <v>423</v>
      </c>
      <c r="H1315" s="25">
        <v>2018079</v>
      </c>
      <c r="I1315" s="25" t="s">
        <v>19</v>
      </c>
      <c r="J1315" s="25" t="s">
        <v>20</v>
      </c>
      <c r="K1315" s="25" t="s">
        <v>25</v>
      </c>
      <c r="L1315" s="25">
        <v>21</v>
      </c>
      <c r="M1315" s="25">
        <v>0.63</v>
      </c>
      <c r="N1315" s="25">
        <v>0.9</v>
      </c>
      <c r="O1315" s="25">
        <v>136.88999999999999</v>
      </c>
      <c r="P1315" s="25">
        <v>159.4222</v>
      </c>
    </row>
    <row r="1316" spans="1:16" x14ac:dyDescent="0.25">
      <c r="A1316" s="26">
        <v>43216</v>
      </c>
      <c r="B1316" s="25" t="s">
        <v>190</v>
      </c>
      <c r="C1316" s="25" t="s">
        <v>17</v>
      </c>
      <c r="D1316" s="25">
        <v>1000</v>
      </c>
      <c r="E1316" s="25">
        <v>8</v>
      </c>
      <c r="F1316" s="25">
        <v>8000</v>
      </c>
      <c r="G1316" s="25" t="s">
        <v>424</v>
      </c>
      <c r="H1316" s="25">
        <v>2018079</v>
      </c>
      <c r="I1316" s="25" t="s">
        <v>140</v>
      </c>
      <c r="J1316" s="25" t="s">
        <v>20</v>
      </c>
      <c r="K1316" s="25" t="s">
        <v>25</v>
      </c>
      <c r="L1316" s="25">
        <v>8</v>
      </c>
      <c r="M1316" s="25">
        <v>0.24</v>
      </c>
      <c r="N1316" s="25">
        <v>0.3</v>
      </c>
      <c r="O1316" s="25">
        <v>59.04</v>
      </c>
      <c r="P1316" s="25">
        <v>67.58</v>
      </c>
    </row>
    <row r="1317" spans="1:16" x14ac:dyDescent="0.25">
      <c r="A1317" s="26">
        <v>43215</v>
      </c>
      <c r="B1317" s="25" t="s">
        <v>379</v>
      </c>
      <c r="C1317" s="25" t="s">
        <v>17</v>
      </c>
      <c r="D1317" s="25">
        <v>150</v>
      </c>
      <c r="E1317" s="25">
        <v>250</v>
      </c>
      <c r="F1317" s="25">
        <v>37500</v>
      </c>
      <c r="G1317" s="25" t="s">
        <v>380</v>
      </c>
      <c r="H1317" s="25">
        <v>2018078</v>
      </c>
      <c r="I1317" s="25" t="s">
        <v>19</v>
      </c>
      <c r="J1317" s="25" t="s">
        <v>20</v>
      </c>
      <c r="K1317" s="25" t="s">
        <v>25</v>
      </c>
      <c r="L1317" s="25">
        <v>0</v>
      </c>
      <c r="M1317" s="25">
        <v>1.1299999999999999</v>
      </c>
      <c r="N1317" s="25">
        <v>0</v>
      </c>
      <c r="O1317" s="25">
        <v>29.7</v>
      </c>
      <c r="P1317" s="25">
        <v>30.825099999999999</v>
      </c>
    </row>
    <row r="1318" spans="1:16" x14ac:dyDescent="0.25">
      <c r="A1318" s="26">
        <v>43215</v>
      </c>
      <c r="B1318" s="25" t="s">
        <v>379</v>
      </c>
      <c r="C1318" s="25" t="s">
        <v>23</v>
      </c>
      <c r="D1318" s="25">
        <v>250</v>
      </c>
      <c r="E1318" s="25">
        <v>242</v>
      </c>
      <c r="F1318" s="25">
        <v>60500</v>
      </c>
      <c r="G1318" s="25" t="s">
        <v>381</v>
      </c>
      <c r="H1318" s="25">
        <v>2018078</v>
      </c>
      <c r="I1318" s="25" t="s">
        <v>19</v>
      </c>
      <c r="J1318" s="25" t="s">
        <v>20</v>
      </c>
      <c r="K1318" s="25" t="s">
        <v>25</v>
      </c>
      <c r="L1318" s="25">
        <v>15.49</v>
      </c>
      <c r="M1318" s="25">
        <v>1.82</v>
      </c>
      <c r="N1318" s="25">
        <v>0</v>
      </c>
      <c r="O1318" s="25">
        <v>36.020000000000003</v>
      </c>
      <c r="P1318" s="25">
        <v>53.325099999999999</v>
      </c>
    </row>
    <row r="1319" spans="1:16" x14ac:dyDescent="0.25">
      <c r="A1319" s="26">
        <v>43215</v>
      </c>
      <c r="B1319" s="25" t="s">
        <v>321</v>
      </c>
      <c r="C1319" s="25" t="s">
        <v>23</v>
      </c>
      <c r="D1319" s="25">
        <v>100</v>
      </c>
      <c r="E1319" s="25">
        <v>300</v>
      </c>
      <c r="F1319" s="25">
        <v>30000</v>
      </c>
      <c r="G1319" s="25" t="s">
        <v>382</v>
      </c>
      <c r="H1319" s="25">
        <v>2018078</v>
      </c>
      <c r="I1319" s="25" t="s">
        <v>19</v>
      </c>
      <c r="J1319" s="25" t="s">
        <v>20</v>
      </c>
      <c r="K1319" s="25" t="s">
        <v>25</v>
      </c>
      <c r="L1319" s="25">
        <v>7.51</v>
      </c>
      <c r="M1319" s="25">
        <v>0.9</v>
      </c>
      <c r="N1319" s="25">
        <v>0</v>
      </c>
      <c r="O1319" s="25">
        <v>29.66</v>
      </c>
      <c r="P1319" s="25">
        <v>38.07</v>
      </c>
    </row>
    <row r="1320" spans="1:16" x14ac:dyDescent="0.25">
      <c r="A1320" s="26">
        <v>43215</v>
      </c>
      <c r="B1320" s="25" t="s">
        <v>379</v>
      </c>
      <c r="C1320" s="25" t="s">
        <v>17</v>
      </c>
      <c r="D1320" s="25">
        <v>100</v>
      </c>
      <c r="E1320" s="25">
        <v>252.7</v>
      </c>
      <c r="F1320" s="25">
        <v>25270</v>
      </c>
      <c r="G1320" s="25" t="s">
        <v>383</v>
      </c>
      <c r="H1320" s="25">
        <v>2018078</v>
      </c>
      <c r="I1320" s="25" t="s">
        <v>19</v>
      </c>
      <c r="J1320" s="25" t="s">
        <v>20</v>
      </c>
      <c r="K1320" s="25" t="s">
        <v>25</v>
      </c>
      <c r="L1320" s="25">
        <v>0</v>
      </c>
      <c r="M1320" s="25">
        <v>0.76</v>
      </c>
      <c r="N1320" s="25">
        <v>5.7</v>
      </c>
      <c r="O1320" s="25">
        <v>29.64</v>
      </c>
      <c r="P1320" s="25">
        <v>36.098100000000002</v>
      </c>
    </row>
    <row r="1321" spans="1:16" x14ac:dyDescent="0.25">
      <c r="A1321" s="26">
        <v>43215</v>
      </c>
      <c r="B1321" s="25" t="s">
        <v>321</v>
      </c>
      <c r="C1321" s="25" t="s">
        <v>17</v>
      </c>
      <c r="D1321" s="25">
        <v>100</v>
      </c>
      <c r="E1321" s="25">
        <v>301</v>
      </c>
      <c r="F1321" s="25">
        <v>30100</v>
      </c>
      <c r="G1321" s="25" t="s">
        <v>384</v>
      </c>
      <c r="H1321" s="25">
        <v>2018078</v>
      </c>
      <c r="I1321" s="25" t="s">
        <v>19</v>
      </c>
      <c r="J1321" s="25" t="s">
        <v>20</v>
      </c>
      <c r="K1321" s="25" t="s">
        <v>25</v>
      </c>
      <c r="L1321" s="25">
        <v>0</v>
      </c>
      <c r="M1321" s="25">
        <v>0.9</v>
      </c>
      <c r="N1321" s="25">
        <v>0</v>
      </c>
      <c r="O1321" s="25">
        <v>29.67</v>
      </c>
      <c r="P1321" s="25">
        <v>30.573</v>
      </c>
    </row>
    <row r="1322" spans="1:16" x14ac:dyDescent="0.25">
      <c r="A1322" s="26">
        <v>43214</v>
      </c>
      <c r="B1322" s="25" t="s">
        <v>282</v>
      </c>
      <c r="C1322" s="25" t="s">
        <v>17</v>
      </c>
      <c r="D1322" s="25">
        <v>100</v>
      </c>
      <c r="E1322" s="25">
        <v>653</v>
      </c>
      <c r="F1322" s="25">
        <v>65300</v>
      </c>
      <c r="G1322" s="25" t="s">
        <v>385</v>
      </c>
      <c r="H1322" s="25">
        <v>2018077</v>
      </c>
      <c r="I1322" s="25" t="s">
        <v>19</v>
      </c>
      <c r="J1322" s="25" t="s">
        <v>1634</v>
      </c>
      <c r="K1322" s="25" t="s">
        <v>25</v>
      </c>
      <c r="L1322" s="25">
        <v>65.7</v>
      </c>
      <c r="M1322" s="25">
        <v>1.96</v>
      </c>
      <c r="N1322" s="25">
        <v>10.8</v>
      </c>
      <c r="O1322" s="25">
        <v>424.15</v>
      </c>
      <c r="P1322" s="25">
        <v>502.60899999999998</v>
      </c>
    </row>
    <row r="1323" spans="1:16" x14ac:dyDescent="0.25">
      <c r="A1323" s="26">
        <v>43214</v>
      </c>
      <c r="B1323" s="25" t="s">
        <v>282</v>
      </c>
      <c r="C1323" s="25" t="s">
        <v>17</v>
      </c>
      <c r="D1323" s="25">
        <v>250</v>
      </c>
      <c r="E1323" s="25">
        <v>654</v>
      </c>
      <c r="F1323" s="25">
        <v>163500</v>
      </c>
      <c r="G1323" s="25" t="s">
        <v>386</v>
      </c>
      <c r="H1323" s="25">
        <v>2018077</v>
      </c>
      <c r="I1323" s="25" t="s">
        <v>19</v>
      </c>
      <c r="J1323" s="25" t="s">
        <v>1634</v>
      </c>
      <c r="K1323" s="25" t="s">
        <v>25</v>
      </c>
      <c r="L1323" s="25">
        <v>163.43</v>
      </c>
      <c r="M1323" s="25">
        <v>4.91</v>
      </c>
      <c r="N1323" s="25">
        <v>0</v>
      </c>
      <c r="O1323" s="25">
        <v>1062</v>
      </c>
      <c r="P1323" s="25">
        <v>1230.3351</v>
      </c>
    </row>
    <row r="1324" spans="1:16" x14ac:dyDescent="0.25">
      <c r="A1324" s="26">
        <v>43214</v>
      </c>
      <c r="B1324" s="25" t="s">
        <v>387</v>
      </c>
      <c r="C1324" s="25" t="s">
        <v>17</v>
      </c>
      <c r="D1324" s="25">
        <v>1000</v>
      </c>
      <c r="E1324" s="25">
        <v>64.25</v>
      </c>
      <c r="F1324" s="25">
        <v>64250</v>
      </c>
      <c r="G1324" s="25" t="s">
        <v>388</v>
      </c>
      <c r="H1324" s="25">
        <v>2018077</v>
      </c>
      <c r="I1324" s="25" t="s">
        <v>19</v>
      </c>
      <c r="J1324" s="25" t="s">
        <v>20</v>
      </c>
      <c r="K1324" s="25" t="s">
        <v>25</v>
      </c>
      <c r="L1324" s="25">
        <v>0</v>
      </c>
      <c r="M1324" s="25">
        <v>1.93</v>
      </c>
      <c r="N1324" s="25">
        <v>0</v>
      </c>
      <c r="O1324" s="25">
        <v>38.26</v>
      </c>
      <c r="P1324" s="25">
        <v>40.187600000000003</v>
      </c>
    </row>
    <row r="1325" spans="1:16" x14ac:dyDescent="0.25">
      <c r="A1325" s="26">
        <v>43214</v>
      </c>
      <c r="B1325" s="25" t="s">
        <v>387</v>
      </c>
      <c r="C1325" s="25" t="s">
        <v>23</v>
      </c>
      <c r="D1325" s="25">
        <v>1000</v>
      </c>
      <c r="E1325" s="25">
        <v>62.71</v>
      </c>
      <c r="F1325" s="25">
        <v>62705.9</v>
      </c>
      <c r="G1325" s="25" t="s">
        <v>389</v>
      </c>
      <c r="H1325" s="25">
        <v>2018077</v>
      </c>
      <c r="I1325" s="25" t="s">
        <v>19</v>
      </c>
      <c r="J1325" s="25" t="s">
        <v>20</v>
      </c>
      <c r="K1325" s="25" t="s">
        <v>25</v>
      </c>
      <c r="L1325" s="25">
        <v>15.87</v>
      </c>
      <c r="M1325" s="25">
        <v>1.88</v>
      </c>
      <c r="N1325" s="25">
        <v>0</v>
      </c>
      <c r="O1325" s="25">
        <v>37.32</v>
      </c>
      <c r="P1325" s="25">
        <v>55.071399999999997</v>
      </c>
    </row>
    <row r="1326" spans="1:16" x14ac:dyDescent="0.25">
      <c r="A1326" s="26">
        <v>43213</v>
      </c>
      <c r="B1326" s="25" t="s">
        <v>282</v>
      </c>
      <c r="C1326" s="25" t="s">
        <v>17</v>
      </c>
      <c r="D1326" s="25">
        <v>100</v>
      </c>
      <c r="E1326" s="25">
        <v>629</v>
      </c>
      <c r="F1326" s="25">
        <v>62900</v>
      </c>
      <c r="G1326" s="25" t="s">
        <v>390</v>
      </c>
      <c r="H1326" s="25">
        <v>201819018</v>
      </c>
      <c r="I1326" s="25" t="s">
        <v>19</v>
      </c>
      <c r="J1326" s="25" t="s">
        <v>20</v>
      </c>
      <c r="K1326" s="25" t="s">
        <v>21</v>
      </c>
      <c r="L1326" s="25">
        <v>0</v>
      </c>
      <c r="M1326" s="25">
        <v>2.57</v>
      </c>
      <c r="N1326" s="25">
        <v>3.9</v>
      </c>
      <c r="O1326" s="25">
        <v>37.58</v>
      </c>
      <c r="P1326" s="25">
        <v>44.054299999999998</v>
      </c>
    </row>
    <row r="1327" spans="1:16" x14ac:dyDescent="0.25">
      <c r="A1327" s="26">
        <v>43213</v>
      </c>
      <c r="B1327" s="25" t="s">
        <v>282</v>
      </c>
      <c r="C1327" s="25" t="s">
        <v>23</v>
      </c>
      <c r="D1327" s="25">
        <v>100</v>
      </c>
      <c r="E1327" s="25">
        <v>636</v>
      </c>
      <c r="F1327" s="25">
        <v>63600</v>
      </c>
      <c r="G1327" s="25" t="s">
        <v>391</v>
      </c>
      <c r="H1327" s="25">
        <v>201819018</v>
      </c>
      <c r="I1327" s="25" t="s">
        <v>19</v>
      </c>
      <c r="J1327" s="25" t="s">
        <v>20</v>
      </c>
      <c r="K1327" s="25" t="s">
        <v>21</v>
      </c>
      <c r="L1327" s="25">
        <v>16</v>
      </c>
      <c r="M1327" s="25">
        <v>0.72</v>
      </c>
      <c r="N1327" s="25">
        <v>0</v>
      </c>
      <c r="O1327" s="25">
        <v>37.65</v>
      </c>
      <c r="P1327" s="25">
        <v>54.365400000000001</v>
      </c>
    </row>
    <row r="1328" spans="1:16" x14ac:dyDescent="0.25">
      <c r="A1328" s="26">
        <v>43213</v>
      </c>
      <c r="B1328" s="25" t="s">
        <v>392</v>
      </c>
      <c r="C1328" s="25" t="s">
        <v>17</v>
      </c>
      <c r="D1328" s="25">
        <v>15</v>
      </c>
      <c r="E1328" s="25">
        <v>1840.2</v>
      </c>
      <c r="F1328" s="25">
        <v>27603</v>
      </c>
      <c r="G1328" s="25" t="s">
        <v>393</v>
      </c>
      <c r="H1328" s="25">
        <v>2018076</v>
      </c>
      <c r="I1328" s="25" t="s">
        <v>19</v>
      </c>
      <c r="J1328" s="25" t="s">
        <v>20</v>
      </c>
      <c r="K1328" s="25" t="s">
        <v>25</v>
      </c>
      <c r="L1328" s="25">
        <v>0</v>
      </c>
      <c r="M1328" s="25">
        <v>0.83</v>
      </c>
      <c r="N1328" s="25">
        <v>8.6999999999999993</v>
      </c>
      <c r="O1328" s="25">
        <v>29.65</v>
      </c>
      <c r="P1328" s="25">
        <v>39.178100000000001</v>
      </c>
    </row>
    <row r="1329" spans="1:16" x14ac:dyDescent="0.25">
      <c r="A1329" s="26">
        <v>43213</v>
      </c>
      <c r="B1329" s="25" t="s">
        <v>392</v>
      </c>
      <c r="C1329" s="25" t="s">
        <v>23</v>
      </c>
      <c r="D1329" s="25">
        <v>25</v>
      </c>
      <c r="E1329" s="25">
        <v>1830.7</v>
      </c>
      <c r="F1329" s="25">
        <v>45767.5</v>
      </c>
      <c r="G1329" s="25" t="s">
        <v>394</v>
      </c>
      <c r="H1329" s="25">
        <v>2018076</v>
      </c>
      <c r="I1329" s="25" t="s">
        <v>19</v>
      </c>
      <c r="J1329" s="25" t="s">
        <v>20</v>
      </c>
      <c r="K1329" s="25" t="s">
        <v>25</v>
      </c>
      <c r="L1329" s="25">
        <v>11.48</v>
      </c>
      <c r="M1329" s="25">
        <v>1.37</v>
      </c>
      <c r="N1329" s="25">
        <v>0</v>
      </c>
      <c r="O1329" s="25">
        <v>29.75</v>
      </c>
      <c r="P1329" s="25">
        <v>42.603000000000002</v>
      </c>
    </row>
    <row r="1330" spans="1:16" x14ac:dyDescent="0.25">
      <c r="A1330" s="26">
        <v>43213</v>
      </c>
      <c r="B1330" s="25" t="s">
        <v>282</v>
      </c>
      <c r="C1330" s="25" t="s">
        <v>17</v>
      </c>
      <c r="D1330" s="25">
        <v>150</v>
      </c>
      <c r="E1330" s="25">
        <v>630.5</v>
      </c>
      <c r="F1330" s="25">
        <v>94575</v>
      </c>
      <c r="G1330" s="25" t="s">
        <v>395</v>
      </c>
      <c r="H1330" s="25">
        <v>2018076</v>
      </c>
      <c r="I1330" s="25" t="s">
        <v>19</v>
      </c>
      <c r="J1330" s="25" t="s">
        <v>20</v>
      </c>
      <c r="K1330" s="25" t="s">
        <v>25</v>
      </c>
      <c r="L1330" s="25">
        <v>0</v>
      </c>
      <c r="M1330" s="25">
        <v>2.84</v>
      </c>
      <c r="N1330" s="25">
        <v>0</v>
      </c>
      <c r="O1330" s="25">
        <v>56.31</v>
      </c>
      <c r="P1330" s="25">
        <v>59.147300000000001</v>
      </c>
    </row>
    <row r="1331" spans="1:16" x14ac:dyDescent="0.25">
      <c r="A1331" s="26">
        <v>43213</v>
      </c>
      <c r="B1331" s="25" t="s">
        <v>282</v>
      </c>
      <c r="C1331" s="25" t="s">
        <v>23</v>
      </c>
      <c r="D1331" s="25">
        <v>150</v>
      </c>
      <c r="E1331" s="25">
        <v>633.29999999999995</v>
      </c>
      <c r="F1331" s="25">
        <v>94995</v>
      </c>
      <c r="G1331" s="25" t="s">
        <v>396</v>
      </c>
      <c r="H1331" s="25">
        <v>2018076</v>
      </c>
      <c r="I1331" s="25" t="s">
        <v>19</v>
      </c>
      <c r="J1331" s="25" t="s">
        <v>20</v>
      </c>
      <c r="K1331" s="25" t="s">
        <v>25</v>
      </c>
      <c r="L1331" s="25">
        <v>23.7</v>
      </c>
      <c r="M1331" s="25">
        <v>2.85</v>
      </c>
      <c r="N1331" s="25">
        <v>0</v>
      </c>
      <c r="O1331" s="25">
        <v>56.56</v>
      </c>
      <c r="P1331" s="25">
        <v>83.109899999999996</v>
      </c>
    </row>
    <row r="1332" spans="1:16" x14ac:dyDescent="0.25">
      <c r="A1332" s="26">
        <v>43213</v>
      </c>
      <c r="B1332" s="25" t="s">
        <v>397</v>
      </c>
      <c r="C1332" s="25" t="s">
        <v>17</v>
      </c>
      <c r="D1332" s="25">
        <v>25</v>
      </c>
      <c r="E1332" s="25">
        <v>259</v>
      </c>
      <c r="F1332" s="25">
        <v>6475</v>
      </c>
      <c r="G1332" s="25" t="s">
        <v>398</v>
      </c>
      <c r="H1332" s="25">
        <v>2018076</v>
      </c>
      <c r="I1332" s="25" t="s">
        <v>19</v>
      </c>
      <c r="J1332" s="25" t="s">
        <v>1634</v>
      </c>
      <c r="K1332" s="25" t="s">
        <v>25</v>
      </c>
      <c r="L1332" s="25">
        <v>6.82</v>
      </c>
      <c r="M1332" s="25">
        <v>0.19</v>
      </c>
      <c r="N1332" s="25">
        <v>0</v>
      </c>
      <c r="O1332" s="25">
        <v>42.06</v>
      </c>
      <c r="P1332" s="25">
        <v>49.074199999999998</v>
      </c>
    </row>
    <row r="1333" spans="1:16" x14ac:dyDescent="0.25">
      <c r="A1333" s="26">
        <v>43213</v>
      </c>
      <c r="B1333" s="25" t="s">
        <v>392</v>
      </c>
      <c r="C1333" s="25" t="s">
        <v>17</v>
      </c>
      <c r="D1333" s="25">
        <v>10</v>
      </c>
      <c r="E1333" s="25">
        <v>1849</v>
      </c>
      <c r="F1333" s="25">
        <v>18490</v>
      </c>
      <c r="G1333" s="25" t="s">
        <v>399</v>
      </c>
      <c r="H1333" s="25">
        <v>2018076</v>
      </c>
      <c r="I1333" s="25" t="s">
        <v>19</v>
      </c>
      <c r="J1333" s="25" t="s">
        <v>20</v>
      </c>
      <c r="K1333" s="25" t="s">
        <v>25</v>
      </c>
      <c r="L1333" s="25">
        <v>0</v>
      </c>
      <c r="M1333" s="25">
        <v>0.55000000000000004</v>
      </c>
      <c r="N1333" s="25">
        <v>0</v>
      </c>
      <c r="O1333" s="25">
        <v>29.6</v>
      </c>
      <c r="P1333" s="25">
        <v>30.154699999999998</v>
      </c>
    </row>
    <row r="1334" spans="1:16" x14ac:dyDescent="0.25">
      <c r="A1334" s="26">
        <v>43210</v>
      </c>
      <c r="B1334" s="25" t="s">
        <v>282</v>
      </c>
      <c r="C1334" s="25" t="s">
        <v>17</v>
      </c>
      <c r="D1334" s="25">
        <v>100</v>
      </c>
      <c r="E1334" s="25">
        <v>631</v>
      </c>
      <c r="F1334" s="25">
        <v>63100</v>
      </c>
      <c r="G1334" s="25" t="s">
        <v>400</v>
      </c>
      <c r="H1334" s="25">
        <v>2018075</v>
      </c>
      <c r="I1334" s="25" t="s">
        <v>19</v>
      </c>
      <c r="J1334" s="25" t="s">
        <v>20</v>
      </c>
      <c r="K1334" s="25" t="s">
        <v>25</v>
      </c>
      <c r="L1334" s="25">
        <v>0</v>
      </c>
      <c r="M1334" s="25">
        <v>1.89</v>
      </c>
      <c r="N1334" s="25">
        <v>0</v>
      </c>
      <c r="O1334" s="25">
        <v>37.58</v>
      </c>
      <c r="P1334" s="25">
        <v>39.472999999999999</v>
      </c>
    </row>
    <row r="1335" spans="1:16" x14ac:dyDescent="0.25">
      <c r="A1335" s="26">
        <v>43210</v>
      </c>
      <c r="B1335" s="25" t="s">
        <v>282</v>
      </c>
      <c r="C1335" s="25" t="s">
        <v>23</v>
      </c>
      <c r="D1335" s="25">
        <v>100</v>
      </c>
      <c r="E1335" s="25">
        <v>633</v>
      </c>
      <c r="F1335" s="25">
        <v>63300</v>
      </c>
      <c r="G1335" s="25" t="s">
        <v>401</v>
      </c>
      <c r="H1335" s="25">
        <v>2018075</v>
      </c>
      <c r="I1335" s="25" t="s">
        <v>19</v>
      </c>
      <c r="J1335" s="25" t="s">
        <v>20</v>
      </c>
      <c r="K1335" s="25" t="s">
        <v>25</v>
      </c>
      <c r="L1335" s="25">
        <v>16</v>
      </c>
      <c r="M1335" s="25">
        <v>1.9</v>
      </c>
      <c r="N1335" s="25">
        <v>3.9</v>
      </c>
      <c r="O1335" s="25">
        <v>37.69</v>
      </c>
      <c r="P1335" s="25">
        <v>59.489100000000001</v>
      </c>
    </row>
    <row r="1336" spans="1:16" x14ac:dyDescent="0.25">
      <c r="A1336" s="26">
        <v>43209</v>
      </c>
      <c r="B1336" s="25" t="s">
        <v>324</v>
      </c>
      <c r="C1336" s="25" t="s">
        <v>17</v>
      </c>
      <c r="D1336" s="25">
        <v>50</v>
      </c>
      <c r="E1336" s="25">
        <v>799</v>
      </c>
      <c r="F1336" s="25">
        <v>39950</v>
      </c>
      <c r="G1336" s="25" t="s">
        <v>402</v>
      </c>
      <c r="H1336" s="25">
        <v>2018074</v>
      </c>
      <c r="I1336" s="25" t="s">
        <v>19</v>
      </c>
      <c r="J1336" s="25" t="s">
        <v>20</v>
      </c>
      <c r="K1336" s="25" t="s">
        <v>25</v>
      </c>
      <c r="L1336" s="25">
        <v>0</v>
      </c>
      <c r="M1336" s="25">
        <v>1.2</v>
      </c>
      <c r="N1336" s="25">
        <v>0</v>
      </c>
      <c r="O1336" s="25">
        <v>29.72</v>
      </c>
      <c r="P1336" s="25">
        <v>30.918500000000002</v>
      </c>
    </row>
    <row r="1337" spans="1:16" x14ac:dyDescent="0.25">
      <c r="A1337" s="26">
        <v>43209</v>
      </c>
      <c r="B1337" s="25" t="s">
        <v>321</v>
      </c>
      <c r="C1337" s="25" t="s">
        <v>17</v>
      </c>
      <c r="D1337" s="25">
        <v>10</v>
      </c>
      <c r="E1337" s="25">
        <v>300</v>
      </c>
      <c r="F1337" s="25">
        <v>3000</v>
      </c>
      <c r="G1337" s="25" t="s">
        <v>403</v>
      </c>
      <c r="H1337" s="25">
        <v>2018074</v>
      </c>
      <c r="I1337" s="25" t="s">
        <v>19</v>
      </c>
      <c r="J1337" s="25" t="s">
        <v>20</v>
      </c>
      <c r="K1337" s="25" t="s">
        <v>25</v>
      </c>
      <c r="L1337" s="25">
        <v>3</v>
      </c>
      <c r="M1337" s="25">
        <v>0.09</v>
      </c>
      <c r="N1337" s="25">
        <v>0</v>
      </c>
      <c r="O1337" s="25">
        <v>41.32</v>
      </c>
      <c r="P1337" s="25">
        <v>44.41</v>
      </c>
    </row>
    <row r="1338" spans="1:16" x14ac:dyDescent="0.25">
      <c r="A1338" s="26">
        <v>43209</v>
      </c>
      <c r="B1338" s="25" t="s">
        <v>404</v>
      </c>
      <c r="C1338" s="25" t="s">
        <v>17</v>
      </c>
      <c r="D1338" s="25">
        <v>10</v>
      </c>
      <c r="E1338" s="25">
        <v>380</v>
      </c>
      <c r="F1338" s="25">
        <v>3800</v>
      </c>
      <c r="G1338" s="25" t="s">
        <v>405</v>
      </c>
      <c r="H1338" s="25">
        <v>2018074</v>
      </c>
      <c r="I1338" s="25" t="s">
        <v>19</v>
      </c>
      <c r="J1338" s="25" t="s">
        <v>20</v>
      </c>
      <c r="K1338" s="25" t="s">
        <v>25</v>
      </c>
      <c r="L1338" s="25">
        <v>4.13</v>
      </c>
      <c r="M1338" s="25">
        <v>0.11</v>
      </c>
      <c r="N1338" s="25">
        <v>2.7</v>
      </c>
      <c r="O1338" s="25">
        <v>41.32</v>
      </c>
      <c r="P1338" s="25">
        <v>48.264000000000003</v>
      </c>
    </row>
    <row r="1339" spans="1:16" x14ac:dyDescent="0.25">
      <c r="A1339" s="26">
        <v>43209</v>
      </c>
      <c r="B1339" s="25" t="s">
        <v>324</v>
      </c>
      <c r="C1339" s="25" t="s">
        <v>23</v>
      </c>
      <c r="D1339" s="25">
        <v>50</v>
      </c>
      <c r="E1339" s="25">
        <v>781</v>
      </c>
      <c r="F1339" s="25">
        <v>39050</v>
      </c>
      <c r="G1339" s="25" t="s">
        <v>406</v>
      </c>
      <c r="H1339" s="25">
        <v>2018074</v>
      </c>
      <c r="I1339" s="25" t="s">
        <v>19</v>
      </c>
      <c r="J1339" s="25" t="s">
        <v>20</v>
      </c>
      <c r="K1339" s="25" t="s">
        <v>25</v>
      </c>
      <c r="L1339" s="25">
        <v>9.8800000000000008</v>
      </c>
      <c r="M1339" s="25">
        <v>1.17</v>
      </c>
      <c r="N1339" s="25">
        <v>0</v>
      </c>
      <c r="O1339" s="25">
        <v>29.71</v>
      </c>
      <c r="P1339" s="25">
        <v>40.761499999999998</v>
      </c>
    </row>
    <row r="1340" spans="1:16" x14ac:dyDescent="0.25">
      <c r="A1340" s="26">
        <v>43208</v>
      </c>
      <c r="B1340" s="25" t="s">
        <v>324</v>
      </c>
      <c r="C1340" s="25" t="s">
        <v>23</v>
      </c>
      <c r="D1340" s="25">
        <v>20</v>
      </c>
      <c r="E1340" s="25">
        <v>808.3</v>
      </c>
      <c r="F1340" s="25">
        <v>16166</v>
      </c>
      <c r="G1340" s="25" t="s">
        <v>407</v>
      </c>
      <c r="H1340" s="25">
        <v>201819015</v>
      </c>
      <c r="I1340" s="25" t="s">
        <v>19</v>
      </c>
      <c r="J1340" s="25" t="s">
        <v>20</v>
      </c>
      <c r="K1340" s="25" t="s">
        <v>21</v>
      </c>
      <c r="L1340" s="25">
        <v>16.170000000000002</v>
      </c>
      <c r="M1340" s="25">
        <v>0.64</v>
      </c>
      <c r="N1340" s="25">
        <v>0</v>
      </c>
      <c r="O1340" s="25">
        <v>105.03</v>
      </c>
      <c r="P1340" s="25">
        <v>121.8442</v>
      </c>
    </row>
    <row r="1341" spans="1:16" x14ac:dyDescent="0.25">
      <c r="A1341" s="26">
        <v>43208</v>
      </c>
      <c r="B1341" s="25" t="s">
        <v>288</v>
      </c>
      <c r="C1341" s="25" t="s">
        <v>17</v>
      </c>
      <c r="D1341" s="25">
        <v>100</v>
      </c>
      <c r="E1341" s="25">
        <v>125.65</v>
      </c>
      <c r="F1341" s="25">
        <v>12565</v>
      </c>
      <c r="G1341" s="25" t="s">
        <v>408</v>
      </c>
      <c r="H1341" s="25">
        <v>201819015</v>
      </c>
      <c r="I1341" s="25" t="s">
        <v>19</v>
      </c>
      <c r="J1341" s="25" t="s">
        <v>20</v>
      </c>
      <c r="K1341" s="25" t="s">
        <v>21</v>
      </c>
      <c r="L1341" s="25">
        <v>12.83</v>
      </c>
      <c r="M1341" s="25">
        <v>0.64</v>
      </c>
      <c r="N1341" s="25">
        <v>0.9</v>
      </c>
      <c r="O1341" s="25">
        <v>81.66</v>
      </c>
      <c r="P1341" s="25">
        <v>96.028800000000004</v>
      </c>
    </row>
    <row r="1342" spans="1:16" x14ac:dyDescent="0.25">
      <c r="A1342" s="26">
        <v>43208</v>
      </c>
      <c r="B1342" s="25" t="s">
        <v>56</v>
      </c>
      <c r="C1342" s="25" t="s">
        <v>17</v>
      </c>
      <c r="D1342" s="25">
        <v>100</v>
      </c>
      <c r="E1342" s="25">
        <v>877</v>
      </c>
      <c r="F1342" s="25">
        <v>87700</v>
      </c>
      <c r="G1342" s="25" t="s">
        <v>409</v>
      </c>
      <c r="H1342" s="25">
        <v>2018073</v>
      </c>
      <c r="I1342" s="25" t="s">
        <v>19</v>
      </c>
      <c r="J1342" s="25" t="s">
        <v>20</v>
      </c>
      <c r="K1342" s="25" t="s">
        <v>25</v>
      </c>
      <c r="L1342" s="25">
        <v>0</v>
      </c>
      <c r="M1342" s="25">
        <v>2.63</v>
      </c>
      <c r="N1342" s="25">
        <v>0</v>
      </c>
      <c r="O1342" s="25">
        <v>52.22</v>
      </c>
      <c r="P1342" s="25">
        <v>54.851100000000002</v>
      </c>
    </row>
    <row r="1343" spans="1:16" x14ac:dyDescent="0.25">
      <c r="A1343" s="26">
        <v>43208</v>
      </c>
      <c r="B1343" s="25" t="s">
        <v>56</v>
      </c>
      <c r="C1343" s="25" t="s">
        <v>23</v>
      </c>
      <c r="D1343" s="25">
        <v>100</v>
      </c>
      <c r="E1343" s="25">
        <v>874</v>
      </c>
      <c r="F1343" s="25">
        <v>87400</v>
      </c>
      <c r="G1343" s="25" t="s">
        <v>410</v>
      </c>
      <c r="H1343" s="25">
        <v>2018073</v>
      </c>
      <c r="I1343" s="25" t="s">
        <v>19</v>
      </c>
      <c r="J1343" s="25" t="s">
        <v>20</v>
      </c>
      <c r="K1343" s="25" t="s">
        <v>25</v>
      </c>
      <c r="L1343" s="25">
        <v>22</v>
      </c>
      <c r="M1343" s="25">
        <v>2.62</v>
      </c>
      <c r="N1343" s="25">
        <v>5.4</v>
      </c>
      <c r="O1343" s="25">
        <v>52.04</v>
      </c>
      <c r="P1343" s="25">
        <v>82.061999999999998</v>
      </c>
    </row>
    <row r="1344" spans="1:16" x14ac:dyDescent="0.25">
      <c r="A1344" s="26">
        <v>43206</v>
      </c>
      <c r="B1344" s="25" t="s">
        <v>205</v>
      </c>
      <c r="C1344" s="25" t="s">
        <v>23</v>
      </c>
      <c r="D1344" s="25">
        <v>1000</v>
      </c>
      <c r="E1344" s="25">
        <v>60.25</v>
      </c>
      <c r="F1344" s="25">
        <v>60253.3</v>
      </c>
      <c r="G1344" s="25" t="s">
        <v>411</v>
      </c>
      <c r="H1344" s="25">
        <v>2018071</v>
      </c>
      <c r="I1344" s="25" t="s">
        <v>19</v>
      </c>
      <c r="J1344" s="25" t="s">
        <v>1634</v>
      </c>
      <c r="K1344" s="25" t="s">
        <v>25</v>
      </c>
      <c r="L1344" s="25">
        <v>60</v>
      </c>
      <c r="M1344" s="25">
        <v>1.81</v>
      </c>
      <c r="N1344" s="25">
        <v>2.1</v>
      </c>
      <c r="O1344" s="25">
        <v>391.36</v>
      </c>
      <c r="P1344" s="25">
        <v>455.26760000000002</v>
      </c>
    </row>
    <row r="1345" spans="1:16" x14ac:dyDescent="0.25">
      <c r="A1345" s="26">
        <v>43203</v>
      </c>
      <c r="B1345" s="25" t="s">
        <v>282</v>
      </c>
      <c r="C1345" s="25" t="s">
        <v>17</v>
      </c>
      <c r="D1345" s="25">
        <v>500</v>
      </c>
      <c r="E1345" s="25">
        <v>621</v>
      </c>
      <c r="F1345" s="25">
        <v>310500</v>
      </c>
      <c r="G1345" s="25" t="s">
        <v>352</v>
      </c>
      <c r="H1345" s="25">
        <v>2018070</v>
      </c>
      <c r="I1345" s="25" t="s">
        <v>19</v>
      </c>
      <c r="J1345" s="25" t="s">
        <v>20</v>
      </c>
      <c r="K1345" s="25" t="s">
        <v>25</v>
      </c>
      <c r="L1345" s="25">
        <v>0</v>
      </c>
      <c r="M1345" s="25">
        <v>9.32</v>
      </c>
      <c r="N1345" s="25">
        <v>0</v>
      </c>
      <c r="O1345" s="25">
        <v>184.87</v>
      </c>
      <c r="P1345" s="25">
        <v>194.18510000000001</v>
      </c>
    </row>
    <row r="1346" spans="1:16" x14ac:dyDescent="0.25">
      <c r="A1346" s="26">
        <v>43203</v>
      </c>
      <c r="B1346" s="25" t="s">
        <v>282</v>
      </c>
      <c r="C1346" s="25" t="s">
        <v>23</v>
      </c>
      <c r="D1346" s="25">
        <v>500</v>
      </c>
      <c r="E1346" s="25">
        <v>623.5</v>
      </c>
      <c r="F1346" s="25">
        <v>311750</v>
      </c>
      <c r="G1346" s="25" t="s">
        <v>353</v>
      </c>
      <c r="H1346" s="25">
        <v>2018070</v>
      </c>
      <c r="I1346" s="25" t="s">
        <v>19</v>
      </c>
      <c r="J1346" s="25" t="s">
        <v>20</v>
      </c>
      <c r="K1346" s="25" t="s">
        <v>25</v>
      </c>
      <c r="L1346" s="25">
        <v>78</v>
      </c>
      <c r="M1346" s="25">
        <v>9.35</v>
      </c>
      <c r="N1346" s="25">
        <v>18.899999999999999</v>
      </c>
      <c r="O1346" s="25">
        <v>185.61</v>
      </c>
      <c r="P1346" s="25">
        <v>291.8623</v>
      </c>
    </row>
    <row r="1347" spans="1:16" x14ac:dyDescent="0.25">
      <c r="A1347" s="26">
        <v>43202</v>
      </c>
      <c r="B1347" s="25" t="s">
        <v>282</v>
      </c>
      <c r="C1347" s="25" t="s">
        <v>17</v>
      </c>
      <c r="D1347" s="25">
        <v>500</v>
      </c>
      <c r="E1347" s="25">
        <v>627.5</v>
      </c>
      <c r="F1347" s="25">
        <v>313750</v>
      </c>
      <c r="G1347" s="25" t="s">
        <v>354</v>
      </c>
      <c r="H1347" s="25">
        <v>2018069</v>
      </c>
      <c r="I1347" s="25" t="s">
        <v>19</v>
      </c>
      <c r="J1347" s="25" t="s">
        <v>20</v>
      </c>
      <c r="K1347" s="25" t="s">
        <v>25</v>
      </c>
      <c r="L1347" s="25">
        <v>0</v>
      </c>
      <c r="M1347" s="25">
        <v>9.41</v>
      </c>
      <c r="N1347" s="25">
        <v>0</v>
      </c>
      <c r="O1347" s="25">
        <v>186.81</v>
      </c>
      <c r="P1347" s="25">
        <v>196.22239999999999</v>
      </c>
    </row>
    <row r="1348" spans="1:16" x14ac:dyDescent="0.25">
      <c r="A1348" s="26">
        <v>43202</v>
      </c>
      <c r="B1348" s="25" t="s">
        <v>282</v>
      </c>
      <c r="C1348" s="25" t="s">
        <v>23</v>
      </c>
      <c r="D1348" s="25">
        <v>500</v>
      </c>
      <c r="E1348" s="25">
        <v>632</v>
      </c>
      <c r="F1348" s="25">
        <v>316000</v>
      </c>
      <c r="G1348" s="25" t="s">
        <v>355</v>
      </c>
      <c r="H1348" s="25">
        <v>2018069</v>
      </c>
      <c r="I1348" s="25" t="s">
        <v>19</v>
      </c>
      <c r="J1348" s="25" t="s">
        <v>20</v>
      </c>
      <c r="K1348" s="25" t="s">
        <v>25</v>
      </c>
      <c r="L1348" s="25">
        <v>78.31</v>
      </c>
      <c r="M1348" s="25">
        <v>9.48</v>
      </c>
      <c r="N1348" s="25">
        <v>0</v>
      </c>
      <c r="O1348" s="25">
        <v>188.15</v>
      </c>
      <c r="P1348" s="25">
        <v>275.94</v>
      </c>
    </row>
    <row r="1349" spans="1:16" x14ac:dyDescent="0.25">
      <c r="A1349" s="26">
        <v>43202</v>
      </c>
      <c r="B1349" s="25" t="s">
        <v>282</v>
      </c>
      <c r="C1349" s="25" t="s">
        <v>17</v>
      </c>
      <c r="D1349" s="25">
        <v>500</v>
      </c>
      <c r="E1349" s="25">
        <v>626.5</v>
      </c>
      <c r="F1349" s="25">
        <v>313250</v>
      </c>
      <c r="G1349" s="25" t="s">
        <v>356</v>
      </c>
      <c r="H1349" s="25">
        <v>2018069</v>
      </c>
      <c r="I1349" s="25" t="s">
        <v>19</v>
      </c>
      <c r="J1349" s="25" t="s">
        <v>20</v>
      </c>
      <c r="K1349" s="25" t="s">
        <v>25</v>
      </c>
      <c r="L1349" s="25">
        <v>0</v>
      </c>
      <c r="M1349" s="25">
        <v>9.4</v>
      </c>
      <c r="N1349" s="25">
        <v>37.799999999999997</v>
      </c>
      <c r="O1349" s="25">
        <v>186.5</v>
      </c>
      <c r="P1349" s="25">
        <v>233.69749999999999</v>
      </c>
    </row>
    <row r="1350" spans="1:16" x14ac:dyDescent="0.25">
      <c r="A1350" s="26">
        <v>43202</v>
      </c>
      <c r="B1350" s="25" t="s">
        <v>282</v>
      </c>
      <c r="C1350" s="25" t="s">
        <v>23</v>
      </c>
      <c r="D1350" s="25">
        <v>500</v>
      </c>
      <c r="E1350" s="25">
        <v>620</v>
      </c>
      <c r="F1350" s="25">
        <v>310000</v>
      </c>
      <c r="G1350" s="25" t="s">
        <v>357</v>
      </c>
      <c r="H1350" s="25">
        <v>2018069</v>
      </c>
      <c r="I1350" s="25" t="s">
        <v>19</v>
      </c>
      <c r="J1350" s="25" t="s">
        <v>20</v>
      </c>
      <c r="K1350" s="25" t="s">
        <v>25</v>
      </c>
      <c r="L1350" s="25">
        <v>78.69</v>
      </c>
      <c r="M1350" s="25">
        <v>9.3000000000000007</v>
      </c>
      <c r="N1350" s="25">
        <v>0</v>
      </c>
      <c r="O1350" s="25">
        <v>184.57</v>
      </c>
      <c r="P1350" s="25">
        <v>272.56009999999998</v>
      </c>
    </row>
    <row r="1351" spans="1:16" x14ac:dyDescent="0.25">
      <c r="A1351" s="26">
        <v>43200</v>
      </c>
      <c r="B1351" s="25" t="s">
        <v>190</v>
      </c>
      <c r="C1351" s="25" t="s">
        <v>17</v>
      </c>
      <c r="D1351" s="25">
        <v>1000</v>
      </c>
      <c r="E1351" s="25">
        <v>9</v>
      </c>
      <c r="F1351" s="25">
        <v>9000</v>
      </c>
      <c r="G1351" s="25" t="s">
        <v>358</v>
      </c>
      <c r="H1351" s="25">
        <v>2018067</v>
      </c>
      <c r="I1351" s="25" t="s">
        <v>19</v>
      </c>
      <c r="J1351" s="25" t="s">
        <v>20</v>
      </c>
      <c r="K1351" s="25" t="s">
        <v>25</v>
      </c>
      <c r="L1351" s="25">
        <v>9</v>
      </c>
      <c r="M1351" s="25">
        <v>0.27</v>
      </c>
      <c r="N1351" s="25">
        <v>0.3</v>
      </c>
      <c r="O1351" s="25">
        <v>59.05</v>
      </c>
      <c r="P1351" s="25">
        <v>68.62</v>
      </c>
    </row>
    <row r="1352" spans="1:16" x14ac:dyDescent="0.25">
      <c r="A1352" s="26">
        <v>43199</v>
      </c>
      <c r="B1352" s="25" t="s">
        <v>205</v>
      </c>
      <c r="C1352" s="25" t="s">
        <v>17</v>
      </c>
      <c r="D1352" s="25">
        <v>1000</v>
      </c>
      <c r="E1352" s="25">
        <v>64.25</v>
      </c>
      <c r="F1352" s="25">
        <v>64250</v>
      </c>
      <c r="G1352" s="25" t="s">
        <v>359</v>
      </c>
      <c r="H1352" s="25">
        <v>2018066</v>
      </c>
      <c r="I1352" s="25" t="s">
        <v>19</v>
      </c>
      <c r="J1352" s="25" t="s">
        <v>1634</v>
      </c>
      <c r="K1352" s="25" t="s">
        <v>25</v>
      </c>
      <c r="L1352" s="25">
        <v>64</v>
      </c>
      <c r="M1352" s="25">
        <v>1.93</v>
      </c>
      <c r="N1352" s="25">
        <v>2.1</v>
      </c>
      <c r="O1352" s="25">
        <v>417.33</v>
      </c>
      <c r="P1352" s="25">
        <v>485.35750000000002</v>
      </c>
    </row>
    <row r="1353" spans="1:16" x14ac:dyDescent="0.25">
      <c r="A1353" s="26">
        <v>43196</v>
      </c>
      <c r="B1353" s="25" t="s">
        <v>288</v>
      </c>
      <c r="C1353" s="25" t="s">
        <v>17</v>
      </c>
      <c r="D1353" s="25">
        <v>250</v>
      </c>
      <c r="E1353" s="25">
        <v>171.4</v>
      </c>
      <c r="F1353" s="25">
        <v>42850</v>
      </c>
      <c r="G1353" s="25" t="s">
        <v>360</v>
      </c>
      <c r="H1353" s="25">
        <v>2018065</v>
      </c>
      <c r="I1353" s="25" t="s">
        <v>19</v>
      </c>
      <c r="J1353" s="25" t="s">
        <v>20</v>
      </c>
      <c r="K1353" s="25" t="s">
        <v>25</v>
      </c>
      <c r="L1353" s="25">
        <v>43</v>
      </c>
      <c r="M1353" s="25">
        <v>1.29</v>
      </c>
      <c r="N1353" s="25">
        <v>1.5</v>
      </c>
      <c r="O1353" s="25">
        <v>278.33</v>
      </c>
      <c r="P1353" s="25">
        <v>324.1155</v>
      </c>
    </row>
    <row r="1354" spans="1:16" x14ac:dyDescent="0.25">
      <c r="A1354" s="26">
        <v>43195</v>
      </c>
      <c r="B1354" s="25" t="s">
        <v>282</v>
      </c>
      <c r="C1354" s="25" t="s">
        <v>17</v>
      </c>
      <c r="D1354" s="25">
        <v>1000</v>
      </c>
      <c r="E1354" s="25">
        <v>605.88</v>
      </c>
      <c r="F1354" s="25">
        <v>605877.65</v>
      </c>
      <c r="G1354" s="25" t="s">
        <v>361</v>
      </c>
      <c r="H1354" s="25">
        <v>2018064</v>
      </c>
      <c r="I1354" s="25" t="s">
        <v>19</v>
      </c>
      <c r="J1354" s="25" t="s">
        <v>20</v>
      </c>
      <c r="K1354" s="25" t="s">
        <v>25</v>
      </c>
      <c r="L1354" s="25">
        <v>0</v>
      </c>
      <c r="M1354" s="25">
        <v>18.18</v>
      </c>
      <c r="N1354" s="25">
        <v>0</v>
      </c>
      <c r="O1354" s="25">
        <v>360.74</v>
      </c>
      <c r="P1354" s="25">
        <v>378.91680000000002</v>
      </c>
    </row>
    <row r="1355" spans="1:16" x14ac:dyDescent="0.25">
      <c r="A1355" s="26">
        <v>43195</v>
      </c>
      <c r="B1355" s="25" t="s">
        <v>282</v>
      </c>
      <c r="C1355" s="25" t="s">
        <v>23</v>
      </c>
      <c r="D1355" s="25">
        <v>1000</v>
      </c>
      <c r="E1355" s="25">
        <v>607</v>
      </c>
      <c r="F1355" s="25">
        <v>607000</v>
      </c>
      <c r="G1355" s="25" t="s">
        <v>362</v>
      </c>
      <c r="H1355" s="25">
        <v>2018064</v>
      </c>
      <c r="I1355" s="25" t="s">
        <v>19</v>
      </c>
      <c r="J1355" s="25" t="s">
        <v>20</v>
      </c>
      <c r="K1355" s="25" t="s">
        <v>25</v>
      </c>
      <c r="L1355" s="25">
        <v>151.96</v>
      </c>
      <c r="M1355" s="25">
        <v>18.21</v>
      </c>
      <c r="N1355" s="25">
        <v>37.200000000000003</v>
      </c>
      <c r="O1355" s="25">
        <v>361.4</v>
      </c>
      <c r="P1355" s="25">
        <v>568.76990000000001</v>
      </c>
    </row>
    <row r="1356" spans="1:16" x14ac:dyDescent="0.25">
      <c r="A1356" s="26">
        <v>43195</v>
      </c>
      <c r="B1356" s="25" t="s">
        <v>288</v>
      </c>
      <c r="C1356" s="25" t="s">
        <v>17</v>
      </c>
      <c r="D1356" s="25">
        <v>100</v>
      </c>
      <c r="E1356" s="25">
        <v>180.4</v>
      </c>
      <c r="F1356" s="25">
        <v>18040</v>
      </c>
      <c r="G1356" s="25" t="s">
        <v>363</v>
      </c>
      <c r="H1356" s="25">
        <v>2018064</v>
      </c>
      <c r="I1356" s="25" t="s">
        <v>19</v>
      </c>
      <c r="J1356" s="25" t="s">
        <v>20</v>
      </c>
      <c r="K1356" s="25" t="s">
        <v>25</v>
      </c>
      <c r="L1356" s="25">
        <v>18.04</v>
      </c>
      <c r="M1356" s="25">
        <v>0.54</v>
      </c>
      <c r="N1356" s="25">
        <v>0</v>
      </c>
      <c r="O1356" s="25">
        <v>117.18</v>
      </c>
      <c r="P1356" s="25">
        <v>135.7612</v>
      </c>
    </row>
    <row r="1357" spans="1:16" x14ac:dyDescent="0.25">
      <c r="A1357" s="26">
        <v>43194</v>
      </c>
      <c r="B1357" s="25" t="s">
        <v>279</v>
      </c>
      <c r="C1357" s="25" t="s">
        <v>17</v>
      </c>
      <c r="D1357" s="25">
        <v>250</v>
      </c>
      <c r="E1357" s="25">
        <v>435.24</v>
      </c>
      <c r="F1357" s="25">
        <v>108810.5</v>
      </c>
      <c r="G1357" s="25" t="s">
        <v>364</v>
      </c>
      <c r="H1357" s="25">
        <v>2018063</v>
      </c>
      <c r="I1357" s="25" t="s">
        <v>19</v>
      </c>
      <c r="J1357" s="25" t="s">
        <v>20</v>
      </c>
      <c r="K1357" s="25" t="s">
        <v>25</v>
      </c>
      <c r="L1357" s="25">
        <v>0</v>
      </c>
      <c r="M1357" s="25">
        <v>3.26</v>
      </c>
      <c r="N1357" s="25">
        <v>0</v>
      </c>
      <c r="O1357" s="25">
        <v>64.78</v>
      </c>
      <c r="P1357" s="25">
        <v>68.044300000000007</v>
      </c>
    </row>
    <row r="1358" spans="1:16" x14ac:dyDescent="0.25">
      <c r="A1358" s="26">
        <v>43194</v>
      </c>
      <c r="B1358" s="25" t="s">
        <v>279</v>
      </c>
      <c r="C1358" s="25" t="s">
        <v>17</v>
      </c>
      <c r="D1358" s="25">
        <v>250</v>
      </c>
      <c r="E1358" s="25">
        <v>439.1</v>
      </c>
      <c r="F1358" s="25">
        <v>109775</v>
      </c>
      <c r="G1358" s="25" t="s">
        <v>365</v>
      </c>
      <c r="H1358" s="25">
        <v>2018063</v>
      </c>
      <c r="I1358" s="25" t="s">
        <v>19</v>
      </c>
      <c r="J1358" s="25" t="s">
        <v>20</v>
      </c>
      <c r="K1358" s="25" t="s">
        <v>25</v>
      </c>
      <c r="L1358" s="25">
        <v>0</v>
      </c>
      <c r="M1358" s="25">
        <v>3.29</v>
      </c>
      <c r="N1358" s="25">
        <v>0</v>
      </c>
      <c r="O1358" s="25">
        <v>65.36</v>
      </c>
      <c r="P1358" s="25">
        <v>68.653199999999998</v>
      </c>
    </row>
    <row r="1359" spans="1:16" x14ac:dyDescent="0.25">
      <c r="A1359" s="26">
        <v>43194</v>
      </c>
      <c r="B1359" s="25" t="s">
        <v>279</v>
      </c>
      <c r="C1359" s="25" t="s">
        <v>23</v>
      </c>
      <c r="D1359" s="25">
        <v>500</v>
      </c>
      <c r="E1359" s="25">
        <v>437.46</v>
      </c>
      <c r="F1359" s="25">
        <v>218730.1</v>
      </c>
      <c r="G1359" s="25" t="s">
        <v>366</v>
      </c>
      <c r="H1359" s="25">
        <v>2018063</v>
      </c>
      <c r="I1359" s="25" t="s">
        <v>19</v>
      </c>
      <c r="J1359" s="25" t="s">
        <v>20</v>
      </c>
      <c r="K1359" s="25" t="s">
        <v>25</v>
      </c>
      <c r="L1359" s="25">
        <v>54.66</v>
      </c>
      <c r="M1359" s="25">
        <v>6.56</v>
      </c>
      <c r="N1359" s="25">
        <v>0</v>
      </c>
      <c r="O1359" s="25">
        <v>130.22</v>
      </c>
      <c r="P1359" s="25">
        <v>191.44210000000001</v>
      </c>
    </row>
    <row r="1360" spans="1:16" x14ac:dyDescent="0.25">
      <c r="A1360" s="26">
        <v>43194</v>
      </c>
      <c r="B1360" s="25" t="s">
        <v>282</v>
      </c>
      <c r="C1360" s="25" t="s">
        <v>17</v>
      </c>
      <c r="D1360" s="25">
        <v>500</v>
      </c>
      <c r="E1360" s="25">
        <v>607.13</v>
      </c>
      <c r="F1360" s="25">
        <v>303563.65000000002</v>
      </c>
      <c r="G1360" s="25" t="s">
        <v>367</v>
      </c>
      <c r="H1360" s="25">
        <v>2018063</v>
      </c>
      <c r="I1360" s="25" t="s">
        <v>19</v>
      </c>
      <c r="J1360" s="25" t="s">
        <v>20</v>
      </c>
      <c r="K1360" s="25" t="s">
        <v>25</v>
      </c>
      <c r="L1360" s="25">
        <v>0</v>
      </c>
      <c r="M1360" s="25">
        <v>9.11</v>
      </c>
      <c r="N1360" s="25">
        <v>31.5</v>
      </c>
      <c r="O1360" s="25">
        <v>180.73</v>
      </c>
      <c r="P1360" s="25">
        <v>221.33709999999999</v>
      </c>
    </row>
    <row r="1361" spans="1:16" x14ac:dyDescent="0.25">
      <c r="A1361" s="26">
        <v>43194</v>
      </c>
      <c r="B1361" s="25" t="s">
        <v>282</v>
      </c>
      <c r="C1361" s="25" t="s">
        <v>23</v>
      </c>
      <c r="D1361" s="25">
        <v>500</v>
      </c>
      <c r="E1361" s="25">
        <v>605</v>
      </c>
      <c r="F1361" s="25">
        <v>302500</v>
      </c>
      <c r="G1361" s="25" t="s">
        <v>368</v>
      </c>
      <c r="H1361" s="25">
        <v>2018063</v>
      </c>
      <c r="I1361" s="25" t="s">
        <v>19</v>
      </c>
      <c r="J1361" s="25" t="s">
        <v>20</v>
      </c>
      <c r="K1361" s="25" t="s">
        <v>25</v>
      </c>
      <c r="L1361" s="25">
        <v>75.34</v>
      </c>
      <c r="M1361" s="25">
        <v>9.07</v>
      </c>
      <c r="N1361" s="25">
        <v>0</v>
      </c>
      <c r="O1361" s="25">
        <v>180.11</v>
      </c>
      <c r="P1361" s="25">
        <v>264.5249</v>
      </c>
    </row>
    <row r="1362" spans="1:16" x14ac:dyDescent="0.25">
      <c r="A1362" s="26">
        <v>43193</v>
      </c>
      <c r="B1362" s="25" t="s">
        <v>205</v>
      </c>
      <c r="C1362" s="25" t="s">
        <v>17</v>
      </c>
      <c r="D1362" s="25">
        <v>1000</v>
      </c>
      <c r="E1362" s="25">
        <v>60.6</v>
      </c>
      <c r="F1362" s="25">
        <v>60600</v>
      </c>
      <c r="G1362" s="25" t="s">
        <v>369</v>
      </c>
      <c r="H1362" s="25">
        <v>2018062</v>
      </c>
      <c r="I1362" s="25" t="s">
        <v>19</v>
      </c>
      <c r="J1362" s="25" t="s">
        <v>20</v>
      </c>
      <c r="K1362" s="25" t="s">
        <v>25</v>
      </c>
      <c r="L1362" s="25">
        <v>0</v>
      </c>
      <c r="M1362" s="25">
        <v>1.82</v>
      </c>
      <c r="N1362" s="25">
        <v>3.9</v>
      </c>
      <c r="O1362" s="25">
        <v>36.08</v>
      </c>
      <c r="P1362" s="25">
        <v>41.798099999999998</v>
      </c>
    </row>
    <row r="1363" spans="1:16" x14ac:dyDescent="0.25">
      <c r="A1363" s="26">
        <v>43193</v>
      </c>
      <c r="B1363" s="25" t="s">
        <v>205</v>
      </c>
      <c r="C1363" s="25" t="s">
        <v>23</v>
      </c>
      <c r="D1363" s="25">
        <v>1000</v>
      </c>
      <c r="E1363" s="25">
        <v>62</v>
      </c>
      <c r="F1363" s="25">
        <v>62000</v>
      </c>
      <c r="G1363" s="25" t="s">
        <v>370</v>
      </c>
      <c r="H1363" s="25">
        <v>2018062</v>
      </c>
      <c r="I1363" s="25" t="s">
        <v>19</v>
      </c>
      <c r="J1363" s="25" t="s">
        <v>20</v>
      </c>
      <c r="K1363" s="25" t="s">
        <v>25</v>
      </c>
      <c r="L1363" s="25">
        <v>15</v>
      </c>
      <c r="M1363" s="25">
        <v>1.86</v>
      </c>
      <c r="N1363" s="25">
        <v>0</v>
      </c>
      <c r="O1363" s="25">
        <v>36.909999999999997</v>
      </c>
      <c r="P1363" s="25">
        <v>53.77</v>
      </c>
    </row>
    <row r="1364" spans="1:16" x14ac:dyDescent="0.25">
      <c r="A1364" s="26">
        <v>43192</v>
      </c>
      <c r="B1364" s="25" t="s">
        <v>205</v>
      </c>
      <c r="C1364" s="25" t="s">
        <v>17</v>
      </c>
      <c r="D1364" s="25">
        <v>2130</v>
      </c>
      <c r="E1364" s="25">
        <v>57.8</v>
      </c>
      <c r="F1364" s="25">
        <v>123114</v>
      </c>
      <c r="G1364" s="25" t="s">
        <v>371</v>
      </c>
      <c r="H1364" s="25">
        <v>2018061</v>
      </c>
      <c r="I1364" s="25" t="s">
        <v>19</v>
      </c>
      <c r="J1364" s="25" t="s">
        <v>20</v>
      </c>
      <c r="K1364" s="25" t="s">
        <v>25</v>
      </c>
      <c r="L1364" s="25">
        <v>0</v>
      </c>
      <c r="M1364" s="25">
        <v>3.69</v>
      </c>
      <c r="N1364" s="25">
        <v>0</v>
      </c>
      <c r="O1364" s="25">
        <v>73.3</v>
      </c>
      <c r="P1364" s="25">
        <v>76.993399999999994</v>
      </c>
    </row>
    <row r="1365" spans="1:16" x14ac:dyDescent="0.25">
      <c r="A1365" s="26">
        <v>43192</v>
      </c>
      <c r="B1365" s="25" t="s">
        <v>205</v>
      </c>
      <c r="C1365" s="25" t="s">
        <v>23</v>
      </c>
      <c r="D1365" s="25">
        <v>2130</v>
      </c>
      <c r="E1365" s="25">
        <v>58.9</v>
      </c>
      <c r="F1365" s="25">
        <v>125457</v>
      </c>
      <c r="G1365" s="25" t="s">
        <v>372</v>
      </c>
      <c r="H1365" s="25">
        <v>2018061</v>
      </c>
      <c r="I1365" s="25" t="s">
        <v>19</v>
      </c>
      <c r="J1365" s="25" t="s">
        <v>20</v>
      </c>
      <c r="K1365" s="25" t="s">
        <v>25</v>
      </c>
      <c r="L1365" s="25">
        <v>31.07</v>
      </c>
      <c r="M1365" s="25">
        <v>3.76</v>
      </c>
      <c r="N1365" s="25">
        <v>0</v>
      </c>
      <c r="O1365" s="25">
        <v>74.7</v>
      </c>
      <c r="P1365" s="25">
        <v>109.5337</v>
      </c>
    </row>
    <row r="1366" spans="1:16" x14ac:dyDescent="0.25">
      <c r="A1366" s="26">
        <v>43192</v>
      </c>
      <c r="B1366" s="25" t="s">
        <v>279</v>
      </c>
      <c r="C1366" s="25" t="s">
        <v>17</v>
      </c>
      <c r="D1366" s="25">
        <v>100</v>
      </c>
      <c r="E1366" s="25">
        <v>452</v>
      </c>
      <c r="F1366" s="25">
        <v>45200</v>
      </c>
      <c r="G1366" s="25" t="s">
        <v>373</v>
      </c>
      <c r="H1366" s="25">
        <v>2018061</v>
      </c>
      <c r="I1366" s="25" t="s">
        <v>19</v>
      </c>
      <c r="J1366" s="25" t="s">
        <v>20</v>
      </c>
      <c r="K1366" s="25" t="s">
        <v>25</v>
      </c>
      <c r="L1366" s="25">
        <v>0</v>
      </c>
      <c r="M1366" s="25">
        <v>1.36</v>
      </c>
      <c r="N1366" s="25">
        <v>20.7</v>
      </c>
      <c r="O1366" s="25">
        <v>29.74</v>
      </c>
      <c r="P1366" s="25">
        <v>51.795999999999999</v>
      </c>
    </row>
    <row r="1367" spans="1:16" x14ac:dyDescent="0.25">
      <c r="A1367" s="26">
        <v>43192</v>
      </c>
      <c r="B1367" s="25" t="s">
        <v>279</v>
      </c>
      <c r="C1367" s="25" t="s">
        <v>17</v>
      </c>
      <c r="D1367" s="25">
        <v>100</v>
      </c>
      <c r="E1367" s="25">
        <v>447.9</v>
      </c>
      <c r="F1367" s="25">
        <v>44790</v>
      </c>
      <c r="G1367" s="25" t="s">
        <v>374</v>
      </c>
      <c r="H1367" s="25">
        <v>2018061</v>
      </c>
      <c r="I1367" s="25" t="s">
        <v>19</v>
      </c>
      <c r="J1367" s="25" t="s">
        <v>20</v>
      </c>
      <c r="K1367" s="25" t="s">
        <v>25</v>
      </c>
      <c r="L1367" s="25">
        <v>0</v>
      </c>
      <c r="M1367" s="25">
        <v>1.34</v>
      </c>
      <c r="N1367" s="25">
        <v>0</v>
      </c>
      <c r="O1367" s="25">
        <v>29.74</v>
      </c>
      <c r="P1367" s="25">
        <v>31.0837</v>
      </c>
    </row>
    <row r="1368" spans="1:16" x14ac:dyDescent="0.25">
      <c r="A1368" s="26">
        <v>43192</v>
      </c>
      <c r="B1368" s="25" t="s">
        <v>279</v>
      </c>
      <c r="C1368" s="25" t="s">
        <v>17</v>
      </c>
      <c r="D1368" s="25">
        <v>300</v>
      </c>
      <c r="E1368" s="25">
        <v>441</v>
      </c>
      <c r="F1368" s="25">
        <v>132300</v>
      </c>
      <c r="G1368" s="25" t="s">
        <v>375</v>
      </c>
      <c r="H1368" s="25">
        <v>2018061</v>
      </c>
      <c r="I1368" s="25" t="s">
        <v>19</v>
      </c>
      <c r="J1368" s="25" t="s">
        <v>20</v>
      </c>
      <c r="K1368" s="25" t="s">
        <v>25</v>
      </c>
      <c r="L1368" s="25">
        <v>0</v>
      </c>
      <c r="M1368" s="25">
        <v>3.97</v>
      </c>
      <c r="N1368" s="25">
        <v>0</v>
      </c>
      <c r="O1368" s="25">
        <v>78.77</v>
      </c>
      <c r="P1368" s="25">
        <v>82.738900000000001</v>
      </c>
    </row>
    <row r="1369" spans="1:16" x14ac:dyDescent="0.25">
      <c r="A1369" s="26">
        <v>43192</v>
      </c>
      <c r="B1369" s="25" t="s">
        <v>279</v>
      </c>
      <c r="C1369" s="25" t="s">
        <v>23</v>
      </c>
      <c r="D1369" s="25">
        <v>500</v>
      </c>
      <c r="E1369" s="25">
        <v>429</v>
      </c>
      <c r="F1369" s="25">
        <v>214500</v>
      </c>
      <c r="G1369" s="25" t="s">
        <v>376</v>
      </c>
      <c r="H1369" s="25">
        <v>2018061</v>
      </c>
      <c r="I1369" s="25" t="s">
        <v>19</v>
      </c>
      <c r="J1369" s="25" t="s">
        <v>20</v>
      </c>
      <c r="K1369" s="25" t="s">
        <v>25</v>
      </c>
      <c r="L1369" s="25">
        <v>54.93</v>
      </c>
      <c r="M1369" s="25">
        <v>6.44</v>
      </c>
      <c r="N1369" s="25">
        <v>0</v>
      </c>
      <c r="O1369" s="25">
        <v>127.71</v>
      </c>
      <c r="P1369" s="25">
        <v>189.07509999999999</v>
      </c>
    </row>
    <row r="1370" spans="1:16" x14ac:dyDescent="0.25">
      <c r="A1370" s="26">
        <v>43185</v>
      </c>
      <c r="B1370" s="25" t="s">
        <v>205</v>
      </c>
      <c r="C1370" s="25" t="s">
        <v>17</v>
      </c>
      <c r="D1370" s="25">
        <v>2500</v>
      </c>
      <c r="E1370" s="25">
        <v>57.88</v>
      </c>
      <c r="F1370" s="25">
        <v>144709.20000000001</v>
      </c>
      <c r="G1370" s="25" t="s">
        <v>377</v>
      </c>
      <c r="H1370" s="25">
        <v>2018058</v>
      </c>
      <c r="I1370" s="25" t="s">
        <v>19</v>
      </c>
      <c r="J1370" s="25" t="s">
        <v>20</v>
      </c>
      <c r="K1370" s="25" t="s">
        <v>25</v>
      </c>
      <c r="L1370" s="25">
        <v>0</v>
      </c>
      <c r="M1370" s="25">
        <v>4.34</v>
      </c>
      <c r="N1370" s="25">
        <v>0</v>
      </c>
      <c r="O1370" s="25">
        <v>86.14</v>
      </c>
      <c r="P1370" s="25">
        <v>90.481099999999998</v>
      </c>
    </row>
    <row r="1371" spans="1:16" x14ac:dyDescent="0.25">
      <c r="A1371" s="26">
        <v>43185</v>
      </c>
      <c r="B1371" s="25" t="s">
        <v>205</v>
      </c>
      <c r="C1371" s="25" t="s">
        <v>23</v>
      </c>
      <c r="D1371" s="25">
        <v>2500</v>
      </c>
      <c r="E1371" s="25">
        <v>55.65</v>
      </c>
      <c r="F1371" s="25">
        <v>139125</v>
      </c>
      <c r="G1371" s="25" t="s">
        <v>378</v>
      </c>
      <c r="H1371" s="25">
        <v>2018058</v>
      </c>
      <c r="I1371" s="25" t="s">
        <v>19</v>
      </c>
      <c r="J1371" s="25" t="s">
        <v>20</v>
      </c>
      <c r="K1371" s="25" t="s">
        <v>25</v>
      </c>
      <c r="L1371" s="25">
        <v>35</v>
      </c>
      <c r="M1371" s="25">
        <v>4.17</v>
      </c>
      <c r="N1371" s="25">
        <v>8.6999999999999993</v>
      </c>
      <c r="O1371" s="25">
        <v>82.84</v>
      </c>
      <c r="P1371" s="25">
        <v>130.71379999999999</v>
      </c>
    </row>
    <row r="1372" spans="1:16" x14ac:dyDescent="0.25">
      <c r="A1372" s="26">
        <v>43182</v>
      </c>
      <c r="B1372" s="25" t="s">
        <v>205</v>
      </c>
      <c r="C1372" s="25" t="s">
        <v>23</v>
      </c>
      <c r="D1372" s="25">
        <v>2500</v>
      </c>
      <c r="E1372" s="25">
        <v>57.45</v>
      </c>
      <c r="F1372" s="25">
        <v>143632.9</v>
      </c>
      <c r="G1372" s="25" t="s">
        <v>341</v>
      </c>
      <c r="H1372" s="25">
        <v>2018057</v>
      </c>
      <c r="I1372" s="25" t="s">
        <v>19</v>
      </c>
      <c r="J1372" s="25" t="s">
        <v>1634</v>
      </c>
      <c r="K1372" s="25" t="s">
        <v>25</v>
      </c>
      <c r="L1372" s="25">
        <v>143.86000000000001</v>
      </c>
      <c r="M1372" s="25">
        <v>4.3099999999999996</v>
      </c>
      <c r="N1372" s="25">
        <v>5.4</v>
      </c>
      <c r="O1372" s="25">
        <v>932.95</v>
      </c>
      <c r="P1372" s="25">
        <v>1086.519</v>
      </c>
    </row>
    <row r="1373" spans="1:16" x14ac:dyDescent="0.25">
      <c r="A1373" s="26">
        <v>43182</v>
      </c>
      <c r="B1373" s="25" t="s">
        <v>296</v>
      </c>
      <c r="C1373" s="25" t="s">
        <v>23</v>
      </c>
      <c r="D1373" s="25">
        <v>750</v>
      </c>
      <c r="E1373" s="25">
        <v>38.85</v>
      </c>
      <c r="F1373" s="25">
        <v>29137.5</v>
      </c>
      <c r="G1373" s="25" t="s">
        <v>342</v>
      </c>
      <c r="H1373" s="25">
        <v>2018057</v>
      </c>
      <c r="I1373" s="25" t="s">
        <v>19</v>
      </c>
      <c r="J1373" s="25" t="s">
        <v>20</v>
      </c>
      <c r="K1373" s="25" t="s">
        <v>25</v>
      </c>
      <c r="L1373" s="25">
        <v>29.14</v>
      </c>
      <c r="M1373" s="25">
        <v>0.87</v>
      </c>
      <c r="N1373" s="25">
        <v>0</v>
      </c>
      <c r="O1373" s="25">
        <v>189.26</v>
      </c>
      <c r="P1373" s="25">
        <v>219.2741</v>
      </c>
    </row>
    <row r="1374" spans="1:16" x14ac:dyDescent="0.25">
      <c r="A1374" s="26">
        <v>43181</v>
      </c>
      <c r="B1374" s="25" t="s">
        <v>288</v>
      </c>
      <c r="C1374" s="25" t="s">
        <v>17</v>
      </c>
      <c r="D1374" s="25">
        <v>50</v>
      </c>
      <c r="E1374" s="25">
        <v>271.7</v>
      </c>
      <c r="F1374" s="25">
        <v>13585</v>
      </c>
      <c r="G1374" s="25" t="s">
        <v>343</v>
      </c>
      <c r="H1374" s="25">
        <v>2018056</v>
      </c>
      <c r="I1374" s="25" t="s">
        <v>19</v>
      </c>
      <c r="J1374" s="25" t="s">
        <v>20</v>
      </c>
      <c r="K1374" s="25" t="s">
        <v>25</v>
      </c>
      <c r="L1374" s="25">
        <v>14</v>
      </c>
      <c r="M1374" s="25">
        <v>0.41</v>
      </c>
      <c r="N1374" s="25">
        <v>0.6</v>
      </c>
      <c r="O1374" s="25">
        <v>88.24</v>
      </c>
      <c r="P1374" s="25">
        <v>103.24760000000001</v>
      </c>
    </row>
    <row r="1375" spans="1:16" x14ac:dyDescent="0.25">
      <c r="A1375" s="26">
        <v>43178</v>
      </c>
      <c r="B1375" s="25" t="s">
        <v>26</v>
      </c>
      <c r="C1375" s="25" t="s">
        <v>23</v>
      </c>
      <c r="D1375" s="25">
        <v>200</v>
      </c>
      <c r="E1375" s="25">
        <v>102.05</v>
      </c>
      <c r="F1375" s="25">
        <v>20410</v>
      </c>
      <c r="G1375" s="25" t="s">
        <v>344</v>
      </c>
      <c r="H1375" s="25">
        <v>2018053</v>
      </c>
      <c r="I1375" s="25" t="s">
        <v>19</v>
      </c>
      <c r="J1375" s="25" t="s">
        <v>20</v>
      </c>
      <c r="K1375" s="25" t="s">
        <v>25</v>
      </c>
      <c r="L1375" s="25">
        <v>20.25</v>
      </c>
      <c r="M1375" s="25">
        <v>0.61</v>
      </c>
      <c r="N1375" s="25">
        <v>5.4</v>
      </c>
      <c r="O1375" s="25">
        <v>132.58000000000001</v>
      </c>
      <c r="P1375" s="25">
        <v>158.8425</v>
      </c>
    </row>
    <row r="1376" spans="1:16" x14ac:dyDescent="0.25">
      <c r="A1376" s="26">
        <v>43178</v>
      </c>
      <c r="B1376" s="25" t="s">
        <v>205</v>
      </c>
      <c r="C1376" s="25" t="s">
        <v>17</v>
      </c>
      <c r="D1376" s="25">
        <v>2500</v>
      </c>
      <c r="E1376" s="25">
        <v>61.5</v>
      </c>
      <c r="F1376" s="25">
        <v>153750</v>
      </c>
      <c r="G1376" s="25" t="s">
        <v>345</v>
      </c>
      <c r="H1376" s="25">
        <v>2018053</v>
      </c>
      <c r="I1376" s="25" t="s">
        <v>19</v>
      </c>
      <c r="J1376" s="25" t="s">
        <v>1634</v>
      </c>
      <c r="K1376" s="25" t="s">
        <v>25</v>
      </c>
      <c r="L1376" s="25">
        <v>153.75</v>
      </c>
      <c r="M1376" s="25">
        <v>4.6100000000000003</v>
      </c>
      <c r="N1376" s="25">
        <v>0</v>
      </c>
      <c r="O1376" s="25">
        <v>998.67</v>
      </c>
      <c r="P1376" s="25">
        <v>1157.0326</v>
      </c>
    </row>
    <row r="1377" spans="1:16" x14ac:dyDescent="0.25">
      <c r="A1377" s="26">
        <v>43174</v>
      </c>
      <c r="B1377" s="25" t="s">
        <v>128</v>
      </c>
      <c r="C1377" s="25" t="s">
        <v>17</v>
      </c>
      <c r="D1377" s="25">
        <v>700</v>
      </c>
      <c r="E1377" s="25">
        <v>405.52</v>
      </c>
      <c r="F1377" s="25">
        <v>283866.5</v>
      </c>
      <c r="G1377" s="25" t="s">
        <v>346</v>
      </c>
      <c r="H1377" s="25">
        <v>2018051</v>
      </c>
      <c r="I1377" s="25" t="s">
        <v>19</v>
      </c>
      <c r="J1377" s="25" t="s">
        <v>20</v>
      </c>
      <c r="K1377" s="25" t="s">
        <v>25</v>
      </c>
      <c r="L1377" s="25">
        <v>0</v>
      </c>
      <c r="M1377" s="25">
        <v>8.52</v>
      </c>
      <c r="N1377" s="25">
        <v>0</v>
      </c>
      <c r="O1377" s="25">
        <v>169.02</v>
      </c>
      <c r="P1377" s="25">
        <v>177.53579999999999</v>
      </c>
    </row>
    <row r="1378" spans="1:16" x14ac:dyDescent="0.25">
      <c r="A1378" s="26">
        <v>43174</v>
      </c>
      <c r="B1378" s="25" t="s">
        <v>128</v>
      </c>
      <c r="C1378" s="25" t="s">
        <v>23</v>
      </c>
      <c r="D1378" s="25">
        <v>700</v>
      </c>
      <c r="E1378" s="25">
        <v>405</v>
      </c>
      <c r="F1378" s="25">
        <v>283500</v>
      </c>
      <c r="G1378" s="25" t="s">
        <v>347</v>
      </c>
      <c r="H1378" s="25">
        <v>2018051</v>
      </c>
      <c r="I1378" s="25" t="s">
        <v>19</v>
      </c>
      <c r="J1378" s="25" t="s">
        <v>20</v>
      </c>
      <c r="K1378" s="25" t="s">
        <v>25</v>
      </c>
      <c r="L1378" s="25">
        <v>71</v>
      </c>
      <c r="M1378" s="25">
        <v>8.49</v>
      </c>
      <c r="N1378" s="25">
        <v>17.100000000000001</v>
      </c>
      <c r="O1378" s="25">
        <v>168.44</v>
      </c>
      <c r="P1378" s="25">
        <v>265.03190000000001</v>
      </c>
    </row>
    <row r="1379" spans="1:16" x14ac:dyDescent="0.25">
      <c r="A1379" s="26">
        <v>43173</v>
      </c>
      <c r="B1379" s="25" t="s">
        <v>282</v>
      </c>
      <c r="C1379" s="25" t="s">
        <v>17</v>
      </c>
      <c r="D1379" s="25">
        <v>500</v>
      </c>
      <c r="E1379" s="25">
        <v>610</v>
      </c>
      <c r="F1379" s="25">
        <v>305000</v>
      </c>
      <c r="G1379" s="25" t="s">
        <v>348</v>
      </c>
      <c r="H1379" s="25">
        <v>2018050</v>
      </c>
      <c r="I1379" s="25" t="s">
        <v>19</v>
      </c>
      <c r="J1379" s="25" t="s">
        <v>20</v>
      </c>
      <c r="K1379" s="25" t="s">
        <v>25</v>
      </c>
      <c r="L1379" s="25">
        <v>0</v>
      </c>
      <c r="M1379" s="25">
        <v>9.15</v>
      </c>
      <c r="N1379" s="25">
        <v>18.3</v>
      </c>
      <c r="O1379" s="25">
        <v>181.6</v>
      </c>
      <c r="P1379" s="25">
        <v>209.05</v>
      </c>
    </row>
    <row r="1380" spans="1:16" x14ac:dyDescent="0.25">
      <c r="A1380" s="26">
        <v>43173</v>
      </c>
      <c r="B1380" s="25" t="s">
        <v>282</v>
      </c>
      <c r="C1380" s="25" t="s">
        <v>23</v>
      </c>
      <c r="D1380" s="25">
        <v>500</v>
      </c>
      <c r="E1380" s="25">
        <v>606</v>
      </c>
      <c r="F1380" s="25">
        <v>303000</v>
      </c>
      <c r="G1380" s="25" t="s">
        <v>349</v>
      </c>
      <c r="H1380" s="25">
        <v>2018050</v>
      </c>
      <c r="I1380" s="25" t="s">
        <v>19</v>
      </c>
      <c r="J1380" s="25" t="s">
        <v>20</v>
      </c>
      <c r="K1380" s="25" t="s">
        <v>25</v>
      </c>
      <c r="L1380" s="25">
        <v>76</v>
      </c>
      <c r="M1380" s="25">
        <v>9.09</v>
      </c>
      <c r="N1380" s="25">
        <v>0</v>
      </c>
      <c r="O1380" s="25">
        <v>180.41</v>
      </c>
      <c r="P1380" s="25">
        <v>265.5</v>
      </c>
    </row>
    <row r="1381" spans="1:16" x14ac:dyDescent="0.25">
      <c r="A1381" s="26">
        <v>43172</v>
      </c>
      <c r="B1381" s="25" t="s">
        <v>282</v>
      </c>
      <c r="C1381" s="25" t="s">
        <v>17</v>
      </c>
      <c r="D1381" s="25">
        <v>100</v>
      </c>
      <c r="E1381" s="25">
        <v>608</v>
      </c>
      <c r="F1381" s="25">
        <v>60799.5</v>
      </c>
      <c r="G1381" s="25" t="s">
        <v>350</v>
      </c>
      <c r="H1381" s="25">
        <v>2018049</v>
      </c>
      <c r="I1381" s="25" t="s">
        <v>19</v>
      </c>
      <c r="J1381" s="25" t="s">
        <v>20</v>
      </c>
      <c r="K1381" s="25" t="s">
        <v>25</v>
      </c>
      <c r="L1381" s="25">
        <v>0</v>
      </c>
      <c r="M1381" s="25">
        <v>1.82</v>
      </c>
      <c r="N1381" s="25">
        <v>0</v>
      </c>
      <c r="O1381" s="25">
        <v>36.200000000000003</v>
      </c>
      <c r="P1381" s="25">
        <v>38.024000000000001</v>
      </c>
    </row>
    <row r="1382" spans="1:16" x14ac:dyDescent="0.25">
      <c r="A1382" s="26">
        <v>43172</v>
      </c>
      <c r="B1382" s="25" t="s">
        <v>282</v>
      </c>
      <c r="C1382" s="25" t="s">
        <v>23</v>
      </c>
      <c r="D1382" s="25">
        <v>100</v>
      </c>
      <c r="E1382" s="25">
        <v>603.29999999999995</v>
      </c>
      <c r="F1382" s="25">
        <v>60330</v>
      </c>
      <c r="G1382" s="25" t="s">
        <v>351</v>
      </c>
      <c r="H1382" s="25">
        <v>2018049</v>
      </c>
      <c r="I1382" s="25" t="s">
        <v>19</v>
      </c>
      <c r="J1382" s="25" t="s">
        <v>20</v>
      </c>
      <c r="K1382" s="25" t="s">
        <v>25</v>
      </c>
      <c r="L1382" s="25">
        <v>15</v>
      </c>
      <c r="M1382" s="25">
        <v>1.81</v>
      </c>
      <c r="N1382" s="25">
        <v>3.9</v>
      </c>
      <c r="O1382" s="25">
        <v>35.93</v>
      </c>
      <c r="P1382" s="25">
        <v>56.639899999999997</v>
      </c>
    </row>
    <row r="1383" spans="1:16" x14ac:dyDescent="0.25">
      <c r="A1383" s="26">
        <v>43171</v>
      </c>
      <c r="B1383" s="25" t="s">
        <v>282</v>
      </c>
      <c r="C1383" s="25" t="s">
        <v>17</v>
      </c>
      <c r="D1383" s="25">
        <v>500</v>
      </c>
      <c r="E1383" s="25">
        <v>590</v>
      </c>
      <c r="F1383" s="25">
        <v>295000</v>
      </c>
      <c r="G1383" s="25" t="s">
        <v>339</v>
      </c>
      <c r="H1383" s="25">
        <v>2018048</v>
      </c>
      <c r="I1383" s="25" t="s">
        <v>19</v>
      </c>
      <c r="J1383" s="25" t="s">
        <v>20</v>
      </c>
      <c r="K1383" s="25" t="s">
        <v>25</v>
      </c>
      <c r="L1383" s="25">
        <v>0</v>
      </c>
      <c r="M1383" s="25">
        <v>8.85</v>
      </c>
      <c r="N1383" s="25">
        <v>0</v>
      </c>
      <c r="O1383" s="25">
        <v>175.65</v>
      </c>
      <c r="P1383" s="25">
        <v>184.5</v>
      </c>
    </row>
    <row r="1384" spans="1:16" x14ac:dyDescent="0.25">
      <c r="A1384" s="26">
        <v>43171</v>
      </c>
      <c r="B1384" s="25" t="s">
        <v>282</v>
      </c>
      <c r="C1384" s="25" t="s">
        <v>23</v>
      </c>
      <c r="D1384" s="25">
        <v>500</v>
      </c>
      <c r="E1384" s="25">
        <v>591.5</v>
      </c>
      <c r="F1384" s="25">
        <v>295750</v>
      </c>
      <c r="G1384" s="25" t="s">
        <v>340</v>
      </c>
      <c r="H1384" s="25">
        <v>2018048</v>
      </c>
      <c r="I1384" s="25" t="s">
        <v>19</v>
      </c>
      <c r="J1384" s="25" t="s">
        <v>20</v>
      </c>
      <c r="K1384" s="25" t="s">
        <v>25</v>
      </c>
      <c r="L1384" s="25">
        <v>74</v>
      </c>
      <c r="M1384" s="25">
        <v>8.8699999999999992</v>
      </c>
      <c r="N1384" s="25">
        <v>18</v>
      </c>
      <c r="O1384" s="25">
        <v>176.09</v>
      </c>
      <c r="P1384" s="25">
        <v>276.96249999999998</v>
      </c>
    </row>
    <row r="1385" spans="1:16" x14ac:dyDescent="0.25">
      <c r="A1385" s="26">
        <v>43167</v>
      </c>
      <c r="B1385" s="25" t="s">
        <v>279</v>
      </c>
      <c r="C1385" s="25" t="s">
        <v>17</v>
      </c>
      <c r="D1385" s="25">
        <v>500</v>
      </c>
      <c r="E1385" s="25">
        <v>506</v>
      </c>
      <c r="F1385" s="25">
        <v>253000</v>
      </c>
      <c r="G1385" s="25" t="s">
        <v>334</v>
      </c>
      <c r="H1385" s="25">
        <v>2018046</v>
      </c>
      <c r="I1385" s="25" t="s">
        <v>19</v>
      </c>
      <c r="J1385" s="25" t="s">
        <v>20</v>
      </c>
      <c r="K1385" s="25" t="s">
        <v>25</v>
      </c>
      <c r="L1385" s="25">
        <v>0</v>
      </c>
      <c r="M1385" s="25">
        <v>7.59</v>
      </c>
      <c r="N1385" s="25">
        <v>0</v>
      </c>
      <c r="O1385" s="25">
        <v>150.63999999999999</v>
      </c>
      <c r="P1385" s="25">
        <v>158.22999999999999</v>
      </c>
    </row>
    <row r="1386" spans="1:16" x14ac:dyDescent="0.25">
      <c r="A1386" s="26">
        <v>43167</v>
      </c>
      <c r="B1386" s="25" t="s">
        <v>279</v>
      </c>
      <c r="C1386" s="25" t="s">
        <v>23</v>
      </c>
      <c r="D1386" s="25">
        <v>500</v>
      </c>
      <c r="E1386" s="25">
        <v>509</v>
      </c>
      <c r="F1386" s="25">
        <v>254500</v>
      </c>
      <c r="G1386" s="25" t="s">
        <v>335</v>
      </c>
      <c r="H1386" s="25">
        <v>2018046</v>
      </c>
      <c r="I1386" s="25" t="s">
        <v>19</v>
      </c>
      <c r="J1386" s="25" t="s">
        <v>20</v>
      </c>
      <c r="K1386" s="25" t="s">
        <v>25</v>
      </c>
      <c r="L1386" s="25">
        <v>63.03</v>
      </c>
      <c r="M1386" s="25">
        <v>7.64</v>
      </c>
      <c r="N1386" s="25">
        <v>15.6</v>
      </c>
      <c r="O1386" s="25">
        <v>151.53</v>
      </c>
      <c r="P1386" s="25">
        <v>237.79509999999999</v>
      </c>
    </row>
    <row r="1387" spans="1:16" x14ac:dyDescent="0.25">
      <c r="A1387" s="26">
        <v>43167</v>
      </c>
      <c r="B1387" s="25" t="s">
        <v>324</v>
      </c>
      <c r="C1387" s="25" t="s">
        <v>17</v>
      </c>
      <c r="D1387" s="25">
        <v>10</v>
      </c>
      <c r="E1387" s="25">
        <v>796.7</v>
      </c>
      <c r="F1387" s="25">
        <v>7967</v>
      </c>
      <c r="G1387" s="25" t="s">
        <v>336</v>
      </c>
      <c r="H1387" s="25">
        <v>2018046</v>
      </c>
      <c r="I1387" s="25" t="s">
        <v>19</v>
      </c>
      <c r="J1387" s="25" t="s">
        <v>20</v>
      </c>
      <c r="K1387" s="25" t="s">
        <v>25</v>
      </c>
      <c r="L1387" s="25">
        <v>7.97</v>
      </c>
      <c r="M1387" s="25">
        <v>0.24</v>
      </c>
      <c r="N1387" s="25">
        <v>0</v>
      </c>
      <c r="O1387" s="25">
        <v>51.74</v>
      </c>
      <c r="P1387" s="25">
        <v>59.948999999999998</v>
      </c>
    </row>
    <row r="1388" spans="1:16" x14ac:dyDescent="0.25">
      <c r="A1388" s="26">
        <v>43166</v>
      </c>
      <c r="B1388" s="25" t="s">
        <v>51</v>
      </c>
      <c r="C1388" s="25" t="s">
        <v>23</v>
      </c>
      <c r="D1388" s="25">
        <v>200</v>
      </c>
      <c r="E1388" s="25">
        <v>305.08</v>
      </c>
      <c r="F1388" s="25">
        <v>61016</v>
      </c>
      <c r="G1388" s="25" t="s">
        <v>337</v>
      </c>
      <c r="H1388" s="25">
        <v>201718233</v>
      </c>
      <c r="I1388" s="25" t="s">
        <v>19</v>
      </c>
      <c r="J1388" s="25" t="s">
        <v>20</v>
      </c>
      <c r="K1388" s="25" t="s">
        <v>21</v>
      </c>
      <c r="L1388" s="25">
        <v>61</v>
      </c>
      <c r="M1388" s="25">
        <v>1.31</v>
      </c>
      <c r="N1388" s="25">
        <v>2.1</v>
      </c>
      <c r="O1388" s="25">
        <v>396.23</v>
      </c>
      <c r="P1388" s="25">
        <v>460.64159999999998</v>
      </c>
    </row>
    <row r="1389" spans="1:16" x14ac:dyDescent="0.25">
      <c r="A1389" s="26">
        <v>43166</v>
      </c>
      <c r="B1389" s="25" t="s">
        <v>282</v>
      </c>
      <c r="C1389" s="25" t="s">
        <v>17</v>
      </c>
      <c r="D1389" s="25">
        <v>100</v>
      </c>
      <c r="E1389" s="25">
        <v>603</v>
      </c>
      <c r="F1389" s="25">
        <v>60300</v>
      </c>
      <c r="G1389" s="25" t="s">
        <v>338</v>
      </c>
      <c r="H1389" s="25">
        <v>2018045</v>
      </c>
      <c r="I1389" s="25" t="s">
        <v>19</v>
      </c>
      <c r="J1389" s="25" t="s">
        <v>1634</v>
      </c>
      <c r="K1389" s="25" t="s">
        <v>25</v>
      </c>
      <c r="L1389" s="25">
        <v>60</v>
      </c>
      <c r="M1389" s="25">
        <v>1.81</v>
      </c>
      <c r="N1389" s="25">
        <v>2.1</v>
      </c>
      <c r="O1389" s="25">
        <v>391.67</v>
      </c>
      <c r="P1389" s="25">
        <v>455.57909999999998</v>
      </c>
    </row>
    <row r="1390" spans="1:16" x14ac:dyDescent="0.25">
      <c r="A1390" s="26">
        <v>43160</v>
      </c>
      <c r="B1390" s="25" t="s">
        <v>321</v>
      </c>
      <c r="C1390" s="25" t="s">
        <v>17</v>
      </c>
      <c r="D1390" s="25">
        <v>1000</v>
      </c>
      <c r="E1390" s="25">
        <v>380.25</v>
      </c>
      <c r="F1390" s="25">
        <v>380250</v>
      </c>
      <c r="G1390" s="25" t="s">
        <v>322</v>
      </c>
      <c r="H1390" s="25">
        <v>2018042</v>
      </c>
      <c r="I1390" s="25" t="s">
        <v>19</v>
      </c>
      <c r="J1390" s="25" t="s">
        <v>20</v>
      </c>
      <c r="K1390" s="25" t="s">
        <v>25</v>
      </c>
      <c r="L1390" s="25">
        <v>0</v>
      </c>
      <c r="M1390" s="25">
        <v>11.41</v>
      </c>
      <c r="N1390" s="25">
        <v>0</v>
      </c>
      <c r="O1390" s="25">
        <v>226.4</v>
      </c>
      <c r="P1390" s="25">
        <v>237.8075</v>
      </c>
    </row>
    <row r="1391" spans="1:16" x14ac:dyDescent="0.25">
      <c r="A1391" s="26">
        <v>43160</v>
      </c>
      <c r="B1391" s="25" t="s">
        <v>321</v>
      </c>
      <c r="C1391" s="25" t="s">
        <v>23</v>
      </c>
      <c r="D1391" s="25">
        <v>1000</v>
      </c>
      <c r="E1391" s="25">
        <v>377.5</v>
      </c>
      <c r="F1391" s="25">
        <v>377500</v>
      </c>
      <c r="G1391" s="25" t="s">
        <v>323</v>
      </c>
      <c r="H1391" s="25">
        <v>2018042</v>
      </c>
      <c r="I1391" s="25" t="s">
        <v>19</v>
      </c>
      <c r="J1391" s="25" t="s">
        <v>20</v>
      </c>
      <c r="K1391" s="25" t="s">
        <v>25</v>
      </c>
      <c r="L1391" s="25">
        <v>95</v>
      </c>
      <c r="M1391" s="25">
        <v>11.33</v>
      </c>
      <c r="N1391" s="25">
        <v>22.8</v>
      </c>
      <c r="O1391" s="25">
        <v>224.77</v>
      </c>
      <c r="P1391" s="25">
        <v>353.89499999999998</v>
      </c>
    </row>
    <row r="1392" spans="1:16" x14ac:dyDescent="0.25">
      <c r="A1392" s="26">
        <v>43154</v>
      </c>
      <c r="B1392" s="25" t="s">
        <v>324</v>
      </c>
      <c r="C1392" s="25" t="s">
        <v>17</v>
      </c>
      <c r="D1392" s="25">
        <v>10</v>
      </c>
      <c r="E1392" s="25">
        <v>896.8</v>
      </c>
      <c r="F1392" s="25">
        <v>8968</v>
      </c>
      <c r="G1392" s="25" t="s">
        <v>325</v>
      </c>
      <c r="H1392" s="25">
        <v>2018038</v>
      </c>
      <c r="I1392" s="25" t="s">
        <v>19</v>
      </c>
      <c r="J1392" s="25" t="s">
        <v>20</v>
      </c>
      <c r="K1392" s="25" t="s">
        <v>25</v>
      </c>
      <c r="L1392" s="25">
        <v>9</v>
      </c>
      <c r="M1392" s="25">
        <v>0.27</v>
      </c>
      <c r="N1392" s="25">
        <v>0.3</v>
      </c>
      <c r="O1392" s="25">
        <v>58.25</v>
      </c>
      <c r="P1392" s="25">
        <v>67.819100000000006</v>
      </c>
    </row>
    <row r="1393" spans="1:16" x14ac:dyDescent="0.25">
      <c r="A1393" s="26">
        <v>43153</v>
      </c>
      <c r="B1393" s="25" t="s">
        <v>296</v>
      </c>
      <c r="C1393" s="25" t="s">
        <v>17</v>
      </c>
      <c r="D1393" s="25">
        <v>250</v>
      </c>
      <c r="E1393" s="25">
        <v>49</v>
      </c>
      <c r="F1393" s="25">
        <v>12250</v>
      </c>
      <c r="G1393" s="25" t="s">
        <v>326</v>
      </c>
      <c r="H1393" s="25">
        <v>2018037</v>
      </c>
      <c r="I1393" s="25" t="s">
        <v>19</v>
      </c>
      <c r="J1393" s="25" t="s">
        <v>20</v>
      </c>
      <c r="K1393" s="25" t="s">
        <v>25</v>
      </c>
      <c r="L1393" s="25">
        <v>12</v>
      </c>
      <c r="M1393" s="25">
        <v>0.37</v>
      </c>
      <c r="N1393" s="25">
        <v>0.6</v>
      </c>
      <c r="O1393" s="25">
        <v>79.569999999999993</v>
      </c>
      <c r="P1393" s="25">
        <v>92.537499999999994</v>
      </c>
    </row>
    <row r="1394" spans="1:16" x14ac:dyDescent="0.25">
      <c r="A1394" s="26">
        <v>43152</v>
      </c>
      <c r="B1394" s="25" t="s">
        <v>288</v>
      </c>
      <c r="C1394" s="25" t="s">
        <v>17</v>
      </c>
      <c r="D1394" s="25">
        <v>50</v>
      </c>
      <c r="E1394" s="25">
        <v>210.15</v>
      </c>
      <c r="F1394" s="25">
        <v>10507.5</v>
      </c>
      <c r="G1394" s="25" t="s">
        <v>327</v>
      </c>
      <c r="H1394" s="25">
        <v>2018036</v>
      </c>
      <c r="I1394" s="25" t="s">
        <v>19</v>
      </c>
      <c r="J1394" s="25" t="s">
        <v>20</v>
      </c>
      <c r="K1394" s="25" t="s">
        <v>25</v>
      </c>
      <c r="L1394" s="25">
        <v>10.51</v>
      </c>
      <c r="M1394" s="25">
        <v>0.32</v>
      </c>
      <c r="N1394" s="25">
        <v>0</v>
      </c>
      <c r="O1394" s="25">
        <v>68.25</v>
      </c>
      <c r="P1394" s="25">
        <v>79.075299999999999</v>
      </c>
    </row>
    <row r="1395" spans="1:16" x14ac:dyDescent="0.25">
      <c r="A1395" s="26">
        <v>43152</v>
      </c>
      <c r="B1395" s="25" t="s">
        <v>282</v>
      </c>
      <c r="C1395" s="25" t="s">
        <v>17</v>
      </c>
      <c r="D1395" s="25">
        <v>500</v>
      </c>
      <c r="E1395" s="25">
        <v>580.4</v>
      </c>
      <c r="F1395" s="25">
        <v>290200</v>
      </c>
      <c r="G1395" s="25" t="s">
        <v>328</v>
      </c>
      <c r="H1395" s="25">
        <v>2018036</v>
      </c>
      <c r="I1395" s="25" t="s">
        <v>19</v>
      </c>
      <c r="J1395" s="25" t="s">
        <v>20</v>
      </c>
      <c r="K1395" s="25" t="s">
        <v>25</v>
      </c>
      <c r="L1395" s="25">
        <v>0</v>
      </c>
      <c r="M1395" s="25">
        <v>8.7100000000000009</v>
      </c>
      <c r="N1395" s="25">
        <v>17.7</v>
      </c>
      <c r="O1395" s="25">
        <v>172.78</v>
      </c>
      <c r="P1395" s="25">
        <v>199.18600000000001</v>
      </c>
    </row>
    <row r="1396" spans="1:16" x14ac:dyDescent="0.25">
      <c r="A1396" s="26">
        <v>43152</v>
      </c>
      <c r="B1396" s="25" t="s">
        <v>282</v>
      </c>
      <c r="C1396" s="25" t="s">
        <v>23</v>
      </c>
      <c r="D1396" s="25">
        <v>500</v>
      </c>
      <c r="E1396" s="25">
        <v>577.52</v>
      </c>
      <c r="F1396" s="25">
        <v>288760.59999999998</v>
      </c>
      <c r="G1396" s="25" t="s">
        <v>329</v>
      </c>
      <c r="H1396" s="25">
        <v>2018036</v>
      </c>
      <c r="I1396" s="25" t="s">
        <v>19</v>
      </c>
      <c r="J1396" s="25" t="s">
        <v>20</v>
      </c>
      <c r="K1396" s="25" t="s">
        <v>25</v>
      </c>
      <c r="L1396" s="25">
        <v>72.489999999999995</v>
      </c>
      <c r="M1396" s="25">
        <v>8.66</v>
      </c>
      <c r="N1396" s="25">
        <v>0</v>
      </c>
      <c r="O1396" s="25">
        <v>171.93</v>
      </c>
      <c r="P1396" s="25">
        <v>253.08279999999999</v>
      </c>
    </row>
    <row r="1397" spans="1:16" x14ac:dyDescent="0.25">
      <c r="A1397" s="26">
        <v>43151</v>
      </c>
      <c r="B1397" s="25" t="s">
        <v>282</v>
      </c>
      <c r="C1397" s="25" t="s">
        <v>17</v>
      </c>
      <c r="D1397" s="25">
        <v>500</v>
      </c>
      <c r="E1397" s="25">
        <v>585</v>
      </c>
      <c r="F1397" s="25">
        <v>292500</v>
      </c>
      <c r="G1397" s="25" t="s">
        <v>330</v>
      </c>
      <c r="H1397" s="25">
        <v>2018035</v>
      </c>
      <c r="I1397" s="25" t="s">
        <v>19</v>
      </c>
      <c r="J1397" s="25" t="s">
        <v>20</v>
      </c>
      <c r="K1397" s="25" t="s">
        <v>25</v>
      </c>
      <c r="L1397" s="25">
        <v>0</v>
      </c>
      <c r="M1397" s="25">
        <v>8.7799999999999994</v>
      </c>
      <c r="N1397" s="25">
        <v>35.1</v>
      </c>
      <c r="O1397" s="25">
        <v>174.15</v>
      </c>
      <c r="P1397" s="25">
        <v>218.02510000000001</v>
      </c>
    </row>
    <row r="1398" spans="1:16" x14ac:dyDescent="0.25">
      <c r="A1398" s="26">
        <v>43151</v>
      </c>
      <c r="B1398" s="25" t="s">
        <v>282</v>
      </c>
      <c r="C1398" s="25" t="s">
        <v>23</v>
      </c>
      <c r="D1398" s="25">
        <v>500</v>
      </c>
      <c r="E1398" s="25">
        <v>580</v>
      </c>
      <c r="F1398" s="25">
        <v>290000</v>
      </c>
      <c r="G1398" s="25" t="s">
        <v>331</v>
      </c>
      <c r="H1398" s="25">
        <v>2018035</v>
      </c>
      <c r="I1398" s="25" t="s">
        <v>19</v>
      </c>
      <c r="J1398" s="25" t="s">
        <v>20</v>
      </c>
      <c r="K1398" s="25" t="s">
        <v>25</v>
      </c>
      <c r="L1398" s="25">
        <v>72.650000000000006</v>
      </c>
      <c r="M1398" s="25">
        <v>8.6999999999999993</v>
      </c>
      <c r="N1398" s="25">
        <v>0</v>
      </c>
      <c r="O1398" s="25">
        <v>172.67</v>
      </c>
      <c r="P1398" s="25">
        <v>254.02</v>
      </c>
    </row>
    <row r="1399" spans="1:16" x14ac:dyDescent="0.25">
      <c r="A1399" s="26">
        <v>43151</v>
      </c>
      <c r="B1399" s="25" t="s">
        <v>282</v>
      </c>
      <c r="C1399" s="25" t="s">
        <v>17</v>
      </c>
      <c r="D1399" s="25">
        <v>500</v>
      </c>
      <c r="E1399" s="25">
        <v>582.78</v>
      </c>
      <c r="F1399" s="25">
        <v>291390.3</v>
      </c>
      <c r="G1399" s="25" t="s">
        <v>332</v>
      </c>
      <c r="H1399" s="25">
        <v>2018035</v>
      </c>
      <c r="I1399" s="25" t="s">
        <v>19</v>
      </c>
      <c r="J1399" s="25" t="s">
        <v>20</v>
      </c>
      <c r="K1399" s="25" t="s">
        <v>25</v>
      </c>
      <c r="L1399" s="25">
        <v>0</v>
      </c>
      <c r="M1399" s="25">
        <v>8.74</v>
      </c>
      <c r="N1399" s="25">
        <v>0</v>
      </c>
      <c r="O1399" s="25">
        <v>173.49</v>
      </c>
      <c r="P1399" s="25">
        <v>182.23169999999999</v>
      </c>
    </row>
    <row r="1400" spans="1:16" x14ac:dyDescent="0.25">
      <c r="A1400" s="26">
        <v>43151</v>
      </c>
      <c r="B1400" s="25" t="s">
        <v>282</v>
      </c>
      <c r="C1400" s="25" t="s">
        <v>23</v>
      </c>
      <c r="D1400" s="25">
        <v>500</v>
      </c>
      <c r="E1400" s="25">
        <v>577.02</v>
      </c>
      <c r="F1400" s="25">
        <v>288511.3</v>
      </c>
      <c r="G1400" s="25" t="s">
        <v>333</v>
      </c>
      <c r="H1400" s="25">
        <v>2018035</v>
      </c>
      <c r="I1400" s="25" t="s">
        <v>19</v>
      </c>
      <c r="J1400" s="25" t="s">
        <v>20</v>
      </c>
      <c r="K1400" s="25" t="s">
        <v>25</v>
      </c>
      <c r="L1400" s="25">
        <v>72.349999999999994</v>
      </c>
      <c r="M1400" s="25">
        <v>8.66</v>
      </c>
      <c r="N1400" s="25">
        <v>0</v>
      </c>
      <c r="O1400" s="25">
        <v>171.77</v>
      </c>
      <c r="P1400" s="25">
        <v>252.7757</v>
      </c>
    </row>
    <row r="1401" spans="1:16" x14ac:dyDescent="0.25">
      <c r="A1401" s="26">
        <v>43147</v>
      </c>
      <c r="B1401" s="25" t="s">
        <v>282</v>
      </c>
      <c r="C1401" s="25" t="s">
        <v>17</v>
      </c>
      <c r="D1401" s="25">
        <v>500</v>
      </c>
      <c r="E1401" s="25">
        <v>607.96</v>
      </c>
      <c r="F1401" s="25">
        <v>303981.8</v>
      </c>
      <c r="G1401" s="25" t="s">
        <v>315</v>
      </c>
      <c r="H1401" s="25">
        <v>2018033</v>
      </c>
      <c r="I1401" s="25" t="s">
        <v>19</v>
      </c>
      <c r="J1401" s="25" t="s">
        <v>20</v>
      </c>
      <c r="K1401" s="25" t="s">
        <v>25</v>
      </c>
      <c r="L1401" s="25">
        <v>0</v>
      </c>
      <c r="M1401" s="25">
        <v>9.1199999999999992</v>
      </c>
      <c r="N1401" s="25">
        <v>0</v>
      </c>
      <c r="O1401" s="25">
        <v>180.98</v>
      </c>
      <c r="P1401" s="25">
        <v>190.0994</v>
      </c>
    </row>
    <row r="1402" spans="1:16" x14ac:dyDescent="0.25">
      <c r="A1402" s="26">
        <v>43147</v>
      </c>
      <c r="B1402" s="25" t="s">
        <v>282</v>
      </c>
      <c r="C1402" s="25" t="s">
        <v>23</v>
      </c>
      <c r="D1402" s="25">
        <v>500</v>
      </c>
      <c r="E1402" s="25">
        <v>611</v>
      </c>
      <c r="F1402" s="25">
        <v>305500</v>
      </c>
      <c r="G1402" s="25" t="s">
        <v>316</v>
      </c>
      <c r="H1402" s="25">
        <v>2018033</v>
      </c>
      <c r="I1402" s="25" t="s">
        <v>19</v>
      </c>
      <c r="J1402" s="25" t="s">
        <v>20</v>
      </c>
      <c r="K1402" s="25" t="s">
        <v>25</v>
      </c>
      <c r="L1402" s="25">
        <v>76.709999999999994</v>
      </c>
      <c r="M1402" s="25">
        <v>9.17</v>
      </c>
      <c r="N1402" s="25">
        <v>64.5</v>
      </c>
      <c r="O1402" s="25">
        <v>181.89</v>
      </c>
      <c r="P1402" s="25">
        <v>332.26499999999999</v>
      </c>
    </row>
    <row r="1403" spans="1:16" x14ac:dyDescent="0.25">
      <c r="A1403" s="26">
        <v>43147</v>
      </c>
      <c r="B1403" s="25" t="s">
        <v>282</v>
      </c>
      <c r="C1403" s="25" t="s">
        <v>17</v>
      </c>
      <c r="D1403" s="25">
        <v>500</v>
      </c>
      <c r="E1403" s="25">
        <v>611.75</v>
      </c>
      <c r="F1403" s="25">
        <v>305875</v>
      </c>
      <c r="G1403" s="25" t="s">
        <v>317</v>
      </c>
      <c r="H1403" s="25">
        <v>2018033</v>
      </c>
      <c r="I1403" s="25" t="s">
        <v>19</v>
      </c>
      <c r="J1403" s="25" t="s">
        <v>20</v>
      </c>
      <c r="K1403" s="25" t="s">
        <v>25</v>
      </c>
      <c r="L1403" s="25">
        <v>0</v>
      </c>
      <c r="M1403" s="25">
        <v>9.18</v>
      </c>
      <c r="N1403" s="25">
        <v>0</v>
      </c>
      <c r="O1403" s="25">
        <v>182.12</v>
      </c>
      <c r="P1403" s="25">
        <v>191.2962</v>
      </c>
    </row>
    <row r="1404" spans="1:16" x14ac:dyDescent="0.25">
      <c r="A1404" s="26">
        <v>43147</v>
      </c>
      <c r="B1404" s="25" t="s">
        <v>282</v>
      </c>
      <c r="C1404" s="25" t="s">
        <v>23</v>
      </c>
      <c r="D1404" s="25">
        <v>500</v>
      </c>
      <c r="E1404" s="25">
        <v>614</v>
      </c>
      <c r="F1404" s="25">
        <v>307000</v>
      </c>
      <c r="G1404" s="25" t="s">
        <v>318</v>
      </c>
      <c r="H1404" s="25">
        <v>2018033</v>
      </c>
      <c r="I1404" s="25" t="s">
        <v>19</v>
      </c>
      <c r="J1404" s="25" t="s">
        <v>20</v>
      </c>
      <c r="K1404" s="25" t="s">
        <v>25</v>
      </c>
      <c r="L1404" s="25">
        <v>76.510000000000005</v>
      </c>
      <c r="M1404" s="25">
        <v>9.2100000000000009</v>
      </c>
      <c r="N1404" s="25">
        <v>0</v>
      </c>
      <c r="O1404" s="25">
        <v>182.82</v>
      </c>
      <c r="P1404" s="25">
        <v>268.53980000000001</v>
      </c>
    </row>
    <row r="1405" spans="1:16" x14ac:dyDescent="0.25">
      <c r="A1405" s="26">
        <v>43147</v>
      </c>
      <c r="B1405" s="25" t="s">
        <v>282</v>
      </c>
      <c r="C1405" s="25" t="s">
        <v>17</v>
      </c>
      <c r="D1405" s="25">
        <v>750</v>
      </c>
      <c r="E1405" s="25">
        <v>612.75</v>
      </c>
      <c r="F1405" s="25">
        <v>459562.5</v>
      </c>
      <c r="G1405" s="25" t="s">
        <v>319</v>
      </c>
      <c r="H1405" s="25">
        <v>2018033</v>
      </c>
      <c r="I1405" s="25" t="s">
        <v>19</v>
      </c>
      <c r="J1405" s="25" t="s">
        <v>20</v>
      </c>
      <c r="K1405" s="25" t="s">
        <v>25</v>
      </c>
      <c r="L1405" s="25">
        <v>0</v>
      </c>
      <c r="M1405" s="25">
        <v>13.79</v>
      </c>
      <c r="N1405" s="25">
        <v>0</v>
      </c>
      <c r="O1405" s="25">
        <v>273.62</v>
      </c>
      <c r="P1405" s="25">
        <v>287.40690000000001</v>
      </c>
    </row>
    <row r="1406" spans="1:16" x14ac:dyDescent="0.25">
      <c r="A1406" s="26">
        <v>43147</v>
      </c>
      <c r="B1406" s="25" t="s">
        <v>282</v>
      </c>
      <c r="C1406" s="25" t="s">
        <v>23</v>
      </c>
      <c r="D1406" s="25">
        <v>750</v>
      </c>
      <c r="E1406" s="25">
        <v>614</v>
      </c>
      <c r="F1406" s="25">
        <v>460500</v>
      </c>
      <c r="G1406" s="25" t="s">
        <v>320</v>
      </c>
      <c r="H1406" s="25">
        <v>2018033</v>
      </c>
      <c r="I1406" s="25" t="s">
        <v>19</v>
      </c>
      <c r="J1406" s="25" t="s">
        <v>20</v>
      </c>
      <c r="K1406" s="25" t="s">
        <v>25</v>
      </c>
      <c r="L1406" s="25">
        <v>114.77</v>
      </c>
      <c r="M1406" s="25">
        <v>13.82</v>
      </c>
      <c r="N1406" s="25">
        <v>0</v>
      </c>
      <c r="O1406" s="25">
        <v>274.18</v>
      </c>
      <c r="P1406" s="25">
        <v>402.76510000000002</v>
      </c>
    </row>
    <row r="1407" spans="1:16" x14ac:dyDescent="0.25">
      <c r="A1407" s="26">
        <v>43146</v>
      </c>
      <c r="B1407" s="25" t="s">
        <v>128</v>
      </c>
      <c r="C1407" s="25" t="s">
        <v>17</v>
      </c>
      <c r="D1407" s="25">
        <v>500</v>
      </c>
      <c r="E1407" s="25">
        <v>415.67</v>
      </c>
      <c r="F1407" s="25">
        <v>207836.4</v>
      </c>
      <c r="G1407" s="25" t="s">
        <v>311</v>
      </c>
      <c r="H1407" s="25">
        <v>2018032</v>
      </c>
      <c r="I1407" s="25" t="s">
        <v>19</v>
      </c>
      <c r="J1407" s="25" t="s">
        <v>20</v>
      </c>
      <c r="K1407" s="25" t="s">
        <v>25</v>
      </c>
      <c r="L1407" s="25">
        <v>0</v>
      </c>
      <c r="M1407" s="25">
        <v>6.24</v>
      </c>
      <c r="N1407" s="25">
        <v>0</v>
      </c>
      <c r="O1407" s="25">
        <v>123.75</v>
      </c>
      <c r="P1407" s="25">
        <v>129.98519999999999</v>
      </c>
    </row>
    <row r="1408" spans="1:16" x14ac:dyDescent="0.25">
      <c r="A1408" s="26">
        <v>43146</v>
      </c>
      <c r="B1408" s="25" t="s">
        <v>128</v>
      </c>
      <c r="C1408" s="25" t="s">
        <v>23</v>
      </c>
      <c r="D1408" s="25">
        <v>500</v>
      </c>
      <c r="E1408" s="25">
        <v>412</v>
      </c>
      <c r="F1408" s="25">
        <v>206000</v>
      </c>
      <c r="G1408" s="25" t="s">
        <v>312</v>
      </c>
      <c r="H1408" s="25">
        <v>2018032</v>
      </c>
      <c r="I1408" s="25" t="s">
        <v>19</v>
      </c>
      <c r="J1408" s="25" t="s">
        <v>20</v>
      </c>
      <c r="K1408" s="25" t="s">
        <v>25</v>
      </c>
      <c r="L1408" s="25">
        <v>51.73</v>
      </c>
      <c r="M1408" s="25">
        <v>6.18</v>
      </c>
      <c r="N1408" s="25">
        <v>0</v>
      </c>
      <c r="O1408" s="25">
        <v>122.66</v>
      </c>
      <c r="P1408" s="25">
        <v>180.57</v>
      </c>
    </row>
    <row r="1409" spans="1:16" x14ac:dyDescent="0.25">
      <c r="A1409" s="26">
        <v>43146</v>
      </c>
      <c r="B1409" s="25" t="s">
        <v>282</v>
      </c>
      <c r="C1409" s="25" t="s">
        <v>23</v>
      </c>
      <c r="D1409" s="25">
        <v>500</v>
      </c>
      <c r="E1409" s="25">
        <v>607</v>
      </c>
      <c r="F1409" s="25">
        <v>303500</v>
      </c>
      <c r="G1409" s="25" t="s">
        <v>313</v>
      </c>
      <c r="H1409" s="25">
        <v>2018032</v>
      </c>
      <c r="I1409" s="25" t="s">
        <v>19</v>
      </c>
      <c r="J1409" s="25" t="s">
        <v>1634</v>
      </c>
      <c r="K1409" s="25" t="s">
        <v>25</v>
      </c>
      <c r="L1409" s="25">
        <v>303.27</v>
      </c>
      <c r="M1409" s="25">
        <v>9.11</v>
      </c>
      <c r="N1409" s="25">
        <v>21.6</v>
      </c>
      <c r="O1409" s="25">
        <v>1971.35</v>
      </c>
      <c r="P1409" s="25">
        <v>2305.3251</v>
      </c>
    </row>
    <row r="1410" spans="1:16" x14ac:dyDescent="0.25">
      <c r="A1410" s="26">
        <v>43145</v>
      </c>
      <c r="B1410" s="25" t="s">
        <v>282</v>
      </c>
      <c r="C1410" s="25" t="s">
        <v>17</v>
      </c>
      <c r="D1410" s="25">
        <v>500</v>
      </c>
      <c r="E1410" s="25">
        <v>614.25</v>
      </c>
      <c r="F1410" s="25">
        <v>307125</v>
      </c>
      <c r="G1410" s="25" t="s">
        <v>314</v>
      </c>
      <c r="H1410" s="25">
        <v>2018031</v>
      </c>
      <c r="I1410" s="25" t="s">
        <v>19</v>
      </c>
      <c r="J1410" s="25" t="s">
        <v>1634</v>
      </c>
      <c r="K1410" s="25" t="s">
        <v>25</v>
      </c>
      <c r="L1410" s="25">
        <v>307</v>
      </c>
      <c r="M1410" s="25">
        <v>9.2100000000000009</v>
      </c>
      <c r="N1410" s="25">
        <v>9.3000000000000007</v>
      </c>
      <c r="O1410" s="25">
        <v>1994.9</v>
      </c>
      <c r="P1410" s="25">
        <v>2320.4137999999998</v>
      </c>
    </row>
    <row r="1411" spans="1:16" x14ac:dyDescent="0.25">
      <c r="A1411" s="26">
        <v>43140</v>
      </c>
      <c r="B1411" s="25" t="s">
        <v>128</v>
      </c>
      <c r="C1411" s="25" t="s">
        <v>17</v>
      </c>
      <c r="D1411" s="25">
        <v>1000</v>
      </c>
      <c r="E1411" s="25">
        <v>429.1</v>
      </c>
      <c r="F1411" s="25">
        <v>429099.25</v>
      </c>
      <c r="G1411" s="25" t="s">
        <v>307</v>
      </c>
      <c r="H1411" s="25">
        <v>2018029</v>
      </c>
      <c r="I1411" s="25" t="s">
        <v>19</v>
      </c>
      <c r="J1411" s="25" t="s">
        <v>20</v>
      </c>
      <c r="K1411" s="25" t="s">
        <v>25</v>
      </c>
      <c r="L1411" s="25">
        <v>0</v>
      </c>
      <c r="M1411" s="25">
        <v>13.95</v>
      </c>
      <c r="N1411" s="25">
        <v>0</v>
      </c>
      <c r="O1411" s="25">
        <v>255.68</v>
      </c>
      <c r="P1411" s="25">
        <v>269.62569999999999</v>
      </c>
    </row>
    <row r="1412" spans="1:16" x14ac:dyDescent="0.25">
      <c r="A1412" s="26">
        <v>43140</v>
      </c>
      <c r="B1412" s="25" t="s">
        <v>128</v>
      </c>
      <c r="C1412" s="25" t="s">
        <v>23</v>
      </c>
      <c r="D1412" s="25">
        <v>1000</v>
      </c>
      <c r="E1412" s="25">
        <v>434</v>
      </c>
      <c r="F1412" s="25">
        <v>434000</v>
      </c>
      <c r="G1412" s="25" t="s">
        <v>308</v>
      </c>
      <c r="H1412" s="25">
        <v>2018029</v>
      </c>
      <c r="I1412" s="25" t="s">
        <v>19</v>
      </c>
      <c r="J1412" s="25" t="s">
        <v>20</v>
      </c>
      <c r="K1412" s="25" t="s">
        <v>25</v>
      </c>
      <c r="L1412" s="25">
        <v>107.89</v>
      </c>
      <c r="M1412" s="25">
        <v>14.11</v>
      </c>
      <c r="N1412" s="25">
        <v>0</v>
      </c>
      <c r="O1412" s="25">
        <v>258.60000000000002</v>
      </c>
      <c r="P1412" s="25">
        <v>380.5951</v>
      </c>
    </row>
    <row r="1413" spans="1:16" x14ac:dyDescent="0.25">
      <c r="A1413" s="26">
        <v>43140</v>
      </c>
      <c r="B1413" s="25" t="s">
        <v>51</v>
      </c>
      <c r="C1413" s="25" t="s">
        <v>17</v>
      </c>
      <c r="D1413" s="25">
        <v>1000</v>
      </c>
      <c r="E1413" s="25">
        <v>309.57</v>
      </c>
      <c r="F1413" s="25">
        <v>309565.3</v>
      </c>
      <c r="G1413" s="25" t="s">
        <v>309</v>
      </c>
      <c r="H1413" s="25">
        <v>2018029</v>
      </c>
      <c r="I1413" s="25" t="s">
        <v>19</v>
      </c>
      <c r="J1413" s="25" t="s">
        <v>20</v>
      </c>
      <c r="K1413" s="25" t="s">
        <v>25</v>
      </c>
      <c r="L1413" s="25">
        <v>0</v>
      </c>
      <c r="M1413" s="25">
        <v>10.06</v>
      </c>
      <c r="N1413" s="25">
        <v>44.4</v>
      </c>
      <c r="O1413" s="25">
        <v>184.46</v>
      </c>
      <c r="P1413" s="25">
        <v>238.92089999999999</v>
      </c>
    </row>
    <row r="1414" spans="1:16" x14ac:dyDescent="0.25">
      <c r="A1414" s="26">
        <v>43140</v>
      </c>
      <c r="B1414" s="25" t="s">
        <v>51</v>
      </c>
      <c r="C1414" s="25" t="s">
        <v>23</v>
      </c>
      <c r="D1414" s="25">
        <v>1000</v>
      </c>
      <c r="E1414" s="25">
        <v>303.01</v>
      </c>
      <c r="F1414" s="25">
        <v>303014.3</v>
      </c>
      <c r="G1414" s="25" t="s">
        <v>310</v>
      </c>
      <c r="H1414" s="25">
        <v>2018029</v>
      </c>
      <c r="I1414" s="25" t="s">
        <v>19</v>
      </c>
      <c r="J1414" s="25" t="s">
        <v>20</v>
      </c>
      <c r="K1414" s="25" t="s">
        <v>25</v>
      </c>
      <c r="L1414" s="25">
        <v>76.11</v>
      </c>
      <c r="M1414" s="25">
        <v>9.85</v>
      </c>
      <c r="N1414" s="25">
        <v>0</v>
      </c>
      <c r="O1414" s="25">
        <v>180.56</v>
      </c>
      <c r="P1414" s="25">
        <v>266.5179</v>
      </c>
    </row>
    <row r="1415" spans="1:16" x14ac:dyDescent="0.25">
      <c r="A1415" s="26">
        <v>43139</v>
      </c>
      <c r="B1415" s="25" t="s">
        <v>282</v>
      </c>
      <c r="C1415" s="25" t="s">
        <v>17</v>
      </c>
      <c r="D1415" s="25">
        <v>100</v>
      </c>
      <c r="E1415" s="25">
        <v>612</v>
      </c>
      <c r="F1415" s="25">
        <v>61200</v>
      </c>
      <c r="G1415" s="25" t="s">
        <v>300</v>
      </c>
      <c r="H1415" s="25">
        <v>2018028</v>
      </c>
      <c r="I1415" s="25" t="s">
        <v>19</v>
      </c>
      <c r="J1415" s="25" t="s">
        <v>20</v>
      </c>
      <c r="K1415" s="25" t="s">
        <v>25</v>
      </c>
      <c r="L1415" s="25">
        <v>0</v>
      </c>
      <c r="M1415" s="25">
        <v>1.99</v>
      </c>
      <c r="N1415" s="25">
        <v>0</v>
      </c>
      <c r="O1415" s="25">
        <v>36.47</v>
      </c>
      <c r="P1415" s="25">
        <v>38.459000000000003</v>
      </c>
    </row>
    <row r="1416" spans="1:16" x14ac:dyDescent="0.25">
      <c r="A1416" s="26">
        <v>43139</v>
      </c>
      <c r="B1416" s="25" t="s">
        <v>128</v>
      </c>
      <c r="C1416" s="25" t="s">
        <v>17</v>
      </c>
      <c r="D1416" s="25">
        <v>100</v>
      </c>
      <c r="E1416" s="25">
        <v>414</v>
      </c>
      <c r="F1416" s="25">
        <v>41400</v>
      </c>
      <c r="G1416" s="25" t="s">
        <v>301</v>
      </c>
      <c r="H1416" s="25">
        <v>2018028</v>
      </c>
      <c r="I1416" s="25" t="s">
        <v>19</v>
      </c>
      <c r="J1416" s="25" t="s">
        <v>20</v>
      </c>
      <c r="K1416" s="25" t="s">
        <v>25</v>
      </c>
      <c r="L1416" s="25">
        <v>0</v>
      </c>
      <c r="M1416" s="25">
        <v>1.35</v>
      </c>
      <c r="N1416" s="25">
        <v>0</v>
      </c>
      <c r="O1416" s="25">
        <v>29.74</v>
      </c>
      <c r="P1416" s="25">
        <v>31.0855</v>
      </c>
    </row>
    <row r="1417" spans="1:16" x14ac:dyDescent="0.25">
      <c r="A1417" s="26">
        <v>43139</v>
      </c>
      <c r="B1417" s="25" t="s">
        <v>128</v>
      </c>
      <c r="C1417" s="25" t="s">
        <v>23</v>
      </c>
      <c r="D1417" s="25">
        <v>100</v>
      </c>
      <c r="E1417" s="25">
        <v>417</v>
      </c>
      <c r="F1417" s="25">
        <v>41700</v>
      </c>
      <c r="G1417" s="25" t="s">
        <v>302</v>
      </c>
      <c r="H1417" s="25">
        <v>2018028</v>
      </c>
      <c r="I1417" s="25" t="s">
        <v>19</v>
      </c>
      <c r="J1417" s="25" t="s">
        <v>20</v>
      </c>
      <c r="K1417" s="25" t="s">
        <v>25</v>
      </c>
      <c r="L1417" s="25">
        <v>10.39</v>
      </c>
      <c r="M1417" s="25">
        <v>1.36</v>
      </c>
      <c r="N1417" s="25">
        <v>0</v>
      </c>
      <c r="O1417" s="25">
        <v>29.75</v>
      </c>
      <c r="P1417" s="25">
        <v>41.495199999999997</v>
      </c>
    </row>
    <row r="1418" spans="1:16" x14ac:dyDescent="0.25">
      <c r="A1418" s="26">
        <v>43139</v>
      </c>
      <c r="B1418" s="25" t="s">
        <v>282</v>
      </c>
      <c r="C1418" s="25" t="s">
        <v>23</v>
      </c>
      <c r="D1418" s="25">
        <v>100</v>
      </c>
      <c r="E1418" s="25">
        <v>620</v>
      </c>
      <c r="F1418" s="25">
        <v>62000</v>
      </c>
      <c r="G1418" s="25" t="s">
        <v>303</v>
      </c>
      <c r="H1418" s="25">
        <v>2018028</v>
      </c>
      <c r="I1418" s="25" t="s">
        <v>19</v>
      </c>
      <c r="J1418" s="25" t="s">
        <v>20</v>
      </c>
      <c r="K1418" s="25" t="s">
        <v>25</v>
      </c>
      <c r="L1418" s="25">
        <v>61.27</v>
      </c>
      <c r="M1418" s="25">
        <v>2.02</v>
      </c>
      <c r="N1418" s="25">
        <v>0</v>
      </c>
      <c r="O1418" s="25">
        <v>36.94</v>
      </c>
      <c r="P1418" s="25">
        <v>100.22499999999999</v>
      </c>
    </row>
    <row r="1419" spans="1:16" x14ac:dyDescent="0.25">
      <c r="A1419" s="26">
        <v>43139</v>
      </c>
      <c r="B1419" s="25" t="s">
        <v>282</v>
      </c>
      <c r="C1419" s="25" t="s">
        <v>17</v>
      </c>
      <c r="D1419" s="25">
        <v>500</v>
      </c>
      <c r="E1419" s="25">
        <v>615</v>
      </c>
      <c r="F1419" s="25">
        <v>307500</v>
      </c>
      <c r="G1419" s="25" t="s">
        <v>304</v>
      </c>
      <c r="H1419" s="25">
        <v>2018028</v>
      </c>
      <c r="I1419" s="25" t="s">
        <v>19</v>
      </c>
      <c r="J1419" s="25" t="s">
        <v>20</v>
      </c>
      <c r="K1419" s="25" t="s">
        <v>25</v>
      </c>
      <c r="L1419" s="25">
        <v>0</v>
      </c>
      <c r="M1419" s="25">
        <v>9.99</v>
      </c>
      <c r="N1419" s="25">
        <v>0</v>
      </c>
      <c r="O1419" s="25">
        <v>183.22</v>
      </c>
      <c r="P1419" s="25">
        <v>193.21379999999999</v>
      </c>
    </row>
    <row r="1420" spans="1:16" x14ac:dyDescent="0.25">
      <c r="A1420" s="26">
        <v>43139</v>
      </c>
      <c r="B1420" s="25" t="s">
        <v>282</v>
      </c>
      <c r="C1420" s="25" t="s">
        <v>23</v>
      </c>
      <c r="D1420" s="25">
        <v>500</v>
      </c>
      <c r="E1420" s="25">
        <v>617</v>
      </c>
      <c r="F1420" s="25">
        <v>308500</v>
      </c>
      <c r="G1420" s="25" t="s">
        <v>305</v>
      </c>
      <c r="H1420" s="25">
        <v>2018028</v>
      </c>
      <c r="I1420" s="25" t="s">
        <v>19</v>
      </c>
      <c r="J1420" s="25" t="s">
        <v>20</v>
      </c>
      <c r="K1420" s="25" t="s">
        <v>25</v>
      </c>
      <c r="L1420" s="25">
        <v>306.33</v>
      </c>
      <c r="M1420" s="25">
        <v>10.029999999999999</v>
      </c>
      <c r="N1420" s="25">
        <v>0</v>
      </c>
      <c r="O1420" s="25">
        <v>183.82</v>
      </c>
      <c r="P1420" s="25">
        <v>500.17630000000003</v>
      </c>
    </row>
    <row r="1421" spans="1:16" x14ac:dyDescent="0.25">
      <c r="A1421" s="26">
        <v>43139</v>
      </c>
      <c r="B1421" s="25" t="s">
        <v>282</v>
      </c>
      <c r="C1421" s="25" t="s">
        <v>23</v>
      </c>
      <c r="D1421" s="25">
        <v>1100</v>
      </c>
      <c r="E1421" s="25">
        <v>609</v>
      </c>
      <c r="F1421" s="25">
        <v>669900</v>
      </c>
      <c r="G1421" s="25" t="s">
        <v>306</v>
      </c>
      <c r="H1421" s="25">
        <v>2018028</v>
      </c>
      <c r="I1421" s="25" t="s">
        <v>19</v>
      </c>
      <c r="J1421" s="25" t="s">
        <v>1634</v>
      </c>
      <c r="K1421" s="25" t="s">
        <v>25</v>
      </c>
      <c r="L1421" s="25">
        <v>398.02</v>
      </c>
      <c r="M1421" s="25">
        <v>21.77</v>
      </c>
      <c r="N1421" s="25">
        <v>45</v>
      </c>
      <c r="O1421" s="25">
        <v>4351.57</v>
      </c>
      <c r="P1421" s="25">
        <v>4816.3617000000004</v>
      </c>
    </row>
    <row r="1422" spans="1:16" x14ac:dyDescent="0.25">
      <c r="A1422" s="26">
        <v>43137</v>
      </c>
      <c r="B1422" s="25" t="s">
        <v>282</v>
      </c>
      <c r="C1422" s="25" t="s">
        <v>17</v>
      </c>
      <c r="D1422" s="25">
        <v>100</v>
      </c>
      <c r="E1422" s="25">
        <v>582</v>
      </c>
      <c r="F1422" s="25">
        <v>58200</v>
      </c>
      <c r="G1422" s="25" t="s">
        <v>283</v>
      </c>
      <c r="H1422" s="25">
        <v>2018026</v>
      </c>
      <c r="I1422" s="25" t="s">
        <v>19</v>
      </c>
      <c r="J1422" s="25" t="s">
        <v>1634</v>
      </c>
      <c r="K1422" s="25" t="s">
        <v>25</v>
      </c>
      <c r="L1422" s="25">
        <v>59.01</v>
      </c>
      <c r="M1422" s="25">
        <v>1.89</v>
      </c>
      <c r="N1422" s="25">
        <v>24.9</v>
      </c>
      <c r="O1422" s="25">
        <v>378.06</v>
      </c>
      <c r="P1422" s="25">
        <v>463.86149999999998</v>
      </c>
    </row>
    <row r="1423" spans="1:16" x14ac:dyDescent="0.25">
      <c r="A1423" s="26">
        <v>43137</v>
      </c>
      <c r="B1423" s="25" t="s">
        <v>128</v>
      </c>
      <c r="C1423" s="25" t="s">
        <v>17</v>
      </c>
      <c r="D1423" s="25">
        <v>100</v>
      </c>
      <c r="E1423" s="25">
        <v>386.82</v>
      </c>
      <c r="F1423" s="25">
        <v>38682</v>
      </c>
      <c r="G1423" s="25" t="s">
        <v>284</v>
      </c>
      <c r="H1423" s="25">
        <v>2018026</v>
      </c>
      <c r="I1423" s="25" t="s">
        <v>19</v>
      </c>
      <c r="J1423" s="25" t="s">
        <v>20</v>
      </c>
      <c r="K1423" s="25" t="s">
        <v>25</v>
      </c>
      <c r="L1423" s="25">
        <v>0</v>
      </c>
      <c r="M1423" s="25">
        <v>1.26</v>
      </c>
      <c r="N1423" s="25">
        <v>0</v>
      </c>
      <c r="O1423" s="25">
        <v>29.73</v>
      </c>
      <c r="P1423" s="25">
        <v>30.987200000000001</v>
      </c>
    </row>
    <row r="1424" spans="1:16" x14ac:dyDescent="0.25">
      <c r="A1424" s="26">
        <v>43137</v>
      </c>
      <c r="B1424" s="25" t="s">
        <v>128</v>
      </c>
      <c r="C1424" s="25" t="s">
        <v>23</v>
      </c>
      <c r="D1424" s="25">
        <v>100</v>
      </c>
      <c r="E1424" s="25">
        <v>405</v>
      </c>
      <c r="F1424" s="25">
        <v>40500</v>
      </c>
      <c r="G1424" s="25" t="s">
        <v>285</v>
      </c>
      <c r="H1424" s="25">
        <v>2018026</v>
      </c>
      <c r="I1424" s="25" t="s">
        <v>19</v>
      </c>
      <c r="J1424" s="25" t="s">
        <v>20</v>
      </c>
      <c r="K1424" s="25" t="s">
        <v>25</v>
      </c>
      <c r="L1424" s="25">
        <v>9.9</v>
      </c>
      <c r="M1424" s="25">
        <v>1.32</v>
      </c>
      <c r="N1424" s="25">
        <v>0</v>
      </c>
      <c r="O1424" s="25">
        <v>29.74</v>
      </c>
      <c r="P1424" s="25">
        <v>40.956299999999999</v>
      </c>
    </row>
    <row r="1425" spans="1:16" x14ac:dyDescent="0.25">
      <c r="A1425" s="26">
        <v>43137</v>
      </c>
      <c r="B1425" s="25" t="s">
        <v>282</v>
      </c>
      <c r="C1425" s="25" t="s">
        <v>17</v>
      </c>
      <c r="D1425" s="25">
        <v>1000</v>
      </c>
      <c r="E1425" s="25">
        <v>592</v>
      </c>
      <c r="F1425" s="25">
        <v>592000</v>
      </c>
      <c r="G1425" s="25" t="s">
        <v>286</v>
      </c>
      <c r="H1425" s="25">
        <v>2018026</v>
      </c>
      <c r="I1425" s="25" t="s">
        <v>19</v>
      </c>
      <c r="J1425" s="25" t="s">
        <v>1634</v>
      </c>
      <c r="K1425" s="25" t="s">
        <v>25</v>
      </c>
      <c r="L1425" s="25">
        <v>591.09</v>
      </c>
      <c r="M1425" s="25">
        <v>19.239999999999998</v>
      </c>
      <c r="N1425" s="25">
        <v>0</v>
      </c>
      <c r="O1425" s="25">
        <v>3845.55</v>
      </c>
      <c r="P1425" s="25">
        <v>4455.8797999999997</v>
      </c>
    </row>
    <row r="1426" spans="1:16" x14ac:dyDescent="0.25">
      <c r="A1426" s="26">
        <v>43137</v>
      </c>
      <c r="B1426" s="25" t="s">
        <v>29</v>
      </c>
      <c r="C1426" s="25" t="s">
        <v>23</v>
      </c>
      <c r="D1426" s="25">
        <v>5000</v>
      </c>
      <c r="E1426" s="25">
        <v>18.2</v>
      </c>
      <c r="F1426" s="25">
        <v>91000</v>
      </c>
      <c r="G1426" s="25" t="s">
        <v>287</v>
      </c>
      <c r="H1426" s="25">
        <v>2018026</v>
      </c>
      <c r="I1426" s="25" t="s">
        <v>19</v>
      </c>
      <c r="J1426" s="25" t="s">
        <v>20</v>
      </c>
      <c r="K1426" s="25" t="s">
        <v>25</v>
      </c>
      <c r="L1426" s="25">
        <v>91</v>
      </c>
      <c r="M1426" s="25">
        <v>2.96</v>
      </c>
      <c r="N1426" s="25">
        <v>0</v>
      </c>
      <c r="O1426" s="25">
        <v>591.12</v>
      </c>
      <c r="P1426" s="25">
        <v>685.07749999999999</v>
      </c>
    </row>
    <row r="1427" spans="1:16" x14ac:dyDescent="0.25">
      <c r="A1427" s="26">
        <v>43136</v>
      </c>
      <c r="B1427" s="25" t="s">
        <v>288</v>
      </c>
      <c r="C1427" s="25" t="s">
        <v>17</v>
      </c>
      <c r="D1427" s="25">
        <v>50</v>
      </c>
      <c r="E1427" s="25">
        <v>236.8</v>
      </c>
      <c r="F1427" s="25">
        <v>11840</v>
      </c>
      <c r="G1427" s="25" t="s">
        <v>289</v>
      </c>
      <c r="H1427" s="25">
        <v>201718213</v>
      </c>
      <c r="I1427" s="25" t="s">
        <v>19</v>
      </c>
      <c r="J1427" s="25" t="s">
        <v>20</v>
      </c>
      <c r="K1427" s="25" t="s">
        <v>21</v>
      </c>
      <c r="L1427" s="25">
        <v>12</v>
      </c>
      <c r="M1427" s="25">
        <v>0.63</v>
      </c>
      <c r="N1427" s="25">
        <v>0.6</v>
      </c>
      <c r="O1427" s="25">
        <v>76.95</v>
      </c>
      <c r="P1427" s="25">
        <v>90.177800000000005</v>
      </c>
    </row>
    <row r="1428" spans="1:16" x14ac:dyDescent="0.25">
      <c r="A1428" s="26">
        <v>43133</v>
      </c>
      <c r="B1428" s="25" t="s">
        <v>26</v>
      </c>
      <c r="C1428" s="25" t="s">
        <v>23</v>
      </c>
      <c r="D1428" s="25">
        <v>1000</v>
      </c>
      <c r="E1428" s="25">
        <v>120.99</v>
      </c>
      <c r="F1428" s="25">
        <v>120994.8</v>
      </c>
      <c r="G1428" s="25" t="s">
        <v>290</v>
      </c>
      <c r="H1428" s="25">
        <v>2018024</v>
      </c>
      <c r="I1428" s="25" t="s">
        <v>19</v>
      </c>
      <c r="J1428" s="25" t="s">
        <v>1634</v>
      </c>
      <c r="K1428" s="25" t="s">
        <v>25</v>
      </c>
      <c r="L1428" s="25">
        <v>121.25</v>
      </c>
      <c r="M1428" s="25">
        <v>3.93</v>
      </c>
      <c r="N1428" s="25">
        <v>8.4</v>
      </c>
      <c r="O1428" s="25">
        <v>785.97</v>
      </c>
      <c r="P1428" s="25">
        <v>919.55229999999995</v>
      </c>
    </row>
    <row r="1429" spans="1:16" x14ac:dyDescent="0.25">
      <c r="A1429" s="26">
        <v>43133</v>
      </c>
      <c r="B1429" s="25" t="s">
        <v>291</v>
      </c>
      <c r="C1429" s="25" t="s">
        <v>23</v>
      </c>
      <c r="D1429" s="25">
        <v>277</v>
      </c>
      <c r="E1429" s="25">
        <v>157.4</v>
      </c>
      <c r="F1429" s="25">
        <v>43599.8</v>
      </c>
      <c r="G1429" s="25" t="s">
        <v>292</v>
      </c>
      <c r="H1429" s="25">
        <v>2018024</v>
      </c>
      <c r="I1429" s="25" t="s">
        <v>19</v>
      </c>
      <c r="J1429" s="25" t="s">
        <v>1634</v>
      </c>
      <c r="K1429" s="25" t="s">
        <v>25</v>
      </c>
      <c r="L1429" s="25">
        <v>42.59</v>
      </c>
      <c r="M1429" s="25">
        <v>1.42</v>
      </c>
      <c r="N1429" s="25">
        <v>0</v>
      </c>
      <c r="O1429" s="25">
        <v>283.22000000000003</v>
      </c>
      <c r="P1429" s="25">
        <v>327.22699999999998</v>
      </c>
    </row>
    <row r="1430" spans="1:16" x14ac:dyDescent="0.25">
      <c r="A1430" s="26">
        <v>43133</v>
      </c>
      <c r="B1430" s="25" t="s">
        <v>291</v>
      </c>
      <c r="C1430" s="25" t="s">
        <v>23</v>
      </c>
      <c r="D1430" s="25">
        <v>723</v>
      </c>
      <c r="E1430" s="25">
        <v>152.35</v>
      </c>
      <c r="F1430" s="25">
        <v>110149.05</v>
      </c>
      <c r="G1430" s="25" t="s">
        <v>293</v>
      </c>
      <c r="H1430" s="25">
        <v>2018024</v>
      </c>
      <c r="I1430" s="25" t="s">
        <v>19</v>
      </c>
      <c r="J1430" s="25" t="s">
        <v>1634</v>
      </c>
      <c r="K1430" s="25" t="s">
        <v>25</v>
      </c>
      <c r="L1430" s="25">
        <v>111.16</v>
      </c>
      <c r="M1430" s="25">
        <v>3.58</v>
      </c>
      <c r="N1430" s="25">
        <v>0</v>
      </c>
      <c r="O1430" s="25">
        <v>715.5</v>
      </c>
      <c r="P1430" s="25">
        <v>830.23990000000003</v>
      </c>
    </row>
    <row r="1431" spans="1:16" x14ac:dyDescent="0.25">
      <c r="A1431" s="26">
        <v>43131</v>
      </c>
      <c r="B1431" s="25" t="s">
        <v>291</v>
      </c>
      <c r="C1431" s="25" t="s">
        <v>17</v>
      </c>
      <c r="D1431" s="25">
        <v>1000</v>
      </c>
      <c r="E1431" s="25">
        <v>169</v>
      </c>
      <c r="F1431" s="25">
        <v>169000</v>
      </c>
      <c r="G1431" s="25" t="s">
        <v>294</v>
      </c>
      <c r="H1431" s="25">
        <v>2018022</v>
      </c>
      <c r="I1431" s="25" t="s">
        <v>19</v>
      </c>
      <c r="J1431" s="25" t="s">
        <v>1634</v>
      </c>
      <c r="K1431" s="25" t="s">
        <v>25</v>
      </c>
      <c r="L1431" s="25">
        <v>169</v>
      </c>
      <c r="M1431" s="25">
        <v>5.49</v>
      </c>
      <c r="N1431" s="25">
        <v>0</v>
      </c>
      <c r="O1431" s="25">
        <v>1097.8</v>
      </c>
      <c r="P1431" s="25">
        <v>1272.2925</v>
      </c>
    </row>
    <row r="1432" spans="1:16" x14ac:dyDescent="0.25">
      <c r="A1432" s="26">
        <v>43131</v>
      </c>
      <c r="B1432" s="25" t="s">
        <v>26</v>
      </c>
      <c r="C1432" s="25" t="s">
        <v>17</v>
      </c>
      <c r="D1432" s="25">
        <v>1000</v>
      </c>
      <c r="E1432" s="25">
        <v>129</v>
      </c>
      <c r="F1432" s="25">
        <v>129000</v>
      </c>
      <c r="G1432" s="25" t="s">
        <v>295</v>
      </c>
      <c r="H1432" s="25">
        <v>2018022</v>
      </c>
      <c r="I1432" s="25" t="s">
        <v>19</v>
      </c>
      <c r="J1432" s="25" t="s">
        <v>1634</v>
      </c>
      <c r="K1432" s="25" t="s">
        <v>25</v>
      </c>
      <c r="L1432" s="25">
        <v>129</v>
      </c>
      <c r="M1432" s="25">
        <v>4.1900000000000004</v>
      </c>
      <c r="N1432" s="25">
        <v>9</v>
      </c>
      <c r="O1432" s="25">
        <v>837.96</v>
      </c>
      <c r="P1432" s="25">
        <v>980.15250000000003</v>
      </c>
    </row>
    <row r="1433" spans="1:16" x14ac:dyDescent="0.25">
      <c r="A1433" s="26">
        <v>43129</v>
      </c>
      <c r="B1433" s="25" t="s">
        <v>296</v>
      </c>
      <c r="C1433" s="25" t="s">
        <v>17</v>
      </c>
      <c r="D1433" s="25">
        <v>500</v>
      </c>
      <c r="E1433" s="25">
        <v>59.5</v>
      </c>
      <c r="F1433" s="25">
        <v>29750</v>
      </c>
      <c r="G1433" s="25" t="s">
        <v>297</v>
      </c>
      <c r="H1433" s="25">
        <v>201718208</v>
      </c>
      <c r="I1433" s="25" t="s">
        <v>19</v>
      </c>
      <c r="J1433" s="25" t="s">
        <v>20</v>
      </c>
      <c r="K1433" s="25" t="s">
        <v>21</v>
      </c>
      <c r="L1433" s="25">
        <v>30</v>
      </c>
      <c r="M1433" s="25">
        <v>0.65</v>
      </c>
      <c r="N1433" s="25">
        <v>0.9</v>
      </c>
      <c r="O1433" s="25">
        <v>193.2</v>
      </c>
      <c r="P1433" s="25">
        <v>224.75460000000001</v>
      </c>
    </row>
    <row r="1434" spans="1:16" x14ac:dyDescent="0.25">
      <c r="A1434" s="26">
        <v>43129</v>
      </c>
      <c r="B1434" s="25" t="s">
        <v>279</v>
      </c>
      <c r="C1434" s="25" t="s">
        <v>17</v>
      </c>
      <c r="D1434" s="25">
        <v>500</v>
      </c>
      <c r="E1434" s="25">
        <v>455.9</v>
      </c>
      <c r="F1434" s="25">
        <v>227950</v>
      </c>
      <c r="G1434" s="25" t="s">
        <v>298</v>
      </c>
      <c r="H1434" s="25">
        <v>2018020</v>
      </c>
      <c r="I1434" s="25" t="s">
        <v>19</v>
      </c>
      <c r="J1434" s="25" t="s">
        <v>20</v>
      </c>
      <c r="K1434" s="25" t="s">
        <v>25</v>
      </c>
      <c r="L1434" s="25">
        <v>0</v>
      </c>
      <c r="M1434" s="25">
        <v>7.41</v>
      </c>
      <c r="N1434" s="25">
        <v>13.8</v>
      </c>
      <c r="O1434" s="25">
        <v>135.82</v>
      </c>
      <c r="P1434" s="25">
        <v>157.02850000000001</v>
      </c>
    </row>
    <row r="1435" spans="1:16" x14ac:dyDescent="0.25">
      <c r="A1435" s="26">
        <v>43129</v>
      </c>
      <c r="B1435" s="25" t="s">
        <v>279</v>
      </c>
      <c r="C1435" s="25" t="s">
        <v>23</v>
      </c>
      <c r="D1435" s="25">
        <v>500</v>
      </c>
      <c r="E1435" s="25">
        <v>451</v>
      </c>
      <c r="F1435" s="25">
        <v>225500</v>
      </c>
      <c r="G1435" s="25" t="s">
        <v>299</v>
      </c>
      <c r="H1435" s="25">
        <v>2018020</v>
      </c>
      <c r="I1435" s="25" t="s">
        <v>19</v>
      </c>
      <c r="J1435" s="25" t="s">
        <v>20</v>
      </c>
      <c r="K1435" s="25" t="s">
        <v>25</v>
      </c>
      <c r="L1435" s="25">
        <v>57</v>
      </c>
      <c r="M1435" s="25">
        <v>7.33</v>
      </c>
      <c r="N1435" s="25">
        <v>0</v>
      </c>
      <c r="O1435" s="25">
        <v>134.36000000000001</v>
      </c>
      <c r="P1435" s="25">
        <v>198.68879999999999</v>
      </c>
    </row>
    <row r="1436" spans="1:16" x14ac:dyDescent="0.25">
      <c r="A1436" s="26">
        <v>43125</v>
      </c>
      <c r="B1436" s="25" t="s">
        <v>268</v>
      </c>
      <c r="C1436" s="25" t="s">
        <v>23</v>
      </c>
      <c r="D1436" s="25">
        <v>1000</v>
      </c>
      <c r="E1436" s="25">
        <v>320</v>
      </c>
      <c r="F1436" s="25">
        <v>320000</v>
      </c>
      <c r="G1436" s="25" t="s">
        <v>269</v>
      </c>
      <c r="H1436" s="25">
        <v>2018019</v>
      </c>
      <c r="I1436" s="25" t="s">
        <v>19</v>
      </c>
      <c r="J1436" s="25" t="s">
        <v>20</v>
      </c>
      <c r="K1436" s="25" t="s">
        <v>25</v>
      </c>
      <c r="L1436" s="25">
        <v>80.88</v>
      </c>
      <c r="M1436" s="25">
        <v>10.4</v>
      </c>
      <c r="N1436" s="25">
        <v>0</v>
      </c>
      <c r="O1436" s="25">
        <v>190.67</v>
      </c>
      <c r="P1436" s="25">
        <v>281.95</v>
      </c>
    </row>
    <row r="1437" spans="1:16" x14ac:dyDescent="0.25">
      <c r="A1437" s="26">
        <v>43125</v>
      </c>
      <c r="B1437" s="25" t="s">
        <v>270</v>
      </c>
      <c r="C1437" s="25" t="s">
        <v>23</v>
      </c>
      <c r="D1437" s="25">
        <v>1000</v>
      </c>
      <c r="E1437" s="25">
        <v>171</v>
      </c>
      <c r="F1437" s="25">
        <v>171000</v>
      </c>
      <c r="G1437" s="25" t="s">
        <v>271</v>
      </c>
      <c r="H1437" s="25">
        <v>2018019</v>
      </c>
      <c r="I1437" s="25" t="s">
        <v>19</v>
      </c>
      <c r="J1437" s="25" t="s">
        <v>20</v>
      </c>
      <c r="K1437" s="25" t="s">
        <v>25</v>
      </c>
      <c r="L1437" s="25">
        <v>43.62</v>
      </c>
      <c r="M1437" s="25">
        <v>5.56</v>
      </c>
      <c r="N1437" s="25">
        <v>33.299999999999997</v>
      </c>
      <c r="O1437" s="25">
        <v>101.89</v>
      </c>
      <c r="P1437" s="25">
        <v>184.36760000000001</v>
      </c>
    </row>
    <row r="1438" spans="1:16" x14ac:dyDescent="0.25">
      <c r="A1438" s="26">
        <v>43125</v>
      </c>
      <c r="B1438" s="25" t="s">
        <v>29</v>
      </c>
      <c r="C1438" s="25" t="s">
        <v>17</v>
      </c>
      <c r="D1438" s="25">
        <v>5000</v>
      </c>
      <c r="E1438" s="25">
        <v>22.9</v>
      </c>
      <c r="F1438" s="25">
        <v>114500</v>
      </c>
      <c r="G1438" s="25" t="s">
        <v>272</v>
      </c>
      <c r="H1438" s="25">
        <v>2018019</v>
      </c>
      <c r="I1438" s="25" t="s">
        <v>19</v>
      </c>
      <c r="J1438" s="25" t="s">
        <v>20</v>
      </c>
      <c r="K1438" s="25" t="s">
        <v>25</v>
      </c>
      <c r="L1438" s="25">
        <v>114.5</v>
      </c>
      <c r="M1438" s="25">
        <v>3.72</v>
      </c>
      <c r="N1438" s="25">
        <v>0</v>
      </c>
      <c r="O1438" s="25">
        <v>743.77</v>
      </c>
      <c r="P1438" s="25">
        <v>861.99130000000002</v>
      </c>
    </row>
    <row r="1439" spans="1:16" x14ac:dyDescent="0.25">
      <c r="A1439" s="26">
        <v>43125</v>
      </c>
      <c r="B1439" s="25" t="s">
        <v>270</v>
      </c>
      <c r="C1439" s="25" t="s">
        <v>17</v>
      </c>
      <c r="D1439" s="25">
        <v>1000</v>
      </c>
      <c r="E1439" s="25">
        <v>176</v>
      </c>
      <c r="F1439" s="25">
        <v>176000</v>
      </c>
      <c r="G1439" s="25" t="s">
        <v>273</v>
      </c>
      <c r="H1439" s="25">
        <v>2018019</v>
      </c>
      <c r="I1439" s="25" t="s">
        <v>19</v>
      </c>
      <c r="J1439" s="25" t="s">
        <v>20</v>
      </c>
      <c r="K1439" s="25" t="s">
        <v>25</v>
      </c>
      <c r="L1439" s="25">
        <v>0</v>
      </c>
      <c r="M1439" s="25">
        <v>5.72</v>
      </c>
      <c r="N1439" s="25">
        <v>0</v>
      </c>
      <c r="O1439" s="25">
        <v>104.87</v>
      </c>
      <c r="P1439" s="25">
        <v>110.59</v>
      </c>
    </row>
    <row r="1440" spans="1:16" x14ac:dyDescent="0.25">
      <c r="A1440" s="26">
        <v>43125</v>
      </c>
      <c r="B1440" s="25" t="s">
        <v>268</v>
      </c>
      <c r="C1440" s="25" t="s">
        <v>17</v>
      </c>
      <c r="D1440" s="25">
        <v>1000</v>
      </c>
      <c r="E1440" s="25">
        <v>327</v>
      </c>
      <c r="F1440" s="25">
        <v>327000</v>
      </c>
      <c r="G1440" s="25" t="s">
        <v>274</v>
      </c>
      <c r="H1440" s="25">
        <v>2018019</v>
      </c>
      <c r="I1440" s="25" t="s">
        <v>19</v>
      </c>
      <c r="J1440" s="25" t="s">
        <v>20</v>
      </c>
      <c r="K1440" s="25" t="s">
        <v>25</v>
      </c>
      <c r="L1440" s="25">
        <v>0</v>
      </c>
      <c r="M1440" s="25">
        <v>10.63</v>
      </c>
      <c r="N1440" s="25">
        <v>0</v>
      </c>
      <c r="O1440" s="25">
        <v>194.84</v>
      </c>
      <c r="P1440" s="25">
        <v>205.4675</v>
      </c>
    </row>
    <row r="1441" spans="1:16" x14ac:dyDescent="0.25">
      <c r="A1441" s="26">
        <v>43123</v>
      </c>
      <c r="B1441" s="25" t="s">
        <v>245</v>
      </c>
      <c r="C1441" s="25" t="s">
        <v>23</v>
      </c>
      <c r="D1441" s="25">
        <v>1000</v>
      </c>
      <c r="E1441" s="25">
        <v>100.98</v>
      </c>
      <c r="F1441" s="25">
        <v>100979.45</v>
      </c>
      <c r="G1441" s="25" t="s">
        <v>275</v>
      </c>
      <c r="H1441" s="25">
        <v>2018017</v>
      </c>
      <c r="I1441" s="25" t="s">
        <v>19</v>
      </c>
      <c r="J1441" s="25" t="s">
        <v>1634</v>
      </c>
      <c r="K1441" s="25" t="s">
        <v>25</v>
      </c>
      <c r="L1441" s="25">
        <v>100.89</v>
      </c>
      <c r="M1441" s="25">
        <v>3.28</v>
      </c>
      <c r="N1441" s="25">
        <v>49.5</v>
      </c>
      <c r="O1441" s="25">
        <v>655.95</v>
      </c>
      <c r="P1441" s="25">
        <v>809.62170000000003</v>
      </c>
    </row>
    <row r="1442" spans="1:16" x14ac:dyDescent="0.25">
      <c r="A1442" s="26">
        <v>43123</v>
      </c>
      <c r="B1442" s="25" t="s">
        <v>276</v>
      </c>
      <c r="C1442" s="25" t="s">
        <v>17</v>
      </c>
      <c r="D1442" s="25">
        <v>2500</v>
      </c>
      <c r="E1442" s="25">
        <v>120</v>
      </c>
      <c r="F1442" s="25">
        <v>300000</v>
      </c>
      <c r="G1442" s="25" t="s">
        <v>277</v>
      </c>
      <c r="H1442" s="25">
        <v>2018017</v>
      </c>
      <c r="I1442" s="25" t="s">
        <v>19</v>
      </c>
      <c r="J1442" s="25" t="s">
        <v>20</v>
      </c>
      <c r="K1442" s="25" t="s">
        <v>25</v>
      </c>
      <c r="L1442" s="25">
        <v>0</v>
      </c>
      <c r="M1442" s="25">
        <v>9.75</v>
      </c>
      <c r="N1442" s="25">
        <v>0</v>
      </c>
      <c r="O1442" s="25">
        <v>178.75</v>
      </c>
      <c r="P1442" s="25">
        <v>188.5</v>
      </c>
    </row>
    <row r="1443" spans="1:16" x14ac:dyDescent="0.25">
      <c r="A1443" s="26">
        <v>43123</v>
      </c>
      <c r="B1443" s="25" t="s">
        <v>276</v>
      </c>
      <c r="C1443" s="25" t="s">
        <v>23</v>
      </c>
      <c r="D1443" s="25">
        <v>2500</v>
      </c>
      <c r="E1443" s="25">
        <v>118.26</v>
      </c>
      <c r="F1443" s="25">
        <v>295649.8</v>
      </c>
      <c r="G1443" s="25" t="s">
        <v>278</v>
      </c>
      <c r="H1443" s="25">
        <v>2018017</v>
      </c>
      <c r="I1443" s="25" t="s">
        <v>19</v>
      </c>
      <c r="J1443" s="25" t="s">
        <v>20</v>
      </c>
      <c r="K1443" s="25" t="s">
        <v>25</v>
      </c>
      <c r="L1443" s="25">
        <v>74.459999999999994</v>
      </c>
      <c r="M1443" s="25">
        <v>9.61</v>
      </c>
      <c r="N1443" s="25">
        <v>0</v>
      </c>
      <c r="O1443" s="25">
        <v>176.13</v>
      </c>
      <c r="P1443" s="25">
        <v>260.19830000000002</v>
      </c>
    </row>
    <row r="1444" spans="1:16" x14ac:dyDescent="0.25">
      <c r="A1444" s="26">
        <v>43123</v>
      </c>
      <c r="B1444" s="25" t="s">
        <v>279</v>
      </c>
      <c r="C1444" s="25" t="s">
        <v>17</v>
      </c>
      <c r="D1444" s="25">
        <v>1000</v>
      </c>
      <c r="E1444" s="25">
        <v>481</v>
      </c>
      <c r="F1444" s="25">
        <v>481000</v>
      </c>
      <c r="G1444" s="25" t="s">
        <v>280</v>
      </c>
      <c r="H1444" s="25">
        <v>2018017</v>
      </c>
      <c r="I1444" s="25" t="s">
        <v>19</v>
      </c>
      <c r="J1444" s="25" t="s">
        <v>20</v>
      </c>
      <c r="K1444" s="25" t="s">
        <v>25</v>
      </c>
      <c r="L1444" s="25">
        <v>0</v>
      </c>
      <c r="M1444" s="25">
        <v>15.63</v>
      </c>
      <c r="N1444" s="25">
        <v>0</v>
      </c>
      <c r="O1444" s="25">
        <v>286.61</v>
      </c>
      <c r="P1444" s="25">
        <v>302.24250000000001</v>
      </c>
    </row>
    <row r="1445" spans="1:16" x14ac:dyDescent="0.25">
      <c r="A1445" s="26">
        <v>43123</v>
      </c>
      <c r="B1445" s="25" t="s">
        <v>279</v>
      </c>
      <c r="C1445" s="25" t="s">
        <v>23</v>
      </c>
      <c r="D1445" s="25">
        <v>1000</v>
      </c>
      <c r="E1445" s="25">
        <v>468.2</v>
      </c>
      <c r="F1445" s="25">
        <v>468195.2</v>
      </c>
      <c r="G1445" s="25" t="s">
        <v>281</v>
      </c>
      <c r="H1445" s="25">
        <v>2018017</v>
      </c>
      <c r="I1445" s="25" t="s">
        <v>19</v>
      </c>
      <c r="J1445" s="25" t="s">
        <v>20</v>
      </c>
      <c r="K1445" s="25" t="s">
        <v>25</v>
      </c>
      <c r="L1445" s="25">
        <v>118.65</v>
      </c>
      <c r="M1445" s="25">
        <v>15.22</v>
      </c>
      <c r="N1445" s="25">
        <v>0</v>
      </c>
      <c r="O1445" s="25">
        <v>278.98</v>
      </c>
      <c r="P1445" s="25">
        <v>412.84620000000001</v>
      </c>
    </row>
    <row r="1446" spans="1:16" x14ac:dyDescent="0.25">
      <c r="A1446" s="26">
        <v>43122</v>
      </c>
      <c r="B1446" s="25" t="s">
        <v>251</v>
      </c>
      <c r="C1446" s="25" t="s">
        <v>17</v>
      </c>
      <c r="D1446" s="25">
        <v>1000</v>
      </c>
      <c r="E1446" s="25">
        <v>250.79</v>
      </c>
      <c r="F1446" s="25">
        <v>250788.3</v>
      </c>
      <c r="G1446" s="25" t="s">
        <v>252</v>
      </c>
      <c r="H1446" s="25">
        <v>2018016</v>
      </c>
      <c r="I1446" s="25" t="s">
        <v>19</v>
      </c>
      <c r="J1446" s="25" t="s">
        <v>20</v>
      </c>
      <c r="K1446" s="25" t="s">
        <v>25</v>
      </c>
      <c r="L1446" s="25">
        <v>0</v>
      </c>
      <c r="M1446" s="25">
        <v>8.15</v>
      </c>
      <c r="N1446" s="25">
        <v>15</v>
      </c>
      <c r="O1446" s="25">
        <v>149.43</v>
      </c>
      <c r="P1446" s="25">
        <v>172.58070000000001</v>
      </c>
    </row>
    <row r="1447" spans="1:16" x14ac:dyDescent="0.25">
      <c r="A1447" s="26">
        <v>43122</v>
      </c>
      <c r="B1447" s="25" t="s">
        <v>251</v>
      </c>
      <c r="C1447" s="25" t="s">
        <v>23</v>
      </c>
      <c r="D1447" s="25">
        <v>1000</v>
      </c>
      <c r="E1447" s="25">
        <v>241.76</v>
      </c>
      <c r="F1447" s="25">
        <v>241762.5</v>
      </c>
      <c r="G1447" s="25" t="s">
        <v>253</v>
      </c>
      <c r="H1447" s="25">
        <v>2018016</v>
      </c>
      <c r="I1447" s="25" t="s">
        <v>19</v>
      </c>
      <c r="J1447" s="25" t="s">
        <v>20</v>
      </c>
      <c r="K1447" s="25" t="s">
        <v>25</v>
      </c>
      <c r="L1447" s="25">
        <v>62</v>
      </c>
      <c r="M1447" s="25">
        <v>7.86</v>
      </c>
      <c r="N1447" s="25">
        <v>0</v>
      </c>
      <c r="O1447" s="25">
        <v>144.06</v>
      </c>
      <c r="P1447" s="25">
        <v>213.91739999999999</v>
      </c>
    </row>
    <row r="1448" spans="1:16" x14ac:dyDescent="0.25">
      <c r="A1448" s="26">
        <v>43119</v>
      </c>
      <c r="B1448" s="25" t="s">
        <v>128</v>
      </c>
      <c r="C1448" s="25" t="s">
        <v>17</v>
      </c>
      <c r="D1448" s="25">
        <v>1000</v>
      </c>
      <c r="E1448" s="25">
        <v>434.14</v>
      </c>
      <c r="F1448" s="25">
        <v>434142.5</v>
      </c>
      <c r="G1448" s="25" t="s">
        <v>254</v>
      </c>
      <c r="H1448" s="25">
        <v>2018015</v>
      </c>
      <c r="I1448" s="25" t="s">
        <v>19</v>
      </c>
      <c r="J1448" s="25" t="s">
        <v>20</v>
      </c>
      <c r="K1448" s="25" t="s">
        <v>25</v>
      </c>
      <c r="L1448" s="25">
        <v>0</v>
      </c>
      <c r="M1448" s="25">
        <v>14.11</v>
      </c>
      <c r="N1448" s="25">
        <v>191.7</v>
      </c>
      <c r="O1448" s="25">
        <v>258.68</v>
      </c>
      <c r="P1448" s="25">
        <v>464.48970000000003</v>
      </c>
    </row>
    <row r="1449" spans="1:16" x14ac:dyDescent="0.25">
      <c r="A1449" s="26">
        <v>43119</v>
      </c>
      <c r="B1449" s="25" t="s">
        <v>128</v>
      </c>
      <c r="C1449" s="25" t="s">
        <v>23</v>
      </c>
      <c r="D1449" s="25">
        <v>1000</v>
      </c>
      <c r="E1449" s="25">
        <v>425.86</v>
      </c>
      <c r="F1449" s="25">
        <v>425860.9</v>
      </c>
      <c r="G1449" s="25" t="s">
        <v>255</v>
      </c>
      <c r="H1449" s="25">
        <v>2018015</v>
      </c>
      <c r="I1449" s="25" t="s">
        <v>19</v>
      </c>
      <c r="J1449" s="25" t="s">
        <v>20</v>
      </c>
      <c r="K1449" s="25" t="s">
        <v>25</v>
      </c>
      <c r="L1449" s="25">
        <v>107.95</v>
      </c>
      <c r="M1449" s="25">
        <v>13.84</v>
      </c>
      <c r="N1449" s="25">
        <v>0</v>
      </c>
      <c r="O1449" s="25">
        <v>253.76</v>
      </c>
      <c r="P1449" s="25">
        <v>375.5505</v>
      </c>
    </row>
    <row r="1450" spans="1:16" x14ac:dyDescent="0.25">
      <c r="A1450" s="26">
        <v>43119</v>
      </c>
      <c r="B1450" s="25" t="s">
        <v>256</v>
      </c>
      <c r="C1450" s="25" t="s">
        <v>17</v>
      </c>
      <c r="D1450" s="25">
        <v>1000</v>
      </c>
      <c r="E1450" s="25">
        <v>580</v>
      </c>
      <c r="F1450" s="25">
        <v>580000</v>
      </c>
      <c r="G1450" s="25" t="s">
        <v>257</v>
      </c>
      <c r="H1450" s="25">
        <v>2018015</v>
      </c>
      <c r="I1450" s="25" t="s">
        <v>19</v>
      </c>
      <c r="J1450" s="25" t="s">
        <v>20</v>
      </c>
      <c r="K1450" s="25" t="s">
        <v>25</v>
      </c>
      <c r="L1450" s="25">
        <v>0</v>
      </c>
      <c r="M1450" s="25">
        <v>18.850000000000001</v>
      </c>
      <c r="N1450" s="25">
        <v>0</v>
      </c>
      <c r="O1450" s="25">
        <v>345.6</v>
      </c>
      <c r="P1450" s="25">
        <v>364.45</v>
      </c>
    </row>
    <row r="1451" spans="1:16" x14ac:dyDescent="0.25">
      <c r="A1451" s="26">
        <v>43119</v>
      </c>
      <c r="B1451" s="25" t="s">
        <v>256</v>
      </c>
      <c r="C1451" s="25" t="s">
        <v>23</v>
      </c>
      <c r="D1451" s="25">
        <v>1000</v>
      </c>
      <c r="E1451" s="25">
        <v>580.65</v>
      </c>
      <c r="F1451" s="25">
        <v>580650</v>
      </c>
      <c r="G1451" s="25" t="s">
        <v>258</v>
      </c>
      <c r="H1451" s="25">
        <v>2018015</v>
      </c>
      <c r="I1451" s="25" t="s">
        <v>19</v>
      </c>
      <c r="J1451" s="25" t="s">
        <v>20</v>
      </c>
      <c r="K1451" s="25" t="s">
        <v>25</v>
      </c>
      <c r="L1451" s="25">
        <v>145.66999999999999</v>
      </c>
      <c r="M1451" s="25">
        <v>18.87</v>
      </c>
      <c r="N1451" s="25">
        <v>0</v>
      </c>
      <c r="O1451" s="25">
        <v>345.98</v>
      </c>
      <c r="P1451" s="25">
        <v>510.52109999999999</v>
      </c>
    </row>
    <row r="1452" spans="1:16" x14ac:dyDescent="0.25">
      <c r="A1452" s="26">
        <v>43119</v>
      </c>
      <c r="B1452" s="25" t="s">
        <v>256</v>
      </c>
      <c r="C1452" s="25" t="s">
        <v>17</v>
      </c>
      <c r="D1452" s="25">
        <v>737</v>
      </c>
      <c r="E1452" s="25">
        <v>579</v>
      </c>
      <c r="F1452" s="25">
        <v>426723</v>
      </c>
      <c r="G1452" s="25" t="s">
        <v>259</v>
      </c>
      <c r="H1452" s="25">
        <v>2018015</v>
      </c>
      <c r="I1452" s="25" t="s">
        <v>19</v>
      </c>
      <c r="J1452" s="25" t="s">
        <v>20</v>
      </c>
      <c r="K1452" s="25" t="s">
        <v>25</v>
      </c>
      <c r="L1452" s="25">
        <v>0</v>
      </c>
      <c r="M1452" s="25">
        <v>13.87</v>
      </c>
      <c r="N1452" s="25">
        <v>0</v>
      </c>
      <c r="O1452" s="25">
        <v>254.26</v>
      </c>
      <c r="P1452" s="25">
        <v>268.12860000000001</v>
      </c>
    </row>
    <row r="1453" spans="1:16" x14ac:dyDescent="0.25">
      <c r="A1453" s="26">
        <v>43119</v>
      </c>
      <c r="B1453" s="25" t="s">
        <v>256</v>
      </c>
      <c r="C1453" s="25" t="s">
        <v>23</v>
      </c>
      <c r="D1453" s="25">
        <v>737</v>
      </c>
      <c r="E1453" s="25">
        <v>580</v>
      </c>
      <c r="F1453" s="25">
        <v>427460</v>
      </c>
      <c r="G1453" s="25" t="s">
        <v>260</v>
      </c>
      <c r="H1453" s="25">
        <v>2018015</v>
      </c>
      <c r="I1453" s="25" t="s">
        <v>19</v>
      </c>
      <c r="J1453" s="25" t="s">
        <v>20</v>
      </c>
      <c r="K1453" s="25" t="s">
        <v>25</v>
      </c>
      <c r="L1453" s="25">
        <v>107.36</v>
      </c>
      <c r="M1453" s="25">
        <v>13.89</v>
      </c>
      <c r="N1453" s="25">
        <v>0</v>
      </c>
      <c r="O1453" s="25">
        <v>254.7</v>
      </c>
      <c r="P1453" s="25">
        <v>375.95249999999999</v>
      </c>
    </row>
    <row r="1454" spans="1:16" x14ac:dyDescent="0.25">
      <c r="A1454" s="26">
        <v>43119</v>
      </c>
      <c r="B1454" s="25" t="s">
        <v>256</v>
      </c>
      <c r="C1454" s="25" t="s">
        <v>17</v>
      </c>
      <c r="D1454" s="25">
        <v>1000</v>
      </c>
      <c r="E1454" s="25">
        <v>579.75</v>
      </c>
      <c r="F1454" s="25">
        <v>579750</v>
      </c>
      <c r="G1454" s="25" t="s">
        <v>261</v>
      </c>
      <c r="H1454" s="25">
        <v>2018015</v>
      </c>
      <c r="I1454" s="25" t="s">
        <v>19</v>
      </c>
      <c r="J1454" s="25" t="s">
        <v>20</v>
      </c>
      <c r="K1454" s="25" t="s">
        <v>25</v>
      </c>
      <c r="L1454" s="25">
        <v>0</v>
      </c>
      <c r="M1454" s="25">
        <v>18.84</v>
      </c>
      <c r="N1454" s="25">
        <v>0</v>
      </c>
      <c r="O1454" s="25">
        <v>345.44</v>
      </c>
      <c r="P1454" s="25">
        <v>364.28179999999998</v>
      </c>
    </row>
    <row r="1455" spans="1:16" x14ac:dyDescent="0.25">
      <c r="A1455" s="26">
        <v>43119</v>
      </c>
      <c r="B1455" s="25" t="s">
        <v>256</v>
      </c>
      <c r="C1455" s="25" t="s">
        <v>23</v>
      </c>
      <c r="D1455" s="25">
        <v>730</v>
      </c>
      <c r="E1455" s="25">
        <v>581</v>
      </c>
      <c r="F1455" s="25">
        <v>424130</v>
      </c>
      <c r="G1455" s="25" t="s">
        <v>262</v>
      </c>
      <c r="H1455" s="25">
        <v>2018015</v>
      </c>
      <c r="I1455" s="25" t="s">
        <v>19</v>
      </c>
      <c r="J1455" s="25" t="s">
        <v>20</v>
      </c>
      <c r="K1455" s="25" t="s">
        <v>25</v>
      </c>
      <c r="L1455" s="25">
        <v>106.34</v>
      </c>
      <c r="M1455" s="25">
        <v>13.78</v>
      </c>
      <c r="N1455" s="25">
        <v>0</v>
      </c>
      <c r="O1455" s="25">
        <v>252.72</v>
      </c>
      <c r="P1455" s="25">
        <v>372.84429999999998</v>
      </c>
    </row>
    <row r="1456" spans="1:16" x14ac:dyDescent="0.25">
      <c r="A1456" s="26">
        <v>43119</v>
      </c>
      <c r="B1456" s="25" t="s">
        <v>256</v>
      </c>
      <c r="C1456" s="25" t="s">
        <v>23</v>
      </c>
      <c r="D1456" s="25">
        <v>270</v>
      </c>
      <c r="E1456" s="25">
        <v>581.5</v>
      </c>
      <c r="F1456" s="25">
        <v>157005</v>
      </c>
      <c r="G1456" s="25" t="s">
        <v>263</v>
      </c>
      <c r="H1456" s="25">
        <v>2018015</v>
      </c>
      <c r="I1456" s="25" t="s">
        <v>19</v>
      </c>
      <c r="J1456" s="25" t="s">
        <v>20</v>
      </c>
      <c r="K1456" s="25" t="s">
        <v>25</v>
      </c>
      <c r="L1456" s="25">
        <v>39.33</v>
      </c>
      <c r="M1456" s="25">
        <v>5.0999999999999996</v>
      </c>
      <c r="N1456" s="25">
        <v>0</v>
      </c>
      <c r="O1456" s="25">
        <v>93.55</v>
      </c>
      <c r="P1456" s="25">
        <v>137.98269999999999</v>
      </c>
    </row>
    <row r="1457" spans="1:16" x14ac:dyDescent="0.25">
      <c r="A1457" s="26">
        <v>43119</v>
      </c>
      <c r="B1457" s="25" t="s">
        <v>256</v>
      </c>
      <c r="C1457" s="25" t="s">
        <v>17</v>
      </c>
      <c r="D1457" s="25">
        <v>1000</v>
      </c>
      <c r="E1457" s="25">
        <v>585.5</v>
      </c>
      <c r="F1457" s="25">
        <v>585500</v>
      </c>
      <c r="G1457" s="25" t="s">
        <v>264</v>
      </c>
      <c r="H1457" s="25">
        <v>2018015</v>
      </c>
      <c r="I1457" s="25" t="s">
        <v>19</v>
      </c>
      <c r="J1457" s="25" t="s">
        <v>20</v>
      </c>
      <c r="K1457" s="25" t="s">
        <v>25</v>
      </c>
      <c r="L1457" s="25">
        <v>0</v>
      </c>
      <c r="M1457" s="25">
        <v>19.03</v>
      </c>
      <c r="N1457" s="25">
        <v>0</v>
      </c>
      <c r="O1457" s="25">
        <v>348.87</v>
      </c>
      <c r="P1457" s="25">
        <v>367.89879999999999</v>
      </c>
    </row>
    <row r="1458" spans="1:16" x14ac:dyDescent="0.25">
      <c r="A1458" s="26">
        <v>43119</v>
      </c>
      <c r="B1458" s="25" t="s">
        <v>256</v>
      </c>
      <c r="C1458" s="25" t="s">
        <v>23</v>
      </c>
      <c r="D1458" s="25">
        <v>1000</v>
      </c>
      <c r="E1458" s="25">
        <v>587</v>
      </c>
      <c r="F1458" s="25">
        <v>587000</v>
      </c>
      <c r="G1458" s="25" t="s">
        <v>265</v>
      </c>
      <c r="H1458" s="25">
        <v>2018015</v>
      </c>
      <c r="I1458" s="25" t="s">
        <v>19</v>
      </c>
      <c r="J1458" s="25" t="s">
        <v>20</v>
      </c>
      <c r="K1458" s="25" t="s">
        <v>25</v>
      </c>
      <c r="L1458" s="25">
        <v>145.66999999999999</v>
      </c>
      <c r="M1458" s="25">
        <v>19.079999999999998</v>
      </c>
      <c r="N1458" s="25">
        <v>0</v>
      </c>
      <c r="O1458" s="25">
        <v>349.76</v>
      </c>
      <c r="P1458" s="25">
        <v>514.50750000000005</v>
      </c>
    </row>
    <row r="1459" spans="1:16" x14ac:dyDescent="0.25">
      <c r="A1459" s="26">
        <v>43119</v>
      </c>
      <c r="B1459" s="25" t="s">
        <v>256</v>
      </c>
      <c r="C1459" s="25" t="s">
        <v>17</v>
      </c>
      <c r="D1459" s="25">
        <v>1000</v>
      </c>
      <c r="E1459" s="25">
        <v>586.5</v>
      </c>
      <c r="F1459" s="25">
        <v>586500</v>
      </c>
      <c r="G1459" s="25" t="s">
        <v>266</v>
      </c>
      <c r="H1459" s="25">
        <v>2018015</v>
      </c>
      <c r="I1459" s="25" t="s">
        <v>19</v>
      </c>
      <c r="J1459" s="25" t="s">
        <v>20</v>
      </c>
      <c r="K1459" s="25" t="s">
        <v>25</v>
      </c>
      <c r="L1459" s="25">
        <v>0</v>
      </c>
      <c r="M1459" s="25">
        <v>19.059999999999999</v>
      </c>
      <c r="N1459" s="25">
        <v>0</v>
      </c>
      <c r="O1459" s="25">
        <v>349.47</v>
      </c>
      <c r="P1459" s="25">
        <v>368.53129999999999</v>
      </c>
    </row>
    <row r="1460" spans="1:16" x14ac:dyDescent="0.25">
      <c r="A1460" s="26">
        <v>43119</v>
      </c>
      <c r="B1460" s="25" t="s">
        <v>256</v>
      </c>
      <c r="C1460" s="25" t="s">
        <v>23</v>
      </c>
      <c r="D1460" s="25">
        <v>1000</v>
      </c>
      <c r="E1460" s="25">
        <v>585.70000000000005</v>
      </c>
      <c r="F1460" s="25">
        <v>585696.9</v>
      </c>
      <c r="G1460" s="25" t="s">
        <v>267</v>
      </c>
      <c r="H1460" s="25">
        <v>2018015</v>
      </c>
      <c r="I1460" s="25" t="s">
        <v>19</v>
      </c>
      <c r="J1460" s="25" t="s">
        <v>20</v>
      </c>
      <c r="K1460" s="25" t="s">
        <v>25</v>
      </c>
      <c r="L1460" s="25">
        <v>145.66999999999999</v>
      </c>
      <c r="M1460" s="25">
        <v>19.04</v>
      </c>
      <c r="N1460" s="25">
        <v>0</v>
      </c>
      <c r="O1460" s="25">
        <v>348.99</v>
      </c>
      <c r="P1460" s="25">
        <v>513.69510000000002</v>
      </c>
    </row>
    <row r="1461" spans="1:16" x14ac:dyDescent="0.25">
      <c r="A1461" s="26">
        <v>43118</v>
      </c>
      <c r="B1461" s="25" t="s">
        <v>245</v>
      </c>
      <c r="C1461" s="25" t="s">
        <v>17</v>
      </c>
      <c r="D1461" s="25">
        <v>1000</v>
      </c>
      <c r="E1461" s="25">
        <v>104.43</v>
      </c>
      <c r="F1461" s="25">
        <v>104426.8</v>
      </c>
      <c r="G1461" s="25" t="s">
        <v>246</v>
      </c>
      <c r="H1461" s="25">
        <v>2018014</v>
      </c>
      <c r="I1461" s="25" t="s">
        <v>19</v>
      </c>
      <c r="J1461" s="25" t="s">
        <v>1634</v>
      </c>
      <c r="K1461" s="25" t="s">
        <v>25</v>
      </c>
      <c r="L1461" s="25">
        <v>104.43</v>
      </c>
      <c r="M1461" s="25">
        <v>3.39</v>
      </c>
      <c r="N1461" s="25">
        <v>0</v>
      </c>
      <c r="O1461" s="25">
        <v>678.34</v>
      </c>
      <c r="P1461" s="25">
        <v>786.16390000000001</v>
      </c>
    </row>
    <row r="1462" spans="1:16" x14ac:dyDescent="0.25">
      <c r="A1462" s="26">
        <v>43118</v>
      </c>
      <c r="B1462" s="25" t="s">
        <v>247</v>
      </c>
      <c r="C1462" s="25" t="s">
        <v>17</v>
      </c>
      <c r="D1462" s="25">
        <v>1000</v>
      </c>
      <c r="E1462" s="25">
        <v>415.95</v>
      </c>
      <c r="F1462" s="25">
        <v>415948.75</v>
      </c>
      <c r="G1462" s="25" t="s">
        <v>248</v>
      </c>
      <c r="H1462" s="25">
        <v>2018014</v>
      </c>
      <c r="I1462" s="25" t="s">
        <v>19</v>
      </c>
      <c r="J1462" s="25" t="s">
        <v>20</v>
      </c>
      <c r="K1462" s="25" t="s">
        <v>25</v>
      </c>
      <c r="L1462" s="25">
        <v>0</v>
      </c>
      <c r="M1462" s="25">
        <v>13.52</v>
      </c>
      <c r="N1462" s="25">
        <v>0</v>
      </c>
      <c r="O1462" s="25">
        <v>247.85</v>
      </c>
      <c r="P1462" s="25">
        <v>261.36829999999998</v>
      </c>
    </row>
    <row r="1463" spans="1:16" x14ac:dyDescent="0.25">
      <c r="A1463" s="26">
        <v>43118</v>
      </c>
      <c r="B1463" s="25" t="s">
        <v>247</v>
      </c>
      <c r="C1463" s="25" t="s">
        <v>23</v>
      </c>
      <c r="D1463" s="25">
        <v>1000</v>
      </c>
      <c r="E1463" s="25">
        <v>410.55</v>
      </c>
      <c r="F1463" s="25">
        <v>410550.55</v>
      </c>
      <c r="G1463" s="25" t="s">
        <v>249</v>
      </c>
      <c r="H1463" s="25">
        <v>2018014</v>
      </c>
      <c r="I1463" s="25" t="s">
        <v>19</v>
      </c>
      <c r="J1463" s="25" t="s">
        <v>20</v>
      </c>
      <c r="K1463" s="25" t="s">
        <v>25</v>
      </c>
      <c r="L1463" s="25">
        <v>103.31</v>
      </c>
      <c r="M1463" s="25">
        <v>13.34</v>
      </c>
      <c r="N1463" s="25">
        <v>0</v>
      </c>
      <c r="O1463" s="25">
        <v>244.61</v>
      </c>
      <c r="P1463" s="25">
        <v>361.2629</v>
      </c>
    </row>
    <row r="1464" spans="1:16" x14ac:dyDescent="0.25">
      <c r="A1464" s="26">
        <v>43118</v>
      </c>
      <c r="B1464" s="25" t="s">
        <v>226</v>
      </c>
      <c r="C1464" s="25" t="s">
        <v>23</v>
      </c>
      <c r="D1464" s="25">
        <v>1000</v>
      </c>
      <c r="E1464" s="25">
        <v>597.57000000000005</v>
      </c>
      <c r="F1464" s="25">
        <v>597570.6</v>
      </c>
      <c r="G1464" s="25" t="s">
        <v>250</v>
      </c>
      <c r="H1464" s="25">
        <v>2018014</v>
      </c>
      <c r="I1464" s="25" t="s">
        <v>19</v>
      </c>
      <c r="J1464" s="25" t="s">
        <v>1634</v>
      </c>
      <c r="K1464" s="25" t="s">
        <v>25</v>
      </c>
      <c r="L1464" s="25">
        <v>597.26</v>
      </c>
      <c r="M1464" s="25">
        <v>19.420000000000002</v>
      </c>
      <c r="N1464" s="25">
        <v>45.9</v>
      </c>
      <c r="O1464" s="25">
        <v>3881.72</v>
      </c>
      <c r="P1464" s="25">
        <v>4544.3009000000002</v>
      </c>
    </row>
    <row r="1465" spans="1:16" x14ac:dyDescent="0.25">
      <c r="A1465" s="26">
        <v>43117</v>
      </c>
      <c r="B1465" s="25" t="s">
        <v>128</v>
      </c>
      <c r="C1465" s="25" t="s">
        <v>23</v>
      </c>
      <c r="D1465" s="25">
        <v>1000</v>
      </c>
      <c r="E1465" s="25">
        <v>430.06</v>
      </c>
      <c r="F1465" s="25">
        <v>430060.45</v>
      </c>
      <c r="G1465" s="25" t="s">
        <v>220</v>
      </c>
      <c r="H1465" s="25">
        <v>2018013</v>
      </c>
      <c r="I1465" s="25" t="s">
        <v>19</v>
      </c>
      <c r="J1465" s="25" t="s">
        <v>1634</v>
      </c>
      <c r="K1465" s="25" t="s">
        <v>25</v>
      </c>
      <c r="L1465" s="25">
        <v>430.06</v>
      </c>
      <c r="M1465" s="25">
        <v>13.98</v>
      </c>
      <c r="N1465" s="25">
        <v>0</v>
      </c>
      <c r="O1465" s="25">
        <v>2793.61</v>
      </c>
      <c r="P1465" s="25">
        <v>3237.6471000000001</v>
      </c>
    </row>
    <row r="1466" spans="1:16" x14ac:dyDescent="0.25">
      <c r="A1466" s="26">
        <v>43117</v>
      </c>
      <c r="B1466" s="25" t="s">
        <v>177</v>
      </c>
      <c r="C1466" s="25" t="s">
        <v>23</v>
      </c>
      <c r="D1466" s="25">
        <v>2878</v>
      </c>
      <c r="E1466" s="25">
        <v>14.65</v>
      </c>
      <c r="F1466" s="25">
        <v>42162.7</v>
      </c>
      <c r="G1466" s="25" t="s">
        <v>221</v>
      </c>
      <c r="H1466" s="25">
        <v>2018013</v>
      </c>
      <c r="I1466" s="25" t="s">
        <v>19</v>
      </c>
      <c r="J1466" s="25" t="s">
        <v>1634</v>
      </c>
      <c r="K1466" s="25" t="s">
        <v>25</v>
      </c>
      <c r="L1466" s="25">
        <v>42.16</v>
      </c>
      <c r="M1466" s="25">
        <v>1.37</v>
      </c>
      <c r="N1466" s="25">
        <v>0</v>
      </c>
      <c r="O1466" s="25">
        <v>273.88</v>
      </c>
      <c r="P1466" s="25">
        <v>317.41019999999997</v>
      </c>
    </row>
    <row r="1467" spans="1:16" x14ac:dyDescent="0.25">
      <c r="A1467" s="26">
        <v>43117</v>
      </c>
      <c r="B1467" s="25" t="s">
        <v>190</v>
      </c>
      <c r="C1467" s="25" t="s">
        <v>23</v>
      </c>
      <c r="D1467" s="25">
        <v>5000</v>
      </c>
      <c r="E1467" s="25">
        <v>13.4</v>
      </c>
      <c r="F1467" s="25">
        <v>67000</v>
      </c>
      <c r="G1467" s="25" t="s">
        <v>222</v>
      </c>
      <c r="H1467" s="25">
        <v>2018013</v>
      </c>
      <c r="I1467" s="25" t="s">
        <v>140</v>
      </c>
      <c r="J1467" s="25" t="s">
        <v>20</v>
      </c>
      <c r="K1467" s="25" t="s">
        <v>25</v>
      </c>
      <c r="L1467" s="25">
        <v>67</v>
      </c>
      <c r="M1467" s="25">
        <v>2.1800000000000002</v>
      </c>
      <c r="N1467" s="25">
        <v>2.1</v>
      </c>
      <c r="O1467" s="25">
        <v>435.22</v>
      </c>
      <c r="P1467" s="25">
        <v>506.4975</v>
      </c>
    </row>
    <row r="1468" spans="1:16" x14ac:dyDescent="0.25">
      <c r="A1468" s="26">
        <v>43117</v>
      </c>
      <c r="B1468" s="25" t="s">
        <v>26</v>
      </c>
      <c r="C1468" s="25" t="s">
        <v>17</v>
      </c>
      <c r="D1468" s="25">
        <v>1000</v>
      </c>
      <c r="E1468" s="25">
        <v>150.35</v>
      </c>
      <c r="F1468" s="25">
        <v>150345.35</v>
      </c>
      <c r="G1468" s="25" t="s">
        <v>223</v>
      </c>
      <c r="H1468" s="25">
        <v>2018013</v>
      </c>
      <c r="I1468" s="25" t="s">
        <v>19</v>
      </c>
      <c r="J1468" s="25" t="s">
        <v>20</v>
      </c>
      <c r="K1468" s="25" t="s">
        <v>25</v>
      </c>
      <c r="L1468" s="25">
        <v>0</v>
      </c>
      <c r="M1468" s="25">
        <v>4.8899999999999997</v>
      </c>
      <c r="N1468" s="25">
        <v>0</v>
      </c>
      <c r="O1468" s="25">
        <v>89.58</v>
      </c>
      <c r="P1468" s="25">
        <v>94.466200000000001</v>
      </c>
    </row>
    <row r="1469" spans="1:16" x14ac:dyDescent="0.25">
      <c r="A1469" s="26">
        <v>43117</v>
      </c>
      <c r="B1469" s="25" t="s">
        <v>26</v>
      </c>
      <c r="C1469" s="25" t="s">
        <v>23</v>
      </c>
      <c r="D1469" s="25">
        <v>2500</v>
      </c>
      <c r="E1469" s="25">
        <v>148.38</v>
      </c>
      <c r="F1469" s="25">
        <v>370944.5</v>
      </c>
      <c r="G1469" s="25" t="s">
        <v>224</v>
      </c>
      <c r="H1469" s="25">
        <v>2018013</v>
      </c>
      <c r="I1469" s="25" t="s">
        <v>19</v>
      </c>
      <c r="J1469" s="25" t="s">
        <v>20</v>
      </c>
      <c r="K1469" s="25" t="s">
        <v>25</v>
      </c>
      <c r="L1469" s="25">
        <v>92.78</v>
      </c>
      <c r="M1469" s="25">
        <v>12.06</v>
      </c>
      <c r="N1469" s="25">
        <v>0</v>
      </c>
      <c r="O1469" s="25">
        <v>221.02</v>
      </c>
      <c r="P1469" s="25">
        <v>325.85550000000001</v>
      </c>
    </row>
    <row r="1470" spans="1:16" x14ac:dyDescent="0.25">
      <c r="A1470" s="26">
        <v>43117</v>
      </c>
      <c r="B1470" s="25" t="s">
        <v>26</v>
      </c>
      <c r="C1470" s="25" t="s">
        <v>17</v>
      </c>
      <c r="D1470" s="25">
        <v>1500</v>
      </c>
      <c r="E1470" s="25">
        <v>149.5</v>
      </c>
      <c r="F1470" s="25">
        <v>224250</v>
      </c>
      <c r="G1470" s="25" t="s">
        <v>225</v>
      </c>
      <c r="H1470" s="25">
        <v>2018013</v>
      </c>
      <c r="I1470" s="25" t="s">
        <v>19</v>
      </c>
      <c r="J1470" s="25" t="s">
        <v>20</v>
      </c>
      <c r="K1470" s="25" t="s">
        <v>25</v>
      </c>
      <c r="L1470" s="25">
        <v>0</v>
      </c>
      <c r="M1470" s="25">
        <v>7.29</v>
      </c>
      <c r="N1470" s="25">
        <v>54.6</v>
      </c>
      <c r="O1470" s="25">
        <v>133.62</v>
      </c>
      <c r="P1470" s="25">
        <v>195.50819999999999</v>
      </c>
    </row>
    <row r="1471" spans="1:16" x14ac:dyDescent="0.25">
      <c r="A1471" s="26">
        <v>43117</v>
      </c>
      <c r="B1471" s="25" t="s">
        <v>226</v>
      </c>
      <c r="C1471" s="25" t="s">
        <v>17</v>
      </c>
      <c r="D1471" s="25">
        <v>1000</v>
      </c>
      <c r="E1471" s="25">
        <v>595</v>
      </c>
      <c r="F1471" s="25">
        <v>595000</v>
      </c>
      <c r="G1471" s="25" t="s">
        <v>227</v>
      </c>
      <c r="H1471" s="25">
        <v>2018013</v>
      </c>
      <c r="I1471" s="25" t="s">
        <v>19</v>
      </c>
      <c r="J1471" s="25" t="s">
        <v>1634</v>
      </c>
      <c r="K1471" s="25" t="s">
        <v>25</v>
      </c>
      <c r="L1471" s="25">
        <v>595</v>
      </c>
      <c r="M1471" s="25">
        <v>19.34</v>
      </c>
      <c r="N1471" s="25">
        <v>0</v>
      </c>
      <c r="O1471" s="25">
        <v>3865.03</v>
      </c>
      <c r="P1471" s="25">
        <v>4479.3674000000001</v>
      </c>
    </row>
    <row r="1472" spans="1:16" x14ac:dyDescent="0.25">
      <c r="A1472" s="26">
        <v>43116</v>
      </c>
      <c r="B1472" s="25" t="s">
        <v>177</v>
      </c>
      <c r="C1472" s="25" t="s">
        <v>23</v>
      </c>
      <c r="D1472" s="25">
        <v>2122</v>
      </c>
      <c r="E1472" s="25">
        <v>15.3</v>
      </c>
      <c r="F1472" s="25">
        <v>32466.6</v>
      </c>
      <c r="G1472" s="25" t="s">
        <v>228</v>
      </c>
      <c r="H1472" s="25">
        <v>2018012</v>
      </c>
      <c r="I1472" s="25" t="s">
        <v>19</v>
      </c>
      <c r="J1472" s="25" t="s">
        <v>1634</v>
      </c>
      <c r="K1472" s="25" t="s">
        <v>25</v>
      </c>
      <c r="L1472" s="25">
        <v>31.89</v>
      </c>
      <c r="M1472" s="25">
        <v>1.06</v>
      </c>
      <c r="N1472" s="25">
        <v>2.4</v>
      </c>
      <c r="O1472" s="25">
        <v>210.9</v>
      </c>
      <c r="P1472" s="25">
        <v>246.24520000000001</v>
      </c>
    </row>
    <row r="1473" spans="1:16" x14ac:dyDescent="0.25">
      <c r="A1473" s="26">
        <v>43116</v>
      </c>
      <c r="B1473" s="25" t="s">
        <v>177</v>
      </c>
      <c r="C1473" s="25" t="s">
        <v>23</v>
      </c>
      <c r="D1473" s="25">
        <v>2500</v>
      </c>
      <c r="E1473" s="25">
        <v>15.2</v>
      </c>
      <c r="F1473" s="25">
        <v>38000</v>
      </c>
      <c r="G1473" s="25" t="s">
        <v>229</v>
      </c>
      <c r="H1473" s="25">
        <v>2018012</v>
      </c>
      <c r="I1473" s="25" t="s">
        <v>19</v>
      </c>
      <c r="J1473" s="25" t="s">
        <v>1634</v>
      </c>
      <c r="K1473" s="25" t="s">
        <v>25</v>
      </c>
      <c r="L1473" s="25">
        <v>38.11</v>
      </c>
      <c r="M1473" s="25">
        <v>1.24</v>
      </c>
      <c r="N1473" s="25">
        <v>0</v>
      </c>
      <c r="O1473" s="25">
        <v>246.84</v>
      </c>
      <c r="P1473" s="25">
        <v>286.185</v>
      </c>
    </row>
    <row r="1474" spans="1:16" x14ac:dyDescent="0.25">
      <c r="A1474" s="26">
        <v>43115</v>
      </c>
      <c r="B1474" s="25" t="s">
        <v>230</v>
      </c>
      <c r="C1474" s="25" t="s">
        <v>17</v>
      </c>
      <c r="D1474" s="25">
        <v>1000</v>
      </c>
      <c r="E1474" s="25">
        <v>63.95</v>
      </c>
      <c r="F1474" s="25">
        <v>63950</v>
      </c>
      <c r="G1474" s="25" t="s">
        <v>231</v>
      </c>
      <c r="H1474" s="25">
        <v>2018011</v>
      </c>
      <c r="I1474" s="25" t="s">
        <v>19</v>
      </c>
      <c r="J1474" s="25" t="s">
        <v>20</v>
      </c>
      <c r="K1474" s="25" t="s">
        <v>25</v>
      </c>
      <c r="L1474" s="25">
        <v>0</v>
      </c>
      <c r="M1474" s="25">
        <v>2.08</v>
      </c>
      <c r="N1474" s="25">
        <v>0</v>
      </c>
      <c r="O1474" s="25">
        <v>38.1</v>
      </c>
      <c r="P1474" s="25">
        <v>40.178400000000003</v>
      </c>
    </row>
    <row r="1475" spans="1:16" x14ac:dyDescent="0.25">
      <c r="A1475" s="26">
        <v>43115</v>
      </c>
      <c r="B1475" s="25" t="s">
        <v>230</v>
      </c>
      <c r="C1475" s="25" t="s">
        <v>23</v>
      </c>
      <c r="D1475" s="25">
        <v>1000</v>
      </c>
      <c r="E1475" s="25">
        <v>62.88</v>
      </c>
      <c r="F1475" s="25">
        <v>62875</v>
      </c>
      <c r="G1475" s="25" t="s">
        <v>232</v>
      </c>
      <c r="H1475" s="25">
        <v>2018011</v>
      </c>
      <c r="I1475" s="25" t="s">
        <v>19</v>
      </c>
      <c r="J1475" s="25" t="s">
        <v>20</v>
      </c>
      <c r="K1475" s="25" t="s">
        <v>25</v>
      </c>
      <c r="L1475" s="25">
        <v>15.85</v>
      </c>
      <c r="M1475" s="25">
        <v>2.04</v>
      </c>
      <c r="N1475" s="25">
        <v>0</v>
      </c>
      <c r="O1475" s="25">
        <v>37.47</v>
      </c>
      <c r="P1475" s="25">
        <v>55.363599999999998</v>
      </c>
    </row>
    <row r="1476" spans="1:16" x14ac:dyDescent="0.25">
      <c r="A1476" s="26">
        <v>43115</v>
      </c>
      <c r="B1476" s="25" t="s">
        <v>233</v>
      </c>
      <c r="C1476" s="25" t="s">
        <v>17</v>
      </c>
      <c r="D1476" s="25">
        <v>100</v>
      </c>
      <c r="E1476" s="25">
        <v>956.3</v>
      </c>
      <c r="F1476" s="25">
        <v>95630</v>
      </c>
      <c r="G1476" s="25" t="s">
        <v>234</v>
      </c>
      <c r="H1476" s="25">
        <v>2018011</v>
      </c>
      <c r="I1476" s="25" t="s">
        <v>19</v>
      </c>
      <c r="J1476" s="25" t="s">
        <v>20</v>
      </c>
      <c r="K1476" s="25" t="s">
        <v>25</v>
      </c>
      <c r="L1476" s="25">
        <v>0</v>
      </c>
      <c r="M1476" s="25">
        <v>3.11</v>
      </c>
      <c r="N1476" s="25">
        <v>0</v>
      </c>
      <c r="O1476" s="25">
        <v>56.98</v>
      </c>
      <c r="P1476" s="25">
        <v>60.087899999999998</v>
      </c>
    </row>
    <row r="1477" spans="1:16" x14ac:dyDescent="0.25">
      <c r="A1477" s="26">
        <v>43115</v>
      </c>
      <c r="B1477" s="25" t="s">
        <v>233</v>
      </c>
      <c r="C1477" s="25" t="s">
        <v>23</v>
      </c>
      <c r="D1477" s="25">
        <v>100</v>
      </c>
      <c r="E1477" s="25">
        <v>954</v>
      </c>
      <c r="F1477" s="25">
        <v>95400</v>
      </c>
      <c r="G1477" s="25" t="s">
        <v>235</v>
      </c>
      <c r="H1477" s="25">
        <v>2018011</v>
      </c>
      <c r="I1477" s="25" t="s">
        <v>19</v>
      </c>
      <c r="J1477" s="25" t="s">
        <v>20</v>
      </c>
      <c r="K1477" s="25" t="s">
        <v>25</v>
      </c>
      <c r="L1477" s="25">
        <v>23.88</v>
      </c>
      <c r="M1477" s="25">
        <v>3.1</v>
      </c>
      <c r="N1477" s="25">
        <v>0</v>
      </c>
      <c r="O1477" s="25">
        <v>56.84</v>
      </c>
      <c r="P1477" s="25">
        <v>83.820499999999996</v>
      </c>
    </row>
    <row r="1478" spans="1:16" x14ac:dyDescent="0.25">
      <c r="A1478" s="26">
        <v>43115</v>
      </c>
      <c r="B1478" s="25" t="s">
        <v>26</v>
      </c>
      <c r="C1478" s="25" t="s">
        <v>17</v>
      </c>
      <c r="D1478" s="25">
        <v>1000</v>
      </c>
      <c r="E1478" s="25">
        <v>140.75</v>
      </c>
      <c r="F1478" s="25">
        <v>140750</v>
      </c>
      <c r="G1478" s="25" t="s">
        <v>236</v>
      </c>
      <c r="H1478" s="25">
        <v>2018011</v>
      </c>
      <c r="I1478" s="25" t="s">
        <v>19</v>
      </c>
      <c r="J1478" s="25" t="s">
        <v>20</v>
      </c>
      <c r="K1478" s="25" t="s">
        <v>25</v>
      </c>
      <c r="L1478" s="25">
        <v>0</v>
      </c>
      <c r="M1478" s="25">
        <v>4.57</v>
      </c>
      <c r="N1478" s="25">
        <v>0</v>
      </c>
      <c r="O1478" s="25">
        <v>83.85</v>
      </c>
      <c r="P1478" s="25">
        <v>88.424800000000005</v>
      </c>
    </row>
    <row r="1479" spans="1:16" x14ac:dyDescent="0.25">
      <c r="A1479" s="26">
        <v>43115</v>
      </c>
      <c r="B1479" s="25" t="s">
        <v>237</v>
      </c>
      <c r="C1479" s="25" t="s">
        <v>17</v>
      </c>
      <c r="D1479" s="25">
        <v>1000</v>
      </c>
      <c r="E1479" s="25">
        <v>291.75</v>
      </c>
      <c r="F1479" s="25">
        <v>291750</v>
      </c>
      <c r="G1479" s="25" t="s">
        <v>238</v>
      </c>
      <c r="H1479" s="25">
        <v>2018011</v>
      </c>
      <c r="I1479" s="25" t="s">
        <v>19</v>
      </c>
      <c r="J1479" s="25" t="s">
        <v>20</v>
      </c>
      <c r="K1479" s="25" t="s">
        <v>25</v>
      </c>
      <c r="L1479" s="25">
        <v>0</v>
      </c>
      <c r="M1479" s="25">
        <v>9.48</v>
      </c>
      <c r="N1479" s="25">
        <v>0</v>
      </c>
      <c r="O1479" s="25">
        <v>173.84</v>
      </c>
      <c r="P1479" s="25">
        <v>183.3219</v>
      </c>
    </row>
    <row r="1480" spans="1:16" x14ac:dyDescent="0.25">
      <c r="A1480" s="26">
        <v>43115</v>
      </c>
      <c r="B1480" s="25" t="s">
        <v>26</v>
      </c>
      <c r="C1480" s="25" t="s">
        <v>23</v>
      </c>
      <c r="D1480" s="25">
        <v>1000</v>
      </c>
      <c r="E1480" s="25">
        <v>142.25</v>
      </c>
      <c r="F1480" s="25">
        <v>142250</v>
      </c>
      <c r="G1480" s="25" t="s">
        <v>239</v>
      </c>
      <c r="H1480" s="25">
        <v>2018011</v>
      </c>
      <c r="I1480" s="25" t="s">
        <v>19</v>
      </c>
      <c r="J1480" s="25" t="s">
        <v>20</v>
      </c>
      <c r="K1480" s="25" t="s">
        <v>25</v>
      </c>
      <c r="L1480" s="25">
        <v>35.380000000000003</v>
      </c>
      <c r="M1480" s="25">
        <v>4.62</v>
      </c>
      <c r="N1480" s="25">
        <v>0</v>
      </c>
      <c r="O1480" s="25">
        <v>84.76</v>
      </c>
      <c r="P1480" s="25">
        <v>124.7632</v>
      </c>
    </row>
    <row r="1481" spans="1:16" x14ac:dyDescent="0.25">
      <c r="A1481" s="26">
        <v>43115</v>
      </c>
      <c r="B1481" s="25" t="s">
        <v>51</v>
      </c>
      <c r="C1481" s="25" t="s">
        <v>17</v>
      </c>
      <c r="D1481" s="25">
        <v>71</v>
      </c>
      <c r="E1481" s="25">
        <v>335.6</v>
      </c>
      <c r="F1481" s="25">
        <v>23827.599999999999</v>
      </c>
      <c r="G1481" s="25" t="s">
        <v>240</v>
      </c>
      <c r="H1481" s="25">
        <v>2018011</v>
      </c>
      <c r="I1481" s="25" t="s">
        <v>19</v>
      </c>
      <c r="J1481" s="25" t="s">
        <v>20</v>
      </c>
      <c r="K1481" s="25" t="s">
        <v>25</v>
      </c>
      <c r="L1481" s="25">
        <v>0</v>
      </c>
      <c r="M1481" s="25">
        <v>0.77</v>
      </c>
      <c r="N1481" s="25">
        <v>53.1</v>
      </c>
      <c r="O1481" s="25">
        <v>29.64</v>
      </c>
      <c r="P1481" s="25">
        <v>83.514399999999995</v>
      </c>
    </row>
    <row r="1482" spans="1:16" x14ac:dyDescent="0.25">
      <c r="A1482" s="26">
        <v>43115</v>
      </c>
      <c r="B1482" s="25" t="s">
        <v>51</v>
      </c>
      <c r="C1482" s="25" t="s">
        <v>23</v>
      </c>
      <c r="D1482" s="25">
        <v>71</v>
      </c>
      <c r="E1482" s="25">
        <v>337.5</v>
      </c>
      <c r="F1482" s="25">
        <v>23962.5</v>
      </c>
      <c r="G1482" s="25" t="s">
        <v>241</v>
      </c>
      <c r="H1482" s="25">
        <v>2018011</v>
      </c>
      <c r="I1482" s="25" t="s">
        <v>19</v>
      </c>
      <c r="J1482" s="25" t="s">
        <v>20</v>
      </c>
      <c r="K1482" s="25" t="s">
        <v>25</v>
      </c>
      <c r="L1482" s="25">
        <v>5.97</v>
      </c>
      <c r="M1482" s="25">
        <v>0.78</v>
      </c>
      <c r="N1482" s="25">
        <v>0</v>
      </c>
      <c r="O1482" s="25">
        <v>29.64</v>
      </c>
      <c r="P1482" s="25">
        <v>36.3887</v>
      </c>
    </row>
    <row r="1483" spans="1:16" x14ac:dyDescent="0.25">
      <c r="A1483" s="26">
        <v>43115</v>
      </c>
      <c r="B1483" s="25" t="s">
        <v>177</v>
      </c>
      <c r="C1483" s="25" t="s">
        <v>17</v>
      </c>
      <c r="D1483" s="25">
        <v>5000</v>
      </c>
      <c r="E1483" s="25">
        <v>16.149999999999999</v>
      </c>
      <c r="F1483" s="25">
        <v>80750</v>
      </c>
      <c r="G1483" s="25" t="s">
        <v>242</v>
      </c>
      <c r="H1483" s="25">
        <v>2018011</v>
      </c>
      <c r="I1483" s="25" t="s">
        <v>19</v>
      </c>
      <c r="J1483" s="25" t="s">
        <v>1634</v>
      </c>
      <c r="K1483" s="25" t="s">
        <v>25</v>
      </c>
      <c r="L1483" s="25">
        <v>80.75</v>
      </c>
      <c r="M1483" s="25">
        <v>2.62</v>
      </c>
      <c r="N1483" s="25">
        <v>0</v>
      </c>
      <c r="O1483" s="25">
        <v>524.54</v>
      </c>
      <c r="P1483" s="25">
        <v>607.9144</v>
      </c>
    </row>
    <row r="1484" spans="1:16" x14ac:dyDescent="0.25">
      <c r="A1484" s="26">
        <v>43115</v>
      </c>
      <c r="B1484" s="25" t="s">
        <v>128</v>
      </c>
      <c r="C1484" s="25" t="s">
        <v>17</v>
      </c>
      <c r="D1484" s="25">
        <v>1000</v>
      </c>
      <c r="E1484" s="25">
        <v>455</v>
      </c>
      <c r="F1484" s="25">
        <v>455000</v>
      </c>
      <c r="G1484" s="25" t="s">
        <v>243</v>
      </c>
      <c r="H1484" s="25">
        <v>2018011</v>
      </c>
      <c r="I1484" s="25" t="s">
        <v>19</v>
      </c>
      <c r="J1484" s="25" t="s">
        <v>1634</v>
      </c>
      <c r="K1484" s="25" t="s">
        <v>25</v>
      </c>
      <c r="L1484" s="25">
        <v>455.05</v>
      </c>
      <c r="M1484" s="25">
        <v>14.79</v>
      </c>
      <c r="N1484" s="25">
        <v>0</v>
      </c>
      <c r="O1484" s="25">
        <v>2955.63</v>
      </c>
      <c r="P1484" s="25">
        <v>3425.4674</v>
      </c>
    </row>
    <row r="1485" spans="1:16" x14ac:dyDescent="0.25">
      <c r="A1485" s="26">
        <v>43115</v>
      </c>
      <c r="B1485" s="25" t="s">
        <v>237</v>
      </c>
      <c r="C1485" s="25" t="s">
        <v>23</v>
      </c>
      <c r="D1485" s="25">
        <v>1000</v>
      </c>
      <c r="E1485" s="25">
        <v>285.20999999999998</v>
      </c>
      <c r="F1485" s="25">
        <v>285205</v>
      </c>
      <c r="G1485" s="25" t="s">
        <v>244</v>
      </c>
      <c r="H1485" s="25">
        <v>2018011</v>
      </c>
      <c r="I1485" s="25" t="s">
        <v>19</v>
      </c>
      <c r="J1485" s="25" t="s">
        <v>20</v>
      </c>
      <c r="K1485" s="25" t="s">
        <v>25</v>
      </c>
      <c r="L1485" s="25">
        <v>72.12</v>
      </c>
      <c r="M1485" s="25">
        <v>9.27</v>
      </c>
      <c r="N1485" s="25">
        <v>0</v>
      </c>
      <c r="O1485" s="25">
        <v>169.94</v>
      </c>
      <c r="P1485" s="25">
        <v>251.32929999999999</v>
      </c>
    </row>
    <row r="1486" spans="1:16" x14ac:dyDescent="0.25">
      <c r="A1486" s="26">
        <v>43112</v>
      </c>
      <c r="B1486" s="25" t="s">
        <v>205</v>
      </c>
      <c r="C1486" s="25" t="s">
        <v>17</v>
      </c>
      <c r="D1486" s="25">
        <v>1000</v>
      </c>
      <c r="E1486" s="25">
        <v>88.45</v>
      </c>
      <c r="F1486" s="25">
        <v>88450</v>
      </c>
      <c r="G1486" s="25" t="s">
        <v>206</v>
      </c>
      <c r="H1486" s="25">
        <v>2018010</v>
      </c>
      <c r="I1486" s="25" t="s">
        <v>19</v>
      </c>
      <c r="J1486" s="25" t="s">
        <v>20</v>
      </c>
      <c r="K1486" s="25" t="s">
        <v>25</v>
      </c>
      <c r="L1486" s="25">
        <v>0</v>
      </c>
      <c r="M1486" s="25">
        <v>2.87</v>
      </c>
      <c r="N1486" s="25">
        <v>0</v>
      </c>
      <c r="O1486" s="25">
        <v>52.7</v>
      </c>
      <c r="P1486" s="25">
        <v>55.5747</v>
      </c>
    </row>
    <row r="1487" spans="1:16" x14ac:dyDescent="0.25">
      <c r="A1487" s="26">
        <v>43112</v>
      </c>
      <c r="B1487" s="25" t="s">
        <v>207</v>
      </c>
      <c r="C1487" s="25" t="s">
        <v>17</v>
      </c>
      <c r="D1487" s="25">
        <v>1000</v>
      </c>
      <c r="E1487" s="25">
        <v>77.5</v>
      </c>
      <c r="F1487" s="25">
        <v>77500</v>
      </c>
      <c r="G1487" s="25" t="s">
        <v>208</v>
      </c>
      <c r="H1487" s="25">
        <v>2018010</v>
      </c>
      <c r="I1487" s="25" t="s">
        <v>19</v>
      </c>
      <c r="J1487" s="25" t="s">
        <v>20</v>
      </c>
      <c r="K1487" s="25" t="s">
        <v>25</v>
      </c>
      <c r="L1487" s="25">
        <v>0</v>
      </c>
      <c r="M1487" s="25">
        <v>2.52</v>
      </c>
      <c r="N1487" s="25">
        <v>0</v>
      </c>
      <c r="O1487" s="25">
        <v>46.18</v>
      </c>
      <c r="P1487" s="25">
        <v>48.698700000000002</v>
      </c>
    </row>
    <row r="1488" spans="1:16" x14ac:dyDescent="0.25">
      <c r="A1488" s="26">
        <v>43112</v>
      </c>
      <c r="B1488" s="25" t="s">
        <v>26</v>
      </c>
      <c r="C1488" s="25" t="s">
        <v>23</v>
      </c>
      <c r="D1488" s="25">
        <v>500</v>
      </c>
      <c r="E1488" s="25">
        <v>142</v>
      </c>
      <c r="F1488" s="25">
        <v>71000</v>
      </c>
      <c r="G1488" s="25" t="s">
        <v>209</v>
      </c>
      <c r="H1488" s="25">
        <v>2018010</v>
      </c>
      <c r="I1488" s="25" t="s">
        <v>19</v>
      </c>
      <c r="J1488" s="25" t="s">
        <v>20</v>
      </c>
      <c r="K1488" s="25" t="s">
        <v>25</v>
      </c>
      <c r="L1488" s="25">
        <v>17.940000000000001</v>
      </c>
      <c r="M1488" s="25">
        <v>2.31</v>
      </c>
      <c r="N1488" s="25">
        <v>0</v>
      </c>
      <c r="O1488" s="25">
        <v>461.21</v>
      </c>
      <c r="P1488" s="25">
        <v>481.45749999999998</v>
      </c>
    </row>
    <row r="1489" spans="1:16" x14ac:dyDescent="0.25">
      <c r="A1489" s="26">
        <v>43112</v>
      </c>
      <c r="B1489" s="25" t="s">
        <v>26</v>
      </c>
      <c r="C1489" s="25" t="s">
        <v>17</v>
      </c>
      <c r="D1489" s="25">
        <v>2000</v>
      </c>
      <c r="E1489" s="25">
        <v>143.41999999999999</v>
      </c>
      <c r="F1489" s="25">
        <v>286846</v>
      </c>
      <c r="G1489" s="25" t="s">
        <v>210</v>
      </c>
      <c r="H1489" s="25">
        <v>2018010</v>
      </c>
      <c r="I1489" s="25" t="s">
        <v>19</v>
      </c>
      <c r="J1489" s="25" t="s">
        <v>20</v>
      </c>
      <c r="K1489" s="25" t="s">
        <v>25</v>
      </c>
      <c r="L1489" s="25">
        <v>0</v>
      </c>
      <c r="M1489" s="25">
        <v>9.32</v>
      </c>
      <c r="N1489" s="25">
        <v>0</v>
      </c>
      <c r="O1489" s="25">
        <v>170.91</v>
      </c>
      <c r="P1489" s="25">
        <v>180.23269999999999</v>
      </c>
    </row>
    <row r="1490" spans="1:16" x14ac:dyDescent="0.25">
      <c r="A1490" s="26">
        <v>43112</v>
      </c>
      <c r="B1490" s="25" t="s">
        <v>26</v>
      </c>
      <c r="C1490" s="25" t="s">
        <v>23</v>
      </c>
      <c r="D1490" s="25">
        <v>2000</v>
      </c>
      <c r="E1490" s="25">
        <v>144</v>
      </c>
      <c r="F1490" s="25">
        <v>288000</v>
      </c>
      <c r="G1490" s="25" t="s">
        <v>211</v>
      </c>
      <c r="H1490" s="25">
        <v>2018010</v>
      </c>
      <c r="I1490" s="25" t="s">
        <v>19</v>
      </c>
      <c r="J1490" s="25" t="s">
        <v>20</v>
      </c>
      <c r="K1490" s="25" t="s">
        <v>25</v>
      </c>
      <c r="L1490" s="25">
        <v>126.01</v>
      </c>
      <c r="M1490" s="25">
        <v>9.36</v>
      </c>
      <c r="N1490" s="25">
        <v>0</v>
      </c>
      <c r="O1490" s="25">
        <v>171.6</v>
      </c>
      <c r="P1490" s="25">
        <v>306.97000000000003</v>
      </c>
    </row>
    <row r="1491" spans="1:16" x14ac:dyDescent="0.25">
      <c r="A1491" s="26">
        <v>43112</v>
      </c>
      <c r="B1491" s="25" t="s">
        <v>207</v>
      </c>
      <c r="C1491" s="25" t="s">
        <v>23</v>
      </c>
      <c r="D1491" s="25">
        <v>1000</v>
      </c>
      <c r="E1491" s="25">
        <v>79.25</v>
      </c>
      <c r="F1491" s="25">
        <v>79250</v>
      </c>
      <c r="G1491" s="25" t="s">
        <v>212</v>
      </c>
      <c r="H1491" s="25">
        <v>2018010</v>
      </c>
      <c r="I1491" s="25" t="s">
        <v>19</v>
      </c>
      <c r="J1491" s="25" t="s">
        <v>20</v>
      </c>
      <c r="K1491" s="25" t="s">
        <v>25</v>
      </c>
      <c r="L1491" s="25">
        <v>19.59</v>
      </c>
      <c r="M1491" s="25">
        <v>2.58</v>
      </c>
      <c r="N1491" s="25">
        <v>0</v>
      </c>
      <c r="O1491" s="25">
        <v>47.23</v>
      </c>
      <c r="P1491" s="25">
        <v>69.395600000000002</v>
      </c>
    </row>
    <row r="1492" spans="1:16" x14ac:dyDescent="0.25">
      <c r="A1492" s="26">
        <v>43112</v>
      </c>
      <c r="B1492" s="25" t="s">
        <v>205</v>
      </c>
      <c r="C1492" s="25" t="s">
        <v>23</v>
      </c>
      <c r="D1492" s="25">
        <v>1000</v>
      </c>
      <c r="E1492" s="25">
        <v>85</v>
      </c>
      <c r="F1492" s="25">
        <v>85000</v>
      </c>
      <c r="G1492" s="25" t="s">
        <v>213</v>
      </c>
      <c r="H1492" s="25">
        <v>2018010</v>
      </c>
      <c r="I1492" s="25" t="s">
        <v>19</v>
      </c>
      <c r="J1492" s="25" t="s">
        <v>20</v>
      </c>
      <c r="K1492" s="25" t="s">
        <v>25</v>
      </c>
      <c r="L1492" s="25">
        <v>21.68</v>
      </c>
      <c r="M1492" s="25">
        <v>2.76</v>
      </c>
      <c r="N1492" s="25">
        <v>0</v>
      </c>
      <c r="O1492" s="25">
        <v>50.65</v>
      </c>
      <c r="P1492" s="25">
        <v>75.092500000000001</v>
      </c>
    </row>
    <row r="1493" spans="1:16" x14ac:dyDescent="0.25">
      <c r="A1493" s="26">
        <v>43112</v>
      </c>
      <c r="B1493" s="25" t="s">
        <v>214</v>
      </c>
      <c r="C1493" s="25" t="s">
        <v>17</v>
      </c>
      <c r="D1493" s="25">
        <v>1000</v>
      </c>
      <c r="E1493" s="25">
        <v>114.62</v>
      </c>
      <c r="F1493" s="25">
        <v>114619.15</v>
      </c>
      <c r="G1493" s="25" t="s">
        <v>215</v>
      </c>
      <c r="H1493" s="25">
        <v>2018010</v>
      </c>
      <c r="I1493" s="25" t="s">
        <v>19</v>
      </c>
      <c r="J1493" s="25" t="s">
        <v>20</v>
      </c>
      <c r="K1493" s="25" t="s">
        <v>25</v>
      </c>
      <c r="L1493" s="25">
        <v>0</v>
      </c>
      <c r="M1493" s="25">
        <v>3.73</v>
      </c>
      <c r="N1493" s="25">
        <v>36.299999999999997</v>
      </c>
      <c r="O1493" s="25">
        <v>68.290000000000006</v>
      </c>
      <c r="P1493" s="25">
        <v>108.3152</v>
      </c>
    </row>
    <row r="1494" spans="1:16" x14ac:dyDescent="0.25">
      <c r="A1494" s="26">
        <v>43112</v>
      </c>
      <c r="B1494" s="25" t="s">
        <v>214</v>
      </c>
      <c r="C1494" s="25" t="s">
        <v>23</v>
      </c>
      <c r="D1494" s="25">
        <v>1000</v>
      </c>
      <c r="E1494" s="25">
        <v>115.58</v>
      </c>
      <c r="F1494" s="25">
        <v>115580</v>
      </c>
      <c r="G1494" s="25" t="s">
        <v>216</v>
      </c>
      <c r="H1494" s="25">
        <v>2018010</v>
      </c>
      <c r="I1494" s="25" t="s">
        <v>19</v>
      </c>
      <c r="J1494" s="25" t="s">
        <v>20</v>
      </c>
      <c r="K1494" s="25" t="s">
        <v>25</v>
      </c>
      <c r="L1494" s="25">
        <v>28.77</v>
      </c>
      <c r="M1494" s="25">
        <v>3.76</v>
      </c>
      <c r="N1494" s="25">
        <v>0</v>
      </c>
      <c r="O1494" s="25">
        <v>68.87</v>
      </c>
      <c r="P1494" s="25">
        <v>101.3963</v>
      </c>
    </row>
    <row r="1495" spans="1:16" x14ac:dyDescent="0.25">
      <c r="A1495" s="26">
        <v>43111</v>
      </c>
      <c r="B1495" s="25" t="s">
        <v>205</v>
      </c>
      <c r="C1495" s="25" t="s">
        <v>17</v>
      </c>
      <c r="D1495" s="25">
        <v>1000</v>
      </c>
      <c r="E1495" s="25">
        <v>91.5</v>
      </c>
      <c r="F1495" s="25">
        <v>91500</v>
      </c>
      <c r="G1495" s="25" t="s">
        <v>217</v>
      </c>
      <c r="H1495" s="25">
        <v>2018009</v>
      </c>
      <c r="I1495" s="25" t="s">
        <v>19</v>
      </c>
      <c r="J1495" s="25" t="s">
        <v>1634</v>
      </c>
      <c r="K1495" s="25" t="s">
        <v>25</v>
      </c>
      <c r="L1495" s="25">
        <v>0</v>
      </c>
      <c r="M1495" s="25">
        <v>2.97</v>
      </c>
      <c r="N1495" s="25">
        <v>8.4</v>
      </c>
      <c r="O1495" s="25">
        <v>54.51</v>
      </c>
      <c r="P1495" s="25">
        <v>65.883799999999994</v>
      </c>
    </row>
    <row r="1496" spans="1:16" x14ac:dyDescent="0.25">
      <c r="A1496" s="26">
        <v>43111</v>
      </c>
      <c r="B1496" s="25" t="s">
        <v>205</v>
      </c>
      <c r="C1496" s="25" t="s">
        <v>23</v>
      </c>
      <c r="D1496" s="25">
        <v>1000</v>
      </c>
      <c r="E1496" s="25">
        <v>92.6</v>
      </c>
      <c r="F1496" s="25">
        <v>92600</v>
      </c>
      <c r="G1496" s="25" t="s">
        <v>218</v>
      </c>
      <c r="H1496" s="25">
        <v>2018009</v>
      </c>
      <c r="I1496" s="25" t="s">
        <v>19</v>
      </c>
      <c r="J1496" s="25" t="s">
        <v>1634</v>
      </c>
      <c r="K1496" s="25" t="s">
        <v>25</v>
      </c>
      <c r="L1496" s="25">
        <v>23.13</v>
      </c>
      <c r="M1496" s="25">
        <v>3.01</v>
      </c>
      <c r="N1496" s="25">
        <v>0</v>
      </c>
      <c r="O1496" s="25">
        <v>55.18</v>
      </c>
      <c r="P1496" s="25">
        <v>81.319500000000005</v>
      </c>
    </row>
    <row r="1497" spans="1:16" x14ac:dyDescent="0.25">
      <c r="A1497" s="26">
        <v>43111</v>
      </c>
      <c r="B1497" s="25" t="s">
        <v>205</v>
      </c>
      <c r="C1497" s="25" t="s">
        <v>17</v>
      </c>
      <c r="D1497" s="25">
        <v>1000</v>
      </c>
      <c r="E1497" s="25">
        <v>93.4</v>
      </c>
      <c r="F1497" s="25">
        <v>93400</v>
      </c>
      <c r="G1497" s="25" t="s">
        <v>219</v>
      </c>
      <c r="H1497" s="25">
        <v>2018009</v>
      </c>
      <c r="I1497" s="25" t="s">
        <v>19</v>
      </c>
      <c r="J1497" s="25" t="s">
        <v>1634</v>
      </c>
      <c r="K1497" s="25" t="s">
        <v>25</v>
      </c>
      <c r="L1497" s="25">
        <v>92.88</v>
      </c>
      <c r="M1497" s="25">
        <v>3.04</v>
      </c>
      <c r="N1497" s="25">
        <v>0</v>
      </c>
      <c r="O1497" s="25">
        <v>606.72</v>
      </c>
      <c r="P1497" s="25">
        <v>702.63549999999998</v>
      </c>
    </row>
    <row r="1498" spans="1:16" x14ac:dyDescent="0.25">
      <c r="A1498" s="26">
        <v>43110</v>
      </c>
      <c r="B1498" s="25" t="s">
        <v>177</v>
      </c>
      <c r="C1498" s="25" t="s">
        <v>23</v>
      </c>
      <c r="D1498" s="25">
        <v>5000</v>
      </c>
      <c r="E1498" s="25">
        <v>16.8</v>
      </c>
      <c r="F1498" s="25">
        <v>84000</v>
      </c>
      <c r="G1498" s="25" t="s">
        <v>197</v>
      </c>
      <c r="H1498" s="25">
        <v>2018008</v>
      </c>
      <c r="I1498" s="25" t="s">
        <v>19</v>
      </c>
      <c r="J1498" s="25" t="s">
        <v>20</v>
      </c>
      <c r="K1498" s="25" t="s">
        <v>25</v>
      </c>
      <c r="L1498" s="25">
        <v>83.92</v>
      </c>
      <c r="M1498" s="25">
        <v>2.73</v>
      </c>
      <c r="N1498" s="25">
        <v>0</v>
      </c>
      <c r="O1498" s="25">
        <v>545.65</v>
      </c>
      <c r="P1498" s="25">
        <v>632.29999999999995</v>
      </c>
    </row>
    <row r="1499" spans="1:16" x14ac:dyDescent="0.25">
      <c r="A1499" s="26">
        <v>43110</v>
      </c>
      <c r="B1499" s="25" t="s">
        <v>177</v>
      </c>
      <c r="C1499" s="25" t="s">
        <v>23</v>
      </c>
      <c r="D1499" s="25">
        <v>2500</v>
      </c>
      <c r="E1499" s="25">
        <v>16.75</v>
      </c>
      <c r="F1499" s="25">
        <v>41875</v>
      </c>
      <c r="G1499" s="25" t="s">
        <v>198</v>
      </c>
      <c r="H1499" s="25">
        <v>2018008</v>
      </c>
      <c r="I1499" s="25" t="s">
        <v>19</v>
      </c>
      <c r="J1499" s="25" t="s">
        <v>1634</v>
      </c>
      <c r="K1499" s="25" t="s">
        <v>25</v>
      </c>
      <c r="L1499" s="25">
        <v>42.08</v>
      </c>
      <c r="M1499" s="25">
        <v>1.36</v>
      </c>
      <c r="N1499" s="25">
        <v>6.9</v>
      </c>
      <c r="O1499" s="25">
        <v>272.01</v>
      </c>
      <c r="P1499" s="25">
        <v>322.35090000000002</v>
      </c>
    </row>
    <row r="1500" spans="1:16" x14ac:dyDescent="0.25">
      <c r="A1500" s="26">
        <v>43110</v>
      </c>
      <c r="B1500" s="25" t="s">
        <v>195</v>
      </c>
      <c r="C1500" s="25" t="s">
        <v>23</v>
      </c>
      <c r="D1500" s="25">
        <v>1000</v>
      </c>
      <c r="E1500" s="25">
        <v>104</v>
      </c>
      <c r="F1500" s="25">
        <v>104000</v>
      </c>
      <c r="G1500" s="25" t="s">
        <v>199</v>
      </c>
      <c r="H1500" s="25">
        <v>2018008</v>
      </c>
      <c r="I1500" s="25" t="s">
        <v>19</v>
      </c>
      <c r="J1500" s="25" t="s">
        <v>20</v>
      </c>
      <c r="K1500" s="25" t="s">
        <v>25</v>
      </c>
      <c r="L1500" s="25">
        <v>104</v>
      </c>
      <c r="M1500" s="25">
        <v>3.38</v>
      </c>
      <c r="N1500" s="25">
        <v>0</v>
      </c>
      <c r="O1500" s="25">
        <v>675.57</v>
      </c>
      <c r="P1500" s="25">
        <v>782.95</v>
      </c>
    </row>
    <row r="1501" spans="1:16" x14ac:dyDescent="0.25">
      <c r="A1501" s="26">
        <v>43109</v>
      </c>
      <c r="B1501" s="25" t="s">
        <v>177</v>
      </c>
      <c r="C1501" s="25" t="s">
        <v>17</v>
      </c>
      <c r="D1501" s="25">
        <v>5000</v>
      </c>
      <c r="E1501" s="25">
        <v>16.149999999999999</v>
      </c>
      <c r="F1501" s="25">
        <v>80750</v>
      </c>
      <c r="G1501" s="25" t="s">
        <v>200</v>
      </c>
      <c r="H1501" s="25">
        <v>2018007</v>
      </c>
      <c r="I1501" s="25" t="s">
        <v>19</v>
      </c>
      <c r="J1501" s="25" t="s">
        <v>1634</v>
      </c>
      <c r="K1501" s="25" t="s">
        <v>25</v>
      </c>
      <c r="L1501" s="25">
        <v>0</v>
      </c>
      <c r="M1501" s="25">
        <v>2.62</v>
      </c>
      <c r="N1501" s="25">
        <v>0</v>
      </c>
      <c r="O1501" s="25">
        <v>48.11</v>
      </c>
      <c r="P1501" s="25">
        <v>50.734400000000001</v>
      </c>
    </row>
    <row r="1502" spans="1:16" x14ac:dyDescent="0.25">
      <c r="A1502" s="26">
        <v>43109</v>
      </c>
      <c r="B1502" s="25" t="s">
        <v>177</v>
      </c>
      <c r="C1502" s="25" t="s">
        <v>23</v>
      </c>
      <c r="D1502" s="25">
        <v>5000</v>
      </c>
      <c r="E1502" s="25">
        <v>16.100000000000001</v>
      </c>
      <c r="F1502" s="25">
        <v>80500</v>
      </c>
      <c r="G1502" s="25" t="s">
        <v>201</v>
      </c>
      <c r="H1502" s="25">
        <v>2018007</v>
      </c>
      <c r="I1502" s="25" t="s">
        <v>19</v>
      </c>
      <c r="J1502" s="25" t="s">
        <v>1634</v>
      </c>
      <c r="K1502" s="25" t="s">
        <v>25</v>
      </c>
      <c r="L1502" s="25">
        <v>20.75</v>
      </c>
      <c r="M1502" s="25">
        <v>2.62</v>
      </c>
      <c r="N1502" s="25">
        <v>12.3</v>
      </c>
      <c r="O1502" s="25">
        <v>47.97</v>
      </c>
      <c r="P1502" s="25">
        <v>83.636300000000006</v>
      </c>
    </row>
    <row r="1503" spans="1:16" x14ac:dyDescent="0.25">
      <c r="A1503" s="26">
        <v>43109</v>
      </c>
      <c r="B1503" s="25" t="s">
        <v>177</v>
      </c>
      <c r="C1503" s="25" t="s">
        <v>17</v>
      </c>
      <c r="D1503" s="25">
        <v>5000</v>
      </c>
      <c r="E1503" s="25">
        <v>16.100000000000001</v>
      </c>
      <c r="F1503" s="25">
        <v>80500</v>
      </c>
      <c r="G1503" s="25" t="s">
        <v>202</v>
      </c>
      <c r="H1503" s="25">
        <v>2018007</v>
      </c>
      <c r="I1503" s="25" t="s">
        <v>19</v>
      </c>
      <c r="J1503" s="25" t="s">
        <v>1634</v>
      </c>
      <c r="K1503" s="25" t="s">
        <v>25</v>
      </c>
      <c r="L1503" s="25">
        <v>0</v>
      </c>
      <c r="M1503" s="25">
        <v>2.62</v>
      </c>
      <c r="N1503" s="25">
        <v>0</v>
      </c>
      <c r="O1503" s="25">
        <v>47.97</v>
      </c>
      <c r="P1503" s="25">
        <v>50.586300000000001</v>
      </c>
    </row>
    <row r="1504" spans="1:16" x14ac:dyDescent="0.25">
      <c r="A1504" s="26">
        <v>43109</v>
      </c>
      <c r="B1504" s="25" t="s">
        <v>177</v>
      </c>
      <c r="C1504" s="25" t="s">
        <v>23</v>
      </c>
      <c r="D1504" s="25">
        <v>5000</v>
      </c>
      <c r="E1504" s="25">
        <v>16.2</v>
      </c>
      <c r="F1504" s="25">
        <v>81000</v>
      </c>
      <c r="G1504" s="25" t="s">
        <v>203</v>
      </c>
      <c r="H1504" s="25">
        <v>2018007</v>
      </c>
      <c r="I1504" s="25" t="s">
        <v>19</v>
      </c>
      <c r="J1504" s="25" t="s">
        <v>1634</v>
      </c>
      <c r="K1504" s="25" t="s">
        <v>25</v>
      </c>
      <c r="L1504" s="25">
        <v>20.25</v>
      </c>
      <c r="M1504" s="25">
        <v>2.63</v>
      </c>
      <c r="N1504" s="25">
        <v>0</v>
      </c>
      <c r="O1504" s="25">
        <v>48.26</v>
      </c>
      <c r="P1504" s="25">
        <v>71.142499999999998</v>
      </c>
    </row>
    <row r="1505" spans="1:16" x14ac:dyDescent="0.25">
      <c r="A1505" s="26">
        <v>43109</v>
      </c>
      <c r="B1505" s="25" t="s">
        <v>177</v>
      </c>
      <c r="C1505" s="25" t="s">
        <v>17</v>
      </c>
      <c r="D1505" s="25">
        <v>5000</v>
      </c>
      <c r="E1505" s="25">
        <v>16.45</v>
      </c>
      <c r="F1505" s="25">
        <v>82250</v>
      </c>
      <c r="G1505" s="25" t="s">
        <v>204</v>
      </c>
      <c r="H1505" s="25">
        <v>2018007</v>
      </c>
      <c r="I1505" s="25" t="s">
        <v>19</v>
      </c>
      <c r="J1505" s="25" t="s">
        <v>1634</v>
      </c>
      <c r="K1505" s="25" t="s">
        <v>25</v>
      </c>
      <c r="L1505" s="25">
        <v>81</v>
      </c>
      <c r="M1505" s="25">
        <v>2.67</v>
      </c>
      <c r="N1505" s="25">
        <v>0</v>
      </c>
      <c r="O1505" s="25">
        <v>534.28</v>
      </c>
      <c r="P1505" s="25">
        <v>617.95320000000004</v>
      </c>
    </row>
    <row r="1506" spans="1:16" x14ac:dyDescent="0.25">
      <c r="A1506" s="26">
        <v>43105</v>
      </c>
      <c r="B1506" s="25" t="s">
        <v>187</v>
      </c>
      <c r="C1506" s="25" t="s">
        <v>17</v>
      </c>
      <c r="D1506" s="25">
        <v>5000</v>
      </c>
      <c r="E1506" s="25">
        <v>24</v>
      </c>
      <c r="F1506" s="25">
        <v>120000</v>
      </c>
      <c r="G1506" s="25" t="s">
        <v>188</v>
      </c>
      <c r="H1506" s="25">
        <v>2018005</v>
      </c>
      <c r="I1506" s="25" t="s">
        <v>19</v>
      </c>
      <c r="J1506" s="25" t="s">
        <v>20</v>
      </c>
      <c r="K1506" s="25" t="s">
        <v>25</v>
      </c>
      <c r="L1506" s="25">
        <v>0</v>
      </c>
      <c r="M1506" s="25">
        <v>3.9</v>
      </c>
      <c r="N1506" s="25">
        <v>7.2</v>
      </c>
      <c r="O1506" s="25">
        <v>71.5</v>
      </c>
      <c r="P1506" s="25">
        <v>82.6</v>
      </c>
    </row>
    <row r="1507" spans="1:16" x14ac:dyDescent="0.25">
      <c r="A1507" s="26">
        <v>43105</v>
      </c>
      <c r="B1507" s="25" t="s">
        <v>187</v>
      </c>
      <c r="C1507" s="25" t="s">
        <v>23</v>
      </c>
      <c r="D1507" s="25">
        <v>5000</v>
      </c>
      <c r="E1507" s="25">
        <v>23.65</v>
      </c>
      <c r="F1507" s="25">
        <v>118250</v>
      </c>
      <c r="G1507" s="25" t="s">
        <v>189</v>
      </c>
      <c r="H1507" s="25">
        <v>2018005</v>
      </c>
      <c r="I1507" s="25" t="s">
        <v>19</v>
      </c>
      <c r="J1507" s="25" t="s">
        <v>20</v>
      </c>
      <c r="K1507" s="25" t="s">
        <v>25</v>
      </c>
      <c r="L1507" s="25">
        <v>30</v>
      </c>
      <c r="M1507" s="25">
        <v>3.84</v>
      </c>
      <c r="N1507" s="25">
        <v>0</v>
      </c>
      <c r="O1507" s="25">
        <v>70.459999999999994</v>
      </c>
      <c r="P1507" s="25">
        <v>104.3032</v>
      </c>
    </row>
    <row r="1508" spans="1:16" x14ac:dyDescent="0.25">
      <c r="A1508" s="26">
        <v>43104</v>
      </c>
      <c r="B1508" s="25" t="s">
        <v>190</v>
      </c>
      <c r="C1508" s="25" t="s">
        <v>17</v>
      </c>
      <c r="D1508" s="25">
        <v>5000</v>
      </c>
      <c r="E1508" s="25">
        <v>15.95</v>
      </c>
      <c r="F1508" s="25">
        <v>79750</v>
      </c>
      <c r="G1508" s="25" t="s">
        <v>191</v>
      </c>
      <c r="H1508" s="25">
        <v>2018004</v>
      </c>
      <c r="I1508" s="25" t="s">
        <v>140</v>
      </c>
      <c r="J1508" s="25" t="s">
        <v>20</v>
      </c>
      <c r="K1508" s="25" t="s">
        <v>25</v>
      </c>
      <c r="L1508" s="25">
        <v>80</v>
      </c>
      <c r="M1508" s="25">
        <v>2.59</v>
      </c>
      <c r="N1508" s="25">
        <v>2.4</v>
      </c>
      <c r="O1508" s="25">
        <v>518.04</v>
      </c>
      <c r="P1508" s="25">
        <v>603.03189999999995</v>
      </c>
    </row>
    <row r="1509" spans="1:16" x14ac:dyDescent="0.25">
      <c r="A1509" s="26">
        <v>43104</v>
      </c>
      <c r="B1509" s="25" t="s">
        <v>192</v>
      </c>
      <c r="C1509" s="25" t="s">
        <v>17</v>
      </c>
      <c r="D1509" s="25">
        <v>100</v>
      </c>
      <c r="E1509" s="25">
        <v>38.700000000000003</v>
      </c>
      <c r="F1509" s="25">
        <v>3870</v>
      </c>
      <c r="G1509" s="25" t="s">
        <v>193</v>
      </c>
      <c r="H1509" s="25">
        <v>2018004</v>
      </c>
      <c r="I1509" s="25" t="s">
        <v>19</v>
      </c>
      <c r="J1509" s="25" t="s">
        <v>20</v>
      </c>
      <c r="K1509" s="25" t="s">
        <v>25</v>
      </c>
      <c r="L1509" s="25">
        <v>0</v>
      </c>
      <c r="M1509" s="25">
        <v>0.13</v>
      </c>
      <c r="N1509" s="25">
        <v>0.3</v>
      </c>
      <c r="O1509" s="25">
        <v>29.52</v>
      </c>
      <c r="P1509" s="25">
        <v>29.945799999999998</v>
      </c>
    </row>
    <row r="1510" spans="1:16" x14ac:dyDescent="0.25">
      <c r="A1510" s="26">
        <v>43104</v>
      </c>
      <c r="B1510" s="25" t="s">
        <v>192</v>
      </c>
      <c r="C1510" s="25" t="s">
        <v>23</v>
      </c>
      <c r="D1510" s="25">
        <v>100</v>
      </c>
      <c r="E1510" s="25">
        <v>37.6</v>
      </c>
      <c r="F1510" s="25">
        <v>3760</v>
      </c>
      <c r="G1510" s="25" t="s">
        <v>194</v>
      </c>
      <c r="H1510" s="25">
        <v>2018004</v>
      </c>
      <c r="I1510" s="25" t="s">
        <v>19</v>
      </c>
      <c r="J1510" s="25" t="s">
        <v>20</v>
      </c>
      <c r="K1510" s="25" t="s">
        <v>25</v>
      </c>
      <c r="L1510" s="25">
        <v>1</v>
      </c>
      <c r="M1510" s="25">
        <v>0.12</v>
      </c>
      <c r="N1510" s="25">
        <v>0</v>
      </c>
      <c r="O1510" s="25">
        <v>29.52</v>
      </c>
      <c r="P1510" s="25">
        <v>30.642199999999999</v>
      </c>
    </row>
    <row r="1511" spans="1:16" x14ac:dyDescent="0.25">
      <c r="A1511" s="26">
        <v>43103</v>
      </c>
      <c r="B1511" s="25" t="s">
        <v>195</v>
      </c>
      <c r="C1511" s="25" t="s">
        <v>17</v>
      </c>
      <c r="D1511" s="25">
        <v>1000</v>
      </c>
      <c r="E1511" s="25">
        <v>98.65</v>
      </c>
      <c r="F1511" s="25">
        <v>98650</v>
      </c>
      <c r="G1511" s="25" t="s">
        <v>196</v>
      </c>
      <c r="H1511" s="25">
        <v>2018003</v>
      </c>
      <c r="I1511" s="25" t="s">
        <v>19</v>
      </c>
      <c r="J1511" s="25" t="s">
        <v>20</v>
      </c>
      <c r="K1511" s="25" t="s">
        <v>25</v>
      </c>
      <c r="L1511" s="25">
        <v>99</v>
      </c>
      <c r="M1511" s="25">
        <v>3.21</v>
      </c>
      <c r="N1511" s="25">
        <v>3</v>
      </c>
      <c r="O1511" s="25">
        <v>640.82000000000005</v>
      </c>
      <c r="P1511" s="25">
        <v>746.02620000000002</v>
      </c>
    </row>
    <row r="1512" spans="1:16" x14ac:dyDescent="0.25">
      <c r="A1512" s="26">
        <v>43102</v>
      </c>
      <c r="B1512" s="25" t="s">
        <v>179</v>
      </c>
      <c r="C1512" s="25" t="s">
        <v>23</v>
      </c>
      <c r="D1512" s="25">
        <v>500</v>
      </c>
      <c r="E1512" s="25">
        <v>91</v>
      </c>
      <c r="F1512" s="25">
        <v>45500</v>
      </c>
      <c r="G1512" s="25" t="s">
        <v>180</v>
      </c>
      <c r="H1512" s="25">
        <v>2018002</v>
      </c>
      <c r="I1512" s="25" t="s">
        <v>19</v>
      </c>
      <c r="J1512" s="25" t="s">
        <v>20</v>
      </c>
      <c r="K1512" s="25" t="s">
        <v>25</v>
      </c>
      <c r="L1512" s="25">
        <v>45.5</v>
      </c>
      <c r="M1512" s="25">
        <v>1.48</v>
      </c>
      <c r="N1512" s="25">
        <v>0</v>
      </c>
      <c r="O1512" s="25">
        <v>295.56</v>
      </c>
      <c r="P1512" s="25">
        <v>342.53879999999998</v>
      </c>
    </row>
    <row r="1513" spans="1:16" x14ac:dyDescent="0.25">
      <c r="A1513" s="26">
        <v>43102</v>
      </c>
      <c r="B1513" s="25" t="s">
        <v>35</v>
      </c>
      <c r="C1513" s="25" t="s">
        <v>23</v>
      </c>
      <c r="D1513" s="25">
        <v>1000</v>
      </c>
      <c r="E1513" s="25">
        <v>71</v>
      </c>
      <c r="F1513" s="25">
        <v>71000</v>
      </c>
      <c r="G1513" s="25" t="s">
        <v>181</v>
      </c>
      <c r="H1513" s="25">
        <v>2018002</v>
      </c>
      <c r="I1513" s="25" t="s">
        <v>19</v>
      </c>
      <c r="J1513" s="25" t="s">
        <v>20</v>
      </c>
      <c r="K1513" s="25" t="s">
        <v>25</v>
      </c>
      <c r="L1513" s="25">
        <v>71.5</v>
      </c>
      <c r="M1513" s="25">
        <v>2.31</v>
      </c>
      <c r="N1513" s="25">
        <v>3.6</v>
      </c>
      <c r="O1513" s="25">
        <v>461.2</v>
      </c>
      <c r="P1513" s="25">
        <v>538.60749999999996</v>
      </c>
    </row>
    <row r="1514" spans="1:16" x14ac:dyDescent="0.25">
      <c r="A1514" s="26">
        <v>43101</v>
      </c>
      <c r="B1514" s="25" t="s">
        <v>177</v>
      </c>
      <c r="C1514" s="25" t="s">
        <v>17</v>
      </c>
      <c r="D1514" s="25">
        <v>5000</v>
      </c>
      <c r="E1514" s="25">
        <v>15.75</v>
      </c>
      <c r="F1514" s="25">
        <v>78750</v>
      </c>
      <c r="G1514" s="25" t="s">
        <v>182</v>
      </c>
      <c r="H1514" s="25">
        <v>2018001</v>
      </c>
      <c r="I1514" s="25" t="s">
        <v>19</v>
      </c>
      <c r="J1514" s="25" t="s">
        <v>20</v>
      </c>
      <c r="K1514" s="25" t="s">
        <v>25</v>
      </c>
      <c r="L1514" s="25">
        <v>78.75</v>
      </c>
      <c r="M1514" s="25">
        <v>2.56</v>
      </c>
      <c r="N1514" s="25">
        <v>0</v>
      </c>
      <c r="O1514" s="25">
        <v>511.55</v>
      </c>
      <c r="P1514" s="25">
        <v>592.85940000000005</v>
      </c>
    </row>
    <row r="1515" spans="1:16" x14ac:dyDescent="0.25">
      <c r="A1515" s="26">
        <v>43101</v>
      </c>
      <c r="B1515" s="25" t="s">
        <v>26</v>
      </c>
      <c r="C1515" s="25" t="s">
        <v>23</v>
      </c>
      <c r="D1515" s="25">
        <v>500</v>
      </c>
      <c r="E1515" s="25">
        <v>135.81</v>
      </c>
      <c r="F1515" s="25">
        <v>67905</v>
      </c>
      <c r="G1515" s="25" t="s">
        <v>183</v>
      </c>
      <c r="H1515" s="25">
        <v>2018001</v>
      </c>
      <c r="I1515" s="25" t="s">
        <v>19</v>
      </c>
      <c r="J1515" s="25" t="s">
        <v>20</v>
      </c>
      <c r="K1515" s="25" t="s">
        <v>25</v>
      </c>
      <c r="L1515" s="25">
        <v>67.75</v>
      </c>
      <c r="M1515" s="25">
        <v>2.21</v>
      </c>
      <c r="N1515" s="25">
        <v>5.7</v>
      </c>
      <c r="O1515" s="25">
        <v>441.1</v>
      </c>
      <c r="P1515" s="25">
        <v>516.7568</v>
      </c>
    </row>
    <row r="1516" spans="1:16" x14ac:dyDescent="0.25">
      <c r="A1516" s="26">
        <v>43101</v>
      </c>
      <c r="B1516" s="25" t="s">
        <v>51</v>
      </c>
      <c r="C1516" s="25" t="s">
        <v>17</v>
      </c>
      <c r="D1516" s="25">
        <v>100</v>
      </c>
      <c r="E1516" s="25">
        <v>335</v>
      </c>
      <c r="F1516" s="25">
        <v>33500</v>
      </c>
      <c r="G1516" s="25" t="s">
        <v>184</v>
      </c>
      <c r="H1516" s="25">
        <v>2018001</v>
      </c>
      <c r="I1516" s="25" t="s">
        <v>19</v>
      </c>
      <c r="J1516" s="25" t="s">
        <v>20</v>
      </c>
      <c r="K1516" s="25" t="s">
        <v>25</v>
      </c>
      <c r="L1516" s="25">
        <v>33.5</v>
      </c>
      <c r="M1516" s="25">
        <v>1.0900000000000001</v>
      </c>
      <c r="N1516" s="25">
        <v>0</v>
      </c>
      <c r="O1516" s="25">
        <v>217.61</v>
      </c>
      <c r="P1516" s="25">
        <v>252.19880000000001</v>
      </c>
    </row>
    <row r="1517" spans="1:16" x14ac:dyDescent="0.25">
      <c r="A1517" s="26">
        <v>43098</v>
      </c>
      <c r="B1517" s="25" t="s">
        <v>179</v>
      </c>
      <c r="C1517" s="25" t="s">
        <v>17</v>
      </c>
      <c r="D1517" s="25">
        <v>500</v>
      </c>
      <c r="E1517" s="25">
        <v>69.930000000000007</v>
      </c>
      <c r="F1517" s="25">
        <v>34962.5</v>
      </c>
      <c r="G1517" s="25" t="s">
        <v>185</v>
      </c>
      <c r="H1517" s="25">
        <v>2017248</v>
      </c>
      <c r="I1517" s="25" t="s">
        <v>19</v>
      </c>
      <c r="J1517" s="25" t="s">
        <v>20</v>
      </c>
      <c r="K1517" s="25" t="s">
        <v>25</v>
      </c>
      <c r="L1517" s="25">
        <v>34.5</v>
      </c>
      <c r="M1517" s="25">
        <v>1.1399999999999999</v>
      </c>
      <c r="N1517" s="25">
        <v>2.4</v>
      </c>
      <c r="O1517" s="25">
        <v>227.11</v>
      </c>
      <c r="P1517" s="25">
        <v>265.14620000000002</v>
      </c>
    </row>
    <row r="1518" spans="1:16" x14ac:dyDescent="0.25">
      <c r="A1518" s="26">
        <v>43098</v>
      </c>
      <c r="B1518" s="25" t="s">
        <v>177</v>
      </c>
      <c r="C1518" s="25" t="s">
        <v>23</v>
      </c>
      <c r="D1518" s="25">
        <v>2500</v>
      </c>
      <c r="E1518" s="25">
        <v>15.4</v>
      </c>
      <c r="F1518" s="25">
        <v>38500</v>
      </c>
      <c r="G1518" s="25" t="s">
        <v>186</v>
      </c>
      <c r="H1518" s="25">
        <v>2017248</v>
      </c>
      <c r="I1518" s="25" t="s">
        <v>19</v>
      </c>
      <c r="J1518" s="25" t="s">
        <v>20</v>
      </c>
      <c r="K1518" s="25" t="s">
        <v>25</v>
      </c>
      <c r="L1518" s="25">
        <v>38.5</v>
      </c>
      <c r="M1518" s="25">
        <v>1.25</v>
      </c>
      <c r="N1518" s="25">
        <v>0</v>
      </c>
      <c r="O1518" s="25">
        <v>250.09</v>
      </c>
      <c r="P1518" s="25">
        <v>289.84129999999999</v>
      </c>
    </row>
    <row r="1519" spans="1:16" x14ac:dyDescent="0.25">
      <c r="A1519" s="26">
        <v>43097</v>
      </c>
      <c r="B1519" s="25" t="s">
        <v>35</v>
      </c>
      <c r="C1519" s="25" t="s">
        <v>17</v>
      </c>
      <c r="D1519" s="25">
        <v>1000</v>
      </c>
      <c r="E1519" s="25">
        <v>48.75</v>
      </c>
      <c r="F1519" s="25">
        <v>48750</v>
      </c>
      <c r="G1519" s="25" t="s">
        <v>175</v>
      </c>
      <c r="H1519" s="25">
        <v>2017247</v>
      </c>
      <c r="I1519" s="25" t="s">
        <v>19</v>
      </c>
      <c r="J1519" s="25" t="s">
        <v>20</v>
      </c>
      <c r="K1519" s="25" t="s">
        <v>25</v>
      </c>
      <c r="L1519" s="25">
        <v>48.5</v>
      </c>
      <c r="M1519" s="25">
        <v>1.58</v>
      </c>
      <c r="N1519" s="25">
        <v>3</v>
      </c>
      <c r="O1519" s="25">
        <v>316.69</v>
      </c>
      <c r="P1519" s="25">
        <v>369.77429999999998</v>
      </c>
    </row>
    <row r="1520" spans="1:16" x14ac:dyDescent="0.25">
      <c r="A1520" s="26">
        <v>43097</v>
      </c>
      <c r="B1520" s="25" t="s">
        <v>16</v>
      </c>
      <c r="C1520" s="25" t="s">
        <v>23</v>
      </c>
      <c r="D1520" s="25">
        <v>500</v>
      </c>
      <c r="E1520" s="25">
        <v>93</v>
      </c>
      <c r="F1520" s="25">
        <v>46500</v>
      </c>
      <c r="G1520" s="25" t="s">
        <v>176</v>
      </c>
      <c r="H1520" s="25">
        <v>2017247</v>
      </c>
      <c r="I1520" s="25" t="s">
        <v>19</v>
      </c>
      <c r="J1520" s="25" t="s">
        <v>20</v>
      </c>
      <c r="K1520" s="25" t="s">
        <v>25</v>
      </c>
      <c r="L1520" s="25">
        <v>46.5</v>
      </c>
      <c r="M1520" s="25">
        <v>1.51</v>
      </c>
      <c r="N1520" s="25">
        <v>0</v>
      </c>
      <c r="O1520" s="25">
        <v>302.06</v>
      </c>
      <c r="P1520" s="25">
        <v>350.07130000000001</v>
      </c>
    </row>
    <row r="1521" spans="1:16" x14ac:dyDescent="0.25">
      <c r="A1521" s="26">
        <v>43091</v>
      </c>
      <c r="B1521" s="25" t="s">
        <v>177</v>
      </c>
      <c r="C1521" s="25" t="s">
        <v>17</v>
      </c>
      <c r="D1521" s="25">
        <v>2500</v>
      </c>
      <c r="E1521" s="25">
        <v>14.55</v>
      </c>
      <c r="F1521" s="25">
        <v>36375</v>
      </c>
      <c r="G1521" s="25" t="s">
        <v>178</v>
      </c>
      <c r="H1521" s="25">
        <v>2017244</v>
      </c>
      <c r="I1521" s="25" t="s">
        <v>19</v>
      </c>
      <c r="J1521" s="25" t="s">
        <v>20</v>
      </c>
      <c r="K1521" s="25" t="s">
        <v>25</v>
      </c>
      <c r="L1521" s="25">
        <v>36</v>
      </c>
      <c r="M1521" s="25">
        <v>1.18</v>
      </c>
      <c r="N1521" s="25">
        <v>1.2</v>
      </c>
      <c r="O1521" s="25">
        <v>236.29</v>
      </c>
      <c r="P1521" s="25">
        <v>274.67219999999998</v>
      </c>
    </row>
    <row r="1522" spans="1:16" x14ac:dyDescent="0.25">
      <c r="A1522" s="26">
        <v>43088</v>
      </c>
      <c r="B1522" s="25" t="s">
        <v>29</v>
      </c>
      <c r="C1522" s="25" t="s">
        <v>23</v>
      </c>
      <c r="D1522" s="25">
        <v>5000</v>
      </c>
      <c r="E1522" s="25">
        <v>17.8</v>
      </c>
      <c r="F1522" s="25">
        <v>89000</v>
      </c>
      <c r="G1522" s="25" t="s">
        <v>174</v>
      </c>
      <c r="H1522" s="25">
        <v>2017241</v>
      </c>
      <c r="I1522" s="25" t="s">
        <v>19</v>
      </c>
      <c r="J1522" s="25" t="s">
        <v>20</v>
      </c>
      <c r="K1522" s="25" t="s">
        <v>25</v>
      </c>
      <c r="L1522" s="25">
        <v>89</v>
      </c>
      <c r="M1522" s="25">
        <v>2.89</v>
      </c>
      <c r="N1522" s="25">
        <v>2.7</v>
      </c>
      <c r="O1522" s="25">
        <v>578.13</v>
      </c>
      <c r="P1522" s="25">
        <v>672.72249999999997</v>
      </c>
    </row>
    <row r="1523" spans="1:16" x14ac:dyDescent="0.25">
      <c r="A1523" s="26">
        <v>43083</v>
      </c>
      <c r="B1523" s="25" t="s">
        <v>26</v>
      </c>
      <c r="C1523" s="25" t="s">
        <v>17</v>
      </c>
      <c r="D1523" s="25">
        <v>500</v>
      </c>
      <c r="E1523" s="25">
        <v>130.69999999999999</v>
      </c>
      <c r="F1523" s="25">
        <v>65350</v>
      </c>
      <c r="G1523" s="25" t="s">
        <v>173</v>
      </c>
      <c r="H1523" s="25">
        <v>201718178</v>
      </c>
      <c r="I1523" s="25" t="s">
        <v>19</v>
      </c>
      <c r="J1523" s="25" t="s">
        <v>20</v>
      </c>
      <c r="K1523" s="25" t="s">
        <v>21</v>
      </c>
      <c r="L1523" s="25">
        <v>65.489999999999995</v>
      </c>
      <c r="M1523" s="25">
        <v>1.93</v>
      </c>
      <c r="N1523" s="25">
        <v>3.3</v>
      </c>
      <c r="O1523" s="25">
        <v>424.47</v>
      </c>
      <c r="P1523" s="25">
        <v>495.18779999999998</v>
      </c>
    </row>
    <row r="1524" spans="1:16" x14ac:dyDescent="0.25">
      <c r="A1524" s="26">
        <v>43083</v>
      </c>
      <c r="B1524" s="25" t="s">
        <v>16</v>
      </c>
      <c r="C1524" s="25" t="s">
        <v>17</v>
      </c>
      <c r="D1524" s="25">
        <v>500</v>
      </c>
      <c r="E1524" s="25">
        <v>77.03</v>
      </c>
      <c r="F1524" s="25">
        <v>38513.1</v>
      </c>
      <c r="G1524" s="25" t="s">
        <v>18</v>
      </c>
      <c r="H1524" s="25">
        <v>201718178</v>
      </c>
      <c r="I1524" s="25" t="s">
        <v>19</v>
      </c>
      <c r="J1524" s="25" t="s">
        <v>20</v>
      </c>
      <c r="K1524" s="25" t="s">
        <v>21</v>
      </c>
      <c r="L1524" s="25">
        <v>38.51</v>
      </c>
      <c r="M1524" s="25">
        <v>1.1399999999999999</v>
      </c>
      <c r="N1524" s="25">
        <v>0</v>
      </c>
      <c r="O1524" s="25">
        <v>250.15</v>
      </c>
      <c r="P1524" s="25">
        <v>289.7962</v>
      </c>
    </row>
    <row r="1525" spans="1:16" x14ac:dyDescent="0.25">
      <c r="A1525" s="26">
        <v>43083</v>
      </c>
      <c r="B1525" s="25" t="s">
        <v>22</v>
      </c>
      <c r="C1525" s="25" t="s">
        <v>23</v>
      </c>
      <c r="D1525" s="25">
        <v>1000</v>
      </c>
      <c r="E1525" s="25">
        <v>71.349999999999994</v>
      </c>
      <c r="F1525" s="25">
        <v>71345.05</v>
      </c>
      <c r="G1525" s="25" t="s">
        <v>24</v>
      </c>
      <c r="H1525" s="25">
        <v>2017238</v>
      </c>
      <c r="I1525" s="25" t="s">
        <v>19</v>
      </c>
      <c r="J1525" s="25" t="s">
        <v>20</v>
      </c>
      <c r="K1525" s="25" t="s">
        <v>25</v>
      </c>
      <c r="L1525" s="25">
        <v>71</v>
      </c>
      <c r="M1525" s="25">
        <v>2.3199999999999998</v>
      </c>
      <c r="N1525" s="25">
        <v>2.4</v>
      </c>
      <c r="O1525" s="25">
        <v>463.45</v>
      </c>
      <c r="P1525" s="25">
        <v>539.16869999999994</v>
      </c>
    </row>
    <row r="1526" spans="1:16" x14ac:dyDescent="0.25">
      <c r="A1526" s="26">
        <v>43077</v>
      </c>
      <c r="B1526" s="25" t="s">
        <v>26</v>
      </c>
      <c r="C1526" s="25" t="s">
        <v>17</v>
      </c>
      <c r="D1526" s="25">
        <v>500</v>
      </c>
      <c r="E1526" s="25">
        <v>137.24</v>
      </c>
      <c r="F1526" s="25">
        <v>68618.100000000006</v>
      </c>
      <c r="G1526" s="25" t="s">
        <v>27</v>
      </c>
      <c r="H1526" s="25">
        <v>2017234</v>
      </c>
      <c r="I1526" s="25" t="s">
        <v>19</v>
      </c>
      <c r="J1526" s="25" t="s">
        <v>20</v>
      </c>
      <c r="K1526" s="25" t="s">
        <v>25</v>
      </c>
      <c r="L1526" s="25">
        <v>68.62</v>
      </c>
      <c r="M1526" s="25">
        <v>2.23</v>
      </c>
      <c r="N1526" s="25">
        <v>0</v>
      </c>
      <c r="O1526" s="25">
        <v>445.73</v>
      </c>
      <c r="P1526" s="25">
        <v>516.58010000000002</v>
      </c>
    </row>
    <row r="1527" spans="1:16" x14ac:dyDescent="0.25">
      <c r="A1527" s="26">
        <v>43077</v>
      </c>
      <c r="B1527" s="25" t="s">
        <v>22</v>
      </c>
      <c r="C1527" s="25" t="s">
        <v>17</v>
      </c>
      <c r="D1527" s="25">
        <v>1000</v>
      </c>
      <c r="E1527" s="25">
        <v>78.650000000000006</v>
      </c>
      <c r="F1527" s="25">
        <v>78650</v>
      </c>
      <c r="G1527" s="25" t="s">
        <v>28</v>
      </c>
      <c r="H1527" s="25">
        <v>2017234</v>
      </c>
      <c r="I1527" s="25" t="s">
        <v>19</v>
      </c>
      <c r="J1527" s="25" t="s">
        <v>20</v>
      </c>
      <c r="K1527" s="25" t="s">
        <v>25</v>
      </c>
      <c r="L1527" s="25">
        <v>78.38</v>
      </c>
      <c r="M1527" s="25">
        <v>2.56</v>
      </c>
      <c r="N1527" s="25">
        <v>4.5</v>
      </c>
      <c r="O1527" s="25">
        <v>510.9</v>
      </c>
      <c r="P1527" s="25">
        <v>596.33600000000001</v>
      </c>
    </row>
    <row r="1528" spans="1:16" x14ac:dyDescent="0.25">
      <c r="A1528" s="26">
        <v>43075</v>
      </c>
      <c r="B1528" s="25" t="s">
        <v>29</v>
      </c>
      <c r="C1528" s="25" t="s">
        <v>17</v>
      </c>
      <c r="D1528" s="25">
        <v>5000</v>
      </c>
      <c r="E1528" s="25">
        <v>16.7</v>
      </c>
      <c r="F1528" s="25">
        <v>83500</v>
      </c>
      <c r="G1528" s="25" t="s">
        <v>30</v>
      </c>
      <c r="H1528" s="25">
        <v>2017232</v>
      </c>
      <c r="I1528" s="25" t="s">
        <v>19</v>
      </c>
      <c r="J1528" s="25" t="s">
        <v>20</v>
      </c>
      <c r="K1528" s="25" t="s">
        <v>25</v>
      </c>
      <c r="L1528" s="25">
        <v>84</v>
      </c>
      <c r="M1528" s="25">
        <v>2.71</v>
      </c>
      <c r="N1528" s="25">
        <v>2.7</v>
      </c>
      <c r="O1528" s="25">
        <v>542.4</v>
      </c>
      <c r="P1528" s="25">
        <v>631.81380000000001</v>
      </c>
    </row>
    <row r="1529" spans="1:16" x14ac:dyDescent="0.25">
      <c r="A1529" s="26">
        <v>43070</v>
      </c>
      <c r="B1529" s="25" t="s">
        <v>16</v>
      </c>
      <c r="C1529" s="25" t="s">
        <v>23</v>
      </c>
      <c r="D1529" s="25">
        <v>500</v>
      </c>
      <c r="E1529" s="25">
        <v>73.599999999999994</v>
      </c>
      <c r="F1529" s="25">
        <v>36800</v>
      </c>
      <c r="G1529" s="25" t="s">
        <v>31</v>
      </c>
      <c r="H1529" s="25">
        <v>201718169</v>
      </c>
      <c r="I1529" s="25" t="s">
        <v>19</v>
      </c>
      <c r="J1529" s="25" t="s">
        <v>20</v>
      </c>
      <c r="K1529" s="25" t="s">
        <v>21</v>
      </c>
      <c r="L1529" s="25">
        <v>37</v>
      </c>
      <c r="M1529" s="25">
        <v>1.0900000000000001</v>
      </c>
      <c r="N1529" s="25">
        <v>1.2</v>
      </c>
      <c r="O1529" s="25">
        <v>239.03</v>
      </c>
      <c r="P1529" s="25">
        <v>278.31560000000002</v>
      </c>
    </row>
    <row r="1530" spans="1:16" x14ac:dyDescent="0.25">
      <c r="A1530" s="26">
        <v>43060</v>
      </c>
      <c r="B1530" s="25" t="s">
        <v>26</v>
      </c>
      <c r="C1530" s="25" t="s">
        <v>17</v>
      </c>
      <c r="D1530" s="25">
        <v>1000</v>
      </c>
      <c r="E1530" s="25">
        <v>142</v>
      </c>
      <c r="F1530" s="25">
        <v>142000</v>
      </c>
      <c r="G1530" s="25" t="s">
        <v>32</v>
      </c>
      <c r="H1530" s="25">
        <v>201718161</v>
      </c>
      <c r="I1530" s="25" t="s">
        <v>19</v>
      </c>
      <c r="J1530" s="25" t="s">
        <v>20</v>
      </c>
      <c r="K1530" s="25" t="s">
        <v>21</v>
      </c>
      <c r="L1530" s="25">
        <v>0</v>
      </c>
      <c r="M1530" s="25">
        <v>4.1900000000000004</v>
      </c>
      <c r="N1530" s="25">
        <v>8.4</v>
      </c>
      <c r="O1530" s="25">
        <v>922.33</v>
      </c>
      <c r="P1530" s="25">
        <v>934.91899999999998</v>
      </c>
    </row>
    <row r="1531" spans="1:16" x14ac:dyDescent="0.25">
      <c r="A1531" s="26">
        <v>43060</v>
      </c>
      <c r="B1531" s="25" t="s">
        <v>26</v>
      </c>
      <c r="C1531" s="25" t="s">
        <v>23</v>
      </c>
      <c r="D1531" s="25">
        <v>1000</v>
      </c>
      <c r="E1531" s="25">
        <v>132.53</v>
      </c>
      <c r="F1531" s="25">
        <v>132525.1</v>
      </c>
      <c r="G1531" s="25" t="s">
        <v>33</v>
      </c>
      <c r="H1531" s="25">
        <v>201718161</v>
      </c>
      <c r="I1531" s="25" t="s">
        <v>19</v>
      </c>
      <c r="J1531" s="25" t="s">
        <v>20</v>
      </c>
      <c r="K1531" s="25" t="s">
        <v>21</v>
      </c>
      <c r="L1531" s="25">
        <v>34</v>
      </c>
      <c r="M1531" s="25">
        <v>3.91</v>
      </c>
      <c r="N1531" s="25">
        <v>0</v>
      </c>
      <c r="O1531" s="25">
        <v>0.7</v>
      </c>
      <c r="P1531" s="25">
        <v>38.609499999999997</v>
      </c>
    </row>
    <row r="1532" spans="1:16" x14ac:dyDescent="0.25">
      <c r="A1532" s="26">
        <v>43055</v>
      </c>
      <c r="B1532" s="25" t="s">
        <v>16</v>
      </c>
      <c r="C1532" s="25" t="s">
        <v>17</v>
      </c>
      <c r="D1532" s="25">
        <v>500</v>
      </c>
      <c r="E1532" s="25">
        <v>69</v>
      </c>
      <c r="F1532" s="25">
        <v>34500</v>
      </c>
      <c r="G1532" s="25" t="s">
        <v>34</v>
      </c>
      <c r="H1532" s="25">
        <v>201718158</v>
      </c>
      <c r="I1532" s="25" t="s">
        <v>19</v>
      </c>
      <c r="J1532" s="25" t="s">
        <v>20</v>
      </c>
      <c r="K1532" s="25" t="s">
        <v>21</v>
      </c>
      <c r="L1532" s="25">
        <v>35</v>
      </c>
      <c r="M1532" s="25">
        <v>1.02</v>
      </c>
      <c r="N1532" s="25">
        <v>1.2</v>
      </c>
      <c r="O1532" s="25">
        <v>224.09</v>
      </c>
      <c r="P1532" s="25">
        <v>261.30770000000001</v>
      </c>
    </row>
    <row r="1533" spans="1:16" x14ac:dyDescent="0.25">
      <c r="A1533" s="26">
        <v>43012</v>
      </c>
      <c r="B1533" s="25" t="s">
        <v>35</v>
      </c>
      <c r="C1533" s="25" t="s">
        <v>23</v>
      </c>
      <c r="D1533" s="25">
        <v>2000</v>
      </c>
      <c r="E1533" s="25">
        <v>51.06</v>
      </c>
      <c r="F1533" s="25">
        <v>102113</v>
      </c>
      <c r="G1533" s="25" t="s">
        <v>36</v>
      </c>
      <c r="H1533" s="25">
        <v>201718128</v>
      </c>
      <c r="I1533" s="25" t="s">
        <v>19</v>
      </c>
      <c r="J1533" s="25" t="s">
        <v>20</v>
      </c>
      <c r="K1533" s="25" t="s">
        <v>21</v>
      </c>
      <c r="L1533" s="25">
        <v>102</v>
      </c>
      <c r="M1533" s="25">
        <v>3.01</v>
      </c>
      <c r="N1533" s="25">
        <v>3.3</v>
      </c>
      <c r="O1533" s="25">
        <v>663.25</v>
      </c>
      <c r="P1533" s="25">
        <v>771.56230000000005</v>
      </c>
    </row>
    <row r="1534" spans="1:16" x14ac:dyDescent="0.25">
      <c r="A1534" s="26">
        <v>43000</v>
      </c>
      <c r="B1534" s="25" t="s">
        <v>35</v>
      </c>
      <c r="C1534" s="25" t="s">
        <v>17</v>
      </c>
      <c r="D1534" s="25">
        <v>1000</v>
      </c>
      <c r="E1534" s="25">
        <v>54</v>
      </c>
      <c r="F1534" s="25">
        <v>54000</v>
      </c>
      <c r="G1534" s="25" t="s">
        <v>37</v>
      </c>
      <c r="H1534" s="25">
        <v>201718121</v>
      </c>
      <c r="I1534" s="25" t="s">
        <v>19</v>
      </c>
      <c r="J1534" s="25" t="s">
        <v>20</v>
      </c>
      <c r="K1534" s="25" t="s">
        <v>21</v>
      </c>
      <c r="L1534" s="25">
        <v>54</v>
      </c>
      <c r="M1534" s="25">
        <v>1.59</v>
      </c>
      <c r="N1534" s="25">
        <v>1.8</v>
      </c>
      <c r="O1534" s="25">
        <v>350.75</v>
      </c>
      <c r="P1534" s="25">
        <v>408.14299999999997</v>
      </c>
    </row>
    <row r="1535" spans="1:16" x14ac:dyDescent="0.25">
      <c r="A1535" s="26">
        <v>42909</v>
      </c>
      <c r="B1535" s="25" t="s">
        <v>35</v>
      </c>
      <c r="C1535" s="25" t="s">
        <v>17</v>
      </c>
      <c r="D1535" s="25">
        <v>1000</v>
      </c>
      <c r="E1535" s="25">
        <v>62.1</v>
      </c>
      <c r="F1535" s="25">
        <v>62100</v>
      </c>
      <c r="G1535" s="25" t="s">
        <v>38</v>
      </c>
      <c r="H1535" s="25">
        <v>201718059</v>
      </c>
      <c r="I1535" s="25" t="s">
        <v>19</v>
      </c>
      <c r="J1535" s="25" t="s">
        <v>20</v>
      </c>
      <c r="K1535" s="25" t="s">
        <v>21</v>
      </c>
      <c r="L1535" s="25">
        <v>0</v>
      </c>
      <c r="M1535" s="25">
        <v>2.02</v>
      </c>
      <c r="N1535" s="25">
        <v>3.9</v>
      </c>
      <c r="O1535" s="25">
        <v>392.78</v>
      </c>
      <c r="P1535" s="25">
        <v>398.69830000000002</v>
      </c>
    </row>
    <row r="1536" spans="1:16" x14ac:dyDescent="0.25">
      <c r="A1536" s="26">
        <v>42909</v>
      </c>
      <c r="B1536" s="25" t="s">
        <v>35</v>
      </c>
      <c r="C1536" s="25" t="s">
        <v>23</v>
      </c>
      <c r="D1536" s="25">
        <v>1000</v>
      </c>
      <c r="E1536" s="25">
        <v>61.15</v>
      </c>
      <c r="F1536" s="25">
        <v>61150</v>
      </c>
      <c r="G1536" s="25" t="s">
        <v>39</v>
      </c>
      <c r="H1536" s="25">
        <v>201718059</v>
      </c>
      <c r="I1536" s="25" t="s">
        <v>19</v>
      </c>
      <c r="J1536" s="25" t="s">
        <v>20</v>
      </c>
      <c r="K1536" s="25" t="s">
        <v>21</v>
      </c>
      <c r="L1536" s="25">
        <v>15</v>
      </c>
      <c r="M1536" s="25">
        <v>1.99</v>
      </c>
      <c r="N1536" s="25">
        <v>0</v>
      </c>
      <c r="O1536" s="25">
        <v>0</v>
      </c>
      <c r="P1536" s="25">
        <v>16.987400000000001</v>
      </c>
    </row>
    <row r="1537" spans="1:16" x14ac:dyDescent="0.25">
      <c r="A1537" s="26">
        <v>42907</v>
      </c>
      <c r="B1537" s="25" t="s">
        <v>26</v>
      </c>
      <c r="C1537" s="25" t="s">
        <v>17</v>
      </c>
      <c r="D1537" s="25">
        <v>200</v>
      </c>
      <c r="E1537" s="25">
        <v>134</v>
      </c>
      <c r="F1537" s="25">
        <v>26800</v>
      </c>
      <c r="G1537" s="25" t="s">
        <v>40</v>
      </c>
      <c r="H1537" s="25">
        <v>201718057</v>
      </c>
      <c r="I1537" s="25" t="s">
        <v>19</v>
      </c>
      <c r="J1537" s="25" t="s">
        <v>20</v>
      </c>
      <c r="K1537" s="25" t="s">
        <v>21</v>
      </c>
      <c r="L1537" s="25">
        <v>27</v>
      </c>
      <c r="M1537" s="25">
        <v>0.87</v>
      </c>
      <c r="N1537" s="25">
        <v>0.9</v>
      </c>
      <c r="O1537" s="25">
        <v>169.51</v>
      </c>
      <c r="P1537" s="25">
        <v>198.28100000000001</v>
      </c>
    </row>
    <row r="1538" spans="1:16" x14ac:dyDescent="0.25">
      <c r="A1538" s="26">
        <v>42866</v>
      </c>
      <c r="B1538" s="25" t="s">
        <v>35</v>
      </c>
      <c r="C1538" s="25" t="s">
        <v>17</v>
      </c>
      <c r="D1538" s="25">
        <v>1000</v>
      </c>
      <c r="E1538" s="25">
        <v>67.75</v>
      </c>
      <c r="F1538" s="25">
        <v>67750</v>
      </c>
      <c r="G1538" s="25" t="s">
        <v>41</v>
      </c>
      <c r="H1538" s="25">
        <v>201718028</v>
      </c>
      <c r="I1538" s="25" t="s">
        <v>19</v>
      </c>
      <c r="J1538" s="25" t="s">
        <v>20</v>
      </c>
      <c r="K1538" s="25" t="s">
        <v>21</v>
      </c>
      <c r="L1538" s="25">
        <v>68</v>
      </c>
      <c r="M1538" s="25">
        <v>2.2000000000000002</v>
      </c>
      <c r="N1538" s="25">
        <v>2.1</v>
      </c>
      <c r="O1538" s="25">
        <v>428.52</v>
      </c>
      <c r="P1538" s="25">
        <v>500.82190000000003</v>
      </c>
    </row>
    <row r="1539" spans="1:16" x14ac:dyDescent="0.25">
      <c r="A1539" s="26">
        <v>42857</v>
      </c>
      <c r="B1539" s="25" t="s">
        <v>35</v>
      </c>
      <c r="C1539" s="25" t="s">
        <v>23</v>
      </c>
      <c r="D1539" s="25">
        <v>2000</v>
      </c>
      <c r="E1539" s="25">
        <v>70.150000000000006</v>
      </c>
      <c r="F1539" s="25">
        <v>140300</v>
      </c>
      <c r="G1539" s="25" t="s">
        <v>42</v>
      </c>
      <c r="H1539" s="25">
        <v>201718021</v>
      </c>
      <c r="I1539" s="25" t="s">
        <v>19</v>
      </c>
      <c r="J1539" s="25" t="s">
        <v>20</v>
      </c>
      <c r="K1539" s="25" t="s">
        <v>21</v>
      </c>
      <c r="L1539" s="25">
        <v>140</v>
      </c>
      <c r="M1539" s="25">
        <v>4.5599999999999996</v>
      </c>
      <c r="N1539" s="25">
        <v>4.5</v>
      </c>
      <c r="O1539" s="25">
        <v>887.4</v>
      </c>
      <c r="P1539" s="25">
        <v>1036.4597000000001</v>
      </c>
    </row>
    <row r="1540" spans="1:16" x14ac:dyDescent="0.25">
      <c r="A1540" s="26">
        <v>42836</v>
      </c>
      <c r="B1540" s="25" t="s">
        <v>35</v>
      </c>
      <c r="C1540" s="25" t="s">
        <v>17</v>
      </c>
      <c r="D1540" s="25">
        <v>1000</v>
      </c>
      <c r="E1540" s="25">
        <v>67</v>
      </c>
      <c r="F1540" s="25">
        <v>67000</v>
      </c>
      <c r="G1540" s="25" t="s">
        <v>43</v>
      </c>
      <c r="H1540" s="25">
        <v>201718008</v>
      </c>
      <c r="I1540" s="25" t="s">
        <v>19</v>
      </c>
      <c r="J1540" s="25" t="s">
        <v>20</v>
      </c>
      <c r="K1540" s="25" t="s">
        <v>21</v>
      </c>
      <c r="L1540" s="25">
        <v>67</v>
      </c>
      <c r="M1540" s="25">
        <v>2.21</v>
      </c>
      <c r="N1540" s="25">
        <v>2.1</v>
      </c>
      <c r="O1540" s="25">
        <v>423.77</v>
      </c>
      <c r="P1540" s="25">
        <v>495.08100000000002</v>
      </c>
    </row>
    <row r="1541" spans="1:16" x14ac:dyDescent="0.25">
      <c r="A1541" s="26">
        <v>42824</v>
      </c>
      <c r="B1541" s="25" t="s">
        <v>35</v>
      </c>
      <c r="C1541" s="25" t="s">
        <v>23</v>
      </c>
      <c r="D1541" s="25">
        <v>1000</v>
      </c>
      <c r="E1541" s="25">
        <v>65.8</v>
      </c>
      <c r="F1541" s="25">
        <v>65800</v>
      </c>
      <c r="G1541" s="25" t="s">
        <v>44</v>
      </c>
      <c r="H1541" s="25">
        <v>201718001</v>
      </c>
      <c r="I1541" s="25" t="s">
        <v>19</v>
      </c>
      <c r="J1541" s="25" t="s">
        <v>20</v>
      </c>
      <c r="K1541" s="25" t="s">
        <v>21</v>
      </c>
      <c r="L1541" s="25">
        <v>66</v>
      </c>
      <c r="M1541" s="25">
        <v>2.17</v>
      </c>
      <c r="N1541" s="25">
        <v>7</v>
      </c>
      <c r="O1541" s="25">
        <v>416.19</v>
      </c>
      <c r="P1541" s="25">
        <v>491.3614</v>
      </c>
    </row>
    <row r="1542" spans="1:16" x14ac:dyDescent="0.25">
      <c r="A1542" s="26">
        <v>42818</v>
      </c>
      <c r="B1542" s="25" t="s">
        <v>35</v>
      </c>
      <c r="C1542" s="25" t="s">
        <v>17</v>
      </c>
      <c r="D1542" s="25">
        <v>1000</v>
      </c>
      <c r="E1542" s="25">
        <v>63.49</v>
      </c>
      <c r="F1542" s="25">
        <v>63492.5</v>
      </c>
      <c r="G1542" s="25" t="s">
        <v>45</v>
      </c>
      <c r="H1542" s="25">
        <v>201617245</v>
      </c>
      <c r="I1542" s="25" t="s">
        <v>19</v>
      </c>
      <c r="J1542" s="25" t="s">
        <v>20</v>
      </c>
      <c r="K1542" s="25" t="s">
        <v>21</v>
      </c>
      <c r="L1542" s="25">
        <v>63.49</v>
      </c>
      <c r="M1542" s="25">
        <v>2.1</v>
      </c>
      <c r="N1542" s="25">
        <v>0</v>
      </c>
      <c r="O1542" s="25">
        <v>401.59</v>
      </c>
      <c r="P1542" s="25">
        <v>467.17520000000002</v>
      </c>
    </row>
    <row r="1543" spans="1:16" x14ac:dyDescent="0.25">
      <c r="A1543" s="26">
        <v>42818</v>
      </c>
      <c r="B1543" s="25" t="s">
        <v>46</v>
      </c>
      <c r="C1543" s="25" t="s">
        <v>23</v>
      </c>
      <c r="D1543" s="25">
        <v>100</v>
      </c>
      <c r="E1543" s="25">
        <v>97.5</v>
      </c>
      <c r="F1543" s="25">
        <v>9750</v>
      </c>
      <c r="G1543" s="25" t="s">
        <v>47</v>
      </c>
      <c r="H1543" s="25">
        <v>201617245</v>
      </c>
      <c r="I1543" s="25" t="s">
        <v>19</v>
      </c>
      <c r="J1543" s="25" t="s">
        <v>20</v>
      </c>
      <c r="K1543" s="25" t="s">
        <v>21</v>
      </c>
      <c r="L1543" s="25">
        <v>9.51</v>
      </c>
      <c r="M1543" s="25">
        <v>0.32</v>
      </c>
      <c r="N1543" s="25">
        <v>8</v>
      </c>
      <c r="O1543" s="25">
        <v>61.67</v>
      </c>
      <c r="P1543" s="25">
        <v>79.5017</v>
      </c>
    </row>
    <row r="1544" spans="1:16" x14ac:dyDescent="0.25">
      <c r="A1544" s="26">
        <v>42808</v>
      </c>
      <c r="B1544" s="25" t="s">
        <v>46</v>
      </c>
      <c r="C1544" s="25" t="s">
        <v>17</v>
      </c>
      <c r="D1544" s="25">
        <v>100</v>
      </c>
      <c r="E1544" s="25">
        <v>92</v>
      </c>
      <c r="F1544" s="25">
        <v>9200</v>
      </c>
      <c r="G1544" s="25" t="s">
        <v>48</v>
      </c>
      <c r="H1544" s="25">
        <v>201617237</v>
      </c>
      <c r="I1544" s="25" t="s">
        <v>19</v>
      </c>
      <c r="J1544" s="25" t="s">
        <v>20</v>
      </c>
      <c r="K1544" s="25" t="s">
        <v>21</v>
      </c>
      <c r="L1544" s="25">
        <v>9</v>
      </c>
      <c r="M1544" s="25">
        <v>0.3</v>
      </c>
      <c r="N1544" s="25">
        <v>1</v>
      </c>
      <c r="O1544" s="25">
        <v>58.19</v>
      </c>
      <c r="P1544" s="25">
        <v>68.493600000000001</v>
      </c>
    </row>
    <row r="1545" spans="1:16" x14ac:dyDescent="0.25">
      <c r="A1545" s="26">
        <v>42676</v>
      </c>
      <c r="B1545" s="25" t="s">
        <v>49</v>
      </c>
      <c r="C1545" s="25" t="s">
        <v>23</v>
      </c>
      <c r="D1545" s="25">
        <v>100</v>
      </c>
      <c r="E1545" s="25">
        <v>401.05</v>
      </c>
      <c r="F1545" s="25">
        <v>40105</v>
      </c>
      <c r="G1545" s="25" t="s">
        <v>50</v>
      </c>
      <c r="H1545" s="25">
        <v>201617147</v>
      </c>
      <c r="I1545" s="25" t="s">
        <v>19</v>
      </c>
      <c r="J1545" s="25" t="s">
        <v>20</v>
      </c>
      <c r="K1545" s="25" t="s">
        <v>21</v>
      </c>
      <c r="L1545" s="25">
        <v>40.11</v>
      </c>
      <c r="M1545" s="25">
        <v>1.32</v>
      </c>
      <c r="N1545" s="25">
        <v>0</v>
      </c>
      <c r="O1545" s="25">
        <v>253.66</v>
      </c>
      <c r="P1545" s="25">
        <v>295.09350000000001</v>
      </c>
    </row>
    <row r="1546" spans="1:16" x14ac:dyDescent="0.25">
      <c r="A1546" s="26">
        <v>42676</v>
      </c>
      <c r="B1546" s="25" t="s">
        <v>51</v>
      </c>
      <c r="C1546" s="25" t="s">
        <v>17</v>
      </c>
      <c r="D1546" s="25">
        <v>100</v>
      </c>
      <c r="E1546" s="25">
        <v>380</v>
      </c>
      <c r="F1546" s="25">
        <v>38000</v>
      </c>
      <c r="G1546" s="25" t="s">
        <v>52</v>
      </c>
      <c r="H1546" s="25">
        <v>201617147</v>
      </c>
      <c r="I1546" s="25" t="s">
        <v>19</v>
      </c>
      <c r="J1546" s="25" t="s">
        <v>20</v>
      </c>
      <c r="K1546" s="25" t="s">
        <v>21</v>
      </c>
      <c r="L1546" s="25">
        <v>37.9</v>
      </c>
      <c r="M1546" s="25">
        <v>1.25</v>
      </c>
      <c r="N1546" s="25">
        <v>8</v>
      </c>
      <c r="O1546" s="25">
        <v>240.35</v>
      </c>
      <c r="P1546" s="25">
        <v>287.50400000000002</v>
      </c>
    </row>
    <row r="1547" spans="1:16" x14ac:dyDescent="0.25">
      <c r="A1547" s="26">
        <v>42670</v>
      </c>
      <c r="B1547" s="25" t="s">
        <v>49</v>
      </c>
      <c r="C1547" s="25" t="s">
        <v>17</v>
      </c>
      <c r="D1547" s="25">
        <v>100</v>
      </c>
      <c r="E1547" s="25">
        <v>403.3</v>
      </c>
      <c r="F1547" s="25">
        <v>40330</v>
      </c>
      <c r="G1547" s="25" t="s">
        <v>53</v>
      </c>
      <c r="H1547" s="25">
        <v>201617143</v>
      </c>
      <c r="I1547" s="25" t="s">
        <v>19</v>
      </c>
      <c r="J1547" s="25" t="s">
        <v>20</v>
      </c>
      <c r="K1547" s="25" t="s">
        <v>21</v>
      </c>
      <c r="L1547" s="25">
        <v>40</v>
      </c>
      <c r="M1547" s="25">
        <v>1.33</v>
      </c>
      <c r="N1547" s="25">
        <v>5</v>
      </c>
      <c r="O1547" s="25">
        <v>255.08</v>
      </c>
      <c r="P1547" s="25">
        <v>301.41079999999999</v>
      </c>
    </row>
    <row r="1548" spans="1:16" x14ac:dyDescent="0.25">
      <c r="A1548" s="26">
        <v>42668</v>
      </c>
      <c r="B1548" s="25" t="s">
        <v>54</v>
      </c>
      <c r="C1548" s="25" t="s">
        <v>23</v>
      </c>
      <c r="D1548" s="25">
        <v>100</v>
      </c>
      <c r="E1548" s="25">
        <v>373</v>
      </c>
      <c r="F1548" s="25">
        <v>37300</v>
      </c>
      <c r="G1548" s="25" t="s">
        <v>55</v>
      </c>
      <c r="H1548" s="25">
        <v>201617141</v>
      </c>
      <c r="I1548" s="25" t="s">
        <v>19</v>
      </c>
      <c r="J1548" s="25" t="s">
        <v>20</v>
      </c>
      <c r="K1548" s="25" t="s">
        <v>21</v>
      </c>
      <c r="L1548" s="25">
        <v>37</v>
      </c>
      <c r="M1548" s="25">
        <v>1.23</v>
      </c>
      <c r="N1548" s="25">
        <v>4</v>
      </c>
      <c r="O1548" s="25">
        <v>235.92</v>
      </c>
      <c r="P1548" s="25">
        <v>278.15089999999998</v>
      </c>
    </row>
    <row r="1549" spans="1:16" x14ac:dyDescent="0.25">
      <c r="A1549" s="26">
        <v>42667</v>
      </c>
      <c r="B1549" s="25" t="s">
        <v>56</v>
      </c>
      <c r="C1549" s="25" t="s">
        <v>23</v>
      </c>
      <c r="D1549" s="25">
        <v>100</v>
      </c>
      <c r="E1549" s="25">
        <v>456.25</v>
      </c>
      <c r="F1549" s="25">
        <v>45624.7</v>
      </c>
      <c r="G1549" s="25" t="s">
        <v>57</v>
      </c>
      <c r="H1549" s="25">
        <v>201617140</v>
      </c>
      <c r="I1549" s="25" t="s">
        <v>19</v>
      </c>
      <c r="J1549" s="25" t="s">
        <v>20</v>
      </c>
      <c r="K1549" s="25" t="s">
        <v>21</v>
      </c>
      <c r="L1549" s="25">
        <v>46</v>
      </c>
      <c r="M1549" s="25">
        <v>1.51</v>
      </c>
      <c r="N1549" s="25">
        <v>5</v>
      </c>
      <c r="O1549" s="25">
        <v>288.57</v>
      </c>
      <c r="P1549" s="25">
        <v>341.07549999999998</v>
      </c>
    </row>
    <row r="1550" spans="1:16" x14ac:dyDescent="0.25">
      <c r="A1550" s="26">
        <v>42661</v>
      </c>
      <c r="B1550" s="25" t="s">
        <v>49</v>
      </c>
      <c r="C1550" s="25" t="s">
        <v>23</v>
      </c>
      <c r="D1550" s="25">
        <v>100</v>
      </c>
      <c r="E1550" s="25">
        <v>398.16</v>
      </c>
      <c r="F1550" s="25">
        <v>39815.599999999999</v>
      </c>
      <c r="G1550" s="25" t="s">
        <v>58</v>
      </c>
      <c r="H1550" s="25">
        <v>201617136</v>
      </c>
      <c r="I1550" s="25" t="s">
        <v>19</v>
      </c>
      <c r="J1550" s="25" t="s">
        <v>20</v>
      </c>
      <c r="K1550" s="25" t="s">
        <v>21</v>
      </c>
      <c r="L1550" s="25">
        <v>39.82</v>
      </c>
      <c r="M1550" s="25">
        <v>1.31</v>
      </c>
      <c r="N1550" s="25">
        <v>0</v>
      </c>
      <c r="O1550" s="25">
        <v>251.84</v>
      </c>
      <c r="P1550" s="25">
        <v>292.97390000000001</v>
      </c>
    </row>
    <row r="1551" spans="1:16" x14ac:dyDescent="0.25">
      <c r="A1551" s="26">
        <v>42661</v>
      </c>
      <c r="B1551" s="25" t="s">
        <v>54</v>
      </c>
      <c r="C1551" s="25" t="s">
        <v>17</v>
      </c>
      <c r="D1551" s="25">
        <v>100</v>
      </c>
      <c r="E1551" s="25">
        <v>357</v>
      </c>
      <c r="F1551" s="25">
        <v>35700</v>
      </c>
      <c r="G1551" s="25" t="s">
        <v>59</v>
      </c>
      <c r="H1551" s="25">
        <v>201617136</v>
      </c>
      <c r="I1551" s="25" t="s">
        <v>19</v>
      </c>
      <c r="J1551" s="25" t="s">
        <v>20</v>
      </c>
      <c r="K1551" s="25" t="s">
        <v>21</v>
      </c>
      <c r="L1551" s="25">
        <v>36.18</v>
      </c>
      <c r="M1551" s="25">
        <v>1.18</v>
      </c>
      <c r="N1551" s="25">
        <v>8</v>
      </c>
      <c r="O1551" s="25">
        <v>225.8</v>
      </c>
      <c r="P1551" s="25">
        <v>271.15809999999999</v>
      </c>
    </row>
    <row r="1552" spans="1:16" x14ac:dyDescent="0.25">
      <c r="A1552" s="26">
        <v>42643</v>
      </c>
      <c r="B1552" s="25" t="s">
        <v>26</v>
      </c>
      <c r="C1552" s="25" t="s">
        <v>23</v>
      </c>
      <c r="D1552" s="25">
        <v>400</v>
      </c>
      <c r="E1552" s="25">
        <v>129.44999999999999</v>
      </c>
      <c r="F1552" s="25">
        <v>51779.45</v>
      </c>
      <c r="G1552" s="25" t="s">
        <v>60</v>
      </c>
      <c r="H1552" s="25">
        <v>201617126</v>
      </c>
      <c r="I1552" s="25" t="s">
        <v>19</v>
      </c>
      <c r="J1552" s="25" t="s">
        <v>20</v>
      </c>
      <c r="K1552" s="25" t="s">
        <v>21</v>
      </c>
      <c r="L1552" s="25">
        <v>51.78</v>
      </c>
      <c r="M1552" s="25">
        <v>1.71</v>
      </c>
      <c r="N1552" s="25">
        <v>0</v>
      </c>
      <c r="O1552" s="25">
        <v>327.5</v>
      </c>
      <c r="P1552" s="25">
        <v>380.98880000000003</v>
      </c>
    </row>
    <row r="1553" spans="1:16" x14ac:dyDescent="0.25">
      <c r="A1553" s="26">
        <v>42643</v>
      </c>
      <c r="B1553" s="25" t="s">
        <v>49</v>
      </c>
      <c r="C1553" s="25" t="s">
        <v>17</v>
      </c>
      <c r="D1553" s="25">
        <v>100</v>
      </c>
      <c r="E1553" s="25">
        <v>364.63</v>
      </c>
      <c r="F1553" s="25">
        <v>36463.35</v>
      </c>
      <c r="G1553" s="25" t="s">
        <v>61</v>
      </c>
      <c r="H1553" s="25">
        <v>201617126</v>
      </c>
      <c r="I1553" s="25" t="s">
        <v>19</v>
      </c>
      <c r="J1553" s="25" t="s">
        <v>20</v>
      </c>
      <c r="K1553" s="25" t="s">
        <v>21</v>
      </c>
      <c r="L1553" s="25">
        <v>36.22</v>
      </c>
      <c r="M1553" s="25">
        <v>1.2</v>
      </c>
      <c r="N1553" s="25">
        <v>9</v>
      </c>
      <c r="O1553" s="25">
        <v>230.63</v>
      </c>
      <c r="P1553" s="25">
        <v>277.0532</v>
      </c>
    </row>
    <row r="1554" spans="1:16" x14ac:dyDescent="0.25">
      <c r="A1554" s="26">
        <v>42627</v>
      </c>
      <c r="B1554" s="25" t="s">
        <v>56</v>
      </c>
      <c r="C1554" s="25" t="s">
        <v>23</v>
      </c>
      <c r="D1554" s="25">
        <v>100</v>
      </c>
      <c r="E1554" s="25">
        <v>518</v>
      </c>
      <c r="F1554" s="25">
        <v>51800</v>
      </c>
      <c r="G1554" s="25" t="s">
        <v>62</v>
      </c>
      <c r="H1554" s="25">
        <v>201617114</v>
      </c>
      <c r="I1554" s="25" t="s">
        <v>19</v>
      </c>
      <c r="J1554" s="25" t="s">
        <v>20</v>
      </c>
      <c r="K1554" s="25" t="s">
        <v>21</v>
      </c>
      <c r="L1554" s="25">
        <v>52</v>
      </c>
      <c r="M1554" s="25">
        <v>1.71</v>
      </c>
      <c r="N1554" s="25">
        <v>6</v>
      </c>
      <c r="O1554" s="25">
        <v>327.64</v>
      </c>
      <c r="P1554" s="25">
        <v>387.3494</v>
      </c>
    </row>
    <row r="1555" spans="1:16" x14ac:dyDescent="0.25">
      <c r="A1555" s="26">
        <v>42613</v>
      </c>
      <c r="B1555" s="25" t="s">
        <v>35</v>
      </c>
      <c r="C1555" s="25" t="s">
        <v>23</v>
      </c>
      <c r="D1555" s="25">
        <v>1000</v>
      </c>
      <c r="E1555" s="25">
        <v>66</v>
      </c>
      <c r="F1555" s="25">
        <v>66000</v>
      </c>
      <c r="G1555" s="25" t="s">
        <v>63</v>
      </c>
      <c r="H1555" s="25">
        <v>201617106</v>
      </c>
      <c r="I1555" s="25" t="s">
        <v>19</v>
      </c>
      <c r="J1555" s="25" t="s">
        <v>20</v>
      </c>
      <c r="K1555" s="25" t="s">
        <v>21</v>
      </c>
      <c r="L1555" s="25">
        <v>66</v>
      </c>
      <c r="M1555" s="25">
        <v>2.1800000000000002</v>
      </c>
      <c r="N1555" s="25">
        <v>7</v>
      </c>
      <c r="O1555" s="25">
        <v>417.46</v>
      </c>
      <c r="P1555" s="25">
        <v>492.63799999999998</v>
      </c>
    </row>
    <row r="1556" spans="1:16" x14ac:dyDescent="0.25">
      <c r="A1556" s="26">
        <v>42583</v>
      </c>
      <c r="B1556" s="25" t="s">
        <v>26</v>
      </c>
      <c r="C1556" s="25" t="s">
        <v>17</v>
      </c>
      <c r="D1556" s="25">
        <v>400</v>
      </c>
      <c r="E1556" s="25">
        <v>183</v>
      </c>
      <c r="F1556" s="25">
        <v>73200</v>
      </c>
      <c r="G1556" s="25" t="s">
        <v>64</v>
      </c>
      <c r="H1556" s="25">
        <v>201617085</v>
      </c>
      <c r="I1556" s="25" t="s">
        <v>19</v>
      </c>
      <c r="J1556" s="25" t="s">
        <v>20</v>
      </c>
      <c r="K1556" s="25" t="s">
        <v>21</v>
      </c>
      <c r="L1556" s="25">
        <v>73</v>
      </c>
      <c r="M1556" s="25">
        <v>2.42</v>
      </c>
      <c r="N1556" s="25">
        <v>8</v>
      </c>
      <c r="O1556" s="25">
        <v>462.99</v>
      </c>
      <c r="P1556" s="25">
        <v>546.40560000000005</v>
      </c>
    </row>
    <row r="1557" spans="1:16" x14ac:dyDescent="0.25">
      <c r="A1557" s="26">
        <v>42572</v>
      </c>
      <c r="B1557" s="25" t="s">
        <v>65</v>
      </c>
      <c r="C1557" s="25" t="s">
        <v>23</v>
      </c>
      <c r="D1557" s="25">
        <v>500</v>
      </c>
      <c r="E1557" s="25">
        <v>127.5</v>
      </c>
      <c r="F1557" s="25">
        <v>63750</v>
      </c>
      <c r="G1557" s="25" t="s">
        <v>66</v>
      </c>
      <c r="H1557" s="25">
        <v>201617078</v>
      </c>
      <c r="I1557" s="25" t="s">
        <v>19</v>
      </c>
      <c r="J1557" s="25" t="s">
        <v>20</v>
      </c>
      <c r="K1557" s="25" t="s">
        <v>21</v>
      </c>
      <c r="L1557" s="25">
        <v>63.32</v>
      </c>
      <c r="M1557" s="25">
        <v>2.1</v>
      </c>
      <c r="N1557" s="25">
        <v>13</v>
      </c>
      <c r="O1557" s="25">
        <v>403.22</v>
      </c>
      <c r="P1557" s="25">
        <v>481.6438</v>
      </c>
    </row>
    <row r="1558" spans="1:16" x14ac:dyDescent="0.25">
      <c r="A1558" s="26">
        <v>42572</v>
      </c>
      <c r="B1558" s="25" t="s">
        <v>56</v>
      </c>
      <c r="C1558" s="25" t="s">
        <v>17</v>
      </c>
      <c r="D1558" s="25">
        <v>100</v>
      </c>
      <c r="E1558" s="25">
        <v>566.79999999999995</v>
      </c>
      <c r="F1558" s="25">
        <v>56680</v>
      </c>
      <c r="G1558" s="25" t="s">
        <v>67</v>
      </c>
      <c r="H1558" s="25">
        <v>201617078</v>
      </c>
      <c r="I1558" s="25" t="s">
        <v>19</v>
      </c>
      <c r="J1558" s="25" t="s">
        <v>20</v>
      </c>
      <c r="K1558" s="25" t="s">
        <v>21</v>
      </c>
      <c r="L1558" s="25">
        <v>56.68</v>
      </c>
      <c r="M1558" s="25">
        <v>1.87</v>
      </c>
      <c r="N1558" s="25">
        <v>0</v>
      </c>
      <c r="O1558" s="25">
        <v>358.51</v>
      </c>
      <c r="P1558" s="25">
        <v>417.06040000000002</v>
      </c>
    </row>
    <row r="1559" spans="1:16" x14ac:dyDescent="0.25">
      <c r="A1559" s="26">
        <v>42565</v>
      </c>
      <c r="B1559" s="25" t="s">
        <v>68</v>
      </c>
      <c r="C1559" s="25" t="s">
        <v>23</v>
      </c>
      <c r="D1559" s="25">
        <v>895</v>
      </c>
      <c r="E1559" s="25">
        <v>71.45</v>
      </c>
      <c r="F1559" s="25">
        <v>63947.75</v>
      </c>
      <c r="G1559" s="25" t="s">
        <v>69</v>
      </c>
      <c r="H1559" s="25">
        <v>201617073</v>
      </c>
      <c r="I1559" s="25" t="s">
        <v>19</v>
      </c>
      <c r="J1559" s="25" t="s">
        <v>20</v>
      </c>
      <c r="K1559" s="25" t="s">
        <v>21</v>
      </c>
      <c r="L1559" s="25">
        <v>64.349999999999994</v>
      </c>
      <c r="M1559" s="25">
        <v>2.11</v>
      </c>
      <c r="N1559" s="25">
        <v>14</v>
      </c>
      <c r="O1559" s="25">
        <v>404.47</v>
      </c>
      <c r="P1559" s="25">
        <v>484.93029999999999</v>
      </c>
    </row>
    <row r="1560" spans="1:16" x14ac:dyDescent="0.25">
      <c r="A1560" s="26">
        <v>42565</v>
      </c>
      <c r="B1560" s="25" t="s">
        <v>65</v>
      </c>
      <c r="C1560" s="25" t="s">
        <v>17</v>
      </c>
      <c r="D1560" s="25">
        <v>500</v>
      </c>
      <c r="E1560" s="25">
        <v>133.30000000000001</v>
      </c>
      <c r="F1560" s="25">
        <v>66650</v>
      </c>
      <c r="G1560" s="25" t="s">
        <v>70</v>
      </c>
      <c r="H1560" s="25">
        <v>201617073</v>
      </c>
      <c r="I1560" s="25" t="s">
        <v>19</v>
      </c>
      <c r="J1560" s="25" t="s">
        <v>20</v>
      </c>
      <c r="K1560" s="25" t="s">
        <v>21</v>
      </c>
      <c r="L1560" s="25">
        <v>66.650000000000006</v>
      </c>
      <c r="M1560" s="25">
        <v>2.2000000000000002</v>
      </c>
      <c r="N1560" s="25">
        <v>0</v>
      </c>
      <c r="O1560" s="25">
        <v>421.56</v>
      </c>
      <c r="P1560" s="25">
        <v>490.40949999999998</v>
      </c>
    </row>
    <row r="1561" spans="1:16" x14ac:dyDescent="0.25">
      <c r="A1561" s="26">
        <v>42545</v>
      </c>
      <c r="B1561" s="25" t="s">
        <v>56</v>
      </c>
      <c r="C1561" s="25" t="s">
        <v>17</v>
      </c>
      <c r="D1561" s="25">
        <v>100</v>
      </c>
      <c r="E1561" s="25">
        <v>662.96</v>
      </c>
      <c r="F1561" s="25">
        <v>66296</v>
      </c>
      <c r="G1561" s="25" t="s">
        <v>71</v>
      </c>
      <c r="H1561" s="25">
        <v>201617060</v>
      </c>
      <c r="I1561" s="25" t="s">
        <v>19</v>
      </c>
      <c r="J1561" s="25" t="s">
        <v>20</v>
      </c>
      <c r="K1561" s="25" t="s">
        <v>21</v>
      </c>
      <c r="L1561" s="25">
        <v>66</v>
      </c>
      <c r="M1561" s="25">
        <v>2.19</v>
      </c>
      <c r="N1561" s="25">
        <v>7</v>
      </c>
      <c r="O1561" s="25">
        <v>419.32</v>
      </c>
      <c r="P1561" s="25">
        <v>494.50790000000001</v>
      </c>
    </row>
    <row r="1562" spans="1:16" x14ac:dyDescent="0.25">
      <c r="A1562" s="26">
        <v>42451</v>
      </c>
      <c r="B1562" s="25" t="s">
        <v>68</v>
      </c>
      <c r="C1562" s="25" t="s">
        <v>23</v>
      </c>
      <c r="D1562" s="25">
        <v>105</v>
      </c>
      <c r="E1562" s="25">
        <v>59.5</v>
      </c>
      <c r="F1562" s="25">
        <v>6247.5</v>
      </c>
      <c r="G1562" s="25" t="s">
        <v>72</v>
      </c>
      <c r="H1562" s="25">
        <v>201516244</v>
      </c>
      <c r="I1562" s="25" t="s">
        <v>19</v>
      </c>
      <c r="J1562" s="25" t="s">
        <v>20</v>
      </c>
      <c r="K1562" s="25" t="s">
        <v>21</v>
      </c>
      <c r="L1562" s="25">
        <v>6</v>
      </c>
      <c r="M1562" s="25">
        <v>0.21</v>
      </c>
      <c r="N1562" s="25">
        <v>1</v>
      </c>
      <c r="O1562" s="25">
        <v>40.08</v>
      </c>
      <c r="P1562" s="25">
        <v>47.286200000000001</v>
      </c>
    </row>
    <row r="1563" spans="1:16" x14ac:dyDescent="0.25">
      <c r="A1563" s="26">
        <v>42416</v>
      </c>
      <c r="B1563" s="25" t="s">
        <v>35</v>
      </c>
      <c r="C1563" s="25" t="s">
        <v>17</v>
      </c>
      <c r="D1563" s="25">
        <v>2000</v>
      </c>
      <c r="E1563" s="25">
        <v>64.86</v>
      </c>
      <c r="F1563" s="25">
        <v>129717.8</v>
      </c>
      <c r="G1563" s="25" t="s">
        <v>73</v>
      </c>
      <c r="H1563" s="25">
        <v>201516220</v>
      </c>
      <c r="I1563" s="25" t="s">
        <v>19</v>
      </c>
      <c r="J1563" s="25" t="s">
        <v>20</v>
      </c>
      <c r="K1563" s="25" t="s">
        <v>21</v>
      </c>
      <c r="L1563" s="25">
        <v>130</v>
      </c>
      <c r="M1563" s="25">
        <v>4.28</v>
      </c>
      <c r="N1563" s="25">
        <v>13</v>
      </c>
      <c r="O1563" s="25">
        <v>816.9</v>
      </c>
      <c r="P1563" s="25">
        <v>964.18079999999998</v>
      </c>
    </row>
    <row r="1564" spans="1:16" x14ac:dyDescent="0.25">
      <c r="A1564" s="26">
        <v>42398</v>
      </c>
      <c r="B1564" s="25" t="s">
        <v>74</v>
      </c>
      <c r="C1564" s="25" t="s">
        <v>23</v>
      </c>
      <c r="D1564" s="25">
        <v>100</v>
      </c>
      <c r="E1564" s="25">
        <v>1160</v>
      </c>
      <c r="F1564" s="25">
        <v>116000</v>
      </c>
      <c r="G1564" s="25" t="s">
        <v>75</v>
      </c>
      <c r="H1564" s="25">
        <v>201516208</v>
      </c>
      <c r="I1564" s="25" t="s">
        <v>19</v>
      </c>
      <c r="J1564" s="25" t="s">
        <v>20</v>
      </c>
      <c r="K1564" s="25" t="s">
        <v>21</v>
      </c>
      <c r="L1564" s="25">
        <v>116</v>
      </c>
      <c r="M1564" s="25">
        <v>3.83</v>
      </c>
      <c r="N1564" s="25">
        <v>12</v>
      </c>
      <c r="O1564" s="25">
        <v>730.51</v>
      </c>
      <c r="P1564" s="25">
        <v>862.33799999999997</v>
      </c>
    </row>
    <row r="1565" spans="1:16" x14ac:dyDescent="0.25">
      <c r="A1565" s="26">
        <v>42373</v>
      </c>
      <c r="B1565" s="25" t="s">
        <v>68</v>
      </c>
      <c r="C1565" s="25" t="s">
        <v>17</v>
      </c>
      <c r="D1565" s="25">
        <v>1000</v>
      </c>
      <c r="E1565" s="25">
        <v>69</v>
      </c>
      <c r="F1565" s="25">
        <v>69000</v>
      </c>
      <c r="G1565" s="25" t="s">
        <v>76</v>
      </c>
      <c r="H1565" s="25">
        <v>201516190</v>
      </c>
      <c r="I1565" s="25" t="s">
        <v>19</v>
      </c>
      <c r="J1565" s="25" t="s">
        <v>20</v>
      </c>
      <c r="K1565" s="25" t="s">
        <v>21</v>
      </c>
      <c r="L1565" s="25">
        <v>69</v>
      </c>
      <c r="M1565" s="25">
        <v>2.2799999999999998</v>
      </c>
      <c r="N1565" s="25">
        <v>7</v>
      </c>
      <c r="O1565" s="25">
        <v>434.53</v>
      </c>
      <c r="P1565" s="25">
        <v>512.80709999999999</v>
      </c>
    </row>
    <row r="1566" spans="1:16" x14ac:dyDescent="0.25">
      <c r="A1566" s="26">
        <v>42362</v>
      </c>
      <c r="B1566" s="25" t="s">
        <v>35</v>
      </c>
      <c r="C1566" s="25" t="s">
        <v>23</v>
      </c>
      <c r="D1566" s="25">
        <v>1000</v>
      </c>
      <c r="E1566" s="25">
        <v>100</v>
      </c>
      <c r="F1566" s="25">
        <v>100000</v>
      </c>
      <c r="G1566" s="25" t="s">
        <v>77</v>
      </c>
      <c r="H1566" s="25">
        <v>201516184</v>
      </c>
      <c r="I1566" s="25" t="s">
        <v>19</v>
      </c>
      <c r="J1566" s="25" t="s">
        <v>20</v>
      </c>
      <c r="K1566" s="25" t="s">
        <v>21</v>
      </c>
      <c r="L1566" s="25">
        <v>100</v>
      </c>
      <c r="M1566" s="25">
        <v>3.3</v>
      </c>
      <c r="N1566" s="25">
        <v>10</v>
      </c>
      <c r="O1566" s="25">
        <v>629.75</v>
      </c>
      <c r="P1566" s="25">
        <v>743.05</v>
      </c>
    </row>
    <row r="1567" spans="1:16" x14ac:dyDescent="0.25">
      <c r="A1567" s="26">
        <v>42355</v>
      </c>
      <c r="B1567" s="25" t="s">
        <v>35</v>
      </c>
      <c r="C1567" s="25" t="s">
        <v>17</v>
      </c>
      <c r="D1567" s="25">
        <v>1000</v>
      </c>
      <c r="E1567" s="25">
        <v>75.3</v>
      </c>
      <c r="F1567" s="25">
        <v>75300</v>
      </c>
      <c r="G1567" s="25" t="s">
        <v>78</v>
      </c>
      <c r="H1567" s="25">
        <v>201516179</v>
      </c>
      <c r="I1567" s="25" t="s">
        <v>19</v>
      </c>
      <c r="J1567" s="25" t="s">
        <v>20</v>
      </c>
      <c r="K1567" s="25" t="s">
        <v>21</v>
      </c>
      <c r="L1567" s="25">
        <v>75</v>
      </c>
      <c r="M1567" s="25">
        <v>2.48</v>
      </c>
      <c r="N1567" s="25">
        <v>8</v>
      </c>
      <c r="O1567" s="25">
        <v>474.2</v>
      </c>
      <c r="P1567" s="25">
        <v>559.68489999999997</v>
      </c>
    </row>
    <row r="1568" spans="1:16" x14ac:dyDescent="0.25">
      <c r="A1568" s="26">
        <v>42233</v>
      </c>
      <c r="B1568" s="25" t="s">
        <v>29</v>
      </c>
      <c r="C1568" s="25" t="s">
        <v>23</v>
      </c>
      <c r="D1568" s="25">
        <v>4000</v>
      </c>
      <c r="E1568" s="25">
        <v>12.96</v>
      </c>
      <c r="F1568" s="25">
        <v>51840</v>
      </c>
      <c r="G1568" s="25" t="s">
        <v>79</v>
      </c>
      <c r="H1568" s="25">
        <v>201516097</v>
      </c>
      <c r="I1568" s="25" t="s">
        <v>19</v>
      </c>
      <c r="J1568" s="25" t="s">
        <v>20</v>
      </c>
      <c r="K1568" s="25" t="s">
        <v>21</v>
      </c>
      <c r="L1568" s="25">
        <v>51.84</v>
      </c>
      <c r="M1568" s="25">
        <v>1.71</v>
      </c>
      <c r="N1568" s="25">
        <v>20.86</v>
      </c>
      <c r="O1568" s="25">
        <v>325.04000000000002</v>
      </c>
      <c r="P1568" s="25">
        <v>399.45190000000002</v>
      </c>
    </row>
    <row r="1569" spans="1:16" x14ac:dyDescent="0.25">
      <c r="A1569" s="26">
        <v>42233</v>
      </c>
      <c r="B1569" s="25" t="s">
        <v>80</v>
      </c>
      <c r="C1569" s="25" t="s">
        <v>23</v>
      </c>
      <c r="D1569" s="25">
        <v>110</v>
      </c>
      <c r="E1569" s="25">
        <v>402.55</v>
      </c>
      <c r="F1569" s="25">
        <v>44280.5</v>
      </c>
      <c r="G1569" s="25" t="s">
        <v>81</v>
      </c>
      <c r="H1569" s="25">
        <v>201516097</v>
      </c>
      <c r="I1569" s="25" t="s">
        <v>19</v>
      </c>
      <c r="J1569" s="25" t="s">
        <v>20</v>
      </c>
      <c r="K1569" s="25" t="s">
        <v>21</v>
      </c>
      <c r="L1569" s="25">
        <v>44.28</v>
      </c>
      <c r="M1569" s="25">
        <v>1.46</v>
      </c>
      <c r="N1569" s="25">
        <v>0</v>
      </c>
      <c r="O1569" s="25">
        <v>277.64</v>
      </c>
      <c r="P1569" s="25">
        <v>323.38119999999998</v>
      </c>
    </row>
    <row r="1570" spans="1:16" x14ac:dyDescent="0.25">
      <c r="A1570" s="26">
        <v>42233</v>
      </c>
      <c r="B1570" s="25" t="s">
        <v>74</v>
      </c>
      <c r="C1570" s="25" t="s">
        <v>17</v>
      </c>
      <c r="D1570" s="25">
        <v>100</v>
      </c>
      <c r="E1570" s="25">
        <v>1124.9100000000001</v>
      </c>
      <c r="F1570" s="25">
        <v>112491.4</v>
      </c>
      <c r="G1570" s="25" t="s">
        <v>82</v>
      </c>
      <c r="H1570" s="25">
        <v>201516097</v>
      </c>
      <c r="I1570" s="25" t="s">
        <v>19</v>
      </c>
      <c r="J1570" s="25" t="s">
        <v>20</v>
      </c>
      <c r="K1570" s="25" t="s">
        <v>21</v>
      </c>
      <c r="L1570" s="25">
        <v>112.88</v>
      </c>
      <c r="M1570" s="25">
        <v>3.71</v>
      </c>
      <c r="N1570" s="25">
        <v>0</v>
      </c>
      <c r="O1570" s="25">
        <v>705.32</v>
      </c>
      <c r="P1570" s="25">
        <v>821.91200000000003</v>
      </c>
    </row>
    <row r="1571" spans="1:16" x14ac:dyDescent="0.25">
      <c r="A1571" s="26">
        <v>42200</v>
      </c>
      <c r="B1571" s="25" t="s">
        <v>29</v>
      </c>
      <c r="C1571" s="25" t="s">
        <v>17</v>
      </c>
      <c r="D1571" s="25">
        <v>2000</v>
      </c>
      <c r="E1571" s="25">
        <v>14.75</v>
      </c>
      <c r="F1571" s="25">
        <v>29500</v>
      </c>
      <c r="G1571" s="25" t="s">
        <v>83</v>
      </c>
      <c r="H1571" s="25">
        <v>201516074</v>
      </c>
      <c r="I1571" s="25" t="s">
        <v>19</v>
      </c>
      <c r="J1571" s="25" t="s">
        <v>20</v>
      </c>
      <c r="K1571" s="25" t="s">
        <v>21</v>
      </c>
      <c r="L1571" s="25">
        <v>30</v>
      </c>
      <c r="M1571" s="25">
        <v>0.97</v>
      </c>
      <c r="N1571" s="25">
        <v>2.95</v>
      </c>
      <c r="O1571" s="25">
        <v>184.97</v>
      </c>
      <c r="P1571" s="25">
        <v>218.89340000000001</v>
      </c>
    </row>
    <row r="1572" spans="1:16" x14ac:dyDescent="0.25">
      <c r="A1572" s="26">
        <v>42195</v>
      </c>
      <c r="B1572" s="25" t="s">
        <v>80</v>
      </c>
      <c r="C1572" s="25" t="s">
        <v>23</v>
      </c>
      <c r="D1572" s="25">
        <v>100</v>
      </c>
      <c r="E1572" s="25">
        <v>430</v>
      </c>
      <c r="F1572" s="25">
        <v>43000</v>
      </c>
      <c r="G1572" s="25" t="s">
        <v>84</v>
      </c>
      <c r="H1572" s="25">
        <v>201516071</v>
      </c>
      <c r="I1572" s="25" t="s">
        <v>19</v>
      </c>
      <c r="J1572" s="25" t="s">
        <v>20</v>
      </c>
      <c r="K1572" s="25" t="s">
        <v>21</v>
      </c>
      <c r="L1572" s="25">
        <v>43</v>
      </c>
      <c r="M1572" s="25">
        <v>1.42</v>
      </c>
      <c r="N1572" s="25">
        <v>4.3</v>
      </c>
      <c r="O1572" s="25">
        <v>269.61</v>
      </c>
      <c r="P1572" s="25">
        <v>318.32889999999998</v>
      </c>
    </row>
    <row r="1573" spans="1:16" x14ac:dyDescent="0.25">
      <c r="A1573" s="26">
        <v>42167</v>
      </c>
      <c r="B1573" s="25" t="s">
        <v>80</v>
      </c>
      <c r="C1573" s="25" t="s">
        <v>17</v>
      </c>
      <c r="D1573" s="25">
        <v>100</v>
      </c>
      <c r="E1573" s="25">
        <v>390</v>
      </c>
      <c r="F1573" s="25">
        <v>39000</v>
      </c>
      <c r="G1573" s="25" t="s">
        <v>85</v>
      </c>
      <c r="H1573" s="25">
        <v>201516051</v>
      </c>
      <c r="I1573" s="25" t="s">
        <v>19</v>
      </c>
      <c r="J1573" s="25" t="s">
        <v>20</v>
      </c>
      <c r="K1573" s="25" t="s">
        <v>21</v>
      </c>
      <c r="L1573" s="25">
        <v>39</v>
      </c>
      <c r="M1573" s="25">
        <v>1.29</v>
      </c>
      <c r="N1573" s="25">
        <v>3.9</v>
      </c>
      <c r="O1573" s="25">
        <v>244.54</v>
      </c>
      <c r="P1573" s="25">
        <v>288.72699999999998</v>
      </c>
    </row>
    <row r="1574" spans="1:16" x14ac:dyDescent="0.25">
      <c r="A1574" s="26">
        <v>42111</v>
      </c>
      <c r="B1574" s="25" t="s">
        <v>29</v>
      </c>
      <c r="C1574" s="25" t="s">
        <v>17</v>
      </c>
      <c r="D1574" s="25">
        <v>1000</v>
      </c>
      <c r="E1574" s="25">
        <v>17.100000000000001</v>
      </c>
      <c r="F1574" s="25">
        <v>17100</v>
      </c>
      <c r="G1574" s="25" t="s">
        <v>86</v>
      </c>
      <c r="H1574" s="25">
        <v>201516012</v>
      </c>
      <c r="I1574" s="25" t="s">
        <v>19</v>
      </c>
      <c r="J1574" s="25" t="s">
        <v>20</v>
      </c>
      <c r="K1574" s="25" t="s">
        <v>21</v>
      </c>
      <c r="L1574" s="25">
        <v>17</v>
      </c>
      <c r="M1574" s="25">
        <v>0.56000000000000005</v>
      </c>
      <c r="N1574" s="25">
        <v>1.71</v>
      </c>
      <c r="O1574" s="25">
        <v>105.67</v>
      </c>
      <c r="P1574" s="25">
        <v>124.9443</v>
      </c>
    </row>
    <row r="1575" spans="1:16" x14ac:dyDescent="0.25">
      <c r="A1575" s="26">
        <v>42107</v>
      </c>
      <c r="B1575" s="25" t="s">
        <v>29</v>
      </c>
      <c r="C1575" s="25" t="s">
        <v>23</v>
      </c>
      <c r="D1575" s="25">
        <v>1000</v>
      </c>
      <c r="E1575" s="25">
        <v>19.100000000000001</v>
      </c>
      <c r="F1575" s="25">
        <v>19100</v>
      </c>
      <c r="G1575" s="25" t="s">
        <v>87</v>
      </c>
      <c r="H1575" s="25">
        <v>201516009</v>
      </c>
      <c r="I1575" s="25" t="s">
        <v>19</v>
      </c>
      <c r="J1575" s="25" t="s">
        <v>20</v>
      </c>
      <c r="K1575" s="25" t="s">
        <v>21</v>
      </c>
      <c r="L1575" s="25">
        <v>19</v>
      </c>
      <c r="M1575" s="25">
        <v>0.63</v>
      </c>
      <c r="N1575" s="25">
        <v>1.91</v>
      </c>
      <c r="O1575" s="25">
        <v>118.03</v>
      </c>
      <c r="P1575" s="25">
        <v>139.5703</v>
      </c>
    </row>
    <row r="1576" spans="1:16" x14ac:dyDescent="0.25">
      <c r="A1576" s="26">
        <v>42101</v>
      </c>
      <c r="B1576" s="25" t="s">
        <v>29</v>
      </c>
      <c r="C1576" s="25" t="s">
        <v>17</v>
      </c>
      <c r="D1576" s="25">
        <v>1000</v>
      </c>
      <c r="E1576" s="25">
        <v>17</v>
      </c>
      <c r="F1576" s="25">
        <v>17000</v>
      </c>
      <c r="G1576" s="25" t="s">
        <v>88</v>
      </c>
      <c r="H1576" s="25">
        <v>2015064</v>
      </c>
      <c r="I1576" s="25" t="s">
        <v>19</v>
      </c>
      <c r="J1576" s="25" t="s">
        <v>20</v>
      </c>
      <c r="K1576" s="25" t="s">
        <v>25</v>
      </c>
      <c r="L1576" s="25">
        <v>17</v>
      </c>
      <c r="M1576" s="25">
        <v>0.63</v>
      </c>
      <c r="N1576" s="25">
        <v>1.7</v>
      </c>
      <c r="O1576" s="25">
        <v>105.06</v>
      </c>
      <c r="P1576" s="25">
        <v>124.389</v>
      </c>
    </row>
    <row r="1577" spans="1:16" x14ac:dyDescent="0.25">
      <c r="A1577" s="26">
        <v>42087</v>
      </c>
      <c r="B1577" s="25" t="s">
        <v>89</v>
      </c>
      <c r="C1577" s="25" t="s">
        <v>23</v>
      </c>
      <c r="D1577" s="25">
        <v>2000</v>
      </c>
      <c r="E1577" s="25">
        <v>10.35</v>
      </c>
      <c r="F1577" s="25">
        <v>20700</v>
      </c>
      <c r="G1577" s="25" t="s">
        <v>90</v>
      </c>
      <c r="H1577" s="25">
        <v>2015056</v>
      </c>
      <c r="I1577" s="25" t="s">
        <v>19</v>
      </c>
      <c r="J1577" s="25" t="s">
        <v>20</v>
      </c>
      <c r="K1577" s="25" t="s">
        <v>25</v>
      </c>
      <c r="L1577" s="25">
        <v>21</v>
      </c>
      <c r="M1577" s="25">
        <v>0.77</v>
      </c>
      <c r="N1577" s="25">
        <v>2.0699999999999998</v>
      </c>
      <c r="O1577" s="25">
        <v>127.92</v>
      </c>
      <c r="P1577" s="25">
        <v>151.7559</v>
      </c>
    </row>
    <row r="1578" spans="1:16" x14ac:dyDescent="0.25">
      <c r="A1578" s="26">
        <v>42081</v>
      </c>
      <c r="B1578" s="25" t="s">
        <v>80</v>
      </c>
      <c r="C1578" s="25" t="s">
        <v>17</v>
      </c>
      <c r="D1578" s="25">
        <v>110</v>
      </c>
      <c r="E1578" s="25">
        <v>510</v>
      </c>
      <c r="F1578" s="25">
        <v>56100</v>
      </c>
      <c r="G1578" s="25" t="s">
        <v>91</v>
      </c>
      <c r="H1578" s="25">
        <v>201415237</v>
      </c>
      <c r="I1578" s="25" t="s">
        <v>19</v>
      </c>
      <c r="J1578" s="25" t="s">
        <v>20</v>
      </c>
      <c r="K1578" s="25" t="s">
        <v>21</v>
      </c>
      <c r="L1578" s="25">
        <v>56</v>
      </c>
      <c r="M1578" s="25">
        <v>1.85</v>
      </c>
      <c r="N1578" s="25">
        <v>5.61</v>
      </c>
      <c r="O1578" s="25">
        <v>346.69</v>
      </c>
      <c r="P1578" s="25">
        <v>410.15129999999999</v>
      </c>
    </row>
    <row r="1579" spans="1:16" x14ac:dyDescent="0.25">
      <c r="A1579" s="26">
        <v>42073</v>
      </c>
      <c r="B1579" s="25" t="s">
        <v>35</v>
      </c>
      <c r="C1579" s="25" t="s">
        <v>23</v>
      </c>
      <c r="D1579" s="25">
        <v>1000</v>
      </c>
      <c r="E1579" s="25">
        <v>63</v>
      </c>
      <c r="F1579" s="25">
        <v>63000</v>
      </c>
      <c r="G1579" s="25" t="s">
        <v>92</v>
      </c>
      <c r="H1579" s="25">
        <v>201415231</v>
      </c>
      <c r="I1579" s="25" t="s">
        <v>19</v>
      </c>
      <c r="J1579" s="25" t="s">
        <v>20</v>
      </c>
      <c r="K1579" s="25" t="s">
        <v>21</v>
      </c>
      <c r="L1579" s="25">
        <v>63</v>
      </c>
      <c r="M1579" s="25">
        <v>2.08</v>
      </c>
      <c r="N1579" s="25">
        <v>6.3</v>
      </c>
      <c r="O1579" s="25">
        <v>389.33</v>
      </c>
      <c r="P1579" s="25">
        <v>460.70890000000003</v>
      </c>
    </row>
    <row r="1580" spans="1:16" x14ac:dyDescent="0.25">
      <c r="A1580" s="26">
        <v>42063</v>
      </c>
      <c r="B1580" s="25" t="s">
        <v>29</v>
      </c>
      <c r="C1580" s="25" t="s">
        <v>17</v>
      </c>
      <c r="D1580" s="25">
        <v>1000</v>
      </c>
      <c r="E1580" s="25">
        <v>19.89</v>
      </c>
      <c r="F1580" s="25">
        <v>19891</v>
      </c>
      <c r="G1580" s="25" t="s">
        <v>93</v>
      </c>
      <c r="H1580" s="25">
        <v>201415225</v>
      </c>
      <c r="I1580" s="25" t="s">
        <v>19</v>
      </c>
      <c r="J1580" s="25" t="s">
        <v>20</v>
      </c>
      <c r="K1580" s="25" t="s">
        <v>21</v>
      </c>
      <c r="L1580" s="25">
        <v>20</v>
      </c>
      <c r="M1580" s="25">
        <v>0.66</v>
      </c>
      <c r="N1580" s="25">
        <v>1.99</v>
      </c>
      <c r="O1580" s="25">
        <v>122.92</v>
      </c>
      <c r="P1580" s="25">
        <v>145.56530000000001</v>
      </c>
    </row>
    <row r="1581" spans="1:16" x14ac:dyDescent="0.25">
      <c r="A1581" s="26">
        <v>42053</v>
      </c>
      <c r="B1581" s="25" t="s">
        <v>89</v>
      </c>
      <c r="C1581" s="25" t="s">
        <v>17</v>
      </c>
      <c r="D1581" s="25">
        <v>2000</v>
      </c>
      <c r="E1581" s="25">
        <v>11.5</v>
      </c>
      <c r="F1581" s="25">
        <v>23000</v>
      </c>
      <c r="G1581" s="25" t="s">
        <v>94</v>
      </c>
      <c r="H1581" s="25">
        <v>201415217</v>
      </c>
      <c r="I1581" s="25" t="s">
        <v>19</v>
      </c>
      <c r="J1581" s="25" t="s">
        <v>20</v>
      </c>
      <c r="K1581" s="25" t="s">
        <v>21</v>
      </c>
      <c r="L1581" s="25">
        <v>23</v>
      </c>
      <c r="M1581" s="25">
        <v>0.76</v>
      </c>
      <c r="N1581" s="25">
        <v>2.2999999999999998</v>
      </c>
      <c r="O1581" s="25">
        <v>142.13999999999999</v>
      </c>
      <c r="P1581" s="25">
        <v>168.19900000000001</v>
      </c>
    </row>
    <row r="1582" spans="1:16" x14ac:dyDescent="0.25">
      <c r="A1582" s="26">
        <v>42019</v>
      </c>
      <c r="B1582" s="25" t="s">
        <v>35</v>
      </c>
      <c r="C1582" s="25" t="s">
        <v>17</v>
      </c>
      <c r="D1582" s="25">
        <v>1000</v>
      </c>
      <c r="E1582" s="25">
        <v>54.45</v>
      </c>
      <c r="F1582" s="25">
        <v>54450</v>
      </c>
      <c r="G1582" s="25" t="s">
        <v>95</v>
      </c>
      <c r="H1582" s="25">
        <v>201415195</v>
      </c>
      <c r="I1582" s="25" t="s">
        <v>19</v>
      </c>
      <c r="J1582" s="25" t="s">
        <v>20</v>
      </c>
      <c r="K1582" s="25" t="s">
        <v>21</v>
      </c>
      <c r="L1582" s="25">
        <v>54</v>
      </c>
      <c r="M1582" s="25">
        <v>1.8</v>
      </c>
      <c r="N1582" s="25">
        <v>5.45</v>
      </c>
      <c r="O1582" s="25">
        <v>336.49</v>
      </c>
      <c r="P1582" s="25">
        <v>397.73180000000002</v>
      </c>
    </row>
    <row r="1583" spans="1:16" x14ac:dyDescent="0.25">
      <c r="A1583" s="26">
        <v>42013</v>
      </c>
      <c r="B1583" s="25" t="s">
        <v>35</v>
      </c>
      <c r="C1583" s="25" t="s">
        <v>23</v>
      </c>
      <c r="D1583" s="25">
        <v>1000</v>
      </c>
      <c r="E1583" s="25">
        <v>53.3</v>
      </c>
      <c r="F1583" s="25">
        <v>53300</v>
      </c>
      <c r="G1583" s="25" t="s">
        <v>96</v>
      </c>
      <c r="H1583" s="25">
        <v>201415191</v>
      </c>
      <c r="I1583" s="25" t="s">
        <v>19</v>
      </c>
      <c r="J1583" s="25" t="s">
        <v>20</v>
      </c>
      <c r="K1583" s="25" t="s">
        <v>21</v>
      </c>
      <c r="L1583" s="25">
        <v>53</v>
      </c>
      <c r="M1583" s="25">
        <v>1.76</v>
      </c>
      <c r="N1583" s="25">
        <v>5.33</v>
      </c>
      <c r="O1583" s="25">
        <v>329.38</v>
      </c>
      <c r="P1583" s="25">
        <v>389.46890000000002</v>
      </c>
    </row>
    <row r="1584" spans="1:16" x14ac:dyDescent="0.25">
      <c r="A1584" s="26">
        <v>41995</v>
      </c>
      <c r="B1584" s="25" t="s">
        <v>35</v>
      </c>
      <c r="C1584" s="25" t="s">
        <v>17</v>
      </c>
      <c r="D1584" s="25">
        <v>200</v>
      </c>
      <c r="E1584" s="25">
        <v>40</v>
      </c>
      <c r="F1584" s="25">
        <v>8000</v>
      </c>
      <c r="G1584" s="25" t="s">
        <v>97</v>
      </c>
      <c r="H1584" s="25">
        <v>201415178</v>
      </c>
      <c r="I1584" s="25" t="s">
        <v>19</v>
      </c>
      <c r="J1584" s="25" t="s">
        <v>20</v>
      </c>
      <c r="K1584" s="25" t="s">
        <v>21</v>
      </c>
      <c r="L1584" s="25">
        <v>8</v>
      </c>
      <c r="M1584" s="25">
        <v>0.26</v>
      </c>
      <c r="N1584" s="25">
        <v>0.8</v>
      </c>
      <c r="O1584" s="25">
        <v>49.44</v>
      </c>
      <c r="P1584" s="25">
        <v>58.503900000000002</v>
      </c>
    </row>
    <row r="1585" spans="1:16" x14ac:dyDescent="0.25">
      <c r="A1585" s="26">
        <v>41984</v>
      </c>
      <c r="B1585" s="25" t="s">
        <v>98</v>
      </c>
      <c r="C1585" s="25" t="s">
        <v>23</v>
      </c>
      <c r="D1585" s="25">
        <v>25</v>
      </c>
      <c r="E1585" s="25">
        <v>79.2</v>
      </c>
      <c r="F1585" s="25">
        <v>1980</v>
      </c>
      <c r="G1585" s="25" t="s">
        <v>99</v>
      </c>
      <c r="H1585" s="25">
        <v>201415171</v>
      </c>
      <c r="I1585" s="25" t="s">
        <v>19</v>
      </c>
      <c r="J1585" s="25" t="s">
        <v>20</v>
      </c>
      <c r="K1585" s="25" t="s">
        <v>21</v>
      </c>
      <c r="L1585" s="25">
        <v>1.98</v>
      </c>
      <c r="M1585" s="25">
        <v>7.0000000000000007E-2</v>
      </c>
      <c r="N1585" s="25">
        <v>0</v>
      </c>
      <c r="O1585" s="25">
        <v>39.33</v>
      </c>
      <c r="P1585" s="25">
        <v>41.375300000000003</v>
      </c>
    </row>
    <row r="1586" spans="1:16" x14ac:dyDescent="0.25">
      <c r="A1586" s="26">
        <v>41984</v>
      </c>
      <c r="B1586" s="25" t="s">
        <v>100</v>
      </c>
      <c r="C1586" s="25" t="s">
        <v>23</v>
      </c>
      <c r="D1586" s="25">
        <v>200</v>
      </c>
      <c r="E1586" s="25">
        <v>50.2</v>
      </c>
      <c r="F1586" s="25">
        <v>10040</v>
      </c>
      <c r="G1586" s="25" t="s">
        <v>101</v>
      </c>
      <c r="H1586" s="25">
        <v>201415171</v>
      </c>
      <c r="I1586" s="25" t="s">
        <v>19</v>
      </c>
      <c r="J1586" s="25" t="s">
        <v>20</v>
      </c>
      <c r="K1586" s="25" t="s">
        <v>21</v>
      </c>
      <c r="L1586" s="25">
        <v>10.02</v>
      </c>
      <c r="M1586" s="25">
        <v>0.33</v>
      </c>
      <c r="N1586" s="25">
        <v>1.2</v>
      </c>
      <c r="O1586" s="25">
        <v>62.04</v>
      </c>
      <c r="P1586" s="25">
        <v>73.593299999999999</v>
      </c>
    </row>
    <row r="1587" spans="1:16" x14ac:dyDescent="0.25">
      <c r="A1587" s="26">
        <v>41982</v>
      </c>
      <c r="B1587" s="25" t="s">
        <v>35</v>
      </c>
      <c r="C1587" s="25" t="s">
        <v>17</v>
      </c>
      <c r="D1587" s="25">
        <v>800</v>
      </c>
      <c r="E1587" s="25">
        <v>45</v>
      </c>
      <c r="F1587" s="25">
        <v>36000</v>
      </c>
      <c r="G1587" s="25" t="s">
        <v>102</v>
      </c>
      <c r="H1587" s="25">
        <v>201415169</v>
      </c>
      <c r="I1587" s="25" t="s">
        <v>19</v>
      </c>
      <c r="J1587" s="25" t="s">
        <v>20</v>
      </c>
      <c r="K1587" s="25" t="s">
        <v>21</v>
      </c>
      <c r="L1587" s="25">
        <v>36</v>
      </c>
      <c r="M1587" s="25">
        <v>1.19</v>
      </c>
      <c r="N1587" s="25">
        <v>3.6</v>
      </c>
      <c r="O1587" s="25">
        <v>222.47</v>
      </c>
      <c r="P1587" s="25">
        <v>263.25790000000001</v>
      </c>
    </row>
    <row r="1588" spans="1:16" x14ac:dyDescent="0.25">
      <c r="A1588" s="26">
        <v>41978</v>
      </c>
      <c r="B1588" s="25" t="s">
        <v>100</v>
      </c>
      <c r="C1588" s="25" t="s">
        <v>17</v>
      </c>
      <c r="D1588" s="25">
        <v>200</v>
      </c>
      <c r="E1588" s="25">
        <v>54</v>
      </c>
      <c r="F1588" s="25">
        <v>10800</v>
      </c>
      <c r="G1588" s="25" t="s">
        <v>103</v>
      </c>
      <c r="H1588" s="25">
        <v>201415167</v>
      </c>
      <c r="I1588" s="25" t="s">
        <v>19</v>
      </c>
      <c r="J1588" s="25" t="s">
        <v>20</v>
      </c>
      <c r="K1588" s="25" t="s">
        <v>21</v>
      </c>
      <c r="L1588" s="25">
        <v>11.01</v>
      </c>
      <c r="M1588" s="25">
        <v>0.36</v>
      </c>
      <c r="N1588" s="25">
        <v>0</v>
      </c>
      <c r="O1588" s="25">
        <v>66.739999999999995</v>
      </c>
      <c r="P1588" s="25">
        <v>78.106300000000005</v>
      </c>
    </row>
    <row r="1589" spans="1:16" x14ac:dyDescent="0.25">
      <c r="A1589" s="26">
        <v>41978</v>
      </c>
      <c r="B1589" s="25" t="s">
        <v>98</v>
      </c>
      <c r="C1589" s="25" t="s">
        <v>17</v>
      </c>
      <c r="D1589" s="25">
        <v>25</v>
      </c>
      <c r="E1589" s="25">
        <v>79.5</v>
      </c>
      <c r="F1589" s="25">
        <v>1987.5</v>
      </c>
      <c r="G1589" s="25" t="s">
        <v>104</v>
      </c>
      <c r="H1589" s="25">
        <v>201415167</v>
      </c>
      <c r="I1589" s="25" t="s">
        <v>19</v>
      </c>
      <c r="J1589" s="25" t="s">
        <v>20</v>
      </c>
      <c r="K1589" s="25" t="s">
        <v>21</v>
      </c>
      <c r="L1589" s="25">
        <v>1.99</v>
      </c>
      <c r="M1589" s="25">
        <v>7.0000000000000007E-2</v>
      </c>
      <c r="N1589" s="25">
        <v>1.28</v>
      </c>
      <c r="O1589" s="25">
        <v>39.33</v>
      </c>
      <c r="P1589" s="25">
        <v>42.664400000000001</v>
      </c>
    </row>
    <row r="1590" spans="1:16" x14ac:dyDescent="0.25">
      <c r="A1590" s="26">
        <v>41977</v>
      </c>
      <c r="B1590" s="25" t="s">
        <v>105</v>
      </c>
      <c r="C1590" s="25" t="s">
        <v>23</v>
      </c>
      <c r="D1590" s="25">
        <v>575</v>
      </c>
      <c r="E1590" s="25">
        <v>66.099999999999994</v>
      </c>
      <c r="F1590" s="25">
        <v>38007.5</v>
      </c>
      <c r="G1590" s="25" t="s">
        <v>106</v>
      </c>
      <c r="H1590" s="25">
        <v>2014225</v>
      </c>
      <c r="I1590" s="25" t="s">
        <v>19</v>
      </c>
      <c r="J1590" s="25" t="s">
        <v>20</v>
      </c>
      <c r="K1590" s="25" t="s">
        <v>25</v>
      </c>
      <c r="L1590" s="25">
        <v>38.01</v>
      </c>
      <c r="M1590" s="25">
        <v>1.41</v>
      </c>
      <c r="N1590" s="25">
        <v>0</v>
      </c>
      <c r="O1590" s="25">
        <v>234.88</v>
      </c>
      <c r="P1590" s="25">
        <v>274.29629999999997</v>
      </c>
    </row>
    <row r="1591" spans="1:16" x14ac:dyDescent="0.25">
      <c r="A1591" s="26">
        <v>41977</v>
      </c>
      <c r="B1591" s="25" t="s">
        <v>89</v>
      </c>
      <c r="C1591" s="25" t="s">
        <v>23</v>
      </c>
      <c r="D1591" s="25">
        <v>1000</v>
      </c>
      <c r="E1591" s="25">
        <v>13.05</v>
      </c>
      <c r="F1591" s="25">
        <v>13050</v>
      </c>
      <c r="G1591" s="25" t="s">
        <v>107</v>
      </c>
      <c r="H1591" s="25">
        <v>2014225</v>
      </c>
      <c r="I1591" s="25" t="s">
        <v>19</v>
      </c>
      <c r="J1591" s="25" t="s">
        <v>20</v>
      </c>
      <c r="K1591" s="25" t="s">
        <v>25</v>
      </c>
      <c r="L1591" s="25">
        <v>12.99</v>
      </c>
      <c r="M1591" s="25">
        <v>0.48</v>
      </c>
      <c r="N1591" s="25">
        <v>5.1100000000000003</v>
      </c>
      <c r="O1591" s="25">
        <v>80.650000000000006</v>
      </c>
      <c r="P1591" s="25">
        <v>99.228700000000003</v>
      </c>
    </row>
    <row r="1592" spans="1:16" x14ac:dyDescent="0.25">
      <c r="A1592" s="26">
        <v>41823</v>
      </c>
      <c r="B1592" s="25" t="s">
        <v>56</v>
      </c>
      <c r="C1592" s="25" t="s">
        <v>23</v>
      </c>
      <c r="D1592" s="25">
        <v>20</v>
      </c>
      <c r="E1592" s="25">
        <v>870</v>
      </c>
      <c r="F1592" s="25">
        <v>17400</v>
      </c>
      <c r="G1592" s="25" t="s">
        <v>108</v>
      </c>
      <c r="H1592" s="25">
        <v>2014125</v>
      </c>
      <c r="I1592" s="25" t="s">
        <v>19</v>
      </c>
      <c r="J1592" s="25" t="s">
        <v>20</v>
      </c>
      <c r="K1592" s="25" t="s">
        <v>25</v>
      </c>
      <c r="L1592" s="25">
        <v>17.899999999999999</v>
      </c>
      <c r="M1592" s="25">
        <v>0.64</v>
      </c>
      <c r="N1592" s="25">
        <v>5.95</v>
      </c>
      <c r="O1592" s="25">
        <v>107.53</v>
      </c>
      <c r="P1592" s="25">
        <v>132.02379999999999</v>
      </c>
    </row>
    <row r="1593" spans="1:16" x14ac:dyDescent="0.25">
      <c r="A1593" s="26">
        <v>41823</v>
      </c>
      <c r="B1593" s="25" t="s">
        <v>105</v>
      </c>
      <c r="C1593" s="25" t="s">
        <v>17</v>
      </c>
      <c r="D1593" s="25">
        <v>175</v>
      </c>
      <c r="E1593" s="25">
        <v>108</v>
      </c>
      <c r="F1593" s="25">
        <v>18900</v>
      </c>
      <c r="G1593" s="25" t="s">
        <v>109</v>
      </c>
      <c r="H1593" s="25">
        <v>2014125</v>
      </c>
      <c r="I1593" s="25" t="s">
        <v>19</v>
      </c>
      <c r="J1593" s="25" t="s">
        <v>20</v>
      </c>
      <c r="K1593" s="25" t="s">
        <v>25</v>
      </c>
      <c r="L1593" s="25">
        <v>18.899999999999999</v>
      </c>
      <c r="M1593" s="25">
        <v>0.7</v>
      </c>
      <c r="N1593" s="25">
        <v>0</v>
      </c>
      <c r="O1593" s="25">
        <v>116.8</v>
      </c>
      <c r="P1593" s="25">
        <v>136.39930000000001</v>
      </c>
    </row>
    <row r="1594" spans="1:16" x14ac:dyDescent="0.25">
      <c r="A1594" s="26">
        <v>41823</v>
      </c>
      <c r="B1594" s="25" t="s">
        <v>89</v>
      </c>
      <c r="C1594" s="25" t="s">
        <v>17</v>
      </c>
      <c r="D1594" s="25">
        <v>1000</v>
      </c>
      <c r="E1594" s="25">
        <v>23.2</v>
      </c>
      <c r="F1594" s="25">
        <v>23200</v>
      </c>
      <c r="G1594" s="25" t="s">
        <v>110</v>
      </c>
      <c r="H1594" s="25">
        <v>2014125</v>
      </c>
      <c r="I1594" s="25" t="s">
        <v>19</v>
      </c>
      <c r="J1594" s="25" t="s">
        <v>20</v>
      </c>
      <c r="K1594" s="25" t="s">
        <v>25</v>
      </c>
      <c r="L1594" s="25">
        <v>23.2</v>
      </c>
      <c r="M1594" s="25">
        <v>0.86</v>
      </c>
      <c r="N1594" s="25">
        <v>0</v>
      </c>
      <c r="O1594" s="25">
        <v>143.37</v>
      </c>
      <c r="P1594" s="25">
        <v>167.42840000000001</v>
      </c>
    </row>
    <row r="1595" spans="1:16" x14ac:dyDescent="0.25">
      <c r="A1595" s="26">
        <v>41820</v>
      </c>
      <c r="B1595" s="25" t="s">
        <v>111</v>
      </c>
      <c r="C1595" s="25" t="s">
        <v>23</v>
      </c>
      <c r="D1595" s="25">
        <v>40</v>
      </c>
      <c r="E1595" s="25">
        <v>675</v>
      </c>
      <c r="F1595" s="25">
        <v>27000</v>
      </c>
      <c r="G1595" s="25" t="s">
        <v>112</v>
      </c>
      <c r="H1595" s="25">
        <v>2014122</v>
      </c>
      <c r="I1595" s="25" t="s">
        <v>19</v>
      </c>
      <c r="J1595" s="25" t="s">
        <v>20</v>
      </c>
      <c r="K1595" s="25" t="s">
        <v>25</v>
      </c>
      <c r="L1595" s="25">
        <v>27</v>
      </c>
      <c r="M1595" s="25">
        <v>1</v>
      </c>
      <c r="N1595" s="25">
        <v>2.7</v>
      </c>
      <c r="O1595" s="25">
        <v>166.85</v>
      </c>
      <c r="P1595" s="25">
        <v>197.54900000000001</v>
      </c>
    </row>
    <row r="1596" spans="1:16" x14ac:dyDescent="0.25">
      <c r="A1596" s="26">
        <v>41810</v>
      </c>
      <c r="B1596" s="25" t="s">
        <v>111</v>
      </c>
      <c r="C1596" s="25" t="s">
        <v>17</v>
      </c>
      <c r="D1596" s="25">
        <v>40</v>
      </c>
      <c r="E1596" s="25">
        <v>630</v>
      </c>
      <c r="F1596" s="25">
        <v>25200</v>
      </c>
      <c r="G1596" s="25" t="s">
        <v>113</v>
      </c>
      <c r="H1596" s="25">
        <v>2014116</v>
      </c>
      <c r="I1596" s="25" t="s">
        <v>19</v>
      </c>
      <c r="J1596" s="25" t="s">
        <v>20</v>
      </c>
      <c r="K1596" s="25" t="s">
        <v>25</v>
      </c>
      <c r="L1596" s="25">
        <v>25</v>
      </c>
      <c r="M1596" s="25">
        <v>0.93</v>
      </c>
      <c r="N1596" s="25">
        <v>2.52</v>
      </c>
      <c r="O1596" s="25">
        <v>155.72999999999999</v>
      </c>
      <c r="P1596" s="25">
        <v>184.1824</v>
      </c>
    </row>
    <row r="1597" spans="1:16" x14ac:dyDescent="0.25">
      <c r="A1597" s="26">
        <v>41808</v>
      </c>
      <c r="B1597" s="25" t="s">
        <v>98</v>
      </c>
      <c r="C1597" s="25" t="s">
        <v>23</v>
      </c>
      <c r="D1597" s="25">
        <v>324</v>
      </c>
      <c r="E1597" s="25">
        <v>80</v>
      </c>
      <c r="F1597" s="25">
        <v>25920</v>
      </c>
      <c r="G1597" s="25" t="s">
        <v>114</v>
      </c>
      <c r="H1597" s="25">
        <v>201415055</v>
      </c>
      <c r="I1597" s="25" t="s">
        <v>19</v>
      </c>
      <c r="J1597" s="25" t="s">
        <v>20</v>
      </c>
      <c r="K1597" s="25" t="s">
        <v>21</v>
      </c>
      <c r="L1597" s="25">
        <v>26</v>
      </c>
      <c r="M1597" s="25">
        <v>0.86</v>
      </c>
      <c r="N1597" s="25">
        <v>2.59</v>
      </c>
      <c r="O1597" s="25">
        <v>160.18</v>
      </c>
      <c r="P1597" s="25">
        <v>189.62729999999999</v>
      </c>
    </row>
    <row r="1598" spans="1:16" x14ac:dyDescent="0.25">
      <c r="A1598" s="26">
        <v>41795</v>
      </c>
      <c r="B1598" s="25" t="s">
        <v>115</v>
      </c>
      <c r="C1598" s="25" t="s">
        <v>23</v>
      </c>
      <c r="D1598" s="25">
        <v>500</v>
      </c>
      <c r="E1598" s="25">
        <v>83.5</v>
      </c>
      <c r="F1598" s="25">
        <v>41750</v>
      </c>
      <c r="G1598" s="25" t="s">
        <v>116</v>
      </c>
      <c r="H1598" s="25">
        <v>201415046</v>
      </c>
      <c r="I1598" s="25" t="s">
        <v>19</v>
      </c>
      <c r="J1598" s="25" t="s">
        <v>20</v>
      </c>
      <c r="K1598" s="25" t="s">
        <v>21</v>
      </c>
      <c r="L1598" s="25">
        <v>42</v>
      </c>
      <c r="M1598" s="25">
        <v>1.38</v>
      </c>
      <c r="N1598" s="25">
        <v>4.18</v>
      </c>
      <c r="O1598" s="25">
        <v>258.01</v>
      </c>
      <c r="P1598" s="25">
        <v>305.56270000000001</v>
      </c>
    </row>
    <row r="1599" spans="1:16" x14ac:dyDescent="0.25">
      <c r="A1599" s="26">
        <v>41795</v>
      </c>
      <c r="B1599" s="25" t="s">
        <v>105</v>
      </c>
      <c r="C1599" s="25" t="s">
        <v>17</v>
      </c>
      <c r="D1599" s="25">
        <v>400</v>
      </c>
      <c r="E1599" s="25">
        <v>104</v>
      </c>
      <c r="F1599" s="25">
        <v>41600</v>
      </c>
      <c r="G1599" s="25" t="s">
        <v>117</v>
      </c>
      <c r="H1599" s="25">
        <v>2014105</v>
      </c>
      <c r="I1599" s="25" t="s">
        <v>19</v>
      </c>
      <c r="J1599" s="25" t="s">
        <v>20</v>
      </c>
      <c r="K1599" s="25" t="s">
        <v>25</v>
      </c>
      <c r="L1599" s="25">
        <v>42</v>
      </c>
      <c r="M1599" s="25">
        <v>1.54</v>
      </c>
      <c r="N1599" s="25">
        <v>4.16</v>
      </c>
      <c r="O1599" s="25">
        <v>257.08</v>
      </c>
      <c r="P1599" s="25">
        <v>304.7792</v>
      </c>
    </row>
    <row r="1600" spans="1:16" x14ac:dyDescent="0.25">
      <c r="A1600" s="26">
        <v>41786</v>
      </c>
      <c r="B1600" s="25" t="s">
        <v>98</v>
      </c>
      <c r="C1600" s="25" t="s">
        <v>17</v>
      </c>
      <c r="D1600" s="25">
        <v>100</v>
      </c>
      <c r="E1600" s="25">
        <v>77</v>
      </c>
      <c r="F1600" s="25">
        <v>7700</v>
      </c>
      <c r="G1600" s="25" t="s">
        <v>118</v>
      </c>
      <c r="H1600" s="25">
        <v>2014098</v>
      </c>
      <c r="I1600" s="25" t="s">
        <v>19</v>
      </c>
      <c r="J1600" s="25" t="s">
        <v>20</v>
      </c>
      <c r="K1600" s="25" t="s">
        <v>25</v>
      </c>
      <c r="L1600" s="25">
        <v>8</v>
      </c>
      <c r="M1600" s="25">
        <v>0.28000000000000003</v>
      </c>
      <c r="N1600" s="25">
        <v>0.77</v>
      </c>
      <c r="O1600" s="25">
        <v>47.58</v>
      </c>
      <c r="P1600" s="25">
        <v>56.627200000000002</v>
      </c>
    </row>
    <row r="1601" spans="1:16" x14ac:dyDescent="0.25">
      <c r="A1601" s="26">
        <v>41775</v>
      </c>
      <c r="B1601" s="25" t="s">
        <v>119</v>
      </c>
      <c r="C1601" s="25" t="s">
        <v>23</v>
      </c>
      <c r="D1601" s="25">
        <v>500</v>
      </c>
      <c r="E1601" s="25">
        <v>81</v>
      </c>
      <c r="F1601" s="25">
        <v>40500</v>
      </c>
      <c r="G1601" s="25" t="s">
        <v>120</v>
      </c>
      <c r="H1601" s="25">
        <v>2014091</v>
      </c>
      <c r="I1601" s="25" t="s">
        <v>19</v>
      </c>
      <c r="J1601" s="25" t="s">
        <v>20</v>
      </c>
      <c r="K1601" s="25" t="s">
        <v>25</v>
      </c>
      <c r="L1601" s="25">
        <v>40.5</v>
      </c>
      <c r="M1601" s="25">
        <v>1.46</v>
      </c>
      <c r="N1601" s="25">
        <v>7.35</v>
      </c>
      <c r="O1601" s="25">
        <v>250.28</v>
      </c>
      <c r="P1601" s="25">
        <v>299.58800000000002</v>
      </c>
    </row>
    <row r="1602" spans="1:16" x14ac:dyDescent="0.25">
      <c r="A1602" s="26">
        <v>41775</v>
      </c>
      <c r="B1602" s="25" t="s">
        <v>115</v>
      </c>
      <c r="C1602" s="25" t="s">
        <v>17</v>
      </c>
      <c r="D1602" s="25">
        <v>500</v>
      </c>
      <c r="E1602" s="25">
        <v>66</v>
      </c>
      <c r="F1602" s="25">
        <v>33000</v>
      </c>
      <c r="G1602" s="25" t="s">
        <v>121</v>
      </c>
      <c r="H1602" s="25">
        <v>2014091</v>
      </c>
      <c r="I1602" s="25" t="s">
        <v>19</v>
      </c>
      <c r="J1602" s="25" t="s">
        <v>20</v>
      </c>
      <c r="K1602" s="25" t="s">
        <v>25</v>
      </c>
      <c r="L1602" s="25">
        <v>33.5</v>
      </c>
      <c r="M1602" s="25">
        <v>1.19</v>
      </c>
      <c r="N1602" s="25">
        <v>0</v>
      </c>
      <c r="O1602" s="25">
        <v>203.93</v>
      </c>
      <c r="P1602" s="25">
        <v>238.61799999999999</v>
      </c>
    </row>
    <row r="1603" spans="1:16" x14ac:dyDescent="0.25">
      <c r="A1603" s="26">
        <v>41774</v>
      </c>
      <c r="B1603" s="25" t="s">
        <v>122</v>
      </c>
      <c r="C1603" s="25" t="s">
        <v>23</v>
      </c>
      <c r="D1603" s="25">
        <v>700</v>
      </c>
      <c r="E1603" s="25">
        <v>20.399999999999999</v>
      </c>
      <c r="F1603" s="25">
        <v>14280</v>
      </c>
      <c r="G1603" s="25" t="s">
        <v>123</v>
      </c>
      <c r="H1603" s="25">
        <v>2014090</v>
      </c>
      <c r="I1603" s="25" t="s">
        <v>19</v>
      </c>
      <c r="J1603" s="25" t="s">
        <v>20</v>
      </c>
      <c r="K1603" s="25" t="s">
        <v>25</v>
      </c>
      <c r="L1603" s="25">
        <v>14.28</v>
      </c>
      <c r="M1603" s="25">
        <v>0.51</v>
      </c>
      <c r="N1603" s="25">
        <v>0</v>
      </c>
      <c r="O1603" s="25">
        <v>88.25</v>
      </c>
      <c r="P1603" s="25">
        <v>103.0441</v>
      </c>
    </row>
    <row r="1604" spans="1:16" x14ac:dyDescent="0.25">
      <c r="A1604" s="26">
        <v>41774</v>
      </c>
      <c r="B1604" s="25" t="s">
        <v>98</v>
      </c>
      <c r="C1604" s="25" t="s">
        <v>17</v>
      </c>
      <c r="D1604" s="25">
        <v>200</v>
      </c>
      <c r="E1604" s="25">
        <v>62</v>
      </c>
      <c r="F1604" s="25">
        <v>12400</v>
      </c>
      <c r="G1604" s="25" t="s">
        <v>124</v>
      </c>
      <c r="H1604" s="25">
        <v>2014090</v>
      </c>
      <c r="I1604" s="25" t="s">
        <v>19</v>
      </c>
      <c r="J1604" s="25" t="s">
        <v>20</v>
      </c>
      <c r="K1604" s="25" t="s">
        <v>25</v>
      </c>
      <c r="L1604" s="25">
        <v>12.72</v>
      </c>
      <c r="M1604" s="25">
        <v>0.45</v>
      </c>
      <c r="N1604" s="25">
        <v>2.67</v>
      </c>
      <c r="O1604" s="25">
        <v>76.63</v>
      </c>
      <c r="P1604" s="25">
        <v>92.464399999999998</v>
      </c>
    </row>
    <row r="1605" spans="1:16" x14ac:dyDescent="0.25">
      <c r="A1605" s="26">
        <v>41752</v>
      </c>
      <c r="B1605" s="25" t="s">
        <v>122</v>
      </c>
      <c r="C1605" s="25" t="s">
        <v>17</v>
      </c>
      <c r="D1605" s="25">
        <v>700</v>
      </c>
      <c r="E1605" s="25">
        <v>20</v>
      </c>
      <c r="F1605" s="25">
        <v>14000</v>
      </c>
      <c r="G1605" s="25" t="s">
        <v>125</v>
      </c>
      <c r="H1605" s="25">
        <v>2014076</v>
      </c>
      <c r="I1605" s="25" t="s">
        <v>19</v>
      </c>
      <c r="J1605" s="25" t="s">
        <v>20</v>
      </c>
      <c r="K1605" s="25" t="s">
        <v>25</v>
      </c>
      <c r="L1605" s="25">
        <v>14</v>
      </c>
      <c r="M1605" s="25">
        <v>0.5</v>
      </c>
      <c r="N1605" s="25">
        <v>1.4</v>
      </c>
      <c r="O1605" s="25">
        <v>86.52</v>
      </c>
      <c r="P1605" s="25">
        <v>102.42400000000001</v>
      </c>
    </row>
    <row r="1606" spans="1:16" x14ac:dyDescent="0.25">
      <c r="A1606" s="26">
        <v>41746</v>
      </c>
      <c r="B1606" s="25" t="s">
        <v>56</v>
      </c>
      <c r="C1606" s="25" t="s">
        <v>17</v>
      </c>
      <c r="D1606" s="25">
        <v>10</v>
      </c>
      <c r="E1606" s="25">
        <v>1428</v>
      </c>
      <c r="F1606" s="25">
        <v>14280</v>
      </c>
      <c r="G1606" s="25" t="s">
        <v>126</v>
      </c>
      <c r="H1606" s="25">
        <v>2014073</v>
      </c>
      <c r="I1606" s="25" t="s">
        <v>19</v>
      </c>
      <c r="J1606" s="25" t="s">
        <v>20</v>
      </c>
      <c r="K1606" s="25" t="s">
        <v>25</v>
      </c>
      <c r="L1606" s="25">
        <v>14</v>
      </c>
      <c r="M1606" s="25">
        <v>0.51</v>
      </c>
      <c r="N1606" s="25">
        <v>1.43</v>
      </c>
      <c r="O1606" s="25">
        <v>88.25</v>
      </c>
      <c r="P1606" s="25">
        <v>104.1921</v>
      </c>
    </row>
    <row r="1607" spans="1:16" x14ac:dyDescent="0.25">
      <c r="A1607" s="26">
        <v>41740</v>
      </c>
      <c r="B1607" s="25" t="s">
        <v>119</v>
      </c>
      <c r="C1607" s="25" t="s">
        <v>17</v>
      </c>
      <c r="D1607" s="25">
        <v>500</v>
      </c>
      <c r="E1607" s="25">
        <v>77</v>
      </c>
      <c r="F1607" s="25">
        <v>38500</v>
      </c>
      <c r="G1607" s="25" t="s">
        <v>127</v>
      </c>
      <c r="H1607" s="25">
        <v>201415011</v>
      </c>
      <c r="I1607" s="25" t="s">
        <v>19</v>
      </c>
      <c r="J1607" s="25" t="s">
        <v>20</v>
      </c>
      <c r="K1607" s="25" t="s">
        <v>21</v>
      </c>
      <c r="L1607" s="25">
        <v>39</v>
      </c>
      <c r="M1607" s="25">
        <v>1.23</v>
      </c>
      <c r="N1607" s="25">
        <v>3.85</v>
      </c>
      <c r="O1607" s="25">
        <v>237.92</v>
      </c>
      <c r="P1607" s="25">
        <v>282.00189999999998</v>
      </c>
    </row>
    <row r="1608" spans="1:16" x14ac:dyDescent="0.25">
      <c r="A1608" s="26">
        <v>41733</v>
      </c>
      <c r="B1608" s="25" t="s">
        <v>128</v>
      </c>
      <c r="C1608" s="25" t="s">
        <v>23</v>
      </c>
      <c r="D1608" s="25">
        <v>368</v>
      </c>
      <c r="E1608" s="25">
        <v>166.1</v>
      </c>
      <c r="F1608" s="25">
        <v>61124.800000000003</v>
      </c>
      <c r="G1608" s="25" t="s">
        <v>129</v>
      </c>
      <c r="H1608" s="25">
        <v>2014066</v>
      </c>
      <c r="I1608" s="25" t="s">
        <v>19</v>
      </c>
      <c r="J1608" s="25" t="s">
        <v>20</v>
      </c>
      <c r="K1608" s="25" t="s">
        <v>25</v>
      </c>
      <c r="L1608" s="25">
        <v>61</v>
      </c>
      <c r="M1608" s="25">
        <v>2.2000000000000002</v>
      </c>
      <c r="N1608" s="25">
        <v>6.11</v>
      </c>
      <c r="O1608" s="25">
        <v>377.74</v>
      </c>
      <c r="P1608" s="25">
        <v>447.053</v>
      </c>
    </row>
    <row r="1609" spans="1:16" x14ac:dyDescent="0.25">
      <c r="A1609" s="26">
        <v>41687</v>
      </c>
      <c r="B1609" s="25" t="s">
        <v>128</v>
      </c>
      <c r="C1609" s="25" t="s">
        <v>17</v>
      </c>
      <c r="D1609" s="25">
        <v>100</v>
      </c>
      <c r="E1609" s="25">
        <v>166.7</v>
      </c>
      <c r="F1609" s="25">
        <v>16670</v>
      </c>
      <c r="G1609" s="25" t="s">
        <v>130</v>
      </c>
      <c r="H1609" s="25">
        <v>201314224</v>
      </c>
      <c r="I1609" s="25" t="s">
        <v>19</v>
      </c>
      <c r="J1609" s="25" t="s">
        <v>20</v>
      </c>
      <c r="K1609" s="25" t="s">
        <v>21</v>
      </c>
      <c r="L1609" s="25">
        <v>17</v>
      </c>
      <c r="M1609" s="25">
        <v>0.53</v>
      </c>
      <c r="N1609" s="25">
        <v>1.67</v>
      </c>
      <c r="O1609" s="25">
        <v>103.02</v>
      </c>
      <c r="P1609" s="25">
        <v>122.2204</v>
      </c>
    </row>
    <row r="1610" spans="1:16" x14ac:dyDescent="0.25">
      <c r="A1610" s="26">
        <v>41687</v>
      </c>
      <c r="B1610" s="25" t="s">
        <v>131</v>
      </c>
      <c r="C1610" s="25" t="s">
        <v>23</v>
      </c>
      <c r="D1610" s="25">
        <v>2000</v>
      </c>
      <c r="E1610" s="25">
        <v>6.6</v>
      </c>
      <c r="F1610" s="25">
        <v>13200</v>
      </c>
      <c r="G1610" s="25" t="s">
        <v>132</v>
      </c>
      <c r="H1610" s="25">
        <v>2014034</v>
      </c>
      <c r="I1610" s="25" t="s">
        <v>19</v>
      </c>
      <c r="J1610" s="25" t="s">
        <v>20</v>
      </c>
      <c r="K1610" s="25" t="s">
        <v>25</v>
      </c>
      <c r="L1610" s="25">
        <v>13</v>
      </c>
      <c r="M1610" s="25">
        <v>0.48</v>
      </c>
      <c r="N1610" s="25">
        <v>1.32</v>
      </c>
      <c r="O1610" s="25">
        <v>112.36</v>
      </c>
      <c r="P1610" s="25">
        <v>127.15519999999999</v>
      </c>
    </row>
    <row r="1611" spans="1:16" x14ac:dyDescent="0.25">
      <c r="A1611" s="26">
        <v>41635</v>
      </c>
      <c r="B1611" s="25" t="s">
        <v>131</v>
      </c>
      <c r="C1611" s="25" t="s">
        <v>17</v>
      </c>
      <c r="D1611" s="25">
        <v>2000</v>
      </c>
      <c r="E1611" s="25">
        <v>7.75</v>
      </c>
      <c r="F1611" s="25">
        <v>15500</v>
      </c>
      <c r="G1611" s="25" t="s">
        <v>133</v>
      </c>
      <c r="H1611" s="25">
        <v>2013247</v>
      </c>
      <c r="I1611" s="25" t="s">
        <v>19</v>
      </c>
      <c r="J1611" s="25" t="s">
        <v>20</v>
      </c>
      <c r="K1611" s="25" t="s">
        <v>25</v>
      </c>
      <c r="L1611" s="25">
        <v>7.83</v>
      </c>
      <c r="M1611" s="25">
        <v>0.56000000000000005</v>
      </c>
      <c r="N1611" s="25">
        <v>0</v>
      </c>
      <c r="O1611" s="25">
        <v>56.18</v>
      </c>
      <c r="P1611" s="25">
        <v>64.567999999999998</v>
      </c>
    </row>
    <row r="1612" spans="1:16" x14ac:dyDescent="0.25">
      <c r="A1612" s="26">
        <v>41635</v>
      </c>
      <c r="B1612" s="25" t="s">
        <v>131</v>
      </c>
      <c r="C1612" s="25" t="s">
        <v>23</v>
      </c>
      <c r="D1612" s="25">
        <v>1000</v>
      </c>
      <c r="E1612" s="25">
        <v>8</v>
      </c>
      <c r="F1612" s="25">
        <v>8000</v>
      </c>
      <c r="G1612" s="25" t="s">
        <v>134</v>
      </c>
      <c r="H1612" s="25">
        <v>2013247</v>
      </c>
      <c r="I1612" s="25" t="s">
        <v>19</v>
      </c>
      <c r="J1612" s="25" t="s">
        <v>20</v>
      </c>
      <c r="K1612" s="25" t="s">
        <v>25</v>
      </c>
      <c r="L1612" s="25">
        <v>2.17</v>
      </c>
      <c r="M1612" s="25">
        <v>0.28999999999999998</v>
      </c>
      <c r="N1612" s="25">
        <v>2.35</v>
      </c>
      <c r="O1612" s="25">
        <v>56.18</v>
      </c>
      <c r="P1612" s="25">
        <v>60.988</v>
      </c>
    </row>
    <row r="1613" spans="1:16" x14ac:dyDescent="0.25">
      <c r="A1613" s="26">
        <v>41617</v>
      </c>
      <c r="B1613" s="25" t="s">
        <v>131</v>
      </c>
      <c r="C1613" s="25" t="s">
        <v>17</v>
      </c>
      <c r="D1613" s="25">
        <v>1000</v>
      </c>
      <c r="E1613" s="25">
        <v>6.75</v>
      </c>
      <c r="F1613" s="25">
        <v>6750</v>
      </c>
      <c r="G1613" s="25" t="s">
        <v>135</v>
      </c>
      <c r="H1613" s="25">
        <v>2013234</v>
      </c>
      <c r="I1613" s="25" t="s">
        <v>19</v>
      </c>
      <c r="J1613" s="25" t="s">
        <v>20</v>
      </c>
      <c r="K1613" s="25" t="s">
        <v>25</v>
      </c>
      <c r="L1613" s="25">
        <v>7</v>
      </c>
      <c r="M1613" s="25">
        <v>0.24</v>
      </c>
      <c r="N1613" s="25">
        <v>0.68</v>
      </c>
      <c r="O1613" s="25">
        <v>56.18</v>
      </c>
      <c r="P1613" s="25">
        <v>64.097999999999999</v>
      </c>
    </row>
    <row r="1614" spans="1:16" x14ac:dyDescent="0.25">
      <c r="A1614" s="26">
        <v>41581</v>
      </c>
      <c r="B1614" s="25" t="s">
        <v>29</v>
      </c>
      <c r="C1614" s="25" t="s">
        <v>23</v>
      </c>
      <c r="D1614" s="25">
        <v>250</v>
      </c>
      <c r="E1614" s="25">
        <v>23.15</v>
      </c>
      <c r="F1614" s="25">
        <v>5787.5</v>
      </c>
      <c r="G1614" s="25" t="s">
        <v>136</v>
      </c>
      <c r="H1614" s="25">
        <v>2013210</v>
      </c>
      <c r="I1614" s="25" t="s">
        <v>19</v>
      </c>
      <c r="J1614" s="25" t="s">
        <v>20</v>
      </c>
      <c r="K1614" s="25" t="s">
        <v>25</v>
      </c>
      <c r="L1614" s="25">
        <v>6</v>
      </c>
      <c r="M1614" s="25">
        <v>0.21</v>
      </c>
      <c r="N1614" s="25">
        <v>0.57999999999999996</v>
      </c>
      <c r="O1614" s="25">
        <v>39.33</v>
      </c>
      <c r="P1614" s="25">
        <v>46.117100000000001</v>
      </c>
    </row>
    <row r="1615" spans="1:16" x14ac:dyDescent="0.25">
      <c r="A1615" s="26">
        <v>41554</v>
      </c>
      <c r="B1615" s="25" t="s">
        <v>29</v>
      </c>
      <c r="C1615" s="25" t="s">
        <v>17</v>
      </c>
      <c r="D1615" s="25">
        <v>250</v>
      </c>
      <c r="E1615" s="25">
        <v>22.25</v>
      </c>
      <c r="F1615" s="25">
        <v>5562.5</v>
      </c>
      <c r="G1615" s="25" t="s">
        <v>137</v>
      </c>
      <c r="H1615" s="25">
        <v>2013191</v>
      </c>
      <c r="I1615" s="25" t="s">
        <v>19</v>
      </c>
      <c r="J1615" s="25" t="s">
        <v>20</v>
      </c>
      <c r="K1615" s="25" t="s">
        <v>25</v>
      </c>
      <c r="L1615" s="25">
        <v>6</v>
      </c>
      <c r="M1615" s="25">
        <v>0.2</v>
      </c>
      <c r="N1615" s="25">
        <v>0.56000000000000005</v>
      </c>
      <c r="O1615" s="25">
        <v>39.33</v>
      </c>
      <c r="P1615" s="25">
        <v>46.086599999999997</v>
      </c>
    </row>
    <row r="1616" spans="1:16" x14ac:dyDescent="0.25">
      <c r="A1616" s="26">
        <v>41533</v>
      </c>
      <c r="B1616" s="25" t="s">
        <v>138</v>
      </c>
      <c r="C1616" s="25" t="s">
        <v>17</v>
      </c>
      <c r="D1616" s="25">
        <v>475</v>
      </c>
      <c r="E1616" s="25">
        <v>11.15</v>
      </c>
      <c r="F1616" s="25">
        <v>5296.25</v>
      </c>
      <c r="G1616" s="25" t="s">
        <v>139</v>
      </c>
      <c r="H1616" s="25">
        <v>201314118</v>
      </c>
      <c r="I1616" s="25" t="s">
        <v>140</v>
      </c>
      <c r="J1616" s="25" t="s">
        <v>20</v>
      </c>
      <c r="K1616" s="25" t="s">
        <v>21</v>
      </c>
      <c r="L1616" s="25">
        <v>5</v>
      </c>
      <c r="M1616" s="25">
        <v>0.17</v>
      </c>
      <c r="N1616" s="25">
        <v>0.53</v>
      </c>
      <c r="O1616" s="25">
        <v>39.32</v>
      </c>
      <c r="P1616" s="25">
        <v>45.019100000000002</v>
      </c>
    </row>
    <row r="1617" spans="1:16" x14ac:dyDescent="0.25">
      <c r="A1617" s="26">
        <v>41528</v>
      </c>
      <c r="B1617" s="25" t="s">
        <v>128</v>
      </c>
      <c r="C1617" s="25" t="s">
        <v>17</v>
      </c>
      <c r="D1617" s="25">
        <v>50</v>
      </c>
      <c r="E1617" s="25">
        <v>120.9</v>
      </c>
      <c r="F1617" s="25">
        <v>6045</v>
      </c>
      <c r="G1617" s="25" t="s">
        <v>141</v>
      </c>
      <c r="H1617" s="25">
        <v>201314115</v>
      </c>
      <c r="I1617" s="25" t="s">
        <v>19</v>
      </c>
      <c r="J1617" s="25" t="s">
        <v>20</v>
      </c>
      <c r="K1617" s="25" t="s">
        <v>21</v>
      </c>
      <c r="L1617" s="25">
        <v>6</v>
      </c>
      <c r="M1617" s="25">
        <v>0.19</v>
      </c>
      <c r="N1617" s="25">
        <v>0.6</v>
      </c>
      <c r="O1617" s="25">
        <v>39.35</v>
      </c>
      <c r="P1617" s="25">
        <v>46.147500000000001</v>
      </c>
    </row>
    <row r="1618" spans="1:16" x14ac:dyDescent="0.25">
      <c r="A1618" s="26">
        <v>41477</v>
      </c>
      <c r="B1618" s="25" t="s">
        <v>128</v>
      </c>
      <c r="C1618" s="25" t="s">
        <v>17</v>
      </c>
      <c r="D1618" s="25">
        <v>100</v>
      </c>
      <c r="E1618" s="25">
        <v>97</v>
      </c>
      <c r="F1618" s="25">
        <v>9700</v>
      </c>
      <c r="G1618" s="25" t="s">
        <v>142</v>
      </c>
      <c r="H1618" s="25">
        <v>2013140</v>
      </c>
      <c r="I1618" s="25" t="s">
        <v>19</v>
      </c>
      <c r="J1618" s="25" t="s">
        <v>20</v>
      </c>
      <c r="K1618" s="25" t="s">
        <v>25</v>
      </c>
      <c r="L1618" s="25">
        <v>10</v>
      </c>
      <c r="M1618" s="25">
        <v>0.35</v>
      </c>
      <c r="N1618" s="25">
        <v>0.97</v>
      </c>
      <c r="O1618" s="25">
        <v>59.94</v>
      </c>
      <c r="P1618" s="25">
        <v>71.259200000000007</v>
      </c>
    </row>
    <row r="1619" spans="1:16" x14ac:dyDescent="0.25">
      <c r="A1619" s="26">
        <v>41470</v>
      </c>
      <c r="B1619" s="25" t="s">
        <v>128</v>
      </c>
      <c r="C1619" s="25" t="s">
        <v>23</v>
      </c>
      <c r="D1619" s="25">
        <v>50</v>
      </c>
      <c r="E1619" s="25">
        <v>100.1</v>
      </c>
      <c r="F1619" s="25">
        <v>5005</v>
      </c>
      <c r="G1619" s="25" t="s">
        <v>143</v>
      </c>
      <c r="H1619" s="25">
        <v>2013135</v>
      </c>
      <c r="I1619" s="25" t="s">
        <v>19</v>
      </c>
      <c r="J1619" s="25" t="s">
        <v>20</v>
      </c>
      <c r="K1619" s="25" t="s">
        <v>25</v>
      </c>
      <c r="L1619" s="25">
        <v>5</v>
      </c>
      <c r="M1619" s="25">
        <v>0.18</v>
      </c>
      <c r="N1619" s="25">
        <v>0.5</v>
      </c>
      <c r="O1619" s="25">
        <v>39.33</v>
      </c>
      <c r="P1619" s="25">
        <v>45.0107</v>
      </c>
    </row>
    <row r="1620" spans="1:16" x14ac:dyDescent="0.25">
      <c r="A1620" s="26">
        <v>41463</v>
      </c>
      <c r="B1620" s="25" t="s">
        <v>128</v>
      </c>
      <c r="C1620" s="25" t="s">
        <v>17</v>
      </c>
      <c r="D1620" s="25">
        <v>50</v>
      </c>
      <c r="E1620" s="25">
        <v>95.9</v>
      </c>
      <c r="F1620" s="25">
        <v>4795</v>
      </c>
      <c r="G1620" s="25" t="s">
        <v>144</v>
      </c>
      <c r="H1620" s="25">
        <v>201314071</v>
      </c>
      <c r="I1620" s="25" t="s">
        <v>19</v>
      </c>
      <c r="J1620" s="25" t="s">
        <v>20</v>
      </c>
      <c r="K1620" s="25" t="s">
        <v>21</v>
      </c>
      <c r="L1620" s="25">
        <v>5</v>
      </c>
      <c r="M1620" s="25">
        <v>0.15</v>
      </c>
      <c r="N1620" s="25">
        <v>0.48</v>
      </c>
      <c r="O1620" s="25">
        <v>39.33</v>
      </c>
      <c r="P1620" s="25">
        <v>44.962899999999998</v>
      </c>
    </row>
    <row r="1621" spans="1:16" x14ac:dyDescent="0.25">
      <c r="A1621" s="26">
        <v>41414</v>
      </c>
      <c r="B1621" s="25" t="s">
        <v>128</v>
      </c>
      <c r="C1621" s="25" t="s">
        <v>17</v>
      </c>
      <c r="D1621" s="25">
        <v>100</v>
      </c>
      <c r="E1621" s="25">
        <v>157.1</v>
      </c>
      <c r="F1621" s="25">
        <v>15710</v>
      </c>
      <c r="G1621" s="25" t="s">
        <v>145</v>
      </c>
      <c r="H1621" s="25">
        <v>201314036</v>
      </c>
      <c r="I1621" s="25" t="s">
        <v>19</v>
      </c>
      <c r="J1621" s="25" t="s">
        <v>20</v>
      </c>
      <c r="K1621" s="25" t="s">
        <v>21</v>
      </c>
      <c r="L1621" s="25">
        <v>16</v>
      </c>
      <c r="M1621" s="25">
        <v>0.5</v>
      </c>
      <c r="N1621" s="25">
        <v>1.57</v>
      </c>
      <c r="O1621" s="25">
        <v>97.08</v>
      </c>
      <c r="P1621" s="25">
        <v>115.1536</v>
      </c>
    </row>
    <row r="1622" spans="1:16" x14ac:dyDescent="0.25">
      <c r="A1622" s="26">
        <v>41352</v>
      </c>
      <c r="B1622" s="25" t="s">
        <v>29</v>
      </c>
      <c r="C1622" s="25" t="s">
        <v>23</v>
      </c>
      <c r="D1622" s="25">
        <v>75</v>
      </c>
      <c r="E1622" s="25">
        <v>21.5</v>
      </c>
      <c r="F1622" s="25">
        <v>1612.5</v>
      </c>
      <c r="G1622" s="25" t="s">
        <v>146</v>
      </c>
      <c r="H1622" s="25">
        <v>2013056</v>
      </c>
      <c r="I1622" s="25" t="s">
        <v>19</v>
      </c>
      <c r="J1622" s="25" t="s">
        <v>20</v>
      </c>
      <c r="K1622" s="25" t="s">
        <v>25</v>
      </c>
      <c r="L1622" s="25">
        <v>2</v>
      </c>
      <c r="M1622" s="25">
        <v>0.06</v>
      </c>
      <c r="N1622" s="25">
        <v>0.16</v>
      </c>
      <c r="O1622" s="25">
        <v>39.33</v>
      </c>
      <c r="P1622" s="25">
        <v>41.549399999999999</v>
      </c>
    </row>
    <row r="1623" spans="1:16" x14ac:dyDescent="0.25">
      <c r="A1623" s="26">
        <v>41282</v>
      </c>
      <c r="B1623" s="25" t="s">
        <v>29</v>
      </c>
      <c r="C1623" s="25" t="s">
        <v>17</v>
      </c>
      <c r="D1623" s="25">
        <v>75</v>
      </c>
      <c r="E1623" s="25">
        <v>20.149999999999999</v>
      </c>
      <c r="F1623" s="25">
        <v>1511.25</v>
      </c>
      <c r="G1623" s="25" t="s">
        <v>147</v>
      </c>
      <c r="H1623" s="25">
        <v>2013006</v>
      </c>
      <c r="I1623" s="25" t="s">
        <v>19</v>
      </c>
      <c r="J1623" s="25" t="s">
        <v>20</v>
      </c>
      <c r="K1623" s="25" t="s">
        <v>25</v>
      </c>
      <c r="L1623" s="25">
        <v>2</v>
      </c>
      <c r="M1623" s="25">
        <v>0.05</v>
      </c>
      <c r="N1623" s="25">
        <v>0.15</v>
      </c>
      <c r="O1623" s="25">
        <v>39.33</v>
      </c>
      <c r="P1623" s="25">
        <v>41.535499999999999</v>
      </c>
    </row>
    <row r="1624" spans="1:16" x14ac:dyDescent="0.25">
      <c r="A1624" s="26">
        <v>41274</v>
      </c>
      <c r="B1624" s="25" t="s">
        <v>98</v>
      </c>
      <c r="C1624" s="25" t="s">
        <v>17</v>
      </c>
      <c r="D1624" s="25">
        <v>12</v>
      </c>
      <c r="E1624" s="25">
        <v>84.1</v>
      </c>
      <c r="F1624" s="25">
        <v>1009.2</v>
      </c>
      <c r="G1624" s="25" t="s">
        <v>148</v>
      </c>
      <c r="H1624" s="25">
        <v>2012247</v>
      </c>
      <c r="I1624" s="25" t="s">
        <v>19</v>
      </c>
      <c r="J1624" s="25" t="s">
        <v>20</v>
      </c>
      <c r="K1624" s="25" t="s">
        <v>25</v>
      </c>
      <c r="L1624" s="25">
        <v>0.99</v>
      </c>
      <c r="M1624" s="25">
        <v>0.04</v>
      </c>
      <c r="N1624" s="25">
        <v>0</v>
      </c>
      <c r="O1624" s="25">
        <v>28.35</v>
      </c>
      <c r="P1624" s="25">
        <v>29.376300000000001</v>
      </c>
    </row>
    <row r="1625" spans="1:16" x14ac:dyDescent="0.25">
      <c r="A1625" s="26">
        <v>41274</v>
      </c>
      <c r="B1625" s="25" t="s">
        <v>98</v>
      </c>
      <c r="C1625" s="25" t="s">
        <v>17</v>
      </c>
      <c r="D1625" s="25">
        <v>12</v>
      </c>
      <c r="E1625" s="25">
        <v>83.9</v>
      </c>
      <c r="F1625" s="25">
        <v>1006.8</v>
      </c>
      <c r="G1625" s="25" t="s">
        <v>149</v>
      </c>
      <c r="H1625" s="25">
        <v>2012247</v>
      </c>
      <c r="I1625" s="25" t="s">
        <v>19</v>
      </c>
      <c r="J1625" s="25" t="s">
        <v>20</v>
      </c>
      <c r="K1625" s="25" t="s">
        <v>25</v>
      </c>
      <c r="L1625" s="25">
        <v>1.01</v>
      </c>
      <c r="M1625" s="25">
        <v>0.04</v>
      </c>
      <c r="N1625" s="25">
        <v>0.2</v>
      </c>
      <c r="O1625" s="25">
        <v>28.28</v>
      </c>
      <c r="P1625" s="25">
        <v>29.527799999999999</v>
      </c>
    </row>
    <row r="1626" spans="1:16" x14ac:dyDescent="0.25">
      <c r="A1626" s="26">
        <v>41269</v>
      </c>
      <c r="B1626" s="25" t="s">
        <v>128</v>
      </c>
      <c r="C1626" s="25" t="s">
        <v>17</v>
      </c>
      <c r="D1626" s="25">
        <v>7</v>
      </c>
      <c r="E1626" s="25">
        <v>196.3</v>
      </c>
      <c r="F1626" s="25">
        <v>1374.1</v>
      </c>
      <c r="G1626" s="25" t="s">
        <v>150</v>
      </c>
      <c r="H1626" s="25">
        <v>2012244</v>
      </c>
      <c r="I1626" s="25" t="s">
        <v>19</v>
      </c>
      <c r="J1626" s="25" t="s">
        <v>20</v>
      </c>
      <c r="K1626" s="25" t="s">
        <v>25</v>
      </c>
      <c r="L1626" s="25">
        <v>1</v>
      </c>
      <c r="M1626" s="25">
        <v>0.05</v>
      </c>
      <c r="N1626" s="25">
        <v>0.14000000000000001</v>
      </c>
      <c r="O1626" s="25">
        <v>38.6</v>
      </c>
      <c r="P1626" s="25">
        <v>39.786900000000003</v>
      </c>
    </row>
    <row r="1627" spans="1:16" x14ac:dyDescent="0.25">
      <c r="A1627" s="26">
        <v>41263</v>
      </c>
      <c r="B1627" s="25" t="s">
        <v>128</v>
      </c>
      <c r="C1627" s="25" t="s">
        <v>17</v>
      </c>
      <c r="D1627" s="25">
        <v>10</v>
      </c>
      <c r="E1627" s="25">
        <v>205.2</v>
      </c>
      <c r="F1627" s="25">
        <v>2052</v>
      </c>
      <c r="G1627" s="25" t="s">
        <v>151</v>
      </c>
      <c r="H1627" s="25">
        <v>2012241</v>
      </c>
      <c r="I1627" s="25" t="s">
        <v>19</v>
      </c>
      <c r="J1627" s="25" t="s">
        <v>20</v>
      </c>
      <c r="K1627" s="25" t="s">
        <v>25</v>
      </c>
      <c r="L1627" s="25">
        <v>2</v>
      </c>
      <c r="M1627" s="25">
        <v>7.0000000000000007E-2</v>
      </c>
      <c r="N1627" s="25">
        <v>0.21</v>
      </c>
      <c r="O1627" s="25">
        <v>39.33</v>
      </c>
      <c r="P1627" s="25">
        <v>41.609099999999998</v>
      </c>
    </row>
    <row r="1628" spans="1:16" x14ac:dyDescent="0.25">
      <c r="A1628" s="26">
        <v>41079</v>
      </c>
      <c r="B1628" s="25" t="s">
        <v>128</v>
      </c>
      <c r="C1628" s="25" t="s">
        <v>23</v>
      </c>
      <c r="D1628" s="25">
        <v>5</v>
      </c>
      <c r="E1628" s="25">
        <v>121.45</v>
      </c>
      <c r="F1628" s="25">
        <v>607.25</v>
      </c>
      <c r="G1628" s="25" t="s">
        <v>152</v>
      </c>
      <c r="H1628" s="25">
        <v>2012116</v>
      </c>
      <c r="I1628" s="25" t="s">
        <v>19</v>
      </c>
      <c r="J1628" s="25" t="s">
        <v>20</v>
      </c>
      <c r="K1628" s="25" t="s">
        <v>25</v>
      </c>
      <c r="L1628" s="25">
        <v>1</v>
      </c>
      <c r="M1628" s="25">
        <v>0.02</v>
      </c>
      <c r="N1628" s="25">
        <v>0.06</v>
      </c>
      <c r="O1628" s="25">
        <v>17.05</v>
      </c>
      <c r="P1628" s="25">
        <v>18.1325</v>
      </c>
    </row>
    <row r="1629" spans="1:16" x14ac:dyDescent="0.25">
      <c r="A1629" s="26">
        <v>40995</v>
      </c>
      <c r="B1629" s="25" t="s">
        <v>128</v>
      </c>
      <c r="C1629" s="25" t="s">
        <v>17</v>
      </c>
      <c r="D1629" s="25">
        <v>6</v>
      </c>
      <c r="E1629" s="25">
        <v>139.44999999999999</v>
      </c>
      <c r="F1629" s="25">
        <v>836.7</v>
      </c>
      <c r="G1629" s="25" t="s">
        <v>153</v>
      </c>
      <c r="H1629" s="25">
        <v>2012059</v>
      </c>
      <c r="I1629" s="25" t="s">
        <v>19</v>
      </c>
      <c r="J1629" s="25" t="s">
        <v>20</v>
      </c>
      <c r="K1629" s="25" t="s">
        <v>25</v>
      </c>
      <c r="L1629" s="25">
        <v>1</v>
      </c>
      <c r="M1629" s="25">
        <v>0.03</v>
      </c>
      <c r="N1629" s="25">
        <v>0.08</v>
      </c>
      <c r="O1629" s="25">
        <v>23.07</v>
      </c>
      <c r="P1629" s="25">
        <v>24.183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opLeftCell="A97" zoomScaleNormal="100" workbookViewId="0">
      <selection activeCell="G124" sqref="G124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12" bestFit="1" customWidth="1"/>
    <col min="4" max="4" width="18.42578125" bestFit="1" customWidth="1"/>
    <col min="5" max="5" width="26.42578125" bestFit="1" customWidth="1"/>
    <col min="7" max="7" width="10.85546875" bestFit="1" customWidth="1"/>
    <col min="8" max="8" width="10.7109375" bestFit="1" customWidth="1"/>
    <col min="9" max="9" width="12" bestFit="1" customWidth="1"/>
    <col min="10" max="10" width="18.42578125" bestFit="1" customWidth="1"/>
    <col min="11" max="11" width="26.42578125" bestFit="1" customWidth="1"/>
    <col min="12" max="12" width="12.5703125" style="10" bestFit="1" customWidth="1"/>
    <col min="13" max="13" width="9.28515625" bestFit="1" customWidth="1"/>
    <col min="14" max="14" width="6" bestFit="1" customWidth="1"/>
    <col min="15" max="15" width="12.5703125" style="10" bestFit="1" customWidth="1"/>
    <col min="16" max="16" width="7.42578125" bestFit="1" customWidth="1"/>
    <col min="17" max="17" width="11.28515625" style="10" bestFit="1" customWidth="1"/>
    <col min="18" max="18" width="12.28515625" style="10" bestFit="1" customWidth="1"/>
    <col min="19" max="19" width="9.5703125" style="10" bestFit="1" customWidth="1"/>
    <col min="20" max="20" width="10.28515625" style="10" bestFit="1" customWidth="1"/>
    <col min="21" max="21" width="6.42578125" style="24" bestFit="1" customWidth="1"/>
    <col min="27" max="27" width="36.28515625" customWidth="1"/>
  </cols>
  <sheetData>
    <row r="1" spans="1:21" x14ac:dyDescent="0.25">
      <c r="L1" s="12" t="s">
        <v>161</v>
      </c>
      <c r="M1" s="11"/>
      <c r="N1" s="11"/>
      <c r="O1" s="12" t="s">
        <v>166</v>
      </c>
      <c r="P1" s="11"/>
      <c r="Q1" s="11" t="s">
        <v>168</v>
      </c>
      <c r="R1" s="12" t="s">
        <v>169</v>
      </c>
      <c r="S1" s="12" t="s">
        <v>170</v>
      </c>
      <c r="T1" s="12" t="s">
        <v>171</v>
      </c>
    </row>
    <row r="2" spans="1:21" x14ac:dyDescent="0.25">
      <c r="H2" s="22"/>
      <c r="L2" s="16">
        <f>SUM(L10:L1000)</f>
        <v>139032945.06950003</v>
      </c>
      <c r="M2" s="15"/>
      <c r="N2" s="15"/>
      <c r="O2" s="16">
        <f>SUM(O10:O1000)</f>
        <v>137953684.33849999</v>
      </c>
      <c r="P2" s="15"/>
      <c r="Q2" s="16">
        <f>SUM(Q10:Q1000)</f>
        <v>-1079260.7310000011</v>
      </c>
      <c r="R2" s="19">
        <f>SUM(R10:R1000)</f>
        <v>-658534.64560000238</v>
      </c>
      <c r="S2" s="16">
        <f>SUM(S10:S1000)</f>
        <v>123508.77120000009</v>
      </c>
      <c r="T2" s="16">
        <f>SUM(T10:T1000)</f>
        <v>-782043.41680000233</v>
      </c>
    </row>
    <row r="3" spans="1:21" x14ac:dyDescent="0.25">
      <c r="R3" s="10">
        <v>-5341.2691000000004</v>
      </c>
      <c r="S3" s="10">
        <v>0</v>
      </c>
      <c r="T3" s="10">
        <v>-5341.2691000000004</v>
      </c>
    </row>
    <row r="4" spans="1:21" x14ac:dyDescent="0.25">
      <c r="R4" s="23">
        <f>R2+R3</f>
        <v>-663875.91470000241</v>
      </c>
      <c r="S4" s="16">
        <f>S2+S3</f>
        <v>123508.77120000009</v>
      </c>
      <c r="T4" s="16">
        <f>T2+T3</f>
        <v>-787384.68590000237</v>
      </c>
    </row>
    <row r="5" spans="1:21" x14ac:dyDescent="0.25">
      <c r="A5" s="1" t="s">
        <v>2</v>
      </c>
      <c r="B5" s="25" t="s">
        <v>17</v>
      </c>
    </row>
    <row r="7" spans="1:21" x14ac:dyDescent="0.25">
      <c r="B7" s="1" t="s">
        <v>157</v>
      </c>
    </row>
    <row r="8" spans="1:21" x14ac:dyDescent="0.25">
      <c r="A8" s="1" t="s">
        <v>154</v>
      </c>
      <c r="B8" s="25" t="s">
        <v>159</v>
      </c>
      <c r="C8" s="25" t="s">
        <v>160</v>
      </c>
      <c r="D8" s="25" t="s">
        <v>156</v>
      </c>
      <c r="E8" s="25" t="s">
        <v>158</v>
      </c>
      <c r="G8" s="4"/>
      <c r="H8" s="4" t="s">
        <v>157</v>
      </c>
      <c r="I8" s="4"/>
      <c r="J8" s="4"/>
      <c r="K8" s="4"/>
      <c r="L8" s="20"/>
      <c r="M8" s="31" t="s">
        <v>162</v>
      </c>
      <c r="N8" s="31"/>
      <c r="O8" s="31"/>
      <c r="P8" s="32" t="s">
        <v>172</v>
      </c>
      <c r="Q8" s="33"/>
      <c r="R8" s="33"/>
      <c r="S8" s="33"/>
      <c r="T8" s="33"/>
      <c r="U8" s="34"/>
    </row>
    <row r="9" spans="1:21" x14ac:dyDescent="0.25">
      <c r="A9" s="2" t="s">
        <v>54</v>
      </c>
      <c r="B9" s="3">
        <v>100</v>
      </c>
      <c r="C9" s="3">
        <v>357</v>
      </c>
      <c r="D9" s="3">
        <v>35700</v>
      </c>
      <c r="E9" s="3">
        <v>271.15809999999999</v>
      </c>
      <c r="G9" s="5" t="s">
        <v>154</v>
      </c>
      <c r="H9" s="5" t="s">
        <v>159</v>
      </c>
      <c r="I9" s="5" t="s">
        <v>160</v>
      </c>
      <c r="J9" s="5" t="s">
        <v>156</v>
      </c>
      <c r="K9" s="5" t="s">
        <v>158</v>
      </c>
      <c r="L9" s="21" t="s">
        <v>161</v>
      </c>
      <c r="M9" s="11" t="s">
        <v>163</v>
      </c>
      <c r="N9" s="11" t="s">
        <v>164</v>
      </c>
      <c r="O9" s="12" t="s">
        <v>166</v>
      </c>
      <c r="P9" s="11" t="s">
        <v>167</v>
      </c>
      <c r="Q9" s="11" t="s">
        <v>168</v>
      </c>
      <c r="R9" s="12" t="s">
        <v>169</v>
      </c>
      <c r="S9" s="12" t="s">
        <v>170</v>
      </c>
      <c r="T9" s="12" t="s">
        <v>171</v>
      </c>
      <c r="U9" s="29" t="s">
        <v>693</v>
      </c>
    </row>
    <row r="10" spans="1:21" x14ac:dyDescent="0.25">
      <c r="A10" s="2" t="s">
        <v>100</v>
      </c>
      <c r="B10" s="3">
        <v>20950</v>
      </c>
      <c r="C10" s="3">
        <v>832.5</v>
      </c>
      <c r="D10" s="3">
        <v>2032062.5</v>
      </c>
      <c r="E10" s="3">
        <v>1382.5108999999998</v>
      </c>
      <c r="G10" s="2" t="s">
        <v>54</v>
      </c>
      <c r="H10" s="3">
        <v>100</v>
      </c>
      <c r="I10" s="3">
        <v>357</v>
      </c>
      <c r="J10" s="3">
        <v>35700</v>
      </c>
      <c r="K10" s="3">
        <v>271.15809999999999</v>
      </c>
      <c r="L10" s="20">
        <f>J10+K10</f>
        <v>35971.158100000001</v>
      </c>
      <c r="M10" s="14" t="str">
        <f>VLOOKUP(G10,Sell!G:L,1,0)</f>
        <v>ARVLIM</v>
      </c>
      <c r="N10" s="14">
        <f>IFERROR(VLOOKUP(G10,Sell!G:L,2,0),0)</f>
        <v>100</v>
      </c>
      <c r="O10" s="13">
        <f>IFERROR(VLOOKUP(G10,Sell!G:L,6,0),0)</f>
        <v>37021.849099999999</v>
      </c>
      <c r="P10" s="14">
        <f t="shared" ref="P10:P73" si="0">H10-N10</f>
        <v>0</v>
      </c>
      <c r="Q10" s="13">
        <f>O10-L10</f>
        <v>1050.6909999999989</v>
      </c>
      <c r="R10" s="13">
        <f>IF(P10=0,Q10,0)</f>
        <v>1050.6909999999989</v>
      </c>
      <c r="S10" s="13">
        <f>IF(R10&gt;0,R10,0)</f>
        <v>1050.6909999999989</v>
      </c>
      <c r="T10" s="13">
        <f>IF(R10&gt;0,0,R10)</f>
        <v>0</v>
      </c>
      <c r="U10" s="15" t="str">
        <f>IF(AND(LEN(G10)&gt;0,R10=0),"Open","")</f>
        <v/>
      </c>
    </row>
    <row r="11" spans="1:21" x14ac:dyDescent="0.25">
      <c r="A11" s="2" t="s">
        <v>98</v>
      </c>
      <c r="B11" s="3">
        <v>5349</v>
      </c>
      <c r="C11" s="3">
        <v>408.5</v>
      </c>
      <c r="D11" s="3">
        <v>134103.5</v>
      </c>
      <c r="E11" s="3">
        <v>334.61009999999999</v>
      </c>
      <c r="G11" s="2" t="s">
        <v>100</v>
      </c>
      <c r="H11" s="3">
        <v>20950</v>
      </c>
      <c r="I11" s="3">
        <v>832.5</v>
      </c>
      <c r="J11" s="3">
        <v>2032062.5</v>
      </c>
      <c r="K11" s="3">
        <v>1382.5108999999998</v>
      </c>
      <c r="L11" s="20">
        <f t="shared" ref="L11:L74" si="1">J11+K11</f>
        <v>2033445.0109000001</v>
      </c>
      <c r="M11" s="14" t="str">
        <f>VLOOKUP(G11,Sell!G:L,1,0)</f>
        <v>ASHLEY</v>
      </c>
      <c r="N11" s="14">
        <f>IFERROR(VLOOKUP(G11,Sell!G:L,2,0),0)</f>
        <v>20950</v>
      </c>
      <c r="O11" s="13">
        <f>IFERROR(VLOOKUP(G11,Sell!G:L,6,0),0)</f>
        <v>2010848.0245000001</v>
      </c>
      <c r="P11" s="14">
        <f t="shared" si="0"/>
        <v>0</v>
      </c>
      <c r="Q11" s="13">
        <f t="shared" ref="Q11:Q74" si="2">O11-L11</f>
        <v>-22596.986400000053</v>
      </c>
      <c r="R11" s="13">
        <f t="shared" ref="R11:R74" si="3">IF(P11=0,Q11,0)</f>
        <v>-22596.986400000053</v>
      </c>
      <c r="S11" s="13">
        <f t="shared" ref="S11:S74" si="4">IF(R11&gt;0,R11,0)</f>
        <v>0</v>
      </c>
      <c r="T11" s="13">
        <f t="shared" ref="T11:T74" si="5">IF(R11&gt;0,0,R11)</f>
        <v>-22596.986400000053</v>
      </c>
      <c r="U11" s="15" t="str">
        <f t="shared" ref="U11:U74" si="6">IF(AND(LEN(G11)&gt;0,R11=0),"Open","")</f>
        <v/>
      </c>
    </row>
    <row r="12" spans="1:21" x14ac:dyDescent="0.25">
      <c r="A12" s="2" t="s">
        <v>26</v>
      </c>
      <c r="B12" s="3">
        <v>13139</v>
      </c>
      <c r="C12" s="3">
        <v>2621.8</v>
      </c>
      <c r="D12" s="3">
        <v>1756297.05</v>
      </c>
      <c r="E12" s="3">
        <v>4898.7724000000007</v>
      </c>
      <c r="G12" s="2" t="s">
        <v>98</v>
      </c>
      <c r="H12" s="3">
        <v>5349</v>
      </c>
      <c r="I12" s="3">
        <v>408.5</v>
      </c>
      <c r="J12" s="3">
        <v>134103.5</v>
      </c>
      <c r="K12" s="3">
        <v>334.61009999999999</v>
      </c>
      <c r="L12" s="20">
        <f t="shared" si="1"/>
        <v>134438.11009999999</v>
      </c>
      <c r="M12" s="14" t="str">
        <f>VLOOKUP(G12,Sell!G:L,1,0)</f>
        <v>CENBAN</v>
      </c>
      <c r="N12" s="14">
        <f>IFERROR(VLOOKUP(G12,Sell!G:L,2,0),0)</f>
        <v>5349</v>
      </c>
      <c r="O12" s="13">
        <f>IFERROR(VLOOKUP(G12,Sell!G:L,6,0),0)</f>
        <v>145640.4999</v>
      </c>
      <c r="P12" s="14">
        <f t="shared" si="0"/>
        <v>0</v>
      </c>
      <c r="Q12" s="13">
        <f t="shared" si="2"/>
        <v>11202.389800000004</v>
      </c>
      <c r="R12" s="13">
        <f t="shared" si="3"/>
        <v>11202.389800000004</v>
      </c>
      <c r="S12" s="13">
        <f t="shared" si="4"/>
        <v>11202.389800000004</v>
      </c>
      <c r="T12" s="13">
        <f t="shared" si="5"/>
        <v>0</v>
      </c>
      <c r="U12" s="15" t="str">
        <f t="shared" si="6"/>
        <v/>
      </c>
    </row>
    <row r="13" spans="1:21" x14ac:dyDescent="0.25">
      <c r="A13" s="2" t="s">
        <v>29</v>
      </c>
      <c r="B13" s="3">
        <v>25325</v>
      </c>
      <c r="C13" s="3">
        <v>200.39</v>
      </c>
      <c r="D13" s="3">
        <v>452689.75</v>
      </c>
      <c r="E13" s="3">
        <v>2312.3229000000006</v>
      </c>
      <c r="G13" s="2" t="s">
        <v>26</v>
      </c>
      <c r="H13" s="3">
        <v>13139</v>
      </c>
      <c r="I13" s="3">
        <v>2621.8</v>
      </c>
      <c r="J13" s="3">
        <v>1756297.05</v>
      </c>
      <c r="K13" s="3">
        <v>4898.7724000000007</v>
      </c>
      <c r="L13" s="20">
        <f t="shared" si="1"/>
        <v>1761195.8223999999</v>
      </c>
      <c r="M13" s="14" t="str">
        <f>VLOOKUP(G13,Sell!G:L,1,0)</f>
        <v>GATLIM</v>
      </c>
      <c r="N13" s="14">
        <f>IFERROR(VLOOKUP(G13,Sell!G:L,2,0),0)</f>
        <v>13139</v>
      </c>
      <c r="O13" s="13">
        <f>IFERROR(VLOOKUP(G13,Sell!G:L,6,0),0)</f>
        <v>1699130.3573999999</v>
      </c>
      <c r="P13" s="14">
        <f t="shared" si="0"/>
        <v>0</v>
      </c>
      <c r="Q13" s="13">
        <f t="shared" si="2"/>
        <v>-62065.465000000084</v>
      </c>
      <c r="R13" s="13">
        <f t="shared" si="3"/>
        <v>-62065.465000000084</v>
      </c>
      <c r="S13" s="13">
        <f t="shared" si="4"/>
        <v>0</v>
      </c>
      <c r="T13" s="13">
        <f t="shared" si="5"/>
        <v>-62065.465000000084</v>
      </c>
      <c r="U13" s="15" t="str">
        <f t="shared" si="6"/>
        <v/>
      </c>
    </row>
    <row r="14" spans="1:21" x14ac:dyDescent="0.25">
      <c r="A14" s="2" t="s">
        <v>119</v>
      </c>
      <c r="B14" s="3">
        <v>500</v>
      </c>
      <c r="C14" s="3">
        <v>77</v>
      </c>
      <c r="D14" s="3">
        <v>38500</v>
      </c>
      <c r="E14" s="3">
        <v>282.00189999999998</v>
      </c>
      <c r="G14" s="2" t="s">
        <v>29</v>
      </c>
      <c r="H14" s="3">
        <v>25325</v>
      </c>
      <c r="I14" s="3">
        <v>200.39</v>
      </c>
      <c r="J14" s="3">
        <v>452689.75</v>
      </c>
      <c r="K14" s="3">
        <v>2312.3229000000006</v>
      </c>
      <c r="L14" s="20">
        <f t="shared" si="1"/>
        <v>455002.07290000003</v>
      </c>
      <c r="M14" s="14" t="str">
        <f>VLOOKUP(G14,Sell!G:L,1,0)</f>
        <v>GMRINF</v>
      </c>
      <c r="N14" s="14">
        <f>IFERROR(VLOOKUP(G14,Sell!G:L,2,0),0)</f>
        <v>25325</v>
      </c>
      <c r="O14" s="13">
        <f>IFERROR(VLOOKUP(G14,Sell!G:L,6,0),0)</f>
        <v>419457.30379999999</v>
      </c>
      <c r="P14" s="14">
        <f t="shared" si="0"/>
        <v>0</v>
      </c>
      <c r="Q14" s="13">
        <f t="shared" si="2"/>
        <v>-35544.769100000034</v>
      </c>
      <c r="R14" s="13">
        <f t="shared" si="3"/>
        <v>-35544.769100000034</v>
      </c>
      <c r="S14" s="13">
        <f t="shared" si="4"/>
        <v>0</v>
      </c>
      <c r="T14" s="13">
        <f t="shared" si="5"/>
        <v>-35544.769100000034</v>
      </c>
      <c r="U14" s="15" t="str">
        <f t="shared" si="6"/>
        <v/>
      </c>
    </row>
    <row r="15" spans="1:21" x14ac:dyDescent="0.25">
      <c r="A15" s="2" t="s">
        <v>74</v>
      </c>
      <c r="B15" s="3">
        <v>310</v>
      </c>
      <c r="C15" s="3">
        <v>4031.16</v>
      </c>
      <c r="D15" s="3">
        <v>274814.15000000002</v>
      </c>
      <c r="E15" s="3">
        <v>1014.6312000000001</v>
      </c>
      <c r="G15" s="2" t="s">
        <v>119</v>
      </c>
      <c r="H15" s="3">
        <v>500</v>
      </c>
      <c r="I15" s="3">
        <v>77</v>
      </c>
      <c r="J15" s="3">
        <v>38500</v>
      </c>
      <c r="K15" s="3">
        <v>282.00189999999998</v>
      </c>
      <c r="L15" s="20">
        <f t="shared" si="1"/>
        <v>38782.001900000003</v>
      </c>
      <c r="M15" s="14" t="str">
        <f>VLOOKUP(G15,Sell!G:L,1,0)</f>
        <v>HINCOP</v>
      </c>
      <c r="N15" s="14">
        <f>IFERROR(VLOOKUP(G15,Sell!G:L,2,0),0)</f>
        <v>500</v>
      </c>
      <c r="O15" s="13">
        <f>IFERROR(VLOOKUP(G15,Sell!G:L,6,0),0)</f>
        <v>40200.411999999997</v>
      </c>
      <c r="P15" s="14">
        <f t="shared" si="0"/>
        <v>0</v>
      </c>
      <c r="Q15" s="13">
        <f t="shared" si="2"/>
        <v>1418.4100999999937</v>
      </c>
      <c r="R15" s="13">
        <f t="shared" si="3"/>
        <v>1418.4100999999937</v>
      </c>
      <c r="S15" s="13">
        <f t="shared" si="4"/>
        <v>1418.4100999999937</v>
      </c>
      <c r="T15" s="13">
        <f t="shared" si="5"/>
        <v>0</v>
      </c>
      <c r="U15" s="15" t="str">
        <f t="shared" si="6"/>
        <v/>
      </c>
    </row>
    <row r="16" spans="1:21" x14ac:dyDescent="0.25">
      <c r="A16" s="2" t="s">
        <v>115</v>
      </c>
      <c r="B16" s="3">
        <v>500</v>
      </c>
      <c r="C16" s="3">
        <v>66</v>
      </c>
      <c r="D16" s="3">
        <v>33000</v>
      </c>
      <c r="E16" s="3">
        <v>238.61799999999999</v>
      </c>
      <c r="G16" s="2" t="s">
        <v>74</v>
      </c>
      <c r="H16" s="3">
        <v>310</v>
      </c>
      <c r="I16" s="3">
        <v>4031.16</v>
      </c>
      <c r="J16" s="3">
        <v>274814.15000000002</v>
      </c>
      <c r="K16" s="3">
        <v>1014.6312000000001</v>
      </c>
      <c r="L16" s="20">
        <f t="shared" si="1"/>
        <v>275828.78120000003</v>
      </c>
      <c r="M16" s="14" t="str">
        <f>VLOOKUP(G16,Sell!G:L,1,0)</f>
        <v>INFTEC</v>
      </c>
      <c r="N16" s="14">
        <f>IFERROR(VLOOKUP(G16,Sell!G:L,2,0),0)</f>
        <v>300</v>
      </c>
      <c r="O16" s="13">
        <f>IFERROR(VLOOKUP(G16,Sell!G:L,6,0),0)</f>
        <v>269196.34080000001</v>
      </c>
      <c r="P16" s="14">
        <f t="shared" si="0"/>
        <v>10</v>
      </c>
      <c r="Q16" s="13">
        <f t="shared" si="2"/>
        <v>-6632.4404000000213</v>
      </c>
      <c r="R16" s="13">
        <f t="shared" si="3"/>
        <v>0</v>
      </c>
      <c r="S16" s="13">
        <f t="shared" si="4"/>
        <v>0</v>
      </c>
      <c r="T16" s="13">
        <f t="shared" si="5"/>
        <v>0</v>
      </c>
      <c r="U16" s="15" t="str">
        <f t="shared" si="6"/>
        <v>Open</v>
      </c>
    </row>
    <row r="17" spans="1:21" x14ac:dyDescent="0.25">
      <c r="A17" s="2" t="s">
        <v>89</v>
      </c>
      <c r="B17" s="3">
        <v>3000</v>
      </c>
      <c r="C17" s="3">
        <v>34.700000000000003</v>
      </c>
      <c r="D17" s="3">
        <v>46200</v>
      </c>
      <c r="E17" s="3">
        <v>335.62740000000002</v>
      </c>
      <c r="G17" s="2" t="s">
        <v>115</v>
      </c>
      <c r="H17" s="3">
        <v>500</v>
      </c>
      <c r="I17" s="3">
        <v>66</v>
      </c>
      <c r="J17" s="3">
        <v>33000</v>
      </c>
      <c r="K17" s="3">
        <v>238.61799999999999</v>
      </c>
      <c r="L17" s="20">
        <f t="shared" si="1"/>
        <v>33238.618000000002</v>
      </c>
      <c r="M17" s="14" t="str">
        <f>VLOOKUP(G17,Sell!G:L,1,0)</f>
        <v>JAIASS</v>
      </c>
      <c r="N17" s="14">
        <f>IFERROR(VLOOKUP(G17,Sell!G:L,2,0),0)</f>
        <v>500</v>
      </c>
      <c r="O17" s="13">
        <f>IFERROR(VLOOKUP(G17,Sell!G:L,6,0),0)</f>
        <v>41444.437299999998</v>
      </c>
      <c r="P17" s="14">
        <f t="shared" si="0"/>
        <v>0</v>
      </c>
      <c r="Q17" s="13">
        <f t="shared" si="2"/>
        <v>8205.8192999999956</v>
      </c>
      <c r="R17" s="13">
        <f t="shared" si="3"/>
        <v>8205.8192999999956</v>
      </c>
      <c r="S17" s="13">
        <f t="shared" si="4"/>
        <v>8205.8192999999956</v>
      </c>
      <c r="T17" s="13">
        <f t="shared" si="5"/>
        <v>0</v>
      </c>
      <c r="U17" s="15" t="str">
        <f t="shared" si="6"/>
        <v/>
      </c>
    </row>
    <row r="18" spans="1:21" x14ac:dyDescent="0.25">
      <c r="A18" s="2" t="s">
        <v>51</v>
      </c>
      <c r="B18" s="3">
        <v>1381</v>
      </c>
      <c r="C18" s="3">
        <v>2024.1699999999998</v>
      </c>
      <c r="D18" s="3">
        <v>440892.9</v>
      </c>
      <c r="E18" s="3">
        <v>956.74329999999998</v>
      </c>
      <c r="G18" s="2" t="s">
        <v>89</v>
      </c>
      <c r="H18" s="3">
        <v>3000</v>
      </c>
      <c r="I18" s="3">
        <v>34.700000000000003</v>
      </c>
      <c r="J18" s="3">
        <v>46200</v>
      </c>
      <c r="K18" s="3">
        <v>335.62740000000002</v>
      </c>
      <c r="L18" s="20">
        <f t="shared" si="1"/>
        <v>46535.627399999998</v>
      </c>
      <c r="M18" s="14" t="str">
        <f>VLOOKUP(G18,Sell!G:L,1,0)</f>
        <v>JAIPOW</v>
      </c>
      <c r="N18" s="14">
        <f>IFERROR(VLOOKUP(G18,Sell!G:L,2,0),0)</f>
        <v>3000</v>
      </c>
      <c r="O18" s="13">
        <f>IFERROR(VLOOKUP(G18,Sell!G:L,6,0),0)</f>
        <v>33499.015399999997</v>
      </c>
      <c r="P18" s="14">
        <f t="shared" si="0"/>
        <v>0</v>
      </c>
      <c r="Q18" s="13">
        <f t="shared" si="2"/>
        <v>-13036.612000000001</v>
      </c>
      <c r="R18" s="13">
        <f t="shared" si="3"/>
        <v>-13036.612000000001</v>
      </c>
      <c r="S18" s="13">
        <f t="shared" si="4"/>
        <v>0</v>
      </c>
      <c r="T18" s="13">
        <f t="shared" si="5"/>
        <v>-13036.612000000001</v>
      </c>
      <c r="U18" s="15" t="str">
        <f t="shared" si="6"/>
        <v/>
      </c>
    </row>
    <row r="19" spans="1:21" x14ac:dyDescent="0.25">
      <c r="A19" s="2" t="s">
        <v>22</v>
      </c>
      <c r="B19" s="3">
        <v>1000</v>
      </c>
      <c r="C19" s="3">
        <v>78.650000000000006</v>
      </c>
      <c r="D19" s="3">
        <v>78650</v>
      </c>
      <c r="E19" s="3">
        <v>596.33600000000001</v>
      </c>
      <c r="G19" s="2" t="s">
        <v>51</v>
      </c>
      <c r="H19" s="3">
        <v>1381</v>
      </c>
      <c r="I19" s="3">
        <v>2024.1699999999998</v>
      </c>
      <c r="J19" s="3">
        <v>440892.9</v>
      </c>
      <c r="K19" s="3">
        <v>956.74329999999998</v>
      </c>
      <c r="L19" s="20">
        <f t="shared" si="1"/>
        <v>441849.6433</v>
      </c>
      <c r="M19" s="14" t="str">
        <f>VLOOKUP(G19,Sell!G:L,1,0)</f>
        <v>JBCHEM</v>
      </c>
      <c r="N19" s="14">
        <f>IFERROR(VLOOKUP(G19,Sell!G:L,2,0),0)</f>
        <v>1381</v>
      </c>
      <c r="O19" s="13">
        <f>IFERROR(VLOOKUP(G19,Sell!G:L,6,0),0)</f>
        <v>423470.76610000001</v>
      </c>
      <c r="P19" s="14">
        <f t="shared" si="0"/>
        <v>0</v>
      </c>
      <c r="Q19" s="13">
        <f t="shared" si="2"/>
        <v>-18378.877199999988</v>
      </c>
      <c r="R19" s="13">
        <f t="shared" si="3"/>
        <v>-18378.877199999988</v>
      </c>
      <c r="S19" s="13">
        <f t="shared" si="4"/>
        <v>0</v>
      </c>
      <c r="T19" s="13">
        <f t="shared" si="5"/>
        <v>-18378.877199999988</v>
      </c>
      <c r="U19" s="15" t="str">
        <f t="shared" si="6"/>
        <v/>
      </c>
    </row>
    <row r="20" spans="1:21" x14ac:dyDescent="0.25">
      <c r="A20" s="2" t="s">
        <v>131</v>
      </c>
      <c r="B20" s="3">
        <v>3000</v>
      </c>
      <c r="C20" s="3">
        <v>14.5</v>
      </c>
      <c r="D20" s="3">
        <v>22250</v>
      </c>
      <c r="E20" s="3">
        <v>128.666</v>
      </c>
      <c r="G20" s="2" t="s">
        <v>22</v>
      </c>
      <c r="H20" s="3">
        <v>1000</v>
      </c>
      <c r="I20" s="3">
        <v>78.650000000000006</v>
      </c>
      <c r="J20" s="3">
        <v>78650</v>
      </c>
      <c r="K20" s="3">
        <v>596.33600000000001</v>
      </c>
      <c r="L20" s="20">
        <f t="shared" si="1"/>
        <v>79246.335999999996</v>
      </c>
      <c r="M20" s="14" t="str">
        <f>VLOOKUP(G20,Sell!G:L,1,0)</f>
        <v>KOHFOO</v>
      </c>
      <c r="N20" s="14">
        <f>IFERROR(VLOOKUP(G20,Sell!G:L,2,0),0)</f>
        <v>1000</v>
      </c>
      <c r="O20" s="13">
        <f>IFERROR(VLOOKUP(G20,Sell!G:L,6,0),0)</f>
        <v>70805.881300000008</v>
      </c>
      <c r="P20" s="14">
        <f t="shared" si="0"/>
        <v>0</v>
      </c>
      <c r="Q20" s="13">
        <f t="shared" si="2"/>
        <v>-8440.4546999999875</v>
      </c>
      <c r="R20" s="13">
        <f t="shared" si="3"/>
        <v>-8440.4546999999875</v>
      </c>
      <c r="S20" s="13">
        <f t="shared" si="4"/>
        <v>0</v>
      </c>
      <c r="T20" s="13">
        <f t="shared" si="5"/>
        <v>-8440.4546999999875</v>
      </c>
      <c r="U20" s="15" t="str">
        <f t="shared" si="6"/>
        <v/>
      </c>
    </row>
    <row r="21" spans="1:21" x14ac:dyDescent="0.25">
      <c r="A21" s="2" t="s">
        <v>16</v>
      </c>
      <c r="B21" s="3">
        <v>49500</v>
      </c>
      <c r="C21" s="3">
        <v>1300.3399999999999</v>
      </c>
      <c r="D21" s="3">
        <v>1719373.45</v>
      </c>
      <c r="E21" s="3">
        <v>3580.3922999999995</v>
      </c>
      <c r="G21" s="2" t="s">
        <v>131</v>
      </c>
      <c r="H21" s="3">
        <v>3000</v>
      </c>
      <c r="I21" s="3">
        <v>14.5</v>
      </c>
      <c r="J21" s="3">
        <v>22250</v>
      </c>
      <c r="K21" s="3">
        <v>128.666</v>
      </c>
      <c r="L21" s="20">
        <f t="shared" si="1"/>
        <v>22378.666000000001</v>
      </c>
      <c r="M21" s="14" t="str">
        <f>VLOOKUP(G21,Sell!G:L,1,0)</f>
        <v>LANINF</v>
      </c>
      <c r="N21" s="14">
        <f>IFERROR(VLOOKUP(G21,Sell!G:L,2,0),0)</f>
        <v>3000</v>
      </c>
      <c r="O21" s="13">
        <f>IFERROR(VLOOKUP(G21,Sell!G:L,6,0),0)</f>
        <v>21011.856800000001</v>
      </c>
      <c r="P21" s="14">
        <f t="shared" si="0"/>
        <v>0</v>
      </c>
      <c r="Q21" s="13">
        <f t="shared" si="2"/>
        <v>-1366.8091999999997</v>
      </c>
      <c r="R21" s="13">
        <f t="shared" si="3"/>
        <v>-1366.8091999999997</v>
      </c>
      <c r="S21" s="13">
        <f t="shared" si="4"/>
        <v>0</v>
      </c>
      <c r="T21" s="27">
        <f t="shared" si="5"/>
        <v>-1366.8091999999997</v>
      </c>
      <c r="U21" s="15" t="str">
        <f t="shared" si="6"/>
        <v/>
      </c>
    </row>
    <row r="22" spans="1:21" x14ac:dyDescent="0.25">
      <c r="A22" s="2" t="s">
        <v>46</v>
      </c>
      <c r="B22" s="3">
        <v>100</v>
      </c>
      <c r="C22" s="3">
        <v>92</v>
      </c>
      <c r="D22" s="3">
        <v>9200</v>
      </c>
      <c r="E22" s="3">
        <v>68.493600000000001</v>
      </c>
      <c r="G22" s="2" t="s">
        <v>16</v>
      </c>
      <c r="H22" s="3">
        <v>49500</v>
      </c>
      <c r="I22" s="3">
        <v>1300.3399999999999</v>
      </c>
      <c r="J22" s="3">
        <v>1719373.45</v>
      </c>
      <c r="K22" s="3">
        <v>3580.3922999999995</v>
      </c>
      <c r="L22" s="20">
        <f t="shared" si="1"/>
        <v>1722953.8422999999</v>
      </c>
      <c r="M22" s="14" t="str">
        <f>VLOOKUP(G22,Sell!G:L,1,0)</f>
        <v>LTOVER</v>
      </c>
      <c r="N22" s="14">
        <f>IFERROR(VLOOKUP(G22,Sell!G:L,2,0),0)</f>
        <v>48250</v>
      </c>
      <c r="O22" s="13">
        <f>IFERROR(VLOOKUP(G22,Sell!G:L,6,0),0)</f>
        <v>1674613.1049000002</v>
      </c>
      <c r="P22" s="14">
        <f t="shared" si="0"/>
        <v>1250</v>
      </c>
      <c r="Q22" s="13">
        <f t="shared" si="2"/>
        <v>-48340.737399999751</v>
      </c>
      <c r="R22" s="13">
        <f t="shared" si="3"/>
        <v>0</v>
      </c>
      <c r="S22" s="13">
        <f t="shared" si="4"/>
        <v>0</v>
      </c>
      <c r="T22" s="13">
        <f t="shared" si="5"/>
        <v>0</v>
      </c>
      <c r="U22" s="15" t="str">
        <f t="shared" si="6"/>
        <v>Open</v>
      </c>
    </row>
    <row r="23" spans="1:21" x14ac:dyDescent="0.25">
      <c r="A23" s="2" t="s">
        <v>56</v>
      </c>
      <c r="B23" s="3">
        <v>1910</v>
      </c>
      <c r="C23" s="3">
        <v>11089.36</v>
      </c>
      <c r="D23" s="3">
        <v>1766671.3</v>
      </c>
      <c r="E23" s="3">
        <v>2051.7022000000006</v>
      </c>
      <c r="G23" s="2" t="s">
        <v>46</v>
      </c>
      <c r="H23" s="3">
        <v>100</v>
      </c>
      <c r="I23" s="3">
        <v>92</v>
      </c>
      <c r="J23" s="3">
        <v>9200</v>
      </c>
      <c r="K23" s="3">
        <v>68.493600000000001</v>
      </c>
      <c r="L23" s="20">
        <f t="shared" si="1"/>
        <v>9268.4935999999998</v>
      </c>
      <c r="M23" s="14" t="str">
        <f>VLOOKUP(G23,Sell!G:L,1,0)</f>
        <v>MANAFI</v>
      </c>
      <c r="N23" s="14">
        <f>IFERROR(VLOOKUP(G23,Sell!G:L,2,0),0)</f>
        <v>100</v>
      </c>
      <c r="O23" s="13">
        <f>IFERROR(VLOOKUP(G23,Sell!G:L,6,0),0)</f>
        <v>9670.4982999999993</v>
      </c>
      <c r="P23" s="14">
        <f t="shared" si="0"/>
        <v>0</v>
      </c>
      <c r="Q23" s="13">
        <f t="shared" si="2"/>
        <v>402.0046999999995</v>
      </c>
      <c r="R23" s="13">
        <f t="shared" si="3"/>
        <v>402.0046999999995</v>
      </c>
      <c r="S23" s="13">
        <f t="shared" si="4"/>
        <v>402.0046999999995</v>
      </c>
      <c r="T23" s="13">
        <f t="shared" si="5"/>
        <v>0</v>
      </c>
      <c r="U23" s="15" t="str">
        <f t="shared" si="6"/>
        <v/>
      </c>
    </row>
    <row r="24" spans="1:21" x14ac:dyDescent="0.25">
      <c r="A24" s="2" t="s">
        <v>128</v>
      </c>
      <c r="B24" s="3">
        <v>4823</v>
      </c>
      <c r="C24" s="3">
        <v>4118.8</v>
      </c>
      <c r="D24" s="3">
        <v>1947209.45</v>
      </c>
      <c r="E24" s="3">
        <v>5034.4990999999991</v>
      </c>
      <c r="G24" s="2" t="s">
        <v>56</v>
      </c>
      <c r="H24" s="3">
        <v>1910</v>
      </c>
      <c r="I24" s="3">
        <v>11089.36</v>
      </c>
      <c r="J24" s="3">
        <v>1766671.3</v>
      </c>
      <c r="K24" s="3">
        <v>2051.7022000000006</v>
      </c>
      <c r="L24" s="20">
        <f t="shared" si="1"/>
        <v>1768723.0022</v>
      </c>
      <c r="M24" s="14" t="str">
        <f>VLOOKUP(G24,Sell!G:L,1,0)</f>
        <v>MINLIM</v>
      </c>
      <c r="N24" s="14">
        <f>IFERROR(VLOOKUP(G24,Sell!G:L,2,0),0)</f>
        <v>1920</v>
      </c>
      <c r="O24" s="13">
        <f>IFERROR(VLOOKUP(G24,Sell!G:L,6,0),0)</f>
        <v>1725729.4744999998</v>
      </c>
      <c r="P24" s="14">
        <v>0</v>
      </c>
      <c r="Q24" s="13">
        <f t="shared" si="2"/>
        <v>-42993.52770000021</v>
      </c>
      <c r="R24" s="13">
        <f t="shared" si="3"/>
        <v>-42993.52770000021</v>
      </c>
      <c r="S24" s="13">
        <f t="shared" si="4"/>
        <v>0</v>
      </c>
      <c r="T24" s="13">
        <f t="shared" si="5"/>
        <v>-42993.52770000021</v>
      </c>
      <c r="U24" s="15" t="str">
        <f t="shared" si="6"/>
        <v/>
      </c>
    </row>
    <row r="25" spans="1:21" x14ac:dyDescent="0.25">
      <c r="A25" s="2" t="s">
        <v>122</v>
      </c>
      <c r="B25" s="3">
        <v>700</v>
      </c>
      <c r="C25" s="3">
        <v>20</v>
      </c>
      <c r="D25" s="3">
        <v>14000</v>
      </c>
      <c r="E25" s="3">
        <v>102.42400000000001</v>
      </c>
      <c r="G25" s="2" t="s">
        <v>128</v>
      </c>
      <c r="H25" s="3">
        <v>4823</v>
      </c>
      <c r="I25" s="3">
        <v>4118.8</v>
      </c>
      <c r="J25" s="3">
        <v>1947209.45</v>
      </c>
      <c r="K25" s="3">
        <v>5034.4990999999991</v>
      </c>
      <c r="L25" s="20">
        <f t="shared" si="1"/>
        <v>1952243.9490999999</v>
      </c>
      <c r="M25" s="14" t="str">
        <f>VLOOKUP(G25,Sell!G:L,1,0)</f>
        <v>MUTFIN</v>
      </c>
      <c r="N25" s="14">
        <f>IFERROR(VLOOKUP(G25,Sell!G:L,2,0),0)</f>
        <v>4823</v>
      </c>
      <c r="O25" s="13">
        <f>IFERROR(VLOOKUP(G25,Sell!G:L,6,0),0)</f>
        <v>1923326.3576999998</v>
      </c>
      <c r="P25" s="14">
        <f t="shared" si="0"/>
        <v>0</v>
      </c>
      <c r="Q25" s="13">
        <f t="shared" si="2"/>
        <v>-28917.591400000034</v>
      </c>
      <c r="R25" s="13">
        <f t="shared" si="3"/>
        <v>-28917.591400000034</v>
      </c>
      <c r="S25" s="13">
        <f t="shared" si="4"/>
        <v>0</v>
      </c>
      <c r="T25" s="13">
        <f t="shared" si="5"/>
        <v>-28917.591400000034</v>
      </c>
      <c r="U25" s="15" t="str">
        <f t="shared" si="6"/>
        <v/>
      </c>
    </row>
    <row r="26" spans="1:21" x14ac:dyDescent="0.25">
      <c r="A26" s="2" t="s">
        <v>65</v>
      </c>
      <c r="B26" s="3">
        <v>5500</v>
      </c>
      <c r="C26" s="3">
        <v>635.75</v>
      </c>
      <c r="D26" s="3">
        <v>482800</v>
      </c>
      <c r="E26" s="3">
        <v>781.79970000000003</v>
      </c>
      <c r="G26" s="2" t="s">
        <v>122</v>
      </c>
      <c r="H26" s="3">
        <v>700</v>
      </c>
      <c r="I26" s="3">
        <v>20</v>
      </c>
      <c r="J26" s="3">
        <v>14000</v>
      </c>
      <c r="K26" s="3">
        <v>102.42400000000001</v>
      </c>
      <c r="L26" s="20">
        <f t="shared" si="1"/>
        <v>14102.424000000001</v>
      </c>
      <c r="M26" s="14" t="str">
        <f>VLOOKUP(G26,Sell!G:L,1,0)</f>
        <v>NHPC</v>
      </c>
      <c r="N26" s="14">
        <f>IFERROR(VLOOKUP(G26,Sell!G:L,2,0),0)</f>
        <v>700</v>
      </c>
      <c r="O26" s="13">
        <f>IFERROR(VLOOKUP(G26,Sell!G:L,6,0),0)</f>
        <v>14176.955900000001</v>
      </c>
      <c r="P26" s="14">
        <f t="shared" si="0"/>
        <v>0</v>
      </c>
      <c r="Q26" s="13">
        <f t="shared" si="2"/>
        <v>74.531899999999951</v>
      </c>
      <c r="R26" s="13">
        <f t="shared" si="3"/>
        <v>74.531899999999951</v>
      </c>
      <c r="S26" s="13">
        <f t="shared" si="4"/>
        <v>74.531899999999951</v>
      </c>
      <c r="T26" s="13">
        <f t="shared" si="5"/>
        <v>0</v>
      </c>
      <c r="U26" s="15" t="str">
        <f t="shared" si="6"/>
        <v/>
      </c>
    </row>
    <row r="27" spans="1:21" x14ac:dyDescent="0.25">
      <c r="A27" s="2" t="s">
        <v>35</v>
      </c>
      <c r="B27" s="3">
        <v>11500</v>
      </c>
      <c r="C27" s="3">
        <v>658.35</v>
      </c>
      <c r="D27" s="3">
        <v>674385.3</v>
      </c>
      <c r="E27" s="3">
        <v>4912.8277000000007</v>
      </c>
      <c r="G27" s="2" t="s">
        <v>65</v>
      </c>
      <c r="H27" s="3">
        <v>5500</v>
      </c>
      <c r="I27" s="3">
        <v>635.75</v>
      </c>
      <c r="J27" s="3">
        <v>482800</v>
      </c>
      <c r="K27" s="3">
        <v>781.79970000000003</v>
      </c>
      <c r="L27" s="20">
        <f t="shared" si="1"/>
        <v>483581.79969999997</v>
      </c>
      <c r="M27" s="14" t="str">
        <f>VLOOKUP(G27,Sell!G:L,1,0)</f>
        <v>PUNBAN</v>
      </c>
      <c r="N27" s="14">
        <f>IFERROR(VLOOKUP(G27,Sell!G:L,2,0),0)</f>
        <v>5500</v>
      </c>
      <c r="O27" s="13">
        <f>IFERROR(VLOOKUP(G27,Sell!G:L,6,0),0)</f>
        <v>474990.86149999994</v>
      </c>
      <c r="P27" s="14">
        <f t="shared" si="0"/>
        <v>0</v>
      </c>
      <c r="Q27" s="13">
        <f t="shared" si="2"/>
        <v>-8590.9382000000332</v>
      </c>
      <c r="R27" s="13">
        <f t="shared" si="3"/>
        <v>-8590.9382000000332</v>
      </c>
      <c r="S27" s="13">
        <f t="shared" si="4"/>
        <v>0</v>
      </c>
      <c r="T27" s="13">
        <f t="shared" si="5"/>
        <v>-8590.9382000000332</v>
      </c>
      <c r="U27" s="15" t="str">
        <f t="shared" si="6"/>
        <v/>
      </c>
    </row>
    <row r="28" spans="1:21" x14ac:dyDescent="0.25">
      <c r="A28" s="2" t="s">
        <v>105</v>
      </c>
      <c r="B28" s="3">
        <v>575</v>
      </c>
      <c r="C28" s="3">
        <v>212</v>
      </c>
      <c r="D28" s="3">
        <v>60500</v>
      </c>
      <c r="E28" s="3">
        <v>441.17849999999999</v>
      </c>
      <c r="G28" s="2" t="s">
        <v>35</v>
      </c>
      <c r="H28" s="3">
        <v>11500</v>
      </c>
      <c r="I28" s="3">
        <v>658.35</v>
      </c>
      <c r="J28" s="3">
        <v>674385.3</v>
      </c>
      <c r="K28" s="3">
        <v>4912.8277000000007</v>
      </c>
      <c r="L28" s="20">
        <f t="shared" si="1"/>
        <v>679298.12770000007</v>
      </c>
      <c r="M28" s="14" t="str">
        <f>VLOOKUP(G28,Sell!G:L,1,0)</f>
        <v>RELDEF</v>
      </c>
      <c r="N28" s="14">
        <f>IFERROR(VLOOKUP(G28,Sell!G:L,2,0),0)</f>
        <v>11500</v>
      </c>
      <c r="O28" s="13">
        <f>IFERROR(VLOOKUP(G28,Sell!G:L,6,0),0)</f>
        <v>725840.37139999995</v>
      </c>
      <c r="P28" s="14">
        <f t="shared" si="0"/>
        <v>0</v>
      </c>
      <c r="Q28" s="13">
        <f t="shared" si="2"/>
        <v>46542.243699999875</v>
      </c>
      <c r="R28" s="13">
        <f t="shared" si="3"/>
        <v>46542.243699999875</v>
      </c>
      <c r="S28" s="13">
        <f t="shared" si="4"/>
        <v>46542.243699999875</v>
      </c>
      <c r="T28" s="13">
        <f t="shared" si="5"/>
        <v>0</v>
      </c>
      <c r="U28" s="15" t="str">
        <f t="shared" si="6"/>
        <v/>
      </c>
    </row>
    <row r="29" spans="1:21" x14ac:dyDescent="0.25">
      <c r="A29" s="2" t="s">
        <v>80</v>
      </c>
      <c r="B29" s="3">
        <v>410</v>
      </c>
      <c r="C29" s="3">
        <v>1081</v>
      </c>
      <c r="D29" s="3">
        <v>131300</v>
      </c>
      <c r="E29" s="3">
        <v>729.66429999999991</v>
      </c>
      <c r="G29" s="2" t="s">
        <v>105</v>
      </c>
      <c r="H29" s="3">
        <v>575</v>
      </c>
      <c r="I29" s="3">
        <v>212</v>
      </c>
      <c r="J29" s="3">
        <v>60500</v>
      </c>
      <c r="K29" s="3">
        <v>441.17849999999999</v>
      </c>
      <c r="L29" s="20">
        <f t="shared" si="1"/>
        <v>60941.178500000002</v>
      </c>
      <c r="M29" s="14" t="str">
        <f>VLOOKUP(G29,Sell!G:L,1,0)</f>
        <v>RELPOW</v>
      </c>
      <c r="N29" s="14">
        <f>IFERROR(VLOOKUP(G29,Sell!G:L,2,0),0)</f>
        <v>575</v>
      </c>
      <c r="O29" s="13">
        <f>IFERROR(VLOOKUP(G29,Sell!G:L,6,0),0)</f>
        <v>37733.203699999998</v>
      </c>
      <c r="P29" s="14">
        <f t="shared" si="0"/>
        <v>0</v>
      </c>
      <c r="Q29" s="13">
        <f t="shared" si="2"/>
        <v>-23207.974800000004</v>
      </c>
      <c r="R29" s="13">
        <f t="shared" si="3"/>
        <v>-23207.974800000004</v>
      </c>
      <c r="S29" s="13">
        <f t="shared" si="4"/>
        <v>0</v>
      </c>
      <c r="T29" s="13">
        <f t="shared" si="5"/>
        <v>-23207.974800000004</v>
      </c>
      <c r="U29" s="15" t="str">
        <f t="shared" si="6"/>
        <v/>
      </c>
    </row>
    <row r="30" spans="1:21" x14ac:dyDescent="0.25">
      <c r="A30" s="2" t="s">
        <v>111</v>
      </c>
      <c r="B30" s="3">
        <v>2990</v>
      </c>
      <c r="C30" s="3">
        <v>5885.19</v>
      </c>
      <c r="D30" s="3">
        <v>1305993.3</v>
      </c>
      <c r="E30" s="3">
        <v>1010.5932</v>
      </c>
      <c r="G30" s="2" t="s">
        <v>80</v>
      </c>
      <c r="H30" s="3">
        <v>410</v>
      </c>
      <c r="I30" s="3">
        <v>1081</v>
      </c>
      <c r="J30" s="3">
        <v>131300</v>
      </c>
      <c r="K30" s="3">
        <v>729.66429999999991</v>
      </c>
      <c r="L30" s="20">
        <f t="shared" si="1"/>
        <v>132029.6643</v>
      </c>
      <c r="M30" s="14" t="str">
        <f>VLOOKUP(G30,Sell!G:L,1,0)</f>
        <v>SUNADV</v>
      </c>
      <c r="N30" s="14">
        <f>IFERROR(VLOOKUP(G30,Sell!G:L,2,0),0)</f>
        <v>410</v>
      </c>
      <c r="O30" s="13">
        <f>IFERROR(VLOOKUP(G30,Sell!G:L,6,0),0)</f>
        <v>123341.6666</v>
      </c>
      <c r="P30" s="14">
        <f t="shared" si="0"/>
        <v>0</v>
      </c>
      <c r="Q30" s="13">
        <f t="shared" si="2"/>
        <v>-8687.9977000000072</v>
      </c>
      <c r="R30" s="13">
        <f t="shared" si="3"/>
        <v>-8687.9977000000072</v>
      </c>
      <c r="S30" s="13">
        <f t="shared" si="4"/>
        <v>0</v>
      </c>
      <c r="T30" s="13">
        <f t="shared" si="5"/>
        <v>-8687.9977000000072</v>
      </c>
      <c r="U30" s="15" t="str">
        <f t="shared" si="6"/>
        <v/>
      </c>
    </row>
    <row r="31" spans="1:21" x14ac:dyDescent="0.25">
      <c r="A31" s="2" t="s">
        <v>68</v>
      </c>
      <c r="B31" s="3">
        <v>1000</v>
      </c>
      <c r="C31" s="3">
        <v>69</v>
      </c>
      <c r="D31" s="3">
        <v>69000</v>
      </c>
      <c r="E31" s="3">
        <v>512.80709999999999</v>
      </c>
      <c r="G31" s="2" t="s">
        <v>111</v>
      </c>
      <c r="H31" s="3">
        <v>2990</v>
      </c>
      <c r="I31" s="3">
        <v>5885.19</v>
      </c>
      <c r="J31" s="3">
        <v>1305993.3</v>
      </c>
      <c r="K31" s="3">
        <v>1010.5932</v>
      </c>
      <c r="L31" s="20">
        <f t="shared" si="1"/>
        <v>1307003.8932</v>
      </c>
      <c r="M31" s="14" t="str">
        <f>VLOOKUP(G31,Sell!G:L,1,0)</f>
        <v>SUNPHA</v>
      </c>
      <c r="N31" s="14">
        <f>IFERROR(VLOOKUP(G31,Sell!G:L,2,0),0)</f>
        <v>2990</v>
      </c>
      <c r="O31" s="13">
        <f>IFERROR(VLOOKUP(G31,Sell!G:L,6,0),0)</f>
        <v>1306411.1106999998</v>
      </c>
      <c r="P31" s="14">
        <f t="shared" si="0"/>
        <v>0</v>
      </c>
      <c r="Q31" s="13">
        <f t="shared" si="2"/>
        <v>-592.78250000020489</v>
      </c>
      <c r="R31" s="13">
        <f t="shared" si="3"/>
        <v>-592.78250000020489</v>
      </c>
      <c r="S31" s="13">
        <f t="shared" si="4"/>
        <v>0</v>
      </c>
      <c r="T31" s="13">
        <f t="shared" si="5"/>
        <v>-592.78250000020489</v>
      </c>
      <c r="U31" s="15" t="str">
        <f t="shared" si="6"/>
        <v/>
      </c>
    </row>
    <row r="32" spans="1:21" x14ac:dyDescent="0.25">
      <c r="A32" s="2" t="s">
        <v>49</v>
      </c>
      <c r="B32" s="3">
        <v>200</v>
      </c>
      <c r="C32" s="3">
        <v>767.93000000000006</v>
      </c>
      <c r="D32" s="3">
        <v>76793.350000000006</v>
      </c>
      <c r="E32" s="3">
        <v>578.46399999999994</v>
      </c>
      <c r="G32" s="2" t="s">
        <v>68</v>
      </c>
      <c r="H32" s="3">
        <v>1000</v>
      </c>
      <c r="I32" s="3">
        <v>69</v>
      </c>
      <c r="J32" s="3">
        <v>69000</v>
      </c>
      <c r="K32" s="3">
        <v>512.80709999999999</v>
      </c>
      <c r="L32" s="20">
        <f t="shared" si="1"/>
        <v>69512.807100000005</v>
      </c>
      <c r="M32" s="14" t="str">
        <f>VLOOKUP(G32,Sell!G:L,1,0)</f>
        <v>TATPOW</v>
      </c>
      <c r="N32" s="14">
        <f>IFERROR(VLOOKUP(G32,Sell!G:L,2,0),0)</f>
        <v>1000</v>
      </c>
      <c r="O32" s="13">
        <f>IFERROR(VLOOKUP(G32,Sell!G:L,6,0),0)</f>
        <v>69663.033500000005</v>
      </c>
      <c r="P32" s="14">
        <f t="shared" si="0"/>
        <v>0</v>
      </c>
      <c r="Q32" s="13">
        <f t="shared" si="2"/>
        <v>150.22639999999956</v>
      </c>
      <c r="R32" s="13">
        <f t="shared" si="3"/>
        <v>150.22639999999956</v>
      </c>
      <c r="S32" s="13">
        <f t="shared" si="4"/>
        <v>150.22639999999956</v>
      </c>
      <c r="T32" s="13">
        <f t="shared" si="5"/>
        <v>0</v>
      </c>
      <c r="U32" s="15" t="str">
        <f t="shared" si="6"/>
        <v/>
      </c>
    </row>
    <row r="33" spans="1:21" x14ac:dyDescent="0.25">
      <c r="A33" s="2" t="s">
        <v>138</v>
      </c>
      <c r="B33" s="3">
        <v>475</v>
      </c>
      <c r="C33" s="3">
        <v>11.15</v>
      </c>
      <c r="D33" s="3">
        <v>5296.25</v>
      </c>
      <c r="E33" s="3">
        <v>45.019100000000002</v>
      </c>
      <c r="G33" s="2" t="s">
        <v>49</v>
      </c>
      <c r="H33" s="3">
        <v>200</v>
      </c>
      <c r="I33" s="3">
        <v>767.93000000000006</v>
      </c>
      <c r="J33" s="3">
        <v>76793.350000000006</v>
      </c>
      <c r="K33" s="3">
        <v>578.46399999999994</v>
      </c>
      <c r="L33" s="20">
        <f t="shared" si="1"/>
        <v>77371.814000000013</v>
      </c>
      <c r="M33" s="14" t="str">
        <f>VLOOKUP(G33,Sell!G:L,1,0)</f>
        <v>TVSMOT</v>
      </c>
      <c r="N33" s="14">
        <f>IFERROR(VLOOKUP(G33,Sell!G:L,2,0),0)</f>
        <v>200</v>
      </c>
      <c r="O33" s="13">
        <f>IFERROR(VLOOKUP(G33,Sell!G:L,6,0),0)</f>
        <v>79332.532600000006</v>
      </c>
      <c r="P33" s="14">
        <f t="shared" si="0"/>
        <v>0</v>
      </c>
      <c r="Q33" s="13">
        <f t="shared" si="2"/>
        <v>1960.7185999999929</v>
      </c>
      <c r="R33" s="13">
        <f t="shared" si="3"/>
        <v>1960.7185999999929</v>
      </c>
      <c r="S33" s="13">
        <f t="shared" si="4"/>
        <v>1960.7185999999929</v>
      </c>
      <c r="T33" s="13">
        <f t="shared" si="5"/>
        <v>0</v>
      </c>
      <c r="U33" s="15" t="str">
        <f t="shared" si="6"/>
        <v/>
      </c>
    </row>
    <row r="34" spans="1:21" x14ac:dyDescent="0.25">
      <c r="A34" s="2" t="s">
        <v>177</v>
      </c>
      <c r="B34" s="3">
        <v>27500</v>
      </c>
      <c r="C34" s="3">
        <v>95.15</v>
      </c>
      <c r="D34" s="3">
        <v>439375</v>
      </c>
      <c r="E34" s="3">
        <v>2194.7199000000001</v>
      </c>
      <c r="G34" s="2" t="s">
        <v>138</v>
      </c>
      <c r="H34" s="3">
        <v>475</v>
      </c>
      <c r="I34" s="3">
        <v>11.15</v>
      </c>
      <c r="J34" s="3">
        <v>5296.25</v>
      </c>
      <c r="K34" s="3">
        <v>45.019100000000002</v>
      </c>
      <c r="L34" s="20">
        <f t="shared" si="1"/>
        <v>5341.2691000000004</v>
      </c>
      <c r="M34" s="17" t="e">
        <f>VLOOKUP(G34,Sell!G:L,1,0)</f>
        <v>#N/A</v>
      </c>
      <c r="N34" s="17">
        <f>IFERROR(VLOOKUP(G34,Sell!G:L,2,0),0)</f>
        <v>0</v>
      </c>
      <c r="O34" s="18">
        <f>IFERROR(VLOOKUP(G34,Sell!G:L,6,0),0)</f>
        <v>0</v>
      </c>
      <c r="P34" s="17">
        <f t="shared" si="0"/>
        <v>475</v>
      </c>
      <c r="Q34" s="18">
        <f t="shared" si="2"/>
        <v>-5341.2691000000004</v>
      </c>
      <c r="R34" s="18">
        <f t="shared" si="3"/>
        <v>0</v>
      </c>
      <c r="S34" s="18">
        <f t="shared" si="4"/>
        <v>0</v>
      </c>
      <c r="T34" s="18">
        <f t="shared" si="5"/>
        <v>0</v>
      </c>
      <c r="U34" s="28" t="str">
        <f t="shared" si="6"/>
        <v>Open</v>
      </c>
    </row>
    <row r="35" spans="1:21" x14ac:dyDescent="0.25">
      <c r="A35" s="2" t="s">
        <v>179</v>
      </c>
      <c r="B35" s="3">
        <v>10250</v>
      </c>
      <c r="C35" s="3">
        <v>908.37000000000012</v>
      </c>
      <c r="D35" s="3">
        <v>709439.05</v>
      </c>
      <c r="E35" s="3">
        <v>3494.3405000000002</v>
      </c>
      <c r="G35" s="2" t="s">
        <v>177</v>
      </c>
      <c r="H35" s="3">
        <v>27500</v>
      </c>
      <c r="I35" s="3">
        <v>95.15</v>
      </c>
      <c r="J35" s="3">
        <v>439375</v>
      </c>
      <c r="K35" s="3">
        <v>2194.7199000000001</v>
      </c>
      <c r="L35" s="20">
        <f t="shared" si="1"/>
        <v>441569.71990000003</v>
      </c>
      <c r="M35" s="14" t="str">
        <f>VLOOKUP(G35,Sell!G:L,1,0)</f>
        <v>SUZENE</v>
      </c>
      <c r="N35" s="14">
        <f>IFERROR(VLOOKUP(G35,Sell!G:L,2,0),0)</f>
        <v>27500</v>
      </c>
      <c r="O35" s="13">
        <f>IFERROR(VLOOKUP(G35,Sell!G:L,6,0),0)</f>
        <v>436255.18859999999</v>
      </c>
      <c r="P35" s="14">
        <f t="shared" si="0"/>
        <v>0</v>
      </c>
      <c r="Q35" s="13">
        <f t="shared" si="2"/>
        <v>-5314.5313000000315</v>
      </c>
      <c r="R35" s="13">
        <f t="shared" si="3"/>
        <v>-5314.5313000000315</v>
      </c>
      <c r="S35" s="13">
        <f t="shared" si="4"/>
        <v>0</v>
      </c>
      <c r="T35" s="13">
        <f t="shared" si="5"/>
        <v>-5314.5313000000315</v>
      </c>
      <c r="U35" s="15" t="str">
        <f t="shared" si="6"/>
        <v/>
      </c>
    </row>
    <row r="36" spans="1:21" x14ac:dyDescent="0.25">
      <c r="A36" s="2" t="s">
        <v>187</v>
      </c>
      <c r="B36" s="3">
        <v>5000</v>
      </c>
      <c r="C36" s="3">
        <v>24</v>
      </c>
      <c r="D36" s="3">
        <v>120000</v>
      </c>
      <c r="E36" s="3">
        <v>82.6</v>
      </c>
      <c r="G36" s="2" t="s">
        <v>179</v>
      </c>
      <c r="H36" s="3">
        <v>10250</v>
      </c>
      <c r="I36" s="3">
        <v>908.37000000000012</v>
      </c>
      <c r="J36" s="3">
        <v>709439.05</v>
      </c>
      <c r="K36" s="3">
        <v>3494.3405000000002</v>
      </c>
      <c r="L36" s="20">
        <f t="shared" si="1"/>
        <v>712933.3905000001</v>
      </c>
      <c r="M36" s="14" t="str">
        <f>VLOOKUP(G36,Sell!G:L,1,0)</f>
        <v>FINCHE</v>
      </c>
      <c r="N36" s="14">
        <f>IFERROR(VLOOKUP(G36,Sell!G:L,2,0),0)</f>
        <v>9850</v>
      </c>
      <c r="O36" s="13">
        <f>IFERROR(VLOOKUP(G36,Sell!G:L,6,0),0)</f>
        <v>689043.3345</v>
      </c>
      <c r="P36" s="14">
        <f t="shared" si="0"/>
        <v>400</v>
      </c>
      <c r="Q36" s="13">
        <f t="shared" si="2"/>
        <v>-23890.056000000099</v>
      </c>
      <c r="R36" s="13">
        <f t="shared" si="3"/>
        <v>0</v>
      </c>
      <c r="S36" s="13">
        <f t="shared" si="4"/>
        <v>0</v>
      </c>
      <c r="T36" s="13">
        <f t="shared" si="5"/>
        <v>0</v>
      </c>
      <c r="U36" s="15" t="str">
        <f t="shared" si="6"/>
        <v>Open</v>
      </c>
    </row>
    <row r="37" spans="1:21" x14ac:dyDescent="0.25">
      <c r="A37" s="2" t="s">
        <v>190</v>
      </c>
      <c r="B37" s="3">
        <v>10000</v>
      </c>
      <c r="C37" s="3">
        <v>50.95</v>
      </c>
      <c r="D37" s="3">
        <v>114750</v>
      </c>
      <c r="E37" s="3">
        <v>935.3519</v>
      </c>
      <c r="G37" s="2" t="s">
        <v>187</v>
      </c>
      <c r="H37" s="3">
        <v>5000</v>
      </c>
      <c r="I37" s="3">
        <v>24</v>
      </c>
      <c r="J37" s="3">
        <v>120000</v>
      </c>
      <c r="K37" s="3">
        <v>82.6</v>
      </c>
      <c r="L37" s="20">
        <f t="shared" si="1"/>
        <v>120082.6</v>
      </c>
      <c r="M37" s="14" t="str">
        <f>VLOOKUP(G37,Sell!G:L,1,0)</f>
        <v>BANMAH</v>
      </c>
      <c r="N37" s="14">
        <f>IFERROR(VLOOKUP(G37,Sell!G:L,2,0),0)</f>
        <v>5000</v>
      </c>
      <c r="O37" s="13">
        <f>IFERROR(VLOOKUP(G37,Sell!G:L,6,0),0)</f>
        <v>118145.69680000001</v>
      </c>
      <c r="P37" s="14">
        <f t="shared" si="0"/>
        <v>0</v>
      </c>
      <c r="Q37" s="13">
        <f t="shared" si="2"/>
        <v>-1936.9032000000007</v>
      </c>
      <c r="R37" s="13">
        <f t="shared" si="3"/>
        <v>-1936.9032000000007</v>
      </c>
      <c r="S37" s="13">
        <f t="shared" si="4"/>
        <v>0</v>
      </c>
      <c r="T37" s="13">
        <f t="shared" si="5"/>
        <v>-1936.9032000000007</v>
      </c>
      <c r="U37" s="15" t="str">
        <f t="shared" si="6"/>
        <v/>
      </c>
    </row>
    <row r="38" spans="1:21" x14ac:dyDescent="0.25">
      <c r="A38" s="2" t="s">
        <v>192</v>
      </c>
      <c r="B38" s="3">
        <v>100</v>
      </c>
      <c r="C38" s="3">
        <v>38.700000000000003</v>
      </c>
      <c r="D38" s="3">
        <v>3870</v>
      </c>
      <c r="E38" s="3">
        <v>29.945799999999998</v>
      </c>
      <c r="G38" s="2" t="s">
        <v>190</v>
      </c>
      <c r="H38" s="3">
        <v>10000</v>
      </c>
      <c r="I38" s="3">
        <v>50.95</v>
      </c>
      <c r="J38" s="3">
        <v>114750</v>
      </c>
      <c r="K38" s="3">
        <v>935.3519</v>
      </c>
      <c r="L38" s="20">
        <f t="shared" si="1"/>
        <v>115685.35189999999</v>
      </c>
      <c r="M38" s="14" t="str">
        <f>VLOOKUP(G38,Sell!G:L,1,0)</f>
        <v>BURCEM</v>
      </c>
      <c r="N38" s="14">
        <f>IFERROR(VLOOKUP(G38,Sell!G:L,2,0),0)</f>
        <v>10000</v>
      </c>
      <c r="O38" s="13">
        <f>IFERROR(VLOOKUP(G38,Sell!G:L,6,0),0)</f>
        <v>87076.7255</v>
      </c>
      <c r="P38" s="14">
        <f t="shared" si="0"/>
        <v>0</v>
      </c>
      <c r="Q38" s="13">
        <f t="shared" si="2"/>
        <v>-28608.626399999994</v>
      </c>
      <c r="R38" s="13">
        <f t="shared" si="3"/>
        <v>-28608.626399999994</v>
      </c>
      <c r="S38" s="13">
        <f t="shared" si="4"/>
        <v>0</v>
      </c>
      <c r="T38" s="13">
        <f t="shared" si="5"/>
        <v>-28608.626399999994</v>
      </c>
      <c r="U38" s="15" t="str">
        <f t="shared" si="6"/>
        <v/>
      </c>
    </row>
    <row r="39" spans="1:21" x14ac:dyDescent="0.25">
      <c r="A39" s="2" t="s">
        <v>195</v>
      </c>
      <c r="B39" s="3">
        <v>1000</v>
      </c>
      <c r="C39" s="3">
        <v>98.65</v>
      </c>
      <c r="D39" s="3">
        <v>98650</v>
      </c>
      <c r="E39" s="3">
        <v>746.02620000000002</v>
      </c>
      <c r="G39" s="2" t="s">
        <v>192</v>
      </c>
      <c r="H39" s="3">
        <v>100</v>
      </c>
      <c r="I39" s="3">
        <v>38.700000000000003</v>
      </c>
      <c r="J39" s="3">
        <v>3870</v>
      </c>
      <c r="K39" s="3">
        <v>29.945799999999998</v>
      </c>
      <c r="L39" s="20">
        <f t="shared" si="1"/>
        <v>3899.9458</v>
      </c>
      <c r="M39" s="14" t="str">
        <f>VLOOKUP(G39,Sell!G:L,1,0)</f>
        <v>SJVLIM</v>
      </c>
      <c r="N39" s="14">
        <f>IFERROR(VLOOKUP(G39,Sell!G:L,2,0),0)</f>
        <v>100</v>
      </c>
      <c r="O39" s="13">
        <f>IFERROR(VLOOKUP(G39,Sell!G:L,6,0),0)</f>
        <v>3729.3578000000002</v>
      </c>
      <c r="P39" s="14">
        <f t="shared" si="0"/>
        <v>0</v>
      </c>
      <c r="Q39" s="13">
        <f t="shared" si="2"/>
        <v>-170.58799999999974</v>
      </c>
      <c r="R39" s="13">
        <f t="shared" si="3"/>
        <v>-170.58799999999974</v>
      </c>
      <c r="S39" s="13">
        <f t="shared" si="4"/>
        <v>0</v>
      </c>
      <c r="T39" s="13">
        <f t="shared" si="5"/>
        <v>-170.58799999999974</v>
      </c>
      <c r="U39" s="15" t="str">
        <f t="shared" si="6"/>
        <v/>
      </c>
    </row>
    <row r="40" spans="1:21" x14ac:dyDescent="0.25">
      <c r="A40" s="2" t="s">
        <v>205</v>
      </c>
      <c r="B40" s="3">
        <v>13780</v>
      </c>
      <c r="C40" s="3">
        <v>818.63000000000011</v>
      </c>
      <c r="D40" s="3">
        <v>870955.7</v>
      </c>
      <c r="E40" s="3">
        <v>3043.3241999999996</v>
      </c>
      <c r="G40" s="2" t="s">
        <v>195</v>
      </c>
      <c r="H40" s="3">
        <v>1000</v>
      </c>
      <c r="I40" s="3">
        <v>98.65</v>
      </c>
      <c r="J40" s="3">
        <v>98650</v>
      </c>
      <c r="K40" s="3">
        <v>746.02620000000002</v>
      </c>
      <c r="L40" s="20">
        <f t="shared" si="1"/>
        <v>99396.026199999993</v>
      </c>
      <c r="M40" s="14" t="str">
        <f>VLOOKUP(G40,Sell!G:L,1,0)</f>
        <v>BHEL</v>
      </c>
      <c r="N40" s="14">
        <f>IFERROR(VLOOKUP(G40,Sell!G:L,2,0),0)</f>
        <v>1000</v>
      </c>
      <c r="O40" s="13">
        <f>IFERROR(VLOOKUP(G40,Sell!G:L,6,0),0)</f>
        <v>103217.05</v>
      </c>
      <c r="P40" s="14">
        <f t="shared" si="0"/>
        <v>0</v>
      </c>
      <c r="Q40" s="13">
        <f t="shared" si="2"/>
        <v>3821.0238000000099</v>
      </c>
      <c r="R40" s="13">
        <f t="shared" si="3"/>
        <v>3821.0238000000099</v>
      </c>
      <c r="S40" s="13">
        <f t="shared" si="4"/>
        <v>3821.0238000000099</v>
      </c>
      <c r="T40" s="13">
        <f t="shared" si="5"/>
        <v>0</v>
      </c>
      <c r="U40" s="15" t="str">
        <f t="shared" si="6"/>
        <v/>
      </c>
    </row>
    <row r="41" spans="1:21" x14ac:dyDescent="0.25">
      <c r="A41" s="2" t="s">
        <v>207</v>
      </c>
      <c r="B41" s="3">
        <v>1000</v>
      </c>
      <c r="C41" s="3">
        <v>77.5</v>
      </c>
      <c r="D41" s="3">
        <v>77500</v>
      </c>
      <c r="E41" s="3">
        <v>48.698700000000002</v>
      </c>
      <c r="G41" s="2" t="s">
        <v>205</v>
      </c>
      <c r="H41" s="3">
        <v>13780</v>
      </c>
      <c r="I41" s="3">
        <v>818.63000000000011</v>
      </c>
      <c r="J41" s="3">
        <v>870955.7</v>
      </c>
      <c r="K41" s="3">
        <v>3043.3241999999996</v>
      </c>
      <c r="L41" s="20">
        <f t="shared" si="1"/>
        <v>873999.02419999999</v>
      </c>
      <c r="M41" s="14" t="str">
        <f>VLOOKUP(G41,Sell!G:L,1,0)</f>
        <v>SINPLA</v>
      </c>
      <c r="N41" s="14">
        <f>IFERROR(VLOOKUP(G41,Sell!G:L,2,0),0)</f>
        <v>13780</v>
      </c>
      <c r="O41" s="13">
        <f>IFERROR(VLOOKUP(G41,Sell!G:L,6,0),0)</f>
        <v>796225.47560000012</v>
      </c>
      <c r="P41" s="14">
        <f t="shared" si="0"/>
        <v>0</v>
      </c>
      <c r="Q41" s="13">
        <f t="shared" si="2"/>
        <v>-77773.548599999864</v>
      </c>
      <c r="R41" s="13">
        <f t="shared" si="3"/>
        <v>-77773.548599999864</v>
      </c>
      <c r="S41" s="13">
        <f t="shared" si="4"/>
        <v>0</v>
      </c>
      <c r="T41" s="13">
        <f t="shared" si="5"/>
        <v>-77773.548599999864</v>
      </c>
      <c r="U41" s="15" t="str">
        <f t="shared" si="6"/>
        <v/>
      </c>
    </row>
    <row r="42" spans="1:21" x14ac:dyDescent="0.25">
      <c r="A42" s="2" t="s">
        <v>214</v>
      </c>
      <c r="B42" s="3">
        <v>1000</v>
      </c>
      <c r="C42" s="3">
        <v>114.62</v>
      </c>
      <c r="D42" s="3">
        <v>114619.15</v>
      </c>
      <c r="E42" s="3">
        <v>108.3152</v>
      </c>
      <c r="G42" s="2" t="s">
        <v>207</v>
      </c>
      <c r="H42" s="3">
        <v>1000</v>
      </c>
      <c r="I42" s="3">
        <v>77.5</v>
      </c>
      <c r="J42" s="3">
        <v>77500</v>
      </c>
      <c r="K42" s="3">
        <v>48.698700000000002</v>
      </c>
      <c r="L42" s="20">
        <f t="shared" si="1"/>
        <v>77548.698699999994</v>
      </c>
      <c r="M42" s="14" t="str">
        <f>VLOOKUP(G42,Sell!G:L,1,0)</f>
        <v>DISHTV</v>
      </c>
      <c r="N42" s="14">
        <f>IFERROR(VLOOKUP(G42,Sell!G:L,2,0),0)</f>
        <v>1000</v>
      </c>
      <c r="O42" s="13">
        <f>IFERROR(VLOOKUP(G42,Sell!G:L,6,0),0)</f>
        <v>79180.604399999997</v>
      </c>
      <c r="P42" s="14">
        <f t="shared" si="0"/>
        <v>0</v>
      </c>
      <c r="Q42" s="13">
        <f t="shared" si="2"/>
        <v>1631.905700000003</v>
      </c>
      <c r="R42" s="13">
        <f t="shared" si="3"/>
        <v>1631.905700000003</v>
      </c>
      <c r="S42" s="13">
        <f t="shared" si="4"/>
        <v>1631.905700000003</v>
      </c>
      <c r="T42" s="13">
        <f t="shared" si="5"/>
        <v>0</v>
      </c>
      <c r="U42" s="15" t="str">
        <f t="shared" si="6"/>
        <v/>
      </c>
    </row>
    <row r="43" spans="1:21" x14ac:dyDescent="0.25">
      <c r="A43" s="2" t="s">
        <v>226</v>
      </c>
      <c r="B43" s="3">
        <v>6600</v>
      </c>
      <c r="C43" s="3">
        <v>2460.0699999999997</v>
      </c>
      <c r="D43" s="3">
        <v>2386584.85</v>
      </c>
      <c r="E43" s="3">
        <v>5368.0771000000004</v>
      </c>
      <c r="G43" s="2" t="s">
        <v>214</v>
      </c>
      <c r="H43" s="3">
        <v>1000</v>
      </c>
      <c r="I43" s="3">
        <v>114.62</v>
      </c>
      <c r="J43" s="3">
        <v>114619.15</v>
      </c>
      <c r="K43" s="3">
        <v>108.3152</v>
      </c>
      <c r="L43" s="20">
        <f t="shared" si="1"/>
        <v>114727.46519999999</v>
      </c>
      <c r="M43" s="14" t="str">
        <f>VLOOKUP(G43,Sell!G:L,1,0)</f>
        <v>HTMED</v>
      </c>
      <c r="N43" s="14">
        <f>IFERROR(VLOOKUP(G43,Sell!G:L,2,0),0)</f>
        <v>1000</v>
      </c>
      <c r="O43" s="13">
        <f>IFERROR(VLOOKUP(G43,Sell!G:L,6,0),0)</f>
        <v>115478.60370000001</v>
      </c>
      <c r="P43" s="14">
        <f t="shared" si="0"/>
        <v>0</v>
      </c>
      <c r="Q43" s="13">
        <f t="shared" si="2"/>
        <v>751.13850000001548</v>
      </c>
      <c r="R43" s="13">
        <f t="shared" si="3"/>
        <v>751.13850000001548</v>
      </c>
      <c r="S43" s="13">
        <f t="shared" si="4"/>
        <v>751.13850000001548</v>
      </c>
      <c r="T43" s="13">
        <f t="shared" si="5"/>
        <v>0</v>
      </c>
      <c r="U43" s="15" t="str">
        <f t="shared" si="6"/>
        <v/>
      </c>
    </row>
    <row r="44" spans="1:21" x14ac:dyDescent="0.25">
      <c r="A44" s="2" t="s">
        <v>230</v>
      </c>
      <c r="B44" s="3">
        <v>1000</v>
      </c>
      <c r="C44" s="3">
        <v>63.95</v>
      </c>
      <c r="D44" s="3">
        <v>63950</v>
      </c>
      <c r="E44" s="3">
        <v>40.178400000000003</v>
      </c>
      <c r="G44" s="2" t="s">
        <v>226</v>
      </c>
      <c r="H44" s="3">
        <v>6600</v>
      </c>
      <c r="I44" s="3">
        <v>2460.0699999999997</v>
      </c>
      <c r="J44" s="3">
        <v>2386584.85</v>
      </c>
      <c r="K44" s="3">
        <v>5368.0771000000004</v>
      </c>
      <c r="L44" s="20">
        <f t="shared" si="1"/>
        <v>2391952.9271</v>
      </c>
      <c r="M44" s="14" t="str">
        <f>VLOOKUP(G44,Sell!G:L,1,0)</f>
        <v>ZEEENT</v>
      </c>
      <c r="N44" s="14">
        <f>IFERROR(VLOOKUP(G44,Sell!G:L,2,0),0)</f>
        <v>6600</v>
      </c>
      <c r="O44" s="13">
        <f>IFERROR(VLOOKUP(G44,Sell!G:L,6,0),0)</f>
        <v>2389729.6332</v>
      </c>
      <c r="P44" s="14">
        <f t="shared" si="0"/>
        <v>0</v>
      </c>
      <c r="Q44" s="13">
        <f t="shared" si="2"/>
        <v>-2223.2938999999315</v>
      </c>
      <c r="R44" s="13">
        <f t="shared" si="3"/>
        <v>-2223.2938999999315</v>
      </c>
      <c r="S44" s="13">
        <f t="shared" si="4"/>
        <v>0</v>
      </c>
      <c r="T44" s="13">
        <f t="shared" si="5"/>
        <v>-2223.2938999999315</v>
      </c>
      <c r="U44" s="15" t="str">
        <f t="shared" si="6"/>
        <v/>
      </c>
    </row>
    <row r="45" spans="1:21" x14ac:dyDescent="0.25">
      <c r="A45" s="2" t="s">
        <v>233</v>
      </c>
      <c r="B45" s="3">
        <v>110</v>
      </c>
      <c r="C45" s="3">
        <v>2273.3000000000002</v>
      </c>
      <c r="D45" s="3">
        <v>108800</v>
      </c>
      <c r="E45" s="3">
        <v>90.15209999999999</v>
      </c>
      <c r="G45" s="2" t="s">
        <v>230</v>
      </c>
      <c r="H45" s="3">
        <v>1000</v>
      </c>
      <c r="I45" s="3">
        <v>63.95</v>
      </c>
      <c r="J45" s="3">
        <v>63950</v>
      </c>
      <c r="K45" s="3">
        <v>40.178400000000003</v>
      </c>
      <c r="L45" s="20">
        <f t="shared" si="1"/>
        <v>63990.178399999997</v>
      </c>
      <c r="M45" s="14" t="str">
        <f>VLOOKUP(G45,Sell!G:L,1,0)</f>
        <v>NETW18</v>
      </c>
      <c r="N45" s="14">
        <f>IFERROR(VLOOKUP(G45,Sell!G:L,2,0),0)</f>
        <v>1000</v>
      </c>
      <c r="O45" s="13">
        <f>IFERROR(VLOOKUP(G45,Sell!G:L,6,0),0)</f>
        <v>62819.636400000003</v>
      </c>
      <c r="P45" s="14">
        <f t="shared" si="0"/>
        <v>0</v>
      </c>
      <c r="Q45" s="13">
        <f t="shared" si="2"/>
        <v>-1170.541999999994</v>
      </c>
      <c r="R45" s="13">
        <f t="shared" si="3"/>
        <v>-1170.541999999994</v>
      </c>
      <c r="S45" s="13">
        <f t="shared" si="4"/>
        <v>0</v>
      </c>
      <c r="T45" s="13">
        <f t="shared" si="5"/>
        <v>-1170.541999999994</v>
      </c>
      <c r="U45" s="15" t="str">
        <f t="shared" si="6"/>
        <v/>
      </c>
    </row>
    <row r="46" spans="1:21" x14ac:dyDescent="0.25">
      <c r="A46" s="2" t="s">
        <v>237</v>
      </c>
      <c r="B46" s="3">
        <v>11500</v>
      </c>
      <c r="C46" s="3">
        <v>3276.98</v>
      </c>
      <c r="D46" s="3">
        <v>3098012.7</v>
      </c>
      <c r="E46" s="3">
        <v>2011.8396999999998</v>
      </c>
      <c r="G46" s="2" t="s">
        <v>233</v>
      </c>
      <c r="H46" s="3">
        <v>110</v>
      </c>
      <c r="I46" s="3">
        <v>2273.3000000000002</v>
      </c>
      <c r="J46" s="3">
        <v>108800</v>
      </c>
      <c r="K46" s="3">
        <v>90.15209999999999</v>
      </c>
      <c r="L46" s="20">
        <f t="shared" si="1"/>
        <v>108890.15210000001</v>
      </c>
      <c r="M46" s="14" t="str">
        <f>VLOOKUP(G46,Sell!G:L,1,0)</f>
        <v>RELIND</v>
      </c>
      <c r="N46" s="14">
        <f>IFERROR(VLOOKUP(G46,Sell!G:L,2,0),0)</f>
        <v>110</v>
      </c>
      <c r="O46" s="13">
        <f>IFERROR(VLOOKUP(G46,Sell!G:L,6,0),0)</f>
        <v>108512.8132</v>
      </c>
      <c r="P46" s="14">
        <f t="shared" si="0"/>
        <v>0</v>
      </c>
      <c r="Q46" s="13">
        <f t="shared" si="2"/>
        <v>-377.33890000000247</v>
      </c>
      <c r="R46" s="13">
        <f t="shared" si="3"/>
        <v>-377.33890000000247</v>
      </c>
      <c r="S46" s="13">
        <f t="shared" si="4"/>
        <v>0</v>
      </c>
      <c r="T46" s="13">
        <f t="shared" si="5"/>
        <v>-377.33890000000247</v>
      </c>
      <c r="U46" s="15" t="str">
        <f t="shared" si="6"/>
        <v/>
      </c>
    </row>
    <row r="47" spans="1:21" x14ac:dyDescent="0.25">
      <c r="A47" s="2" t="s">
        <v>245</v>
      </c>
      <c r="B47" s="3">
        <v>1000</v>
      </c>
      <c r="C47" s="3">
        <v>104.43</v>
      </c>
      <c r="D47" s="3">
        <v>104426.8</v>
      </c>
      <c r="E47" s="3">
        <v>786.16390000000001</v>
      </c>
      <c r="G47" s="2" t="s">
        <v>237</v>
      </c>
      <c r="H47" s="3">
        <v>11500</v>
      </c>
      <c r="I47" s="3">
        <v>3276.98</v>
      </c>
      <c r="J47" s="3">
        <v>3098012.7</v>
      </c>
      <c r="K47" s="3">
        <v>2011.8396999999998</v>
      </c>
      <c r="L47" s="20">
        <f t="shared" si="1"/>
        <v>3100024.5397000001</v>
      </c>
      <c r="M47" s="14" t="str">
        <f>VLOOKUP(G47,Sell!G:L,1,0)</f>
        <v>JSWSTE</v>
      </c>
      <c r="N47" s="14">
        <f>IFERROR(VLOOKUP(G47,Sell!G:L,2,0),0)</f>
        <v>11500</v>
      </c>
      <c r="O47" s="13">
        <f>IFERROR(VLOOKUP(G47,Sell!G:L,6,0),0)</f>
        <v>3067315.7928999998</v>
      </c>
      <c r="P47" s="14">
        <f t="shared" si="0"/>
        <v>0</v>
      </c>
      <c r="Q47" s="13">
        <f t="shared" si="2"/>
        <v>-32708.746800000314</v>
      </c>
      <c r="R47" s="13">
        <f t="shared" si="3"/>
        <v>-32708.746800000314</v>
      </c>
      <c r="S47" s="13">
        <f t="shared" si="4"/>
        <v>0</v>
      </c>
      <c r="T47" s="13">
        <f t="shared" si="5"/>
        <v>-32708.746800000314</v>
      </c>
      <c r="U47" s="15" t="str">
        <f t="shared" si="6"/>
        <v/>
      </c>
    </row>
    <row r="48" spans="1:21" x14ac:dyDescent="0.25">
      <c r="A48" s="2" t="s">
        <v>247</v>
      </c>
      <c r="B48" s="3">
        <v>1852</v>
      </c>
      <c r="C48" s="3">
        <v>2148.08</v>
      </c>
      <c r="D48" s="3">
        <v>695655.54999999993</v>
      </c>
      <c r="E48" s="3">
        <v>455.46550000000002</v>
      </c>
      <c r="G48" s="2" t="s">
        <v>245</v>
      </c>
      <c r="H48" s="3">
        <v>1000</v>
      </c>
      <c r="I48" s="3">
        <v>104.43</v>
      </c>
      <c r="J48" s="3">
        <v>104426.8</v>
      </c>
      <c r="K48" s="3">
        <v>786.16390000000001</v>
      </c>
      <c r="L48" s="20">
        <f t="shared" si="1"/>
        <v>105212.9639</v>
      </c>
      <c r="M48" s="14" t="str">
        <f>VLOOKUP(G48,Sell!G:L,1,0)</f>
        <v>SREINF</v>
      </c>
      <c r="N48" s="14">
        <f>IFERROR(VLOOKUP(G48,Sell!G:L,2,0),0)</f>
        <v>1000</v>
      </c>
      <c r="O48" s="13">
        <f>IFERROR(VLOOKUP(G48,Sell!G:L,6,0),0)</f>
        <v>100169.82829999999</v>
      </c>
      <c r="P48" s="14">
        <f t="shared" si="0"/>
        <v>0</v>
      </c>
      <c r="Q48" s="13">
        <f t="shared" si="2"/>
        <v>-5043.1356000000087</v>
      </c>
      <c r="R48" s="13">
        <f t="shared" si="3"/>
        <v>-5043.1356000000087</v>
      </c>
      <c r="S48" s="13">
        <f t="shared" si="4"/>
        <v>0</v>
      </c>
      <c r="T48" s="13">
        <f t="shared" si="5"/>
        <v>-5043.1356000000087</v>
      </c>
      <c r="U48" s="15" t="str">
        <f t="shared" si="6"/>
        <v/>
      </c>
    </row>
    <row r="49" spans="1:21" x14ac:dyDescent="0.25">
      <c r="A49" s="2" t="s">
        <v>251</v>
      </c>
      <c r="B49" s="3">
        <v>1000</v>
      </c>
      <c r="C49" s="3">
        <v>250.79</v>
      </c>
      <c r="D49" s="3">
        <v>250788.3</v>
      </c>
      <c r="E49" s="3">
        <v>172.58070000000001</v>
      </c>
      <c r="G49" s="2" t="s">
        <v>247</v>
      </c>
      <c r="H49" s="3">
        <v>1852</v>
      </c>
      <c r="I49" s="3">
        <v>2148.08</v>
      </c>
      <c r="J49" s="3">
        <v>695655.54999999993</v>
      </c>
      <c r="K49" s="3">
        <v>455.46550000000002</v>
      </c>
      <c r="L49" s="20">
        <f t="shared" si="1"/>
        <v>696111.01549999998</v>
      </c>
      <c r="M49" s="14" t="str">
        <f>VLOOKUP(G49,Sell!G:L,1,0)</f>
        <v>MASTEK</v>
      </c>
      <c r="N49" s="14">
        <f>IFERROR(VLOOKUP(G49,Sell!G:L,2,0),0)</f>
        <v>1852</v>
      </c>
      <c r="O49" s="13">
        <f>IFERROR(VLOOKUP(G49,Sell!G:L,6,0),0)</f>
        <v>697325.12080000003</v>
      </c>
      <c r="P49" s="14">
        <f t="shared" si="0"/>
        <v>0</v>
      </c>
      <c r="Q49" s="13">
        <f t="shared" si="2"/>
        <v>1214.1053000000538</v>
      </c>
      <c r="R49" s="13">
        <f t="shared" si="3"/>
        <v>1214.1053000000538</v>
      </c>
      <c r="S49" s="13">
        <f t="shared" si="4"/>
        <v>1214.1053000000538</v>
      </c>
      <c r="T49" s="13">
        <f t="shared" si="5"/>
        <v>0</v>
      </c>
      <c r="U49" s="15" t="str">
        <f t="shared" si="6"/>
        <v/>
      </c>
    </row>
    <row r="50" spans="1:21" x14ac:dyDescent="0.25">
      <c r="A50" s="2" t="s">
        <v>256</v>
      </c>
      <c r="B50" s="3">
        <v>7687</v>
      </c>
      <c r="C50" s="3">
        <v>4014.2</v>
      </c>
      <c r="D50" s="3">
        <v>3110195.1</v>
      </c>
      <c r="E50" s="3">
        <v>2072.3739</v>
      </c>
      <c r="G50" s="2" t="s">
        <v>251</v>
      </c>
      <c r="H50" s="3">
        <v>1000</v>
      </c>
      <c r="I50" s="3">
        <v>250.79</v>
      </c>
      <c r="J50" s="3">
        <v>250788.3</v>
      </c>
      <c r="K50" s="3">
        <v>172.58070000000001</v>
      </c>
      <c r="L50" s="20">
        <f t="shared" si="1"/>
        <v>250960.88069999998</v>
      </c>
      <c r="M50" s="14" t="str">
        <f>VLOOKUP(G50,Sell!G:L,1,0)</f>
        <v>PRAIND</v>
      </c>
      <c r="N50" s="14">
        <f>IFERROR(VLOOKUP(G50,Sell!G:L,2,0),0)</f>
        <v>1000</v>
      </c>
      <c r="O50" s="13">
        <f>IFERROR(VLOOKUP(G50,Sell!G:L,6,0),0)</f>
        <v>241548.58259999999</v>
      </c>
      <c r="P50" s="14">
        <f t="shared" si="0"/>
        <v>0</v>
      </c>
      <c r="Q50" s="13">
        <f t="shared" si="2"/>
        <v>-9412.2980999999854</v>
      </c>
      <c r="R50" s="13">
        <f t="shared" si="3"/>
        <v>-9412.2980999999854</v>
      </c>
      <c r="S50" s="13">
        <f t="shared" si="4"/>
        <v>0</v>
      </c>
      <c r="T50" s="13">
        <f t="shared" si="5"/>
        <v>-9412.2980999999854</v>
      </c>
      <c r="U50" s="15" t="str">
        <f t="shared" si="6"/>
        <v/>
      </c>
    </row>
    <row r="51" spans="1:21" x14ac:dyDescent="0.25">
      <c r="A51" s="2" t="s">
        <v>268</v>
      </c>
      <c r="B51" s="3">
        <v>34011</v>
      </c>
      <c r="C51" s="3">
        <v>10523.140000000001</v>
      </c>
      <c r="D51" s="3">
        <v>10428765.050000001</v>
      </c>
      <c r="E51" s="3">
        <v>6679.1765999999998</v>
      </c>
      <c r="G51" s="2" t="s">
        <v>256</v>
      </c>
      <c r="H51" s="3">
        <v>7687</v>
      </c>
      <c r="I51" s="3">
        <v>4014.2</v>
      </c>
      <c r="J51" s="3">
        <v>3110195.1</v>
      </c>
      <c r="K51" s="3">
        <v>2072.3739</v>
      </c>
      <c r="L51" s="20">
        <f t="shared" si="1"/>
        <v>3112267.4739000001</v>
      </c>
      <c r="M51" s="14" t="str">
        <f>VLOOKUP(G51,Sell!G:L,1,0)</f>
        <v>PCJEW</v>
      </c>
      <c r="N51" s="14">
        <f>IFERROR(VLOOKUP(G51,Sell!G:L,2,0),0)</f>
        <v>7587</v>
      </c>
      <c r="O51" s="13">
        <f>IFERROR(VLOOKUP(G51,Sell!G:L,6,0),0)</f>
        <v>3105575.2147999997</v>
      </c>
      <c r="P51" s="14">
        <f t="shared" si="0"/>
        <v>100</v>
      </c>
      <c r="Q51" s="13">
        <f t="shared" si="2"/>
        <v>-6692.259100000374</v>
      </c>
      <c r="R51" s="13">
        <f t="shared" si="3"/>
        <v>0</v>
      </c>
      <c r="S51" s="13">
        <f t="shared" si="4"/>
        <v>0</v>
      </c>
      <c r="T51" s="13">
        <f t="shared" si="5"/>
        <v>0</v>
      </c>
      <c r="U51" s="15" t="str">
        <f t="shared" si="6"/>
        <v>Open</v>
      </c>
    </row>
    <row r="52" spans="1:21" x14ac:dyDescent="0.25">
      <c r="A52" s="2" t="s">
        <v>270</v>
      </c>
      <c r="B52" s="3">
        <v>7850</v>
      </c>
      <c r="C52" s="3">
        <v>1133.8499999999999</v>
      </c>
      <c r="D52" s="3">
        <v>983155</v>
      </c>
      <c r="E52" s="3">
        <v>661.56129999999996</v>
      </c>
      <c r="G52" s="2" t="s">
        <v>268</v>
      </c>
      <c r="H52" s="3">
        <v>34011</v>
      </c>
      <c r="I52" s="3">
        <v>10523.140000000001</v>
      </c>
      <c r="J52" s="3">
        <v>10428765.050000001</v>
      </c>
      <c r="K52" s="3">
        <v>6679.1765999999998</v>
      </c>
      <c r="L52" s="20">
        <f t="shared" si="1"/>
        <v>10435444.226600001</v>
      </c>
      <c r="M52" s="14" t="str">
        <f>VLOOKUP(G52,Sell!G:L,1,0)</f>
        <v>STABAN</v>
      </c>
      <c r="N52" s="14">
        <f>IFERROR(VLOOKUP(G52,Sell!G:L,2,0),0)</f>
        <v>34011</v>
      </c>
      <c r="O52" s="13">
        <f>IFERROR(VLOOKUP(G52,Sell!G:L,6,0),0)</f>
        <v>10434127.286600001</v>
      </c>
      <c r="P52" s="14">
        <f t="shared" si="0"/>
        <v>0</v>
      </c>
      <c r="Q52" s="13">
        <f t="shared" si="2"/>
        <v>-1316.9399999994785</v>
      </c>
      <c r="R52" s="13">
        <f t="shared" si="3"/>
        <v>-1316.9399999994785</v>
      </c>
      <c r="S52" s="13">
        <f t="shared" si="4"/>
        <v>0</v>
      </c>
      <c r="T52" s="13">
        <f t="shared" si="5"/>
        <v>-1316.9399999994785</v>
      </c>
      <c r="U52" s="15" t="str">
        <f t="shared" si="6"/>
        <v/>
      </c>
    </row>
    <row r="53" spans="1:21" x14ac:dyDescent="0.25">
      <c r="A53" s="2" t="s">
        <v>276</v>
      </c>
      <c r="B53" s="3">
        <v>2500</v>
      </c>
      <c r="C53" s="3">
        <v>120</v>
      </c>
      <c r="D53" s="3">
        <v>300000</v>
      </c>
      <c r="E53" s="3">
        <v>188.5</v>
      </c>
      <c r="G53" s="2" t="s">
        <v>270</v>
      </c>
      <c r="H53" s="3">
        <v>7850</v>
      </c>
      <c r="I53" s="3">
        <v>1133.8499999999999</v>
      </c>
      <c r="J53" s="3">
        <v>983155</v>
      </c>
      <c r="K53" s="3">
        <v>661.56129999999996</v>
      </c>
      <c r="L53" s="20">
        <f t="shared" si="1"/>
        <v>983816.56129999994</v>
      </c>
      <c r="M53" s="14" t="str">
        <f>VLOOKUP(G53,Sell!G:L,1,0)</f>
        <v>BANBAR</v>
      </c>
      <c r="N53" s="14">
        <f>IFERROR(VLOOKUP(G53,Sell!G:L,2,0),0)</f>
        <v>7850</v>
      </c>
      <c r="O53" s="13">
        <f>IFERROR(VLOOKUP(G53,Sell!G:L,6,0),0)</f>
        <v>981431.23190000001</v>
      </c>
      <c r="P53" s="14">
        <f t="shared" si="0"/>
        <v>0</v>
      </c>
      <c r="Q53" s="13">
        <f t="shared" si="2"/>
        <v>-2385.3293999999296</v>
      </c>
      <c r="R53" s="13">
        <f t="shared" si="3"/>
        <v>-2385.3293999999296</v>
      </c>
      <c r="S53" s="13">
        <f t="shared" si="4"/>
        <v>0</v>
      </c>
      <c r="T53" s="13">
        <f t="shared" si="5"/>
        <v>-2385.3293999999296</v>
      </c>
      <c r="U53" s="15" t="str">
        <f t="shared" si="6"/>
        <v/>
      </c>
    </row>
    <row r="54" spans="1:21" x14ac:dyDescent="0.25">
      <c r="A54" s="2" t="s">
        <v>279</v>
      </c>
      <c r="B54" s="3">
        <v>10550</v>
      </c>
      <c r="C54" s="3">
        <v>6664.3</v>
      </c>
      <c r="D54" s="3">
        <v>3308729.5</v>
      </c>
      <c r="E54" s="3">
        <v>2186.4274</v>
      </c>
      <c r="G54" s="2" t="s">
        <v>276</v>
      </c>
      <c r="H54" s="3">
        <v>2500</v>
      </c>
      <c r="I54" s="3">
        <v>120</v>
      </c>
      <c r="J54" s="3">
        <v>300000</v>
      </c>
      <c r="K54" s="3">
        <v>188.5</v>
      </c>
      <c r="L54" s="20">
        <f t="shared" si="1"/>
        <v>300188.5</v>
      </c>
      <c r="M54" s="14" t="str">
        <f>VLOOKUP(G54,Sell!G:L,1,0)</f>
        <v>MENBEA</v>
      </c>
      <c r="N54" s="14">
        <f>IFERROR(VLOOKUP(G54,Sell!G:L,2,0),0)</f>
        <v>2500</v>
      </c>
      <c r="O54" s="13">
        <f>IFERROR(VLOOKUP(G54,Sell!G:L,6,0),0)</f>
        <v>295389.6017</v>
      </c>
      <c r="P54" s="14">
        <f t="shared" si="0"/>
        <v>0</v>
      </c>
      <c r="Q54" s="13">
        <f t="shared" si="2"/>
        <v>-4798.8983000000007</v>
      </c>
      <c r="R54" s="13">
        <f t="shared" si="3"/>
        <v>-4798.8983000000007</v>
      </c>
      <c r="S54" s="13">
        <f t="shared" si="4"/>
        <v>0</v>
      </c>
      <c r="T54" s="13">
        <f t="shared" si="5"/>
        <v>-4798.8983000000007</v>
      </c>
      <c r="U54" s="15" t="str">
        <f t="shared" si="6"/>
        <v/>
      </c>
    </row>
    <row r="55" spans="1:21" x14ac:dyDescent="0.25">
      <c r="A55" s="2" t="s">
        <v>282</v>
      </c>
      <c r="B55" s="3">
        <v>22215</v>
      </c>
      <c r="C55" s="3">
        <v>35612.449999999997</v>
      </c>
      <c r="D55" s="3">
        <v>11600840.549999999</v>
      </c>
      <c r="E55" s="3">
        <v>21453.515000000003</v>
      </c>
      <c r="G55" s="2" t="s">
        <v>279</v>
      </c>
      <c r="H55" s="3">
        <v>10550</v>
      </c>
      <c r="I55" s="3">
        <v>6664.3</v>
      </c>
      <c r="J55" s="3">
        <v>3308729.5</v>
      </c>
      <c r="K55" s="3">
        <v>2186.4274</v>
      </c>
      <c r="L55" s="20">
        <f t="shared" si="1"/>
        <v>3310915.9273999999</v>
      </c>
      <c r="M55" s="14" t="str">
        <f>VLOOKUP(G55,Sell!G:L,1,0)</f>
        <v>CANHOM</v>
      </c>
      <c r="N55" s="14">
        <f>IFERROR(VLOOKUP(G55,Sell!G:L,2,0),0)</f>
        <v>10550</v>
      </c>
      <c r="O55" s="13">
        <f>IFERROR(VLOOKUP(G55,Sell!G:L,6,0),0)</f>
        <v>3281710.1589000002</v>
      </c>
      <c r="P55" s="14">
        <f t="shared" si="0"/>
        <v>0</v>
      </c>
      <c r="Q55" s="13">
        <f t="shared" si="2"/>
        <v>-29205.768499999773</v>
      </c>
      <c r="R55" s="13">
        <f t="shared" si="3"/>
        <v>-29205.768499999773</v>
      </c>
      <c r="S55" s="13">
        <f t="shared" si="4"/>
        <v>0</v>
      </c>
      <c r="T55" s="13">
        <f t="shared" si="5"/>
        <v>-29205.768499999773</v>
      </c>
      <c r="U55" s="15" t="str">
        <f t="shared" si="6"/>
        <v/>
      </c>
    </row>
    <row r="56" spans="1:21" x14ac:dyDescent="0.25">
      <c r="A56" s="2" t="s">
        <v>288</v>
      </c>
      <c r="B56" s="3">
        <v>1350</v>
      </c>
      <c r="C56" s="3">
        <v>1586.5000000000002</v>
      </c>
      <c r="D56" s="3">
        <v>132675</v>
      </c>
      <c r="E56" s="3">
        <v>1278.2295000000001</v>
      </c>
      <c r="G56" s="2" t="s">
        <v>282</v>
      </c>
      <c r="H56" s="3">
        <v>22215</v>
      </c>
      <c r="I56" s="3">
        <v>35612.449999999997</v>
      </c>
      <c r="J56" s="3">
        <v>11600840.549999999</v>
      </c>
      <c r="K56" s="3">
        <v>21453.515000000003</v>
      </c>
      <c r="L56" s="20">
        <f t="shared" si="1"/>
        <v>11622294.064999999</v>
      </c>
      <c r="M56" s="14" t="str">
        <f>VLOOKUP(G56,Sell!G:L,1,0)</f>
        <v>BIOCON</v>
      </c>
      <c r="N56" s="14">
        <f>IFERROR(VLOOKUP(G56,Sell!G:L,2,0),0)</f>
        <v>22150</v>
      </c>
      <c r="O56" s="13">
        <f>IFERROR(VLOOKUP(G56,Sell!G:L,6,0),0)</f>
        <v>11560690.226100001</v>
      </c>
      <c r="P56" s="14">
        <f t="shared" si="0"/>
        <v>65</v>
      </c>
      <c r="Q56" s="13">
        <f t="shared" si="2"/>
        <v>-61603.838899997994</v>
      </c>
      <c r="R56" s="13">
        <f t="shared" si="3"/>
        <v>0</v>
      </c>
      <c r="S56" s="13">
        <f t="shared" si="4"/>
        <v>0</v>
      </c>
      <c r="T56" s="13">
        <f t="shared" si="5"/>
        <v>0</v>
      </c>
      <c r="U56" s="15" t="str">
        <f t="shared" si="6"/>
        <v>Open</v>
      </c>
    </row>
    <row r="57" spans="1:21" x14ac:dyDescent="0.25">
      <c r="A57" s="2" t="s">
        <v>291</v>
      </c>
      <c r="B57" s="3">
        <v>3500</v>
      </c>
      <c r="C57" s="3">
        <v>372.4</v>
      </c>
      <c r="D57" s="3">
        <v>434575</v>
      </c>
      <c r="E57" s="3">
        <v>1441.2139999999999</v>
      </c>
      <c r="G57" s="2" t="s">
        <v>288</v>
      </c>
      <c r="H57" s="3">
        <v>1350</v>
      </c>
      <c r="I57" s="3">
        <v>1586.5000000000002</v>
      </c>
      <c r="J57" s="3">
        <v>132675</v>
      </c>
      <c r="K57" s="3">
        <v>1278.2295000000001</v>
      </c>
      <c r="L57" s="20">
        <f t="shared" si="1"/>
        <v>133953.22949999999</v>
      </c>
      <c r="M57" s="14" t="str">
        <f>VLOOKUP(G57,Sell!G:L,1,0)</f>
        <v>VAKRAN</v>
      </c>
      <c r="N57" s="14">
        <f>IFERROR(VLOOKUP(G57,Sell!G:L,2,0),0)</f>
        <v>600</v>
      </c>
      <c r="O57" s="13">
        <f>IFERROR(VLOOKUP(G57,Sell!G:L,6,0),0)</f>
        <v>13993.8869</v>
      </c>
      <c r="P57" s="14">
        <f t="shared" si="0"/>
        <v>750</v>
      </c>
      <c r="Q57" s="13">
        <f t="shared" si="2"/>
        <v>-119959.34259999999</v>
      </c>
      <c r="R57" s="13">
        <f t="shared" si="3"/>
        <v>0</v>
      </c>
      <c r="S57" s="13">
        <f t="shared" si="4"/>
        <v>0</v>
      </c>
      <c r="T57" s="13">
        <f t="shared" si="5"/>
        <v>0</v>
      </c>
      <c r="U57" s="15" t="str">
        <f t="shared" si="6"/>
        <v>Open</v>
      </c>
    </row>
    <row r="58" spans="1:21" x14ac:dyDescent="0.25">
      <c r="A58" s="2" t="s">
        <v>296</v>
      </c>
      <c r="B58" s="3">
        <v>750</v>
      </c>
      <c r="C58" s="3">
        <v>108.5</v>
      </c>
      <c r="D58" s="3">
        <v>42000</v>
      </c>
      <c r="E58" s="3">
        <v>317.2921</v>
      </c>
      <c r="G58" s="2" t="s">
        <v>291</v>
      </c>
      <c r="H58" s="3">
        <v>3500</v>
      </c>
      <c r="I58" s="3">
        <v>372.4</v>
      </c>
      <c r="J58" s="3">
        <v>434575</v>
      </c>
      <c r="K58" s="3">
        <v>1441.2139999999999</v>
      </c>
      <c r="L58" s="20">
        <f t="shared" si="1"/>
        <v>436016.21399999998</v>
      </c>
      <c r="M58" s="14" t="str">
        <f>VLOOKUP(G58,Sell!G:L,1,0)</f>
        <v>BHAELE</v>
      </c>
      <c r="N58" s="14">
        <f>IFERROR(VLOOKUP(G58,Sell!G:L,2,0),0)</f>
        <v>3500</v>
      </c>
      <c r="O58" s="13">
        <f>IFERROR(VLOOKUP(G58,Sell!G:L,6,0),0)</f>
        <v>419584.5135</v>
      </c>
      <c r="P58" s="14">
        <f t="shared" si="0"/>
        <v>0</v>
      </c>
      <c r="Q58" s="13">
        <f t="shared" si="2"/>
        <v>-16431.700499999977</v>
      </c>
      <c r="R58" s="13">
        <f t="shared" si="3"/>
        <v>-16431.700499999977</v>
      </c>
      <c r="S58" s="13">
        <f t="shared" si="4"/>
        <v>0</v>
      </c>
      <c r="T58" s="13">
        <f t="shared" si="5"/>
        <v>-16431.700499999977</v>
      </c>
      <c r="U58" s="15" t="str">
        <f t="shared" si="6"/>
        <v/>
      </c>
    </row>
    <row r="59" spans="1:21" x14ac:dyDescent="0.25">
      <c r="A59" s="2" t="s">
        <v>321</v>
      </c>
      <c r="B59" s="3">
        <v>17775</v>
      </c>
      <c r="C59" s="3">
        <v>10017.77</v>
      </c>
      <c r="D59" s="3">
        <v>5201611.1999999993</v>
      </c>
      <c r="E59" s="3">
        <v>5749.1832000000004</v>
      </c>
      <c r="G59" s="2" t="s">
        <v>296</v>
      </c>
      <c r="H59" s="3">
        <v>750</v>
      </c>
      <c r="I59" s="3">
        <v>108.5</v>
      </c>
      <c r="J59" s="3">
        <v>42000</v>
      </c>
      <c r="K59" s="3">
        <v>317.2921</v>
      </c>
      <c r="L59" s="20">
        <f t="shared" si="1"/>
        <v>42317.292099999999</v>
      </c>
      <c r="M59" s="14" t="str">
        <f>VLOOKUP(G59,Sell!G:L,1,0)</f>
        <v>BHUST</v>
      </c>
      <c r="N59" s="14">
        <f>IFERROR(VLOOKUP(G59,Sell!G:L,2,0),0)</f>
        <v>750</v>
      </c>
      <c r="O59" s="13">
        <f>IFERROR(VLOOKUP(G59,Sell!G:L,6,0),0)</f>
        <v>28918.225900000001</v>
      </c>
      <c r="P59" s="14">
        <f t="shared" si="0"/>
        <v>0</v>
      </c>
      <c r="Q59" s="13">
        <f t="shared" si="2"/>
        <v>-13399.066199999997</v>
      </c>
      <c r="R59" s="13">
        <f t="shared" si="3"/>
        <v>-13399.066199999997</v>
      </c>
      <c r="S59" s="13">
        <f t="shared" si="4"/>
        <v>0</v>
      </c>
      <c r="T59" s="13">
        <f t="shared" si="5"/>
        <v>-13399.066199999997</v>
      </c>
      <c r="U59" s="15" t="str">
        <f t="shared" si="6"/>
        <v/>
      </c>
    </row>
    <row r="60" spans="1:21" x14ac:dyDescent="0.25">
      <c r="A60" s="2" t="s">
        <v>324</v>
      </c>
      <c r="B60" s="3">
        <v>70</v>
      </c>
      <c r="C60" s="3">
        <v>2492.5</v>
      </c>
      <c r="D60" s="3">
        <v>56885</v>
      </c>
      <c r="E60" s="3">
        <v>158.6866</v>
      </c>
      <c r="G60" s="2" t="s">
        <v>321</v>
      </c>
      <c r="H60" s="3">
        <v>17775</v>
      </c>
      <c r="I60" s="3">
        <v>10017.77</v>
      </c>
      <c r="J60" s="3">
        <v>5201611.1999999993</v>
      </c>
      <c r="K60" s="3">
        <v>5749.1832000000004</v>
      </c>
      <c r="L60" s="20">
        <f t="shared" si="1"/>
        <v>5207360.3831999991</v>
      </c>
      <c r="M60" s="14" t="str">
        <f>VLOOKUP(G60,Sell!G:L,1,0)</f>
        <v>HINPET</v>
      </c>
      <c r="N60" s="14">
        <f>IFERROR(VLOOKUP(G60,Sell!G:L,2,0),0)</f>
        <v>17775</v>
      </c>
      <c r="O60" s="13">
        <f>IFERROR(VLOOKUP(G60,Sell!G:L,6,0),0)</f>
        <v>5174265.4342</v>
      </c>
      <c r="P60" s="14">
        <f t="shared" si="0"/>
        <v>0</v>
      </c>
      <c r="Q60" s="13">
        <f t="shared" si="2"/>
        <v>-33094.948999999091</v>
      </c>
      <c r="R60" s="13">
        <f t="shared" si="3"/>
        <v>-33094.948999999091</v>
      </c>
      <c r="S60" s="13">
        <f t="shared" si="4"/>
        <v>0</v>
      </c>
      <c r="T60" s="13">
        <f t="shared" si="5"/>
        <v>-33094.948999999091</v>
      </c>
      <c r="U60" s="15" t="str">
        <f t="shared" si="6"/>
        <v/>
      </c>
    </row>
    <row r="61" spans="1:21" x14ac:dyDescent="0.25">
      <c r="A61" s="2" t="s">
        <v>379</v>
      </c>
      <c r="B61" s="3">
        <v>8722</v>
      </c>
      <c r="C61" s="3">
        <v>2606.33</v>
      </c>
      <c r="D61" s="3">
        <v>1408169.25</v>
      </c>
      <c r="E61" s="3">
        <v>1056.1183999999998</v>
      </c>
      <c r="G61" s="2" t="s">
        <v>324</v>
      </c>
      <c r="H61" s="3">
        <v>70</v>
      </c>
      <c r="I61" s="3">
        <v>2492.5</v>
      </c>
      <c r="J61" s="3">
        <v>56885</v>
      </c>
      <c r="K61" s="3">
        <v>158.6866</v>
      </c>
      <c r="L61" s="20">
        <f t="shared" si="1"/>
        <v>57043.686600000001</v>
      </c>
      <c r="M61" s="14" t="str">
        <f>VLOOKUP(G61,Sell!G:L,1,0)</f>
        <v>JUBLIF</v>
      </c>
      <c r="N61" s="14">
        <f>IFERROR(VLOOKUP(G61,Sell!G:L,2,0),0)</f>
        <v>70</v>
      </c>
      <c r="O61" s="13">
        <f>IFERROR(VLOOKUP(G61,Sell!G:L,6,0),0)</f>
        <v>55053.3943</v>
      </c>
      <c r="P61" s="14">
        <f t="shared" si="0"/>
        <v>0</v>
      </c>
      <c r="Q61" s="13">
        <f t="shared" si="2"/>
        <v>-1990.292300000001</v>
      </c>
      <c r="R61" s="13">
        <f t="shared" si="3"/>
        <v>-1990.292300000001</v>
      </c>
      <c r="S61" s="13">
        <f t="shared" si="4"/>
        <v>0</v>
      </c>
      <c r="T61" s="13">
        <f t="shared" si="5"/>
        <v>-1990.292300000001</v>
      </c>
      <c r="U61" s="15" t="str">
        <f t="shared" si="6"/>
        <v/>
      </c>
    </row>
    <row r="62" spans="1:21" x14ac:dyDescent="0.25">
      <c r="A62" s="2" t="s">
        <v>387</v>
      </c>
      <c r="B62" s="3">
        <v>1000</v>
      </c>
      <c r="C62" s="3">
        <v>64.25</v>
      </c>
      <c r="D62" s="3">
        <v>64250</v>
      </c>
      <c r="E62" s="3">
        <v>40.187600000000003</v>
      </c>
      <c r="G62" s="2" t="s">
        <v>379</v>
      </c>
      <c r="H62" s="3">
        <v>8722</v>
      </c>
      <c r="I62" s="3">
        <v>2606.33</v>
      </c>
      <c r="J62" s="3">
        <v>1408169.25</v>
      </c>
      <c r="K62" s="3">
        <v>1056.1183999999998</v>
      </c>
      <c r="L62" s="20">
        <f t="shared" si="1"/>
        <v>1409225.3684</v>
      </c>
      <c r="M62" s="14" t="str">
        <f>VLOOKUP(G62,Sell!G:L,1,0)</f>
        <v>TINCO</v>
      </c>
      <c r="N62" s="14">
        <f>IFERROR(VLOOKUP(G62,Sell!G:L,2,0),0)</f>
        <v>8722</v>
      </c>
      <c r="O62" s="13">
        <f>IFERROR(VLOOKUP(G62,Sell!G:L,6,0),0)</f>
        <v>1408794.9571</v>
      </c>
      <c r="P62" s="14">
        <f t="shared" si="0"/>
        <v>0</v>
      </c>
      <c r="Q62" s="13">
        <f t="shared" si="2"/>
        <v>-430.41130000003614</v>
      </c>
      <c r="R62" s="13">
        <f t="shared" si="3"/>
        <v>-430.41130000003614</v>
      </c>
      <c r="S62" s="13">
        <f t="shared" si="4"/>
        <v>0</v>
      </c>
      <c r="T62" s="13">
        <f t="shared" si="5"/>
        <v>-430.41130000003614</v>
      </c>
      <c r="U62" s="15" t="str">
        <f t="shared" si="6"/>
        <v/>
      </c>
    </row>
    <row r="63" spans="1:21" x14ac:dyDescent="0.25">
      <c r="A63" s="2" t="s">
        <v>392</v>
      </c>
      <c r="B63" s="3">
        <v>25</v>
      </c>
      <c r="C63" s="3">
        <v>3689.2</v>
      </c>
      <c r="D63" s="3">
        <v>46093</v>
      </c>
      <c r="E63" s="3">
        <v>69.332799999999992</v>
      </c>
      <c r="G63" s="2" t="s">
        <v>387</v>
      </c>
      <c r="H63" s="3">
        <v>1000</v>
      </c>
      <c r="I63" s="3">
        <v>64.25</v>
      </c>
      <c r="J63" s="3">
        <v>64250</v>
      </c>
      <c r="K63" s="3">
        <v>40.187600000000003</v>
      </c>
      <c r="L63" s="20">
        <f t="shared" si="1"/>
        <v>64290.187599999997</v>
      </c>
      <c r="M63" s="14" t="str">
        <f>VLOOKUP(G63,Sell!G:L,1,0)</f>
        <v>RELHOM</v>
      </c>
      <c r="N63" s="14">
        <f>IFERROR(VLOOKUP(G63,Sell!G:L,2,0),0)</f>
        <v>1000</v>
      </c>
      <c r="O63" s="13">
        <f>IFERROR(VLOOKUP(G63,Sell!G:L,6,0),0)</f>
        <v>62650.828600000001</v>
      </c>
      <c r="P63" s="14">
        <f t="shared" si="0"/>
        <v>0</v>
      </c>
      <c r="Q63" s="13">
        <f t="shared" si="2"/>
        <v>-1639.3589999999967</v>
      </c>
      <c r="R63" s="13">
        <f t="shared" si="3"/>
        <v>-1639.3589999999967</v>
      </c>
      <c r="S63" s="13">
        <f t="shared" si="4"/>
        <v>0</v>
      </c>
      <c r="T63" s="13">
        <f t="shared" si="5"/>
        <v>-1639.3589999999967</v>
      </c>
      <c r="U63" s="15" t="str">
        <f t="shared" si="6"/>
        <v/>
      </c>
    </row>
    <row r="64" spans="1:21" x14ac:dyDescent="0.25">
      <c r="A64" s="2" t="s">
        <v>397</v>
      </c>
      <c r="B64" s="3">
        <v>4292</v>
      </c>
      <c r="C64" s="3">
        <v>5750.2500000000009</v>
      </c>
      <c r="D64" s="3">
        <v>1146022.5</v>
      </c>
      <c r="E64" s="3">
        <v>1465.7228000000002</v>
      </c>
      <c r="G64" s="2" t="s">
        <v>392</v>
      </c>
      <c r="H64" s="3">
        <v>25</v>
      </c>
      <c r="I64" s="3">
        <v>3689.2</v>
      </c>
      <c r="J64" s="3">
        <v>46093</v>
      </c>
      <c r="K64" s="3">
        <v>69.332799999999992</v>
      </c>
      <c r="L64" s="20">
        <f t="shared" si="1"/>
        <v>46162.332799999996</v>
      </c>
      <c r="M64" s="14" t="str">
        <f>VLOOKUP(G64,Sell!G:L,1,0)</f>
        <v>HDFC</v>
      </c>
      <c r="N64" s="14">
        <f>IFERROR(VLOOKUP(G64,Sell!G:L,2,0),0)</f>
        <v>25</v>
      </c>
      <c r="O64" s="13">
        <f>IFERROR(VLOOKUP(G64,Sell!G:L,6,0),0)</f>
        <v>45724.896999999997</v>
      </c>
      <c r="P64" s="14">
        <f t="shared" si="0"/>
        <v>0</v>
      </c>
      <c r="Q64" s="13">
        <f t="shared" si="2"/>
        <v>-437.43579999999929</v>
      </c>
      <c r="R64" s="13">
        <f t="shared" si="3"/>
        <v>-437.43579999999929</v>
      </c>
      <c r="S64" s="13">
        <f t="shared" si="4"/>
        <v>0</v>
      </c>
      <c r="T64" s="13">
        <f t="shared" si="5"/>
        <v>-437.43579999999929</v>
      </c>
      <c r="U64" s="15" t="str">
        <f t="shared" si="6"/>
        <v/>
      </c>
    </row>
    <row r="65" spans="1:21" x14ac:dyDescent="0.25">
      <c r="A65" s="2" t="s">
        <v>404</v>
      </c>
      <c r="B65" s="3">
        <v>10</v>
      </c>
      <c r="C65" s="3">
        <v>380</v>
      </c>
      <c r="D65" s="3">
        <v>3800</v>
      </c>
      <c r="E65" s="3">
        <v>48.264000000000003</v>
      </c>
      <c r="G65" s="2" t="s">
        <v>397</v>
      </c>
      <c r="H65" s="3">
        <v>4292</v>
      </c>
      <c r="I65" s="3">
        <v>5750.2500000000009</v>
      </c>
      <c r="J65" s="3">
        <v>1146022.5</v>
      </c>
      <c r="K65" s="3">
        <v>1465.7228000000002</v>
      </c>
      <c r="L65" s="20">
        <f t="shared" si="1"/>
        <v>1147488.2228000001</v>
      </c>
      <c r="M65" s="14" t="str">
        <f>VLOOKUP(G65,Sell!G:L,1,0)</f>
        <v>ELGEQU</v>
      </c>
      <c r="N65" s="14">
        <f>IFERROR(VLOOKUP(G65,Sell!G:L,2,0),0)</f>
        <v>4292</v>
      </c>
      <c r="O65" s="13">
        <f>IFERROR(VLOOKUP(G65,Sell!G:L,6,0),0)</f>
        <v>1137976.1000000001</v>
      </c>
      <c r="P65" s="14">
        <f t="shared" si="0"/>
        <v>0</v>
      </c>
      <c r="Q65" s="13">
        <f t="shared" si="2"/>
        <v>-9512.1228000000119</v>
      </c>
      <c r="R65" s="13">
        <f t="shared" si="3"/>
        <v>-9512.1228000000119</v>
      </c>
      <c r="S65" s="13">
        <f t="shared" si="4"/>
        <v>0</v>
      </c>
      <c r="T65" s="13">
        <f t="shared" si="5"/>
        <v>-9512.1228000000119</v>
      </c>
      <c r="U65" s="15" t="str">
        <f t="shared" si="6"/>
        <v/>
      </c>
    </row>
    <row r="66" spans="1:21" x14ac:dyDescent="0.25">
      <c r="A66" s="2" t="s">
        <v>433</v>
      </c>
      <c r="B66" s="3">
        <v>84200</v>
      </c>
      <c r="C66" s="3">
        <v>540.04999999999995</v>
      </c>
      <c r="D66" s="3">
        <v>1358355</v>
      </c>
      <c r="E66" s="3">
        <v>4143.9753000000001</v>
      </c>
      <c r="G66" s="2" t="s">
        <v>404</v>
      </c>
      <c r="H66" s="3">
        <v>10</v>
      </c>
      <c r="I66" s="3">
        <v>380</v>
      </c>
      <c r="J66" s="3">
        <v>3800</v>
      </c>
      <c r="K66" s="3">
        <v>48.264000000000003</v>
      </c>
      <c r="L66" s="20">
        <f t="shared" si="1"/>
        <v>3848.2640000000001</v>
      </c>
      <c r="M66" s="14" t="str">
        <f>VLOOKUP(G66,Sell!G:L,1,0)</f>
        <v>BHAPET</v>
      </c>
      <c r="N66" s="14">
        <f>IFERROR(VLOOKUP(G66,Sell!G:L,2,0),0)</f>
        <v>10</v>
      </c>
      <c r="O66" s="13">
        <f>IFERROR(VLOOKUP(G66,Sell!G:L,6,0),0)</f>
        <v>2811.2343000000001</v>
      </c>
      <c r="P66" s="14">
        <f t="shared" si="0"/>
        <v>0</v>
      </c>
      <c r="Q66" s="13">
        <f t="shared" si="2"/>
        <v>-1037.0297</v>
      </c>
      <c r="R66" s="13">
        <f t="shared" si="3"/>
        <v>-1037.0297</v>
      </c>
      <c r="S66" s="13">
        <f t="shared" si="4"/>
        <v>0</v>
      </c>
      <c r="T66" s="13">
        <f t="shared" si="5"/>
        <v>-1037.0297</v>
      </c>
      <c r="U66" s="15" t="str">
        <f t="shared" si="6"/>
        <v/>
      </c>
    </row>
    <row r="67" spans="1:21" x14ac:dyDescent="0.25">
      <c r="A67" s="2" t="s">
        <v>471</v>
      </c>
      <c r="B67" s="3">
        <v>4000</v>
      </c>
      <c r="C67" s="3">
        <v>373.5</v>
      </c>
      <c r="D67" s="3">
        <v>372250</v>
      </c>
      <c r="E67" s="3">
        <v>243.1276</v>
      </c>
      <c r="G67" s="2" t="s">
        <v>433</v>
      </c>
      <c r="H67" s="3">
        <v>84200</v>
      </c>
      <c r="I67" s="3">
        <v>540.04999999999995</v>
      </c>
      <c r="J67" s="3">
        <v>1358355</v>
      </c>
      <c r="K67" s="3">
        <v>4143.9753000000001</v>
      </c>
      <c r="L67" s="20">
        <f t="shared" si="1"/>
        <v>1362498.9753</v>
      </c>
      <c r="M67" s="14" t="str">
        <f>VLOOKUP(G67,Sell!G:L,1,0)</f>
        <v>RELCOM</v>
      </c>
      <c r="N67" s="14">
        <f>IFERROR(VLOOKUP(G67,Sell!G:L,2,0),0)</f>
        <v>79200</v>
      </c>
      <c r="O67" s="13">
        <f>IFERROR(VLOOKUP(G67,Sell!G:L,6,0),0)</f>
        <v>1336584.2551999998</v>
      </c>
      <c r="P67" s="14">
        <f t="shared" si="0"/>
        <v>5000</v>
      </c>
      <c r="Q67" s="13">
        <f t="shared" si="2"/>
        <v>-25914.720100000268</v>
      </c>
      <c r="R67" s="13">
        <f t="shared" si="3"/>
        <v>0</v>
      </c>
      <c r="S67" s="13">
        <f t="shared" si="4"/>
        <v>0</v>
      </c>
      <c r="T67" s="13">
        <f t="shared" si="5"/>
        <v>0</v>
      </c>
      <c r="U67" s="15" t="str">
        <f t="shared" si="6"/>
        <v>Open</v>
      </c>
    </row>
    <row r="68" spans="1:21" x14ac:dyDescent="0.25">
      <c r="A68" s="2" t="s">
        <v>480</v>
      </c>
      <c r="B68" s="3">
        <v>98750</v>
      </c>
      <c r="C68" s="3">
        <v>2480.27</v>
      </c>
      <c r="D68" s="3">
        <v>8223543.5</v>
      </c>
      <c r="E68" s="3">
        <v>5538.1740999999993</v>
      </c>
      <c r="G68" s="2" t="s">
        <v>471</v>
      </c>
      <c r="H68" s="3">
        <v>4000</v>
      </c>
      <c r="I68" s="3">
        <v>373.5</v>
      </c>
      <c r="J68" s="3">
        <v>372250</v>
      </c>
      <c r="K68" s="3">
        <v>243.1276</v>
      </c>
      <c r="L68" s="20">
        <f t="shared" si="1"/>
        <v>372493.12760000001</v>
      </c>
      <c r="M68" s="14" t="str">
        <f>VLOOKUP(G68,Sell!G:L,1,0)</f>
        <v>POWTRA</v>
      </c>
      <c r="N68" s="14">
        <f>IFERROR(VLOOKUP(G68,Sell!G:L,2,0),0)</f>
        <v>4000</v>
      </c>
      <c r="O68" s="13">
        <f>IFERROR(VLOOKUP(G68,Sell!G:L,6,0),0)</f>
        <v>367289.24200000003</v>
      </c>
      <c r="P68" s="14">
        <f t="shared" si="0"/>
        <v>0</v>
      </c>
      <c r="Q68" s="13">
        <f t="shared" si="2"/>
        <v>-5203.8855999999796</v>
      </c>
      <c r="R68" s="13">
        <f t="shared" si="3"/>
        <v>-5203.8855999999796</v>
      </c>
      <c r="S68" s="13">
        <f t="shared" si="4"/>
        <v>0</v>
      </c>
      <c r="T68" s="13">
        <f t="shared" si="5"/>
        <v>-5203.8855999999796</v>
      </c>
      <c r="U68" s="15" t="str">
        <f t="shared" si="6"/>
        <v/>
      </c>
    </row>
    <row r="69" spans="1:21" x14ac:dyDescent="0.25">
      <c r="A69" s="2" t="s">
        <v>575</v>
      </c>
      <c r="B69" s="3">
        <v>1100</v>
      </c>
      <c r="C69" s="3">
        <v>62.25</v>
      </c>
      <c r="D69" s="3">
        <v>68475</v>
      </c>
      <c r="E69" s="3">
        <v>50.6342</v>
      </c>
      <c r="G69" s="2" t="s">
        <v>480</v>
      </c>
      <c r="H69" s="3">
        <v>98750</v>
      </c>
      <c r="I69" s="3">
        <v>2480.27</v>
      </c>
      <c r="J69" s="3">
        <v>8223543.5</v>
      </c>
      <c r="K69" s="3">
        <v>5538.1740999999993</v>
      </c>
      <c r="L69" s="20">
        <f t="shared" si="1"/>
        <v>8229081.6741000004</v>
      </c>
      <c r="M69" s="14" t="str">
        <f>VLOOKUP(G69,Sell!G:L,1,0)</f>
        <v>FEDBAN</v>
      </c>
      <c r="N69" s="14">
        <f>IFERROR(VLOOKUP(G69,Sell!G:L,2,0),0)</f>
        <v>98750</v>
      </c>
      <c r="O69" s="13">
        <f>IFERROR(VLOOKUP(G69,Sell!G:L,6,0),0)</f>
        <v>8201043.1516999993</v>
      </c>
      <c r="P69" s="14">
        <f t="shared" si="0"/>
        <v>0</v>
      </c>
      <c r="Q69" s="13">
        <f t="shared" si="2"/>
        <v>-28038.522400001064</v>
      </c>
      <c r="R69" s="13">
        <f t="shared" si="3"/>
        <v>-28038.522400001064</v>
      </c>
      <c r="S69" s="13">
        <f t="shared" si="4"/>
        <v>0</v>
      </c>
      <c r="T69" s="13">
        <f t="shared" si="5"/>
        <v>-28038.522400001064</v>
      </c>
      <c r="U69" s="15" t="str">
        <f t="shared" si="6"/>
        <v/>
      </c>
    </row>
    <row r="70" spans="1:21" x14ac:dyDescent="0.25">
      <c r="A70" s="2" t="s">
        <v>594</v>
      </c>
      <c r="B70" s="3">
        <v>10</v>
      </c>
      <c r="C70" s="3">
        <v>81</v>
      </c>
      <c r="D70" s="3">
        <v>810</v>
      </c>
      <c r="E70" s="3">
        <v>25.224299999999999</v>
      </c>
      <c r="G70" s="2" t="s">
        <v>575</v>
      </c>
      <c r="H70" s="3">
        <v>1100</v>
      </c>
      <c r="I70" s="3">
        <v>62.25</v>
      </c>
      <c r="J70" s="3">
        <v>68475</v>
      </c>
      <c r="K70" s="3">
        <v>50.6342</v>
      </c>
      <c r="L70" s="20">
        <f t="shared" si="1"/>
        <v>68525.6342</v>
      </c>
      <c r="M70" s="14" t="str">
        <f>VLOOKUP(G70,Sell!G:L,1,0)</f>
        <v>IDBI</v>
      </c>
      <c r="N70" s="14">
        <f>IFERROR(VLOOKUP(G70,Sell!G:L,2,0),0)</f>
        <v>1100</v>
      </c>
      <c r="O70" s="13">
        <f>IFERROR(VLOOKUP(G70,Sell!G:L,6,0),0)</f>
        <v>68579.930800000002</v>
      </c>
      <c r="P70" s="14">
        <f t="shared" si="0"/>
        <v>0</v>
      </c>
      <c r="Q70" s="13">
        <f t="shared" si="2"/>
        <v>54.29660000000149</v>
      </c>
      <c r="R70" s="13">
        <f t="shared" si="3"/>
        <v>54.29660000000149</v>
      </c>
      <c r="S70" s="13">
        <f t="shared" si="4"/>
        <v>54.29660000000149</v>
      </c>
      <c r="T70" s="13">
        <f t="shared" si="5"/>
        <v>0</v>
      </c>
      <c r="U70" s="15" t="str">
        <f t="shared" si="6"/>
        <v/>
      </c>
    </row>
    <row r="71" spans="1:21" x14ac:dyDescent="0.25">
      <c r="A71" s="2" t="s">
        <v>644</v>
      </c>
      <c r="B71" s="3">
        <v>1500</v>
      </c>
      <c r="C71" s="3">
        <v>115.35</v>
      </c>
      <c r="D71" s="3">
        <v>86625</v>
      </c>
      <c r="E71" s="3">
        <v>72.118899999999996</v>
      </c>
      <c r="G71" s="2" t="s">
        <v>594</v>
      </c>
      <c r="H71" s="3">
        <v>10</v>
      </c>
      <c r="I71" s="3">
        <v>81</v>
      </c>
      <c r="J71" s="3">
        <v>810</v>
      </c>
      <c r="K71" s="3">
        <v>25.224299999999999</v>
      </c>
      <c r="L71" s="20">
        <f t="shared" si="1"/>
        <v>835.22429999999997</v>
      </c>
      <c r="M71" s="14" t="str">
        <f>VLOOKUP(G71,Sell!G:L,1,0)</f>
        <v>ARRGRE</v>
      </c>
      <c r="N71" s="14">
        <f>IFERROR(VLOOKUP(G71,Sell!G:L,2,0),0)</f>
        <v>10</v>
      </c>
      <c r="O71" s="13">
        <f>IFERROR(VLOOKUP(G71,Sell!G:L,6,0),0)</f>
        <v>1269.0407</v>
      </c>
      <c r="P71" s="14">
        <f t="shared" si="0"/>
        <v>0</v>
      </c>
      <c r="Q71" s="13">
        <f t="shared" si="2"/>
        <v>433.81640000000004</v>
      </c>
      <c r="R71" s="13">
        <f t="shared" si="3"/>
        <v>433.81640000000004</v>
      </c>
      <c r="S71" s="13">
        <f t="shared" si="4"/>
        <v>433.81640000000004</v>
      </c>
      <c r="T71" s="13">
        <f t="shared" si="5"/>
        <v>0</v>
      </c>
      <c r="U71" s="15" t="str">
        <f t="shared" si="6"/>
        <v/>
      </c>
    </row>
    <row r="72" spans="1:21" x14ac:dyDescent="0.25">
      <c r="A72" s="2" t="s">
        <v>659</v>
      </c>
      <c r="B72" s="3">
        <v>22550</v>
      </c>
      <c r="C72" s="3">
        <v>1950.87</v>
      </c>
      <c r="D72" s="3">
        <v>2305809.5499999998</v>
      </c>
      <c r="E72" s="3">
        <v>3397.6805999999997</v>
      </c>
      <c r="G72" s="2" t="s">
        <v>644</v>
      </c>
      <c r="H72" s="3">
        <v>1500</v>
      </c>
      <c r="I72" s="3">
        <v>115.35</v>
      </c>
      <c r="J72" s="3">
        <v>86625</v>
      </c>
      <c r="K72" s="3">
        <v>72.118899999999996</v>
      </c>
      <c r="L72" s="20">
        <f t="shared" si="1"/>
        <v>86697.118900000001</v>
      </c>
      <c r="M72" s="14" t="str">
        <f>VLOOKUP(G72,Sell!G:L,1,0)</f>
        <v>CROGRE</v>
      </c>
      <c r="N72" s="14">
        <f>IFERROR(VLOOKUP(G72,Sell!G:L,2,0),0)</f>
        <v>1500</v>
      </c>
      <c r="O72" s="13">
        <f>IFERROR(VLOOKUP(G72,Sell!G:L,6,0),0)</f>
        <v>86698.726699999999</v>
      </c>
      <c r="P72" s="14">
        <f t="shared" si="0"/>
        <v>0</v>
      </c>
      <c r="Q72" s="13">
        <f t="shared" si="2"/>
        <v>1.6077999999979511</v>
      </c>
      <c r="R72" s="13">
        <f t="shared" si="3"/>
        <v>1.6077999999979511</v>
      </c>
      <c r="S72" s="13">
        <f t="shared" si="4"/>
        <v>1.6077999999979511</v>
      </c>
      <c r="T72" s="13">
        <f t="shared" si="5"/>
        <v>0</v>
      </c>
      <c r="U72" s="15" t="str">
        <f t="shared" si="6"/>
        <v/>
      </c>
    </row>
    <row r="73" spans="1:21" x14ac:dyDescent="0.25">
      <c r="A73" s="2" t="s">
        <v>665</v>
      </c>
      <c r="B73" s="3">
        <v>2900</v>
      </c>
      <c r="C73" s="3">
        <v>1160.7300000000002</v>
      </c>
      <c r="D73" s="3">
        <v>250243.85</v>
      </c>
      <c r="E73" s="3">
        <v>210.06740000000002</v>
      </c>
      <c r="G73" s="2" t="s">
        <v>659</v>
      </c>
      <c r="H73" s="3">
        <v>22550</v>
      </c>
      <c r="I73" s="3">
        <v>1950.87</v>
      </c>
      <c r="J73" s="3">
        <v>2305809.5499999998</v>
      </c>
      <c r="K73" s="3">
        <v>3397.6805999999997</v>
      </c>
      <c r="L73" s="20">
        <f t="shared" si="1"/>
        <v>2309207.2305999999</v>
      </c>
      <c r="M73" s="14" t="str">
        <f>VLOOKUP(G73,Sell!G:L,1,0)</f>
        <v>YESBAN</v>
      </c>
      <c r="N73" s="14">
        <f>IFERROR(VLOOKUP(G73,Sell!G:L,2,0),0)</f>
        <v>22350</v>
      </c>
      <c r="O73" s="13">
        <f>IFERROR(VLOOKUP(G73,Sell!G:L,6,0),0)</f>
        <v>2309497.8781999997</v>
      </c>
      <c r="P73" s="14">
        <f t="shared" si="0"/>
        <v>200</v>
      </c>
      <c r="Q73" s="13">
        <f t="shared" si="2"/>
        <v>290.64759999979287</v>
      </c>
      <c r="R73" s="13">
        <f t="shared" si="3"/>
        <v>0</v>
      </c>
      <c r="S73" s="13">
        <f t="shared" si="4"/>
        <v>0</v>
      </c>
      <c r="T73" s="13">
        <f t="shared" si="5"/>
        <v>0</v>
      </c>
      <c r="U73" s="15" t="str">
        <f t="shared" si="6"/>
        <v>Open</v>
      </c>
    </row>
    <row r="74" spans="1:21" x14ac:dyDescent="0.25">
      <c r="A74" s="2" t="s">
        <v>677</v>
      </c>
      <c r="B74" s="3">
        <v>2050</v>
      </c>
      <c r="C74" s="3">
        <v>1524.93</v>
      </c>
      <c r="D74" s="3">
        <v>468862.55</v>
      </c>
      <c r="E74" s="3">
        <v>359.79669999999999</v>
      </c>
      <c r="G74" s="2" t="s">
        <v>665</v>
      </c>
      <c r="H74" s="3">
        <v>2900</v>
      </c>
      <c r="I74" s="3">
        <v>1160.7300000000002</v>
      </c>
      <c r="J74" s="3">
        <v>250243.85</v>
      </c>
      <c r="K74" s="3">
        <v>210.06740000000002</v>
      </c>
      <c r="L74" s="20">
        <f t="shared" si="1"/>
        <v>250453.91740000001</v>
      </c>
      <c r="M74" s="14" t="str">
        <f>VLOOKUP(G74,Sell!G:L,1,0)</f>
        <v>DEWHOU</v>
      </c>
      <c r="N74" s="14">
        <f>IFERROR(VLOOKUP(G74,Sell!G:L,2,0),0)</f>
        <v>2900</v>
      </c>
      <c r="O74" s="13">
        <f>IFERROR(VLOOKUP(G74,Sell!G:L,6,0),0)</f>
        <v>249087.56030000001</v>
      </c>
      <c r="P74" s="14">
        <f t="shared" ref="P74:P137" si="7">H74-N74</f>
        <v>0</v>
      </c>
      <c r="Q74" s="13">
        <f t="shared" si="2"/>
        <v>-1366.3570999999938</v>
      </c>
      <c r="R74" s="13">
        <f t="shared" si="3"/>
        <v>-1366.3570999999938</v>
      </c>
      <c r="S74" s="13">
        <f t="shared" si="4"/>
        <v>0</v>
      </c>
      <c r="T74" s="13">
        <f t="shared" si="5"/>
        <v>-1366.3570999999938</v>
      </c>
      <c r="U74" s="15" t="str">
        <f t="shared" si="6"/>
        <v/>
      </c>
    </row>
    <row r="75" spans="1:21" x14ac:dyDescent="0.25">
      <c r="A75" s="2" t="s">
        <v>683</v>
      </c>
      <c r="B75" s="3">
        <v>10</v>
      </c>
      <c r="C75" s="3">
        <v>111.45</v>
      </c>
      <c r="D75" s="3">
        <v>1114.5</v>
      </c>
      <c r="E75" s="3">
        <v>34.213500000000003</v>
      </c>
      <c r="G75" s="2" t="s">
        <v>677</v>
      </c>
      <c r="H75" s="3">
        <v>2050</v>
      </c>
      <c r="I75" s="3">
        <v>1524.93</v>
      </c>
      <c r="J75" s="3">
        <v>468862.55</v>
      </c>
      <c r="K75" s="3">
        <v>359.79669999999999</v>
      </c>
      <c r="L75" s="20">
        <f t="shared" ref="L75:L138" si="8">J75+K75</f>
        <v>469222.34669999999</v>
      </c>
      <c r="M75" s="14" t="str">
        <f>VLOOKUP(G75,Sell!G:L,1,0)</f>
        <v>KNRCON</v>
      </c>
      <c r="N75" s="14">
        <f>IFERROR(VLOOKUP(G75,Sell!G:L,2,0),0)</f>
        <v>2050</v>
      </c>
      <c r="O75" s="13">
        <f>IFERROR(VLOOKUP(G75,Sell!G:L,6,0),0)</f>
        <v>467398.55149999994</v>
      </c>
      <c r="P75" s="14">
        <f t="shared" si="7"/>
        <v>0</v>
      </c>
      <c r="Q75" s="13">
        <f t="shared" ref="Q75:Q138" si="9">O75-L75</f>
        <v>-1823.7952000000514</v>
      </c>
      <c r="R75" s="13">
        <f t="shared" ref="R75:R138" si="10">IF(P75=0,Q75,0)</f>
        <v>-1823.7952000000514</v>
      </c>
      <c r="S75" s="13">
        <f t="shared" ref="S75:S138" si="11">IF(R75&gt;0,R75,0)</f>
        <v>0</v>
      </c>
      <c r="T75" s="13">
        <f t="shared" ref="T75:T138" si="12">IF(R75&gt;0,0,R75)</f>
        <v>-1823.7952000000514</v>
      </c>
      <c r="U75" s="15" t="str">
        <f t="shared" ref="U75:U138" si="13">IF(AND(LEN(G75)&gt;0,R75=0),"Open","")</f>
        <v/>
      </c>
    </row>
    <row r="76" spans="1:21" x14ac:dyDescent="0.25">
      <c r="A76" s="2" t="s">
        <v>697</v>
      </c>
      <c r="B76" s="3">
        <v>1000</v>
      </c>
      <c r="C76" s="3">
        <v>39.299999999999997</v>
      </c>
      <c r="D76" s="3">
        <v>39300</v>
      </c>
      <c r="E76" s="3">
        <v>30.889099999999999</v>
      </c>
      <c r="G76" s="2" t="s">
        <v>683</v>
      </c>
      <c r="H76" s="3">
        <v>10</v>
      </c>
      <c r="I76" s="3">
        <v>111.45</v>
      </c>
      <c r="J76" s="3">
        <v>1114.5</v>
      </c>
      <c r="K76" s="3">
        <v>34.213500000000003</v>
      </c>
      <c r="L76" s="20">
        <f t="shared" si="8"/>
        <v>1148.7135000000001</v>
      </c>
      <c r="M76" s="14" t="str">
        <f>VLOOKUP(G76,Sell!G:L,1,0)</f>
        <v>GUJMI</v>
      </c>
      <c r="N76" s="14">
        <f>IFERROR(VLOOKUP(G76,Sell!G:L,2,0),0)</f>
        <v>10</v>
      </c>
      <c r="O76" s="13">
        <f>IFERROR(VLOOKUP(G76,Sell!G:L,6,0),0)</f>
        <v>933.601</v>
      </c>
      <c r="P76" s="14">
        <f t="shared" si="7"/>
        <v>0</v>
      </c>
      <c r="Q76" s="13">
        <f t="shared" si="9"/>
        <v>-215.11250000000007</v>
      </c>
      <c r="R76" s="13">
        <f t="shared" si="10"/>
        <v>-215.11250000000007</v>
      </c>
      <c r="S76" s="13">
        <f t="shared" si="11"/>
        <v>0</v>
      </c>
      <c r="T76" s="13">
        <f t="shared" si="12"/>
        <v>-215.11250000000007</v>
      </c>
      <c r="U76" s="15" t="str">
        <f t="shared" si="13"/>
        <v/>
      </c>
    </row>
    <row r="77" spans="1:21" x14ac:dyDescent="0.25">
      <c r="A77" s="2" t="s">
        <v>706</v>
      </c>
      <c r="B77" s="3">
        <v>2000</v>
      </c>
      <c r="C77" s="3">
        <v>1431.88</v>
      </c>
      <c r="D77" s="3">
        <v>950981.15</v>
      </c>
      <c r="E77" s="3">
        <v>595.91890000000001</v>
      </c>
      <c r="G77" s="2" t="s">
        <v>697</v>
      </c>
      <c r="H77" s="3">
        <v>1000</v>
      </c>
      <c r="I77" s="3">
        <v>39.299999999999997</v>
      </c>
      <c r="J77" s="3">
        <v>39300</v>
      </c>
      <c r="K77" s="3">
        <v>30.889099999999999</v>
      </c>
      <c r="L77" s="20">
        <f t="shared" si="8"/>
        <v>39330.8891</v>
      </c>
      <c r="M77" s="14" t="str">
        <f>VLOOKUP(G77,Sell!G:L,1,0)</f>
        <v>TV18BR</v>
      </c>
      <c r="N77" s="14">
        <f>IFERROR(VLOOKUP(G77,Sell!G:L,2,0),0)</f>
        <v>1000</v>
      </c>
      <c r="O77" s="13">
        <f>IFERROR(VLOOKUP(G77,Sell!G:L,6,0),0)</f>
        <v>39559.612000000001</v>
      </c>
      <c r="P77" s="14">
        <f t="shared" si="7"/>
        <v>0</v>
      </c>
      <c r="Q77" s="13">
        <f t="shared" si="9"/>
        <v>228.72290000000066</v>
      </c>
      <c r="R77" s="13">
        <f t="shared" si="10"/>
        <v>228.72290000000066</v>
      </c>
      <c r="S77" s="13">
        <f t="shared" si="11"/>
        <v>228.72290000000066</v>
      </c>
      <c r="T77" s="13">
        <f t="shared" si="12"/>
        <v>0</v>
      </c>
      <c r="U77" s="15" t="str">
        <f t="shared" si="13"/>
        <v/>
      </c>
    </row>
    <row r="78" spans="1:21" x14ac:dyDescent="0.25">
      <c r="A78" s="2" t="s">
        <v>738</v>
      </c>
      <c r="B78" s="3">
        <v>84600</v>
      </c>
      <c r="C78" s="3">
        <v>11083.619999999999</v>
      </c>
      <c r="D78" s="3">
        <v>30658164.199999999</v>
      </c>
      <c r="E78" s="3">
        <v>19638.296400000003</v>
      </c>
      <c r="G78" s="2" t="s">
        <v>706</v>
      </c>
      <c r="H78" s="3">
        <v>2000</v>
      </c>
      <c r="I78" s="3">
        <v>1431.88</v>
      </c>
      <c r="J78" s="3">
        <v>950981.15</v>
      </c>
      <c r="K78" s="3">
        <v>595.91890000000001</v>
      </c>
      <c r="L78" s="20">
        <f t="shared" si="8"/>
        <v>951577.06890000007</v>
      </c>
      <c r="M78" s="14" t="str">
        <f>VLOOKUP(G78,Sell!G:L,1,0)</f>
        <v>BANBAN</v>
      </c>
      <c r="N78" s="14">
        <f>IFERROR(VLOOKUP(G78,Sell!G:L,2,0),0)</f>
        <v>2000</v>
      </c>
      <c r="O78" s="13">
        <f>IFERROR(VLOOKUP(G78,Sell!G:L,6,0),0)</f>
        <v>953106.82949999999</v>
      </c>
      <c r="P78" s="14">
        <f t="shared" si="7"/>
        <v>0</v>
      </c>
      <c r="Q78" s="13">
        <f t="shared" si="9"/>
        <v>1529.7605999999214</v>
      </c>
      <c r="R78" s="13">
        <f t="shared" si="10"/>
        <v>1529.7605999999214</v>
      </c>
      <c r="S78" s="13">
        <f t="shared" si="11"/>
        <v>1529.7605999999214</v>
      </c>
      <c r="T78" s="13">
        <f t="shared" si="12"/>
        <v>0</v>
      </c>
      <c r="U78" s="15" t="str">
        <f t="shared" si="13"/>
        <v/>
      </c>
    </row>
    <row r="79" spans="1:21" x14ac:dyDescent="0.25">
      <c r="A79" s="2" t="s">
        <v>800</v>
      </c>
      <c r="B79" s="3">
        <v>5100</v>
      </c>
      <c r="C79" s="3">
        <v>975.82999999999993</v>
      </c>
      <c r="D79" s="3">
        <v>1629181.3</v>
      </c>
      <c r="E79" s="3">
        <v>1028.4155000000001</v>
      </c>
      <c r="G79" s="2" t="s">
        <v>738</v>
      </c>
      <c r="H79" s="3">
        <v>84600</v>
      </c>
      <c r="I79" s="3">
        <v>11083.619999999999</v>
      </c>
      <c r="J79" s="3">
        <v>30658164.199999999</v>
      </c>
      <c r="K79" s="3">
        <v>19638.296400000003</v>
      </c>
      <c r="L79" s="20">
        <f t="shared" si="8"/>
        <v>30677802.496399999</v>
      </c>
      <c r="M79" s="14" t="str">
        <f>VLOOKUP(G79,Sell!G:L,1,0)</f>
        <v>ICIBAN</v>
      </c>
      <c r="N79" s="14">
        <f>IFERROR(VLOOKUP(G79,Sell!G:L,2,0),0)</f>
        <v>84600</v>
      </c>
      <c r="O79" s="13">
        <f>IFERROR(VLOOKUP(G79,Sell!G:L,6,0),0)</f>
        <v>30589114.589999996</v>
      </c>
      <c r="P79" s="14">
        <f t="shared" si="7"/>
        <v>0</v>
      </c>
      <c r="Q79" s="13">
        <f t="shared" si="9"/>
        <v>-88687.906400002539</v>
      </c>
      <c r="R79" s="13">
        <f t="shared" si="10"/>
        <v>-88687.906400002539</v>
      </c>
      <c r="S79" s="13">
        <f t="shared" si="11"/>
        <v>0</v>
      </c>
      <c r="T79" s="13">
        <f t="shared" si="12"/>
        <v>-88687.906400002539</v>
      </c>
      <c r="U79" s="15" t="str">
        <f t="shared" si="13"/>
        <v/>
      </c>
    </row>
    <row r="80" spans="1:21" x14ac:dyDescent="0.25">
      <c r="A80" s="2" t="s">
        <v>849</v>
      </c>
      <c r="B80" s="3">
        <v>4220</v>
      </c>
      <c r="C80" s="3">
        <v>3673.91</v>
      </c>
      <c r="D80" s="3">
        <v>854900.39999999991</v>
      </c>
      <c r="E80" s="3">
        <v>766.19979999999998</v>
      </c>
      <c r="G80" s="2" t="s">
        <v>800</v>
      </c>
      <c r="H80" s="3">
        <v>5100</v>
      </c>
      <c r="I80" s="3">
        <v>975.82999999999993</v>
      </c>
      <c r="J80" s="3">
        <v>1629181.3</v>
      </c>
      <c r="K80" s="3">
        <v>1028.4155000000001</v>
      </c>
      <c r="L80" s="20">
        <f t="shared" si="8"/>
        <v>1630209.7154999999</v>
      </c>
      <c r="M80" s="14" t="str">
        <f>VLOOKUP(G80,Sell!G:L,1,0)</f>
        <v>WIPRO</v>
      </c>
      <c r="N80" s="14">
        <f>IFERROR(VLOOKUP(G80,Sell!G:L,2,0),0)</f>
        <v>5100</v>
      </c>
      <c r="O80" s="13">
        <f>IFERROR(VLOOKUP(G80,Sell!G:L,6,0),0)</f>
        <v>1612870.7508</v>
      </c>
      <c r="P80" s="14">
        <f t="shared" si="7"/>
        <v>0</v>
      </c>
      <c r="Q80" s="13">
        <f t="shared" si="9"/>
        <v>-17338.964699999895</v>
      </c>
      <c r="R80" s="13">
        <f t="shared" si="10"/>
        <v>-17338.964699999895</v>
      </c>
      <c r="S80" s="13">
        <f t="shared" si="11"/>
        <v>0</v>
      </c>
      <c r="T80" s="13">
        <f t="shared" si="12"/>
        <v>-17338.964699999895</v>
      </c>
      <c r="U80" s="15" t="str">
        <f t="shared" si="13"/>
        <v/>
      </c>
    </row>
    <row r="81" spans="1:21" x14ac:dyDescent="0.25">
      <c r="A81" s="2" t="s">
        <v>862</v>
      </c>
      <c r="B81" s="3">
        <v>2952</v>
      </c>
      <c r="C81" s="3">
        <v>1932</v>
      </c>
      <c r="D81" s="3">
        <v>826394.75</v>
      </c>
      <c r="E81" s="3">
        <v>593.30779999999993</v>
      </c>
      <c r="G81" s="2" t="s">
        <v>849</v>
      </c>
      <c r="H81" s="3">
        <v>4220</v>
      </c>
      <c r="I81" s="3">
        <v>3673.91</v>
      </c>
      <c r="J81" s="3">
        <v>854900.39999999991</v>
      </c>
      <c r="K81" s="3">
        <v>766.19979999999998</v>
      </c>
      <c r="L81" s="20">
        <f t="shared" si="8"/>
        <v>855666.59979999985</v>
      </c>
      <c r="M81" s="14" t="str">
        <f>VLOOKUP(G81,Sell!G:L,1,0)</f>
        <v>JETAIR</v>
      </c>
      <c r="N81" s="14">
        <f>IFERROR(VLOOKUP(G81,Sell!G:L,2,0),0)</f>
        <v>4220</v>
      </c>
      <c r="O81" s="13">
        <f>IFERROR(VLOOKUP(G81,Sell!G:L,6,0),0)</f>
        <v>857170.03609999991</v>
      </c>
      <c r="P81" s="14">
        <f t="shared" si="7"/>
        <v>0</v>
      </c>
      <c r="Q81" s="13">
        <f t="shared" si="9"/>
        <v>1503.4363000000594</v>
      </c>
      <c r="R81" s="13">
        <f t="shared" si="10"/>
        <v>1503.4363000000594</v>
      </c>
      <c r="S81" s="13">
        <f t="shared" si="11"/>
        <v>1503.4363000000594</v>
      </c>
      <c r="T81" s="13">
        <f t="shared" si="12"/>
        <v>0</v>
      </c>
      <c r="U81" s="15" t="str">
        <f t="shared" si="13"/>
        <v/>
      </c>
    </row>
    <row r="82" spans="1:21" x14ac:dyDescent="0.25">
      <c r="A82" s="2" t="s">
        <v>871</v>
      </c>
      <c r="B82" s="3">
        <v>9450</v>
      </c>
      <c r="C82" s="3">
        <v>1478.84</v>
      </c>
      <c r="D82" s="3">
        <v>1561352.9</v>
      </c>
      <c r="E82" s="3">
        <v>1064.9752000000001</v>
      </c>
      <c r="G82" s="2" t="s">
        <v>862</v>
      </c>
      <c r="H82" s="3">
        <v>2952</v>
      </c>
      <c r="I82" s="3">
        <v>1932</v>
      </c>
      <c r="J82" s="3">
        <v>826394.75</v>
      </c>
      <c r="K82" s="3">
        <v>593.30779999999993</v>
      </c>
      <c r="L82" s="20">
        <f t="shared" si="8"/>
        <v>826988.05779999995</v>
      </c>
      <c r="M82" s="14" t="str">
        <f>VLOOKUP(G82,Sell!G:L,1,0)</f>
        <v>GRUFIN</v>
      </c>
      <c r="N82" s="14">
        <f>IFERROR(VLOOKUP(G82,Sell!G:L,2,0),0)</f>
        <v>2952</v>
      </c>
      <c r="O82" s="13">
        <f>IFERROR(VLOOKUP(G82,Sell!G:L,6,0),0)</f>
        <v>820254.63529999997</v>
      </c>
      <c r="P82" s="14">
        <f t="shared" si="7"/>
        <v>0</v>
      </c>
      <c r="Q82" s="13">
        <f t="shared" si="9"/>
        <v>-6733.422499999986</v>
      </c>
      <c r="R82" s="13">
        <f t="shared" si="10"/>
        <v>-6733.422499999986</v>
      </c>
      <c r="S82" s="13">
        <f t="shared" si="11"/>
        <v>0</v>
      </c>
      <c r="T82" s="13">
        <f t="shared" si="12"/>
        <v>-6733.422499999986</v>
      </c>
      <c r="U82" s="15" t="str">
        <f t="shared" si="13"/>
        <v/>
      </c>
    </row>
    <row r="83" spans="1:21" x14ac:dyDescent="0.25">
      <c r="A83" s="2" t="s">
        <v>888</v>
      </c>
      <c r="B83" s="3">
        <v>50</v>
      </c>
      <c r="C83" s="3">
        <v>1238</v>
      </c>
      <c r="D83" s="3">
        <v>61900</v>
      </c>
      <c r="E83" s="3">
        <v>42.5242</v>
      </c>
      <c r="G83" s="2" t="s">
        <v>871</v>
      </c>
      <c r="H83" s="3">
        <v>9450</v>
      </c>
      <c r="I83" s="3">
        <v>1478.84</v>
      </c>
      <c r="J83" s="3">
        <v>1561352.9</v>
      </c>
      <c r="K83" s="3">
        <v>1064.9752000000001</v>
      </c>
      <c r="L83" s="20">
        <f t="shared" si="8"/>
        <v>1562417.8751999999</v>
      </c>
      <c r="M83" s="14" t="str">
        <f>VLOOKUP(G83,Sell!G:L,1,0)</f>
        <v>VEDLIM</v>
      </c>
      <c r="N83" s="14">
        <f>IFERROR(VLOOKUP(G83,Sell!G:L,2,0),0)</f>
        <v>9450</v>
      </c>
      <c r="O83" s="13">
        <f>IFERROR(VLOOKUP(G83,Sell!G:L,6,0),0)</f>
        <v>1557068.9912</v>
      </c>
      <c r="P83" s="14">
        <f t="shared" si="7"/>
        <v>0</v>
      </c>
      <c r="Q83" s="13">
        <f t="shared" si="9"/>
        <v>-5348.8839999998454</v>
      </c>
      <c r="R83" s="13">
        <f t="shared" si="10"/>
        <v>-5348.8839999998454</v>
      </c>
      <c r="S83" s="13">
        <f t="shared" si="11"/>
        <v>0</v>
      </c>
      <c r="T83" s="13">
        <f t="shared" si="12"/>
        <v>-5348.8839999998454</v>
      </c>
      <c r="U83" s="15" t="str">
        <f t="shared" si="13"/>
        <v/>
      </c>
    </row>
    <row r="84" spans="1:21" x14ac:dyDescent="0.25">
      <c r="A84" s="2" t="s">
        <v>944</v>
      </c>
      <c r="B84" s="3">
        <v>1000</v>
      </c>
      <c r="C84" s="3">
        <v>54</v>
      </c>
      <c r="D84" s="3">
        <v>54000</v>
      </c>
      <c r="E84" s="3">
        <v>34.180999999999997</v>
      </c>
      <c r="G84" s="2" t="s">
        <v>888</v>
      </c>
      <c r="H84" s="3">
        <v>50</v>
      </c>
      <c r="I84" s="3">
        <v>1238</v>
      </c>
      <c r="J84" s="3">
        <v>61900</v>
      </c>
      <c r="K84" s="3">
        <v>42.5242</v>
      </c>
      <c r="L84" s="20">
        <f t="shared" si="8"/>
        <v>61942.5242</v>
      </c>
      <c r="M84" s="14" t="str">
        <f>VLOOKUP(G84,Sell!G:L,1,0)</f>
        <v>KOTMAH</v>
      </c>
      <c r="N84" s="14">
        <f>IFERROR(VLOOKUP(G84,Sell!G:L,2,0),0)</f>
        <v>50</v>
      </c>
      <c r="O84" s="13">
        <f>IFERROR(VLOOKUP(G84,Sell!G:L,6,0),0)</f>
        <v>60961.9211</v>
      </c>
      <c r="P84" s="14">
        <f t="shared" si="7"/>
        <v>0</v>
      </c>
      <c r="Q84" s="13">
        <f t="shared" si="9"/>
        <v>-980.60310000000027</v>
      </c>
      <c r="R84" s="13">
        <f t="shared" si="10"/>
        <v>-980.60310000000027</v>
      </c>
      <c r="S84" s="13">
        <f t="shared" si="11"/>
        <v>0</v>
      </c>
      <c r="T84" s="13">
        <f t="shared" si="12"/>
        <v>-980.60310000000027</v>
      </c>
      <c r="U84" s="15" t="str">
        <f t="shared" si="13"/>
        <v/>
      </c>
    </row>
    <row r="85" spans="1:21" x14ac:dyDescent="0.25">
      <c r="A85" s="2" t="s">
        <v>981</v>
      </c>
      <c r="B85" s="3">
        <v>13534</v>
      </c>
      <c r="C85" s="3">
        <v>4843.95</v>
      </c>
      <c r="D85" s="3">
        <v>2095030.45</v>
      </c>
      <c r="E85" s="3">
        <v>1856.9128000000001</v>
      </c>
      <c r="G85" s="2" t="s">
        <v>944</v>
      </c>
      <c r="H85" s="3">
        <v>1000</v>
      </c>
      <c r="I85" s="3">
        <v>54</v>
      </c>
      <c r="J85" s="3">
        <v>54000</v>
      </c>
      <c r="K85" s="3">
        <v>34.180999999999997</v>
      </c>
      <c r="L85" s="20">
        <f t="shared" si="8"/>
        <v>54034.180999999997</v>
      </c>
      <c r="M85" s="14" t="str">
        <f>VLOOKUP(G85,Sell!G:L,1,0)</f>
        <v>NATALU</v>
      </c>
      <c r="N85" s="14">
        <f>IFERROR(VLOOKUP(G85,Sell!G:L,2,0),0)</f>
        <v>1000</v>
      </c>
      <c r="O85" s="13">
        <f>IFERROR(VLOOKUP(G85,Sell!G:L,6,0),0)</f>
        <v>55101.447</v>
      </c>
      <c r="P85" s="14">
        <f t="shared" si="7"/>
        <v>0</v>
      </c>
      <c r="Q85" s="13">
        <f t="shared" si="9"/>
        <v>1067.2660000000033</v>
      </c>
      <c r="R85" s="13">
        <f t="shared" si="10"/>
        <v>1067.2660000000033</v>
      </c>
      <c r="S85" s="13">
        <f t="shared" si="11"/>
        <v>1067.2660000000033</v>
      </c>
      <c r="T85" s="13">
        <f t="shared" si="12"/>
        <v>0</v>
      </c>
      <c r="U85" s="15" t="str">
        <f t="shared" si="13"/>
        <v/>
      </c>
    </row>
    <row r="86" spans="1:21" x14ac:dyDescent="0.25">
      <c r="A86" s="2" t="s">
        <v>1023</v>
      </c>
      <c r="B86" s="3">
        <v>30500</v>
      </c>
      <c r="C86" s="3">
        <v>169.70000000000002</v>
      </c>
      <c r="D86" s="3">
        <v>864450</v>
      </c>
      <c r="E86" s="3">
        <v>572.8211</v>
      </c>
      <c r="G86" s="2" t="s">
        <v>981</v>
      </c>
      <c r="H86" s="3">
        <v>13534</v>
      </c>
      <c r="I86" s="3">
        <v>4843.95</v>
      </c>
      <c r="J86" s="3">
        <v>2095030.45</v>
      </c>
      <c r="K86" s="3">
        <v>1856.9128000000001</v>
      </c>
      <c r="L86" s="20">
        <f t="shared" si="8"/>
        <v>2096887.3628</v>
      </c>
      <c r="M86" s="14" t="str">
        <f>VLOOKUP(G86,Sell!G:L,1,0)</f>
        <v>INDOIL</v>
      </c>
      <c r="N86" s="14">
        <f>IFERROR(VLOOKUP(G86,Sell!G:L,2,0),0)</f>
        <v>13464</v>
      </c>
      <c r="O86" s="13">
        <f>IFERROR(VLOOKUP(G86,Sell!G:L,6,0),0)</f>
        <v>2091091.5736</v>
      </c>
      <c r="P86" s="14">
        <f t="shared" si="7"/>
        <v>70</v>
      </c>
      <c r="Q86" s="13">
        <f t="shared" si="9"/>
        <v>-5795.7891999999993</v>
      </c>
      <c r="R86" s="13">
        <f t="shared" si="10"/>
        <v>0</v>
      </c>
      <c r="S86" s="13">
        <f t="shared" si="11"/>
        <v>0</v>
      </c>
      <c r="T86" s="13">
        <f t="shared" si="12"/>
        <v>0</v>
      </c>
      <c r="U86" s="15" t="str">
        <f t="shared" si="13"/>
        <v>Open</v>
      </c>
    </row>
    <row r="87" spans="1:21" x14ac:dyDescent="0.25">
      <c r="A87" s="2" t="s">
        <v>1034</v>
      </c>
      <c r="B87" s="3">
        <v>5100</v>
      </c>
      <c r="C87" s="3">
        <v>1042.05</v>
      </c>
      <c r="D87" s="3">
        <v>1393150</v>
      </c>
      <c r="E87" s="3">
        <v>897.47339999999997</v>
      </c>
      <c r="G87" s="2" t="s">
        <v>1023</v>
      </c>
      <c r="H87" s="3">
        <v>30500</v>
      </c>
      <c r="I87" s="3">
        <v>169.70000000000002</v>
      </c>
      <c r="J87" s="3">
        <v>864450</v>
      </c>
      <c r="K87" s="3">
        <v>572.8211</v>
      </c>
      <c r="L87" s="20">
        <f t="shared" si="8"/>
        <v>865022.82109999994</v>
      </c>
      <c r="M87" s="14" t="str">
        <f>VLOOKUP(G87,Sell!G:L,1,0)</f>
        <v>JAIIRR</v>
      </c>
      <c r="N87" s="14">
        <f>IFERROR(VLOOKUP(G87,Sell!G:L,2,0),0)</f>
        <v>30500</v>
      </c>
      <c r="O87" s="13">
        <f>IFERROR(VLOOKUP(G87,Sell!G:L,6,0),0)</f>
        <v>851717.92790000001</v>
      </c>
      <c r="P87" s="14">
        <f t="shared" si="7"/>
        <v>0</v>
      </c>
      <c r="Q87" s="13">
        <f t="shared" si="9"/>
        <v>-13304.893199999933</v>
      </c>
      <c r="R87" s="13">
        <f t="shared" si="10"/>
        <v>-13304.893199999933</v>
      </c>
      <c r="S87" s="13">
        <f t="shared" si="11"/>
        <v>0</v>
      </c>
      <c r="T87" s="13">
        <f t="shared" si="12"/>
        <v>-13304.893199999933</v>
      </c>
      <c r="U87" s="15" t="str">
        <f t="shared" si="13"/>
        <v/>
      </c>
    </row>
    <row r="88" spans="1:21" x14ac:dyDescent="0.25">
      <c r="A88" s="2" t="s">
        <v>1037</v>
      </c>
      <c r="B88" s="3">
        <v>900</v>
      </c>
      <c r="C88" s="3">
        <v>4163.7</v>
      </c>
      <c r="D88" s="3">
        <v>538970</v>
      </c>
      <c r="E88" s="3">
        <v>341.9264</v>
      </c>
      <c r="G88" s="2" t="s">
        <v>1034</v>
      </c>
      <c r="H88" s="3">
        <v>5100</v>
      </c>
      <c r="I88" s="3">
        <v>1042.05</v>
      </c>
      <c r="J88" s="3">
        <v>1393150</v>
      </c>
      <c r="K88" s="3">
        <v>897.47339999999997</v>
      </c>
      <c r="L88" s="20">
        <f t="shared" si="8"/>
        <v>1394047.4734</v>
      </c>
      <c r="M88" s="14" t="str">
        <f>VLOOKUP(G88,Sell!G:L,1,0)</f>
        <v>CANBAN</v>
      </c>
      <c r="N88" s="14">
        <f>IFERROR(VLOOKUP(G88,Sell!G:L,2,0),0)</f>
        <v>5100</v>
      </c>
      <c r="O88" s="13">
        <f>IFERROR(VLOOKUP(G88,Sell!G:L,6,0),0)</f>
        <v>1386978.0104</v>
      </c>
      <c r="P88" s="14">
        <f t="shared" si="7"/>
        <v>0</v>
      </c>
      <c r="Q88" s="13">
        <f t="shared" si="9"/>
        <v>-7069.4629999999888</v>
      </c>
      <c r="R88" s="13">
        <f t="shared" si="10"/>
        <v>-7069.4629999999888</v>
      </c>
      <c r="S88" s="13">
        <f t="shared" si="11"/>
        <v>0</v>
      </c>
      <c r="T88" s="13">
        <f t="shared" si="12"/>
        <v>-7069.4629999999888</v>
      </c>
      <c r="U88" s="15" t="str">
        <f t="shared" si="13"/>
        <v/>
      </c>
    </row>
    <row r="89" spans="1:21" x14ac:dyDescent="0.25">
      <c r="A89" s="2" t="s">
        <v>1050</v>
      </c>
      <c r="B89" s="3">
        <v>300</v>
      </c>
      <c r="C89" s="3">
        <v>177.65</v>
      </c>
      <c r="D89" s="3">
        <v>53295</v>
      </c>
      <c r="E89" s="3">
        <v>65.208600000000004</v>
      </c>
      <c r="G89" s="2" t="s">
        <v>1037</v>
      </c>
      <c r="H89" s="3">
        <v>900</v>
      </c>
      <c r="I89" s="3">
        <v>4163.7</v>
      </c>
      <c r="J89" s="3">
        <v>538970</v>
      </c>
      <c r="K89" s="3">
        <v>341.9264</v>
      </c>
      <c r="L89" s="20">
        <f t="shared" si="8"/>
        <v>539311.9264</v>
      </c>
      <c r="M89" s="14" t="str">
        <f>VLOOKUP(G89,Sell!G:L,1,0)</f>
        <v>AURPHA</v>
      </c>
      <c r="N89" s="14">
        <f>IFERROR(VLOOKUP(G89,Sell!G:L,2,0),0)</f>
        <v>900</v>
      </c>
      <c r="O89" s="13">
        <f>IFERROR(VLOOKUP(G89,Sell!G:L,6,0),0)</f>
        <v>535754.51560000004</v>
      </c>
      <c r="P89" s="14">
        <f t="shared" si="7"/>
        <v>0</v>
      </c>
      <c r="Q89" s="13">
        <f t="shared" si="9"/>
        <v>-3557.4107999999542</v>
      </c>
      <c r="R89" s="13">
        <f t="shared" si="10"/>
        <v>-3557.4107999999542</v>
      </c>
      <c r="S89" s="13">
        <f t="shared" si="11"/>
        <v>0</v>
      </c>
      <c r="T89" s="13">
        <f t="shared" si="12"/>
        <v>-3557.4107999999542</v>
      </c>
      <c r="U89" s="15" t="str">
        <f t="shared" si="13"/>
        <v/>
      </c>
    </row>
    <row r="90" spans="1:21" x14ac:dyDescent="0.25">
      <c r="A90" s="2" t="s">
        <v>1054</v>
      </c>
      <c r="B90" s="3">
        <v>3200</v>
      </c>
      <c r="C90" s="3">
        <v>3374.75</v>
      </c>
      <c r="D90" s="3">
        <v>1533174.95</v>
      </c>
      <c r="E90" s="3">
        <v>971.48430000000008</v>
      </c>
      <c r="G90" s="2" t="s">
        <v>1050</v>
      </c>
      <c r="H90" s="3">
        <v>300</v>
      </c>
      <c r="I90" s="3">
        <v>177.65</v>
      </c>
      <c r="J90" s="3">
        <v>53295</v>
      </c>
      <c r="K90" s="3">
        <v>65.208600000000004</v>
      </c>
      <c r="L90" s="20">
        <f t="shared" si="8"/>
        <v>53360.208599999998</v>
      </c>
      <c r="M90" s="14" t="str">
        <f>VLOOKUP(G90,Sell!G:L,1,0)</f>
        <v>CHAFER</v>
      </c>
      <c r="N90" s="14">
        <f>IFERROR(VLOOKUP(G90,Sell!G:L,2,0),0)</f>
        <v>300</v>
      </c>
      <c r="O90" s="13">
        <f>IFERROR(VLOOKUP(G90,Sell!G:L,6,0),0)</f>
        <v>53525.360399999998</v>
      </c>
      <c r="P90" s="14">
        <f t="shared" si="7"/>
        <v>0</v>
      </c>
      <c r="Q90" s="13">
        <f t="shared" si="9"/>
        <v>165.15179999999964</v>
      </c>
      <c r="R90" s="13">
        <f t="shared" si="10"/>
        <v>165.15179999999964</v>
      </c>
      <c r="S90" s="13">
        <f t="shared" si="11"/>
        <v>165.15179999999964</v>
      </c>
      <c r="T90" s="13">
        <f t="shared" si="12"/>
        <v>0</v>
      </c>
      <c r="U90" s="15" t="str">
        <f t="shared" si="13"/>
        <v/>
      </c>
    </row>
    <row r="91" spans="1:21" x14ac:dyDescent="0.25">
      <c r="A91" s="2" t="s">
        <v>1066</v>
      </c>
      <c r="B91" s="3">
        <v>500</v>
      </c>
      <c r="C91" s="3">
        <v>58.4</v>
      </c>
      <c r="D91" s="3">
        <v>29200</v>
      </c>
      <c r="E91" s="3">
        <v>30.741199999999999</v>
      </c>
      <c r="G91" s="2" t="s">
        <v>1054</v>
      </c>
      <c r="H91" s="3">
        <v>3200</v>
      </c>
      <c r="I91" s="3">
        <v>3374.75</v>
      </c>
      <c r="J91" s="3">
        <v>1533174.95</v>
      </c>
      <c r="K91" s="3">
        <v>971.48430000000008</v>
      </c>
      <c r="L91" s="20">
        <f t="shared" si="8"/>
        <v>1534146.4342999998</v>
      </c>
      <c r="M91" s="14" t="str">
        <f>VLOOKUP(G91,Sell!G:L,1,0)</f>
        <v>TATSTE</v>
      </c>
      <c r="N91" s="14">
        <f>IFERROR(VLOOKUP(G91,Sell!G:L,2,0),0)</f>
        <v>3200</v>
      </c>
      <c r="O91" s="13">
        <f>IFERROR(VLOOKUP(G91,Sell!G:L,6,0),0)</f>
        <v>1535827.8685000001</v>
      </c>
      <c r="P91" s="14">
        <f t="shared" si="7"/>
        <v>0</v>
      </c>
      <c r="Q91" s="13">
        <f t="shared" si="9"/>
        <v>1681.4342000002507</v>
      </c>
      <c r="R91" s="13">
        <f t="shared" si="10"/>
        <v>1681.4342000002507</v>
      </c>
      <c r="S91" s="13">
        <f t="shared" si="11"/>
        <v>1681.4342000002507</v>
      </c>
      <c r="T91" s="13">
        <f t="shared" si="12"/>
        <v>0</v>
      </c>
      <c r="U91" s="15" t="str">
        <f t="shared" si="13"/>
        <v/>
      </c>
    </row>
    <row r="92" spans="1:21" x14ac:dyDescent="0.25">
      <c r="A92" s="2" t="s">
        <v>1077</v>
      </c>
      <c r="B92" s="3">
        <v>500</v>
      </c>
      <c r="C92" s="3">
        <v>105.3</v>
      </c>
      <c r="D92" s="3">
        <v>52650</v>
      </c>
      <c r="E92" s="3">
        <v>33.295499999999997</v>
      </c>
      <c r="G92" s="2" t="s">
        <v>1066</v>
      </c>
      <c r="H92" s="3">
        <v>500</v>
      </c>
      <c r="I92" s="3">
        <v>58.4</v>
      </c>
      <c r="J92" s="3">
        <v>29200</v>
      </c>
      <c r="K92" s="3">
        <v>30.741199999999999</v>
      </c>
      <c r="L92" s="20">
        <f t="shared" si="8"/>
        <v>29230.7412</v>
      </c>
      <c r="M92" s="14" t="str">
        <f>VLOOKUP(G92,Sell!G:L,1,0)</f>
        <v>RELINF</v>
      </c>
      <c r="N92" s="14">
        <f>IFERROR(VLOOKUP(G92,Sell!G:L,2,0),0)</f>
        <v>500</v>
      </c>
      <c r="O92" s="13">
        <f>IFERROR(VLOOKUP(G92,Sell!G:L,6,0),0)</f>
        <v>29511.9061</v>
      </c>
      <c r="P92" s="14">
        <f t="shared" si="7"/>
        <v>0</v>
      </c>
      <c r="Q92" s="13">
        <f t="shared" si="9"/>
        <v>281.16489999999976</v>
      </c>
      <c r="R92" s="13">
        <f t="shared" si="10"/>
        <v>281.16489999999976</v>
      </c>
      <c r="S92" s="13">
        <f t="shared" si="11"/>
        <v>281.16489999999976</v>
      </c>
      <c r="T92" s="13">
        <f t="shared" si="12"/>
        <v>0</v>
      </c>
      <c r="U92" s="15" t="str">
        <f t="shared" si="13"/>
        <v/>
      </c>
    </row>
    <row r="93" spans="1:21" x14ac:dyDescent="0.25">
      <c r="A93" s="2" t="s">
        <v>1081</v>
      </c>
      <c r="B93" s="3">
        <v>8000</v>
      </c>
      <c r="C93" s="3">
        <v>265.2</v>
      </c>
      <c r="D93" s="3">
        <v>703700</v>
      </c>
      <c r="E93" s="3">
        <v>476.59349999999995</v>
      </c>
      <c r="G93" s="2" t="s">
        <v>1077</v>
      </c>
      <c r="H93" s="3">
        <v>500</v>
      </c>
      <c r="I93" s="3">
        <v>105.3</v>
      </c>
      <c r="J93" s="3">
        <v>52650</v>
      </c>
      <c r="K93" s="3">
        <v>33.295499999999997</v>
      </c>
      <c r="L93" s="20">
        <f t="shared" si="8"/>
        <v>52683.2955</v>
      </c>
      <c r="M93" s="14" t="str">
        <f>VLOOKUP(G93,Sell!G:L,1,0)</f>
        <v>NATMIN</v>
      </c>
      <c r="N93" s="14">
        <f>IFERROR(VLOOKUP(G93,Sell!G:L,2,0),0)</f>
        <v>500</v>
      </c>
      <c r="O93" s="13">
        <f>IFERROR(VLOOKUP(G93,Sell!G:L,6,0),0)</f>
        <v>52203.838900000002</v>
      </c>
      <c r="P93" s="14">
        <f t="shared" si="7"/>
        <v>0</v>
      </c>
      <c r="Q93" s="13">
        <f t="shared" si="9"/>
        <v>-479.45659999999771</v>
      </c>
      <c r="R93" s="13">
        <f t="shared" si="10"/>
        <v>-479.45659999999771</v>
      </c>
      <c r="S93" s="13">
        <f t="shared" si="11"/>
        <v>0</v>
      </c>
      <c r="T93" s="13">
        <f t="shared" si="12"/>
        <v>-479.45659999999771</v>
      </c>
      <c r="U93" s="15" t="str">
        <f t="shared" si="13"/>
        <v/>
      </c>
    </row>
    <row r="94" spans="1:21" x14ac:dyDescent="0.25">
      <c r="A94" s="2" t="s">
        <v>1086</v>
      </c>
      <c r="B94" s="3">
        <v>25500</v>
      </c>
      <c r="C94" s="3">
        <v>967.40000000000009</v>
      </c>
      <c r="D94" s="3">
        <v>1646539.55</v>
      </c>
      <c r="E94" s="3">
        <v>1187.1091000000001</v>
      </c>
      <c r="G94" s="2" t="s">
        <v>1081</v>
      </c>
      <c r="H94" s="3">
        <v>8000</v>
      </c>
      <c r="I94" s="3">
        <v>265.2</v>
      </c>
      <c r="J94" s="3">
        <v>703700</v>
      </c>
      <c r="K94" s="3">
        <v>476.59349999999995</v>
      </c>
      <c r="L94" s="20">
        <f t="shared" si="8"/>
        <v>704176.59349999996</v>
      </c>
      <c r="M94" s="14" t="str">
        <f>VLOOKUP(G94,Sell!G:L,1,0)</f>
        <v>BANIND</v>
      </c>
      <c r="N94" s="14">
        <f>IFERROR(VLOOKUP(G94,Sell!G:L,2,0),0)</f>
        <v>8000</v>
      </c>
      <c r="O94" s="13">
        <f>IFERROR(VLOOKUP(G94,Sell!G:L,6,0),0)</f>
        <v>705545.1568</v>
      </c>
      <c r="P94" s="14">
        <f t="shared" si="7"/>
        <v>0</v>
      </c>
      <c r="Q94" s="13">
        <f t="shared" si="9"/>
        <v>1368.563300000038</v>
      </c>
      <c r="R94" s="13">
        <f t="shared" si="10"/>
        <v>1368.563300000038</v>
      </c>
      <c r="S94" s="13">
        <f t="shared" si="11"/>
        <v>1368.563300000038</v>
      </c>
      <c r="T94" s="13">
        <f t="shared" si="12"/>
        <v>0</v>
      </c>
      <c r="U94" s="15" t="str">
        <f t="shared" si="13"/>
        <v/>
      </c>
    </row>
    <row r="95" spans="1:21" x14ac:dyDescent="0.25">
      <c r="A95" s="2" t="s">
        <v>1091</v>
      </c>
      <c r="B95" s="3">
        <v>100</v>
      </c>
      <c r="C95" s="3">
        <v>329</v>
      </c>
      <c r="D95" s="3">
        <v>32900</v>
      </c>
      <c r="E95" s="3">
        <v>30.894400000000001</v>
      </c>
      <c r="G95" s="2" t="s">
        <v>1086</v>
      </c>
      <c r="H95" s="3">
        <v>25500</v>
      </c>
      <c r="I95" s="3">
        <v>967.40000000000009</v>
      </c>
      <c r="J95" s="3">
        <v>1646539.55</v>
      </c>
      <c r="K95" s="3">
        <v>1187.1091000000001</v>
      </c>
      <c r="L95" s="20">
        <f t="shared" si="8"/>
        <v>1647726.6591</v>
      </c>
      <c r="M95" s="14" t="str">
        <f>VLOOKUP(G95,Sell!G:L,1,0)</f>
        <v>NAGCON</v>
      </c>
      <c r="N95" s="14">
        <f>IFERROR(VLOOKUP(G95,Sell!G:L,2,0),0)</f>
        <v>25500</v>
      </c>
      <c r="O95" s="13">
        <f>IFERROR(VLOOKUP(G95,Sell!G:L,6,0),0)</f>
        <v>1624896.3768</v>
      </c>
      <c r="P95" s="14">
        <f t="shared" si="7"/>
        <v>0</v>
      </c>
      <c r="Q95" s="13">
        <f t="shared" si="9"/>
        <v>-22830.282300000079</v>
      </c>
      <c r="R95" s="13">
        <f t="shared" si="10"/>
        <v>-22830.282300000079</v>
      </c>
      <c r="S95" s="13">
        <f t="shared" si="11"/>
        <v>0</v>
      </c>
      <c r="T95" s="13">
        <f t="shared" si="12"/>
        <v>-22830.282300000079</v>
      </c>
      <c r="U95" s="15" t="str">
        <f t="shared" si="13"/>
        <v/>
      </c>
    </row>
    <row r="96" spans="1:21" x14ac:dyDescent="0.25">
      <c r="A96" s="2" t="s">
        <v>1096</v>
      </c>
      <c r="B96" s="3">
        <v>10</v>
      </c>
      <c r="C96" s="3">
        <v>3536</v>
      </c>
      <c r="D96" s="3">
        <v>35360</v>
      </c>
      <c r="E96" s="3">
        <v>31.003</v>
      </c>
      <c r="G96" s="2" t="s">
        <v>1091</v>
      </c>
      <c r="H96" s="3">
        <v>100</v>
      </c>
      <c r="I96" s="3">
        <v>329</v>
      </c>
      <c r="J96" s="3">
        <v>32900</v>
      </c>
      <c r="K96" s="3">
        <v>30.894400000000001</v>
      </c>
      <c r="L96" s="20">
        <f t="shared" si="8"/>
        <v>32930.894399999997</v>
      </c>
      <c r="M96" s="14" t="str">
        <f>VLOOKUP(G96,Sell!G:L,1,0)</f>
        <v>BERPAI</v>
      </c>
      <c r="N96" s="14">
        <f>IFERROR(VLOOKUP(G96,Sell!G:L,2,0),0)</f>
        <v>100</v>
      </c>
      <c r="O96" s="13">
        <f>IFERROR(VLOOKUP(G96,Sell!G:L,6,0),0)</f>
        <v>32684.202000000001</v>
      </c>
      <c r="P96" s="14">
        <f t="shared" si="7"/>
        <v>0</v>
      </c>
      <c r="Q96" s="13">
        <f t="shared" si="9"/>
        <v>-246.69239999999627</v>
      </c>
      <c r="R96" s="13">
        <f t="shared" si="10"/>
        <v>-246.69239999999627</v>
      </c>
      <c r="S96" s="13">
        <f t="shared" si="11"/>
        <v>0</v>
      </c>
      <c r="T96" s="13">
        <f t="shared" si="12"/>
        <v>-246.69239999999627</v>
      </c>
      <c r="U96" s="15" t="str">
        <f t="shared" si="13"/>
        <v/>
      </c>
    </row>
    <row r="97" spans="1:21" x14ac:dyDescent="0.25">
      <c r="A97" s="2" t="s">
        <v>1098</v>
      </c>
      <c r="B97" s="3">
        <v>100</v>
      </c>
      <c r="C97" s="3">
        <v>1340</v>
      </c>
      <c r="D97" s="3">
        <v>134000</v>
      </c>
      <c r="E97" s="3">
        <v>84.754000000000005</v>
      </c>
      <c r="G97" s="2" t="s">
        <v>1096</v>
      </c>
      <c r="H97" s="3">
        <v>10</v>
      </c>
      <c r="I97" s="3">
        <v>3536</v>
      </c>
      <c r="J97" s="3">
        <v>35360</v>
      </c>
      <c r="K97" s="3">
        <v>31.003</v>
      </c>
      <c r="L97" s="20">
        <f t="shared" si="8"/>
        <v>35391.002999999997</v>
      </c>
      <c r="M97" s="14" t="str">
        <f>VLOOKUP(G97,Sell!G:L,1,0)</f>
        <v>BAJFI</v>
      </c>
      <c r="N97" s="14">
        <f>IFERROR(VLOOKUP(G97,Sell!G:L,2,0),0)</f>
        <v>10</v>
      </c>
      <c r="O97" s="13">
        <f>IFERROR(VLOOKUP(G97,Sell!G:L,6,0),0)</f>
        <v>35070.196000000004</v>
      </c>
      <c r="P97" s="14">
        <f t="shared" si="7"/>
        <v>0</v>
      </c>
      <c r="Q97" s="13">
        <f t="shared" si="9"/>
        <v>-320.80699999999342</v>
      </c>
      <c r="R97" s="13">
        <f t="shared" si="10"/>
        <v>-320.80699999999342</v>
      </c>
      <c r="S97" s="13">
        <f t="shared" si="11"/>
        <v>0</v>
      </c>
      <c r="T97" s="13">
        <f t="shared" si="12"/>
        <v>-320.80699999999342</v>
      </c>
      <c r="U97" s="15" t="str">
        <f t="shared" si="13"/>
        <v/>
      </c>
    </row>
    <row r="98" spans="1:21" x14ac:dyDescent="0.25">
      <c r="A98" s="2" t="s">
        <v>1101</v>
      </c>
      <c r="B98" s="3">
        <v>100</v>
      </c>
      <c r="C98" s="3">
        <v>410</v>
      </c>
      <c r="D98" s="3">
        <v>41000</v>
      </c>
      <c r="E98" s="3">
        <v>31.245999999999999</v>
      </c>
      <c r="G98" s="2" t="s">
        <v>1098</v>
      </c>
      <c r="H98" s="3">
        <v>100</v>
      </c>
      <c r="I98" s="3">
        <v>1340</v>
      </c>
      <c r="J98" s="3">
        <v>134000</v>
      </c>
      <c r="K98" s="3">
        <v>84.754000000000005</v>
      </c>
      <c r="L98" s="20">
        <f t="shared" si="8"/>
        <v>134084.75399999999</v>
      </c>
      <c r="M98" s="14" t="str">
        <f>VLOOKUP(G98,Sell!G:L,1,0)</f>
        <v>NIITEC</v>
      </c>
      <c r="N98" s="14">
        <f>IFERROR(VLOOKUP(G98,Sell!G:L,2,0),0)</f>
        <v>100</v>
      </c>
      <c r="O98" s="13">
        <f>IFERROR(VLOOKUP(G98,Sell!G:L,6,0),0)</f>
        <v>134231.4933</v>
      </c>
      <c r="P98" s="14">
        <f t="shared" si="7"/>
        <v>0</v>
      </c>
      <c r="Q98" s="13">
        <f t="shared" si="9"/>
        <v>146.73930000001565</v>
      </c>
      <c r="R98" s="13">
        <f t="shared" si="10"/>
        <v>146.73930000001565</v>
      </c>
      <c r="S98" s="13">
        <f t="shared" si="11"/>
        <v>146.73930000001565</v>
      </c>
      <c r="T98" s="13">
        <f t="shared" si="12"/>
        <v>0</v>
      </c>
      <c r="U98" s="15" t="str">
        <f t="shared" si="13"/>
        <v/>
      </c>
    </row>
    <row r="99" spans="1:21" x14ac:dyDescent="0.25">
      <c r="A99" s="2" t="s">
        <v>1105</v>
      </c>
      <c r="B99" s="3">
        <v>350</v>
      </c>
      <c r="C99" s="3">
        <v>3584</v>
      </c>
      <c r="D99" s="3">
        <v>312035</v>
      </c>
      <c r="E99" s="3">
        <v>205.80330000000001</v>
      </c>
      <c r="G99" s="2" t="s">
        <v>1101</v>
      </c>
      <c r="H99" s="3">
        <v>100</v>
      </c>
      <c r="I99" s="3">
        <v>410</v>
      </c>
      <c r="J99" s="3">
        <v>41000</v>
      </c>
      <c r="K99" s="3">
        <v>31.245999999999999</v>
      </c>
      <c r="L99" s="20">
        <f t="shared" si="8"/>
        <v>41031.245999999999</v>
      </c>
      <c r="M99" s="14" t="str">
        <f>VLOOKUP(G99,Sell!G:L,1,0)</f>
        <v>DABIND</v>
      </c>
      <c r="N99" s="14">
        <f>IFERROR(VLOOKUP(G99,Sell!G:L,2,0),0)</f>
        <v>100</v>
      </c>
      <c r="O99" s="13">
        <f>IFERROR(VLOOKUP(G99,Sell!G:L,6,0),0)</f>
        <v>41158.466800000002</v>
      </c>
      <c r="P99" s="14">
        <f t="shared" si="7"/>
        <v>0</v>
      </c>
      <c r="Q99" s="13">
        <f t="shared" si="9"/>
        <v>127.22080000000278</v>
      </c>
      <c r="R99" s="13">
        <f t="shared" si="10"/>
        <v>127.22080000000278</v>
      </c>
      <c r="S99" s="13">
        <f t="shared" si="11"/>
        <v>127.22080000000278</v>
      </c>
      <c r="T99" s="13">
        <f t="shared" si="12"/>
        <v>0</v>
      </c>
      <c r="U99" s="15" t="str">
        <f t="shared" si="13"/>
        <v/>
      </c>
    </row>
    <row r="100" spans="1:21" x14ac:dyDescent="0.25">
      <c r="A100" s="2" t="s">
        <v>1107</v>
      </c>
      <c r="B100" s="3">
        <v>590</v>
      </c>
      <c r="C100" s="3">
        <v>189</v>
      </c>
      <c r="D100" s="3">
        <v>111510</v>
      </c>
      <c r="E100" s="3">
        <v>97.5244</v>
      </c>
      <c r="G100" s="2" t="s">
        <v>1105</v>
      </c>
      <c r="H100" s="3">
        <v>350</v>
      </c>
      <c r="I100" s="3">
        <v>3584</v>
      </c>
      <c r="J100" s="3">
        <v>312035</v>
      </c>
      <c r="K100" s="3">
        <v>205.80330000000001</v>
      </c>
      <c r="L100" s="20">
        <f t="shared" si="8"/>
        <v>312240.80330000003</v>
      </c>
      <c r="M100" s="14" t="str">
        <f>VLOOKUP(G100,Sell!G:L,1,0)</f>
        <v>CEAT</v>
      </c>
      <c r="N100" s="14">
        <f>IFERROR(VLOOKUP(G100,Sell!G:L,2,0),0)</f>
        <v>350</v>
      </c>
      <c r="O100" s="13">
        <f>IFERROR(VLOOKUP(G100,Sell!G:L,6,0),0)</f>
        <v>312142.53249999997</v>
      </c>
      <c r="P100" s="14">
        <f t="shared" si="7"/>
        <v>0</v>
      </c>
      <c r="Q100" s="13">
        <f t="shared" si="9"/>
        <v>-98.270800000056624</v>
      </c>
      <c r="R100" s="13">
        <f t="shared" si="10"/>
        <v>-98.270800000056624</v>
      </c>
      <c r="S100" s="13">
        <f t="shared" si="11"/>
        <v>0</v>
      </c>
      <c r="T100" s="13">
        <f t="shared" si="12"/>
        <v>-98.270800000056624</v>
      </c>
      <c r="U100" s="15" t="str">
        <f t="shared" si="13"/>
        <v/>
      </c>
    </row>
    <row r="101" spans="1:21" x14ac:dyDescent="0.25">
      <c r="A101" s="2" t="s">
        <v>1109</v>
      </c>
      <c r="B101" s="3">
        <v>400</v>
      </c>
      <c r="C101" s="3">
        <v>315.27999999999997</v>
      </c>
      <c r="D101" s="3">
        <v>63055.6</v>
      </c>
      <c r="E101" s="3">
        <v>61.690200000000004</v>
      </c>
      <c r="G101" s="2" t="s">
        <v>1107</v>
      </c>
      <c r="H101" s="3">
        <v>590</v>
      </c>
      <c r="I101" s="3">
        <v>189</v>
      </c>
      <c r="J101" s="3">
        <v>111510</v>
      </c>
      <c r="K101" s="3">
        <v>97.5244</v>
      </c>
      <c r="L101" s="20">
        <f t="shared" si="8"/>
        <v>111607.52439999999</v>
      </c>
      <c r="M101" s="14" t="str">
        <f>VLOOKUP(G101,Sell!G:L,1,0)</f>
        <v>DLFLIM</v>
      </c>
      <c r="N101" s="14">
        <f>IFERROR(VLOOKUP(G101,Sell!G:L,2,0),0)</f>
        <v>590</v>
      </c>
      <c r="O101" s="13">
        <f>IFERROR(VLOOKUP(G101,Sell!G:L,6,0),0)</f>
        <v>109937.86870000001</v>
      </c>
      <c r="P101" s="14">
        <f t="shared" si="7"/>
        <v>0</v>
      </c>
      <c r="Q101" s="13">
        <f t="shared" si="9"/>
        <v>-1669.6556999999884</v>
      </c>
      <c r="R101" s="13">
        <f t="shared" si="10"/>
        <v>-1669.6556999999884</v>
      </c>
      <c r="S101" s="13">
        <f t="shared" si="11"/>
        <v>0</v>
      </c>
      <c r="T101" s="13">
        <f t="shared" si="12"/>
        <v>-1669.6556999999884</v>
      </c>
      <c r="U101" s="15" t="str">
        <f t="shared" si="13"/>
        <v/>
      </c>
    </row>
    <row r="102" spans="1:21" x14ac:dyDescent="0.25">
      <c r="A102" s="2" t="s">
        <v>1115</v>
      </c>
      <c r="B102" s="3">
        <v>574</v>
      </c>
      <c r="C102" s="3">
        <v>301.25</v>
      </c>
      <c r="D102" s="3">
        <v>86618.5</v>
      </c>
      <c r="E102" s="3">
        <v>77.718199999999996</v>
      </c>
      <c r="G102" s="2" t="s">
        <v>1109</v>
      </c>
      <c r="H102" s="3">
        <v>400</v>
      </c>
      <c r="I102" s="3">
        <v>315.27999999999997</v>
      </c>
      <c r="J102" s="3">
        <v>63055.6</v>
      </c>
      <c r="K102" s="3">
        <v>61.690200000000004</v>
      </c>
      <c r="L102" s="20">
        <f t="shared" si="8"/>
        <v>63117.290199999996</v>
      </c>
      <c r="M102" s="14" t="str">
        <f>VLOOKUP(G102,Sell!G:L,1,0)</f>
        <v>JINSP</v>
      </c>
      <c r="N102" s="14">
        <f>IFERROR(VLOOKUP(G102,Sell!G:L,2,0),0)</f>
        <v>400</v>
      </c>
      <c r="O102" s="13">
        <f>IFERROR(VLOOKUP(G102,Sell!G:L,6,0),0)</f>
        <v>62822.585599999999</v>
      </c>
      <c r="P102" s="14">
        <f t="shared" si="7"/>
        <v>0</v>
      </c>
      <c r="Q102" s="13">
        <f t="shared" si="9"/>
        <v>-294.7045999999973</v>
      </c>
      <c r="R102" s="13">
        <f t="shared" si="10"/>
        <v>-294.7045999999973</v>
      </c>
      <c r="S102" s="13">
        <f t="shared" si="11"/>
        <v>0</v>
      </c>
      <c r="T102" s="13">
        <f t="shared" si="12"/>
        <v>-294.7045999999973</v>
      </c>
      <c r="U102" s="15" t="str">
        <f t="shared" si="13"/>
        <v/>
      </c>
    </row>
    <row r="103" spans="1:21" x14ac:dyDescent="0.25">
      <c r="A103" s="2" t="s">
        <v>1121</v>
      </c>
      <c r="B103" s="3">
        <v>325</v>
      </c>
      <c r="C103" s="3">
        <v>4880.5</v>
      </c>
      <c r="D103" s="3">
        <v>530362.5</v>
      </c>
      <c r="E103" s="3">
        <v>340.52930000000003</v>
      </c>
      <c r="G103" s="2" t="s">
        <v>1115</v>
      </c>
      <c r="H103" s="3">
        <v>574</v>
      </c>
      <c r="I103" s="3">
        <v>301.25</v>
      </c>
      <c r="J103" s="3">
        <v>86618.5</v>
      </c>
      <c r="K103" s="3">
        <v>77.718199999999996</v>
      </c>
      <c r="L103" s="20">
        <f t="shared" si="8"/>
        <v>86696.218200000003</v>
      </c>
      <c r="M103" s="14" t="str">
        <f>VLOOKUP(G103,Sell!G:L,1,0)</f>
        <v>RURELE</v>
      </c>
      <c r="N103" s="14">
        <f>IFERROR(VLOOKUP(G103,Sell!G:L,2,0),0)</f>
        <v>574</v>
      </c>
      <c r="O103" s="13">
        <f>IFERROR(VLOOKUP(G103,Sell!G:L,6,0),0)</f>
        <v>87202.837</v>
      </c>
      <c r="P103" s="14">
        <f t="shared" si="7"/>
        <v>0</v>
      </c>
      <c r="Q103" s="13">
        <f t="shared" si="9"/>
        <v>506.61879999999655</v>
      </c>
      <c r="R103" s="13">
        <f t="shared" si="10"/>
        <v>506.61879999999655</v>
      </c>
      <c r="S103" s="13">
        <f t="shared" si="11"/>
        <v>506.61879999999655</v>
      </c>
      <c r="T103" s="13">
        <f t="shared" si="12"/>
        <v>0</v>
      </c>
      <c r="U103" s="15" t="str">
        <f t="shared" si="13"/>
        <v/>
      </c>
    </row>
    <row r="104" spans="1:21" x14ac:dyDescent="0.25">
      <c r="A104" s="2" t="s">
        <v>1128</v>
      </c>
      <c r="B104" s="3">
        <v>1500</v>
      </c>
      <c r="C104" s="3">
        <v>244.65</v>
      </c>
      <c r="D104" s="3">
        <v>177900</v>
      </c>
      <c r="E104" s="3">
        <v>112.50449999999999</v>
      </c>
      <c r="G104" s="2" t="s">
        <v>1121</v>
      </c>
      <c r="H104" s="3">
        <v>325</v>
      </c>
      <c r="I104" s="3">
        <v>4880.5</v>
      </c>
      <c r="J104" s="3">
        <v>530362.5</v>
      </c>
      <c r="K104" s="3">
        <v>340.52930000000003</v>
      </c>
      <c r="L104" s="20">
        <f t="shared" si="8"/>
        <v>530703.02930000005</v>
      </c>
      <c r="M104" s="14" t="str">
        <f>VLOOKUP(G104,Sell!G:L,1,0)</f>
        <v>ACC</v>
      </c>
      <c r="N104" s="14">
        <f>IFERROR(VLOOKUP(G104,Sell!G:L,2,0),0)</f>
        <v>325</v>
      </c>
      <c r="O104" s="13">
        <f>IFERROR(VLOOKUP(G104,Sell!G:L,6,0),0)</f>
        <v>530264.63470000005</v>
      </c>
      <c r="P104" s="14">
        <f t="shared" si="7"/>
        <v>0</v>
      </c>
      <c r="Q104" s="13">
        <f t="shared" si="9"/>
        <v>-438.39459999999963</v>
      </c>
      <c r="R104" s="13">
        <f t="shared" si="10"/>
        <v>-438.39459999999963</v>
      </c>
      <c r="S104" s="13">
        <f t="shared" si="11"/>
        <v>0</v>
      </c>
      <c r="T104" s="13">
        <f t="shared" si="12"/>
        <v>-438.39459999999963</v>
      </c>
      <c r="U104" s="15" t="str">
        <f t="shared" si="13"/>
        <v/>
      </c>
    </row>
    <row r="105" spans="1:21" x14ac:dyDescent="0.25">
      <c r="A105" s="2" t="s">
        <v>1131</v>
      </c>
      <c r="B105" s="3">
        <v>1500</v>
      </c>
      <c r="C105" s="3">
        <v>1883.27</v>
      </c>
      <c r="D105" s="3">
        <v>561614.1</v>
      </c>
      <c r="E105" s="3">
        <v>369.46820000000002</v>
      </c>
      <c r="G105" s="2" t="s">
        <v>1128</v>
      </c>
      <c r="H105" s="3">
        <v>1500</v>
      </c>
      <c r="I105" s="3">
        <v>244.65</v>
      </c>
      <c r="J105" s="3">
        <v>177900</v>
      </c>
      <c r="K105" s="3">
        <v>112.50449999999999</v>
      </c>
      <c r="L105" s="20">
        <f t="shared" si="8"/>
        <v>178012.50450000001</v>
      </c>
      <c r="M105" s="14" t="str">
        <f>VLOOKUP(G105,Sell!G:L,1,0)</f>
        <v>POWFIN</v>
      </c>
      <c r="N105" s="14">
        <f>IFERROR(VLOOKUP(G105,Sell!G:L,2,0),0)</f>
        <v>1500</v>
      </c>
      <c r="O105" s="13">
        <f>IFERROR(VLOOKUP(G105,Sell!G:L,6,0),0)</f>
        <v>179791.6219</v>
      </c>
      <c r="P105" s="14">
        <f t="shared" si="7"/>
        <v>0</v>
      </c>
      <c r="Q105" s="13">
        <f t="shared" si="9"/>
        <v>1779.1173999999883</v>
      </c>
      <c r="R105" s="13">
        <f t="shared" si="10"/>
        <v>1779.1173999999883</v>
      </c>
      <c r="S105" s="13">
        <f t="shared" si="11"/>
        <v>1779.1173999999883</v>
      </c>
      <c r="T105" s="13">
        <f t="shared" si="12"/>
        <v>0</v>
      </c>
      <c r="U105" s="15" t="str">
        <f t="shared" si="13"/>
        <v/>
      </c>
    </row>
    <row r="106" spans="1:21" x14ac:dyDescent="0.25">
      <c r="A106" s="2" t="s">
        <v>1136</v>
      </c>
      <c r="B106" s="3">
        <v>300</v>
      </c>
      <c r="C106" s="3">
        <v>238.6</v>
      </c>
      <c r="D106" s="3">
        <v>71580</v>
      </c>
      <c r="E106" s="3">
        <v>127.167</v>
      </c>
      <c r="G106" s="2" t="s">
        <v>1131</v>
      </c>
      <c r="H106" s="3">
        <v>1500</v>
      </c>
      <c r="I106" s="3">
        <v>1883.27</v>
      </c>
      <c r="J106" s="3">
        <v>561614.1</v>
      </c>
      <c r="K106" s="3">
        <v>369.46820000000002</v>
      </c>
      <c r="L106" s="20">
        <f t="shared" si="8"/>
        <v>561983.56819999998</v>
      </c>
      <c r="M106" s="14" t="str">
        <f>VLOOKUP(G106,Sell!G:L,1,0)</f>
        <v>MARLIM</v>
      </c>
      <c r="N106" s="14">
        <f>IFERROR(VLOOKUP(G106,Sell!G:L,2,0),0)</f>
        <v>1500</v>
      </c>
      <c r="O106" s="13">
        <f>IFERROR(VLOOKUP(G106,Sell!G:L,6,0),0)</f>
        <v>563127.87919999997</v>
      </c>
      <c r="P106" s="14">
        <f t="shared" si="7"/>
        <v>0</v>
      </c>
      <c r="Q106" s="13">
        <f t="shared" si="9"/>
        <v>1144.310999999987</v>
      </c>
      <c r="R106" s="13">
        <f t="shared" si="10"/>
        <v>1144.310999999987</v>
      </c>
      <c r="S106" s="13">
        <f t="shared" si="11"/>
        <v>1144.310999999987</v>
      </c>
      <c r="T106" s="13">
        <f t="shared" si="12"/>
        <v>0</v>
      </c>
      <c r="U106" s="15" t="str">
        <f t="shared" si="13"/>
        <v/>
      </c>
    </row>
    <row r="107" spans="1:21" x14ac:dyDescent="0.25">
      <c r="A107" s="2" t="s">
        <v>1147</v>
      </c>
      <c r="B107" s="3">
        <v>1850</v>
      </c>
      <c r="C107" s="3">
        <v>830.9</v>
      </c>
      <c r="D107" s="3">
        <v>358950</v>
      </c>
      <c r="E107" s="3">
        <v>1873.4175</v>
      </c>
      <c r="G107" s="2" t="s">
        <v>1136</v>
      </c>
      <c r="H107" s="3">
        <v>300</v>
      </c>
      <c r="I107" s="3">
        <v>238.6</v>
      </c>
      <c r="J107" s="3">
        <v>71580</v>
      </c>
      <c r="K107" s="3">
        <v>127.167</v>
      </c>
      <c r="L107" s="20">
        <f t="shared" si="8"/>
        <v>71707.167000000001</v>
      </c>
      <c r="M107" s="14" t="str">
        <f>VLOOKUP(G107,Sell!G:L,1,0)</f>
        <v>DCB</v>
      </c>
      <c r="N107" s="14">
        <f>IFERROR(VLOOKUP(G107,Sell!G:L,2,0),0)</f>
        <v>300</v>
      </c>
      <c r="O107" s="13">
        <f>IFERROR(VLOOKUP(G107,Sell!G:L,6,0),0)</f>
        <v>71630.0383</v>
      </c>
      <c r="P107" s="14">
        <f t="shared" si="7"/>
        <v>0</v>
      </c>
      <c r="Q107" s="13">
        <f t="shared" si="9"/>
        <v>-77.128700000001118</v>
      </c>
      <c r="R107" s="13">
        <f t="shared" si="10"/>
        <v>-77.128700000001118</v>
      </c>
      <c r="S107" s="13">
        <f t="shared" si="11"/>
        <v>0</v>
      </c>
      <c r="T107" s="13">
        <f t="shared" si="12"/>
        <v>-77.128700000001118</v>
      </c>
      <c r="U107" s="15" t="str">
        <f t="shared" si="13"/>
        <v/>
      </c>
    </row>
    <row r="108" spans="1:21" x14ac:dyDescent="0.25">
      <c r="A108" s="2" t="s">
        <v>1153</v>
      </c>
      <c r="B108" s="3">
        <v>100</v>
      </c>
      <c r="C108" s="3">
        <v>1095.9000000000001</v>
      </c>
      <c r="D108" s="3">
        <v>109590.35</v>
      </c>
      <c r="E108" s="3">
        <v>69.295299999999997</v>
      </c>
      <c r="G108" s="2" t="s">
        <v>1147</v>
      </c>
      <c r="H108" s="3">
        <v>1850</v>
      </c>
      <c r="I108" s="3">
        <v>830.9</v>
      </c>
      <c r="J108" s="3">
        <v>358950</v>
      </c>
      <c r="K108" s="3">
        <v>1873.4175</v>
      </c>
      <c r="L108" s="20">
        <f t="shared" si="8"/>
        <v>360823.41749999998</v>
      </c>
      <c r="M108" s="14" t="str">
        <f>VLOOKUP(G108,Sell!G:L,1,0)</f>
        <v>COALIN</v>
      </c>
      <c r="N108" s="14">
        <f>IFERROR(VLOOKUP(G108,Sell!G:L,2,0),0)</f>
        <v>1850</v>
      </c>
      <c r="O108" s="13">
        <f>IFERROR(VLOOKUP(G108,Sell!G:L,6,0),0)</f>
        <v>352163.20890000003</v>
      </c>
      <c r="P108" s="14">
        <f t="shared" si="7"/>
        <v>0</v>
      </c>
      <c r="Q108" s="13">
        <f t="shared" si="9"/>
        <v>-8660.2085999999545</v>
      </c>
      <c r="R108" s="13">
        <f t="shared" si="10"/>
        <v>-8660.2085999999545</v>
      </c>
      <c r="S108" s="13">
        <f t="shared" si="11"/>
        <v>0</v>
      </c>
      <c r="T108" s="13">
        <f t="shared" si="12"/>
        <v>-8660.2085999999545</v>
      </c>
      <c r="U108" s="15" t="str">
        <f t="shared" si="13"/>
        <v/>
      </c>
    </row>
    <row r="109" spans="1:21" x14ac:dyDescent="0.25">
      <c r="A109" s="2" t="s">
        <v>1156</v>
      </c>
      <c r="B109" s="3">
        <v>43775</v>
      </c>
      <c r="C109" s="3">
        <v>1032.1300000000001</v>
      </c>
      <c r="D109" s="3">
        <v>2790684</v>
      </c>
      <c r="E109" s="3">
        <v>1781.5633999999998</v>
      </c>
      <c r="G109" s="2" t="s">
        <v>1153</v>
      </c>
      <c r="H109" s="3">
        <v>100</v>
      </c>
      <c r="I109" s="3">
        <v>1095.9000000000001</v>
      </c>
      <c r="J109" s="3">
        <v>109590.35</v>
      </c>
      <c r="K109" s="3">
        <v>69.295299999999997</v>
      </c>
      <c r="L109" s="20">
        <f t="shared" si="8"/>
        <v>109659.6453</v>
      </c>
      <c r="M109" s="14" t="str">
        <f>VLOOKUP(G109,Sell!G:L,1,0)</f>
        <v>HCLTEC</v>
      </c>
      <c r="N109" s="14">
        <f>IFERROR(VLOOKUP(G109,Sell!G:L,2,0),0)</f>
        <v>100</v>
      </c>
      <c r="O109" s="13">
        <f>IFERROR(VLOOKUP(G109,Sell!G:L,6,0),0)</f>
        <v>108875.1455</v>
      </c>
      <c r="P109" s="14">
        <f t="shared" si="7"/>
        <v>0</v>
      </c>
      <c r="Q109" s="13">
        <f t="shared" si="9"/>
        <v>-784.49980000000505</v>
      </c>
      <c r="R109" s="13">
        <f t="shared" si="10"/>
        <v>-784.49980000000505</v>
      </c>
      <c r="S109" s="13">
        <f t="shared" si="11"/>
        <v>0</v>
      </c>
      <c r="T109" s="13">
        <f t="shared" si="12"/>
        <v>-784.49980000000505</v>
      </c>
      <c r="U109" s="15" t="str">
        <f t="shared" si="13"/>
        <v/>
      </c>
    </row>
    <row r="110" spans="1:21" x14ac:dyDescent="0.25">
      <c r="A110" s="2" t="s">
        <v>1165</v>
      </c>
      <c r="B110" s="3">
        <v>300</v>
      </c>
      <c r="C110" s="3">
        <v>541.20000000000005</v>
      </c>
      <c r="D110" s="3">
        <v>162360</v>
      </c>
      <c r="E110" s="3">
        <v>102.685</v>
      </c>
      <c r="G110" s="2" t="s">
        <v>1156</v>
      </c>
      <c r="H110" s="3">
        <v>43775</v>
      </c>
      <c r="I110" s="3">
        <v>1032.1300000000001</v>
      </c>
      <c r="J110" s="3">
        <v>2790684</v>
      </c>
      <c r="K110" s="3">
        <v>1781.5633999999998</v>
      </c>
      <c r="L110" s="20">
        <f t="shared" si="8"/>
        <v>2792465.5633999999</v>
      </c>
      <c r="M110" s="14" t="str">
        <f>VLOOKUP(G110,Sell!G:L,1,0)</f>
        <v>UNIBAN</v>
      </c>
      <c r="N110" s="14">
        <f>IFERROR(VLOOKUP(G110,Sell!G:L,2,0),0)</f>
        <v>43775</v>
      </c>
      <c r="O110" s="13">
        <f>IFERROR(VLOOKUP(G110,Sell!G:L,6,0),0)</f>
        <v>2792943.0484000002</v>
      </c>
      <c r="P110" s="14">
        <f t="shared" si="7"/>
        <v>0</v>
      </c>
      <c r="Q110" s="13">
        <f t="shared" si="9"/>
        <v>477.48500000033528</v>
      </c>
      <c r="R110" s="13">
        <f t="shared" si="10"/>
        <v>477.48500000033528</v>
      </c>
      <c r="S110" s="13">
        <f t="shared" si="11"/>
        <v>477.48500000033528</v>
      </c>
      <c r="T110" s="13">
        <f t="shared" si="12"/>
        <v>0</v>
      </c>
      <c r="U110" s="15" t="str">
        <f t="shared" si="13"/>
        <v/>
      </c>
    </row>
    <row r="111" spans="1:21" x14ac:dyDescent="0.25">
      <c r="A111" s="2" t="s">
        <v>1174</v>
      </c>
      <c r="B111" s="3">
        <v>2000</v>
      </c>
      <c r="C111" s="3">
        <v>271.25</v>
      </c>
      <c r="D111" s="3">
        <v>168126.6</v>
      </c>
      <c r="E111" s="3">
        <v>116.5826</v>
      </c>
      <c r="G111" s="2" t="s">
        <v>1165</v>
      </c>
      <c r="H111" s="3">
        <v>300</v>
      </c>
      <c r="I111" s="3">
        <v>541.20000000000005</v>
      </c>
      <c r="J111" s="3">
        <v>162360</v>
      </c>
      <c r="K111" s="3">
        <v>102.685</v>
      </c>
      <c r="L111" s="20">
        <f t="shared" si="8"/>
        <v>162462.685</v>
      </c>
      <c r="M111" s="14" t="str">
        <f>VLOOKUP(G111,Sell!G:L,1,0)</f>
        <v>SUNTV</v>
      </c>
      <c r="N111" s="14">
        <f>IFERROR(VLOOKUP(G111,Sell!G:L,2,0),0)</f>
        <v>300</v>
      </c>
      <c r="O111" s="13">
        <f>IFERROR(VLOOKUP(G111,Sell!G:L,6,0),0)</f>
        <v>160957.6704</v>
      </c>
      <c r="P111" s="14">
        <f t="shared" si="7"/>
        <v>0</v>
      </c>
      <c r="Q111" s="13">
        <f t="shared" si="9"/>
        <v>-1505.014599999995</v>
      </c>
      <c r="R111" s="13">
        <f t="shared" si="10"/>
        <v>-1505.014599999995</v>
      </c>
      <c r="S111" s="13">
        <f t="shared" si="11"/>
        <v>0</v>
      </c>
      <c r="T111" s="13">
        <f t="shared" si="12"/>
        <v>-1505.014599999995</v>
      </c>
      <c r="U111" s="15" t="str">
        <f t="shared" si="13"/>
        <v/>
      </c>
    </row>
    <row r="112" spans="1:21" x14ac:dyDescent="0.25">
      <c r="A112" s="2" t="s">
        <v>1329</v>
      </c>
      <c r="B112" s="3">
        <v>500</v>
      </c>
      <c r="C112" s="3">
        <v>380.5</v>
      </c>
      <c r="D112" s="3">
        <v>94800</v>
      </c>
      <c r="E112" s="3">
        <v>65.055599999999998</v>
      </c>
      <c r="G112" s="2" t="s">
        <v>1174</v>
      </c>
      <c r="H112" s="3">
        <v>2000</v>
      </c>
      <c r="I112" s="3">
        <v>271.25</v>
      </c>
      <c r="J112" s="3">
        <v>168126.6</v>
      </c>
      <c r="K112" s="3">
        <v>116.5826</v>
      </c>
      <c r="L112" s="20">
        <f t="shared" si="8"/>
        <v>168243.1826</v>
      </c>
      <c r="M112" s="14" t="str">
        <f>VLOOKUP(G112,Sell!G:L,1,0)</f>
        <v>RELCAP</v>
      </c>
      <c r="N112" s="14">
        <f>IFERROR(VLOOKUP(G112,Sell!G:L,2,0),0)</f>
        <v>2000</v>
      </c>
      <c r="O112" s="13">
        <f>IFERROR(VLOOKUP(G112,Sell!G:L,6,0),0)</f>
        <v>169965.1655</v>
      </c>
      <c r="P112" s="14">
        <f t="shared" si="7"/>
        <v>0</v>
      </c>
      <c r="Q112" s="13">
        <f t="shared" si="9"/>
        <v>1721.9829000000027</v>
      </c>
      <c r="R112" s="13">
        <f t="shared" si="10"/>
        <v>1721.9829000000027</v>
      </c>
      <c r="S112" s="13">
        <f t="shared" si="11"/>
        <v>1721.9829000000027</v>
      </c>
      <c r="T112" s="13">
        <f t="shared" si="12"/>
        <v>0</v>
      </c>
      <c r="U112" s="15" t="str">
        <f t="shared" si="13"/>
        <v/>
      </c>
    </row>
    <row r="113" spans="1:21" x14ac:dyDescent="0.25">
      <c r="A113" s="2" t="s">
        <v>1366</v>
      </c>
      <c r="B113" s="3">
        <v>100</v>
      </c>
      <c r="C113" s="3">
        <v>2317.8000000000002</v>
      </c>
      <c r="D113" s="3">
        <v>76995</v>
      </c>
      <c r="E113" s="3">
        <v>103.1819</v>
      </c>
      <c r="G113" s="2" t="s">
        <v>1329</v>
      </c>
      <c r="H113" s="3">
        <v>500</v>
      </c>
      <c r="I113" s="3">
        <v>380.5</v>
      </c>
      <c r="J113" s="3">
        <v>94800</v>
      </c>
      <c r="K113" s="3">
        <v>65.055599999999998</v>
      </c>
      <c r="L113" s="20">
        <f t="shared" si="8"/>
        <v>94865.055600000007</v>
      </c>
      <c r="M113" s="14" t="str">
        <f>VLOOKUP(G113,Sell!G:L,1,0)</f>
        <v>CAPINF</v>
      </c>
      <c r="N113" s="14">
        <f>IFERROR(VLOOKUP(G113,Sell!G:L,2,0),0)</f>
        <v>500</v>
      </c>
      <c r="O113" s="13">
        <f>IFERROR(VLOOKUP(G113,Sell!G:L,6,0),0)</f>
        <v>93714.085800000001</v>
      </c>
      <c r="P113" s="14">
        <f t="shared" si="7"/>
        <v>0</v>
      </c>
      <c r="Q113" s="13">
        <f t="shared" si="9"/>
        <v>-1150.9698000000062</v>
      </c>
      <c r="R113" s="13">
        <f t="shared" si="10"/>
        <v>-1150.9698000000062</v>
      </c>
      <c r="S113" s="13">
        <f t="shared" si="11"/>
        <v>0</v>
      </c>
      <c r="T113" s="13">
        <f t="shared" si="12"/>
        <v>-1150.9698000000062</v>
      </c>
      <c r="U113" s="15" t="str">
        <f t="shared" si="13"/>
        <v/>
      </c>
    </row>
    <row r="114" spans="1:21" x14ac:dyDescent="0.25">
      <c r="A114" s="2" t="s">
        <v>1394</v>
      </c>
      <c r="B114" s="3">
        <v>250</v>
      </c>
      <c r="C114" s="3">
        <v>125.5</v>
      </c>
      <c r="D114" s="3">
        <v>31375</v>
      </c>
      <c r="E114" s="3">
        <v>30.829499999999999</v>
      </c>
      <c r="G114" s="2" t="s">
        <v>1366</v>
      </c>
      <c r="H114" s="3">
        <v>100</v>
      </c>
      <c r="I114" s="3">
        <v>2317.8000000000002</v>
      </c>
      <c r="J114" s="3">
        <v>76995</v>
      </c>
      <c r="K114" s="3">
        <v>103.1819</v>
      </c>
      <c r="L114" s="20">
        <f t="shared" si="8"/>
        <v>77098.181899999996</v>
      </c>
      <c r="M114" s="14" t="str">
        <f>VLOOKUP(G114,Sell!G:L,1,0)</f>
        <v>BALIND</v>
      </c>
      <c r="N114" s="14">
        <f>IFERROR(VLOOKUP(G114,Sell!G:L,2,0),0)</f>
        <v>100</v>
      </c>
      <c r="O114" s="13">
        <f>IFERROR(VLOOKUP(G114,Sell!G:L,6,0),0)</f>
        <v>77131.900800000003</v>
      </c>
      <c r="P114" s="14">
        <f t="shared" si="7"/>
        <v>0</v>
      </c>
      <c r="Q114" s="13">
        <f t="shared" si="9"/>
        <v>33.718900000007125</v>
      </c>
      <c r="R114" s="13">
        <f t="shared" si="10"/>
        <v>33.718900000007125</v>
      </c>
      <c r="S114" s="13">
        <f t="shared" si="11"/>
        <v>33.718900000007125</v>
      </c>
      <c r="T114" s="13">
        <f t="shared" si="12"/>
        <v>0</v>
      </c>
      <c r="U114" s="15" t="str">
        <f t="shared" si="13"/>
        <v/>
      </c>
    </row>
    <row r="115" spans="1:21" x14ac:dyDescent="0.25">
      <c r="A115" s="2" t="s">
        <v>1407</v>
      </c>
      <c r="B115" s="3">
        <v>700</v>
      </c>
      <c r="C115" s="3">
        <v>1631.34</v>
      </c>
      <c r="D115" s="3">
        <v>270136.2</v>
      </c>
      <c r="E115" s="3">
        <v>179.8021</v>
      </c>
      <c r="G115" s="2" t="s">
        <v>1394</v>
      </c>
      <c r="H115" s="3">
        <v>250</v>
      </c>
      <c r="I115" s="3">
        <v>125.5</v>
      </c>
      <c r="J115" s="3">
        <v>31375</v>
      </c>
      <c r="K115" s="3">
        <v>30.829499999999999</v>
      </c>
      <c r="L115" s="20">
        <f t="shared" si="8"/>
        <v>31405.8295</v>
      </c>
      <c r="M115" s="14" t="str">
        <f>VLOOKUP(G115,Sell!G:L,1,0)</f>
        <v>PRAIN</v>
      </c>
      <c r="N115" s="14">
        <f>IFERROR(VLOOKUP(G115,Sell!G:L,2,0),0)</f>
        <v>250</v>
      </c>
      <c r="O115" s="13">
        <f>IFERROR(VLOOKUP(G115,Sell!G:L,6,0),0)</f>
        <v>30959.083999999999</v>
      </c>
      <c r="P115" s="14">
        <f t="shared" si="7"/>
        <v>0</v>
      </c>
      <c r="Q115" s="13">
        <f t="shared" si="9"/>
        <v>-446.7455000000009</v>
      </c>
      <c r="R115" s="13">
        <f t="shared" si="10"/>
        <v>-446.7455000000009</v>
      </c>
      <c r="S115" s="13">
        <f t="shared" si="11"/>
        <v>0</v>
      </c>
      <c r="T115" s="13">
        <f t="shared" si="12"/>
        <v>-446.7455000000009</v>
      </c>
      <c r="U115" s="15" t="str">
        <f t="shared" si="13"/>
        <v/>
      </c>
    </row>
    <row r="116" spans="1:21" x14ac:dyDescent="0.25">
      <c r="A116" s="2" t="s">
        <v>1411</v>
      </c>
      <c r="B116" s="3">
        <v>250</v>
      </c>
      <c r="C116" s="3">
        <v>146.15</v>
      </c>
      <c r="D116" s="3">
        <v>36537.5</v>
      </c>
      <c r="E116" s="3">
        <v>31.055399999999999</v>
      </c>
      <c r="G116" s="2" t="s">
        <v>1407</v>
      </c>
      <c r="H116" s="3">
        <v>700</v>
      </c>
      <c r="I116" s="3">
        <v>1631.34</v>
      </c>
      <c r="J116" s="3">
        <v>270136.2</v>
      </c>
      <c r="K116" s="3">
        <v>179.8021</v>
      </c>
      <c r="L116" s="20">
        <f t="shared" si="8"/>
        <v>270316.00209999998</v>
      </c>
      <c r="M116" s="14" t="str">
        <f>VLOOKUP(G116,Sell!G:L,1,0)</f>
        <v>RBLBAN</v>
      </c>
      <c r="N116" s="14">
        <f>IFERROR(VLOOKUP(G116,Sell!G:L,2,0),0)</f>
        <v>700</v>
      </c>
      <c r="O116" s="13">
        <f>IFERROR(VLOOKUP(G116,Sell!G:L,6,0),0)</f>
        <v>271132.91139999998</v>
      </c>
      <c r="P116" s="14">
        <f t="shared" si="7"/>
        <v>0</v>
      </c>
      <c r="Q116" s="13">
        <f t="shared" si="9"/>
        <v>816.90929999999935</v>
      </c>
      <c r="R116" s="13">
        <f t="shared" si="10"/>
        <v>816.90929999999935</v>
      </c>
      <c r="S116" s="13">
        <f t="shared" si="11"/>
        <v>816.90929999999935</v>
      </c>
      <c r="T116" s="13">
        <f t="shared" si="12"/>
        <v>0</v>
      </c>
      <c r="U116" s="15" t="str">
        <f t="shared" si="13"/>
        <v/>
      </c>
    </row>
    <row r="117" spans="1:21" x14ac:dyDescent="0.25">
      <c r="A117" s="2" t="s">
        <v>1476</v>
      </c>
      <c r="B117" s="3">
        <v>27150</v>
      </c>
      <c r="C117" s="3">
        <v>6888.75</v>
      </c>
      <c r="D117" s="3">
        <v>7497736.4000000004</v>
      </c>
      <c r="E117" s="3">
        <v>5000.1421000000009</v>
      </c>
      <c r="G117" s="2" t="s">
        <v>1411</v>
      </c>
      <c r="H117" s="3">
        <v>250</v>
      </c>
      <c r="I117" s="3">
        <v>146.15</v>
      </c>
      <c r="J117" s="3">
        <v>36537.5</v>
      </c>
      <c r="K117" s="3">
        <v>31.055399999999999</v>
      </c>
      <c r="L117" s="20">
        <f t="shared" si="8"/>
        <v>36568.555399999997</v>
      </c>
      <c r="M117" s="14" t="str">
        <f>VLOOKUP(G117,Sell!G:L,1,0)</f>
        <v>WELCOR</v>
      </c>
      <c r="N117" s="14">
        <f>IFERROR(VLOOKUP(G117,Sell!G:L,2,0),0)</f>
        <v>250</v>
      </c>
      <c r="O117" s="13">
        <f>IFERROR(VLOOKUP(G117,Sell!G:L,6,0),0)</f>
        <v>36747.265599999999</v>
      </c>
      <c r="P117" s="14">
        <f t="shared" si="7"/>
        <v>0</v>
      </c>
      <c r="Q117" s="13">
        <f t="shared" si="9"/>
        <v>178.71020000000135</v>
      </c>
      <c r="R117" s="13">
        <f t="shared" si="10"/>
        <v>178.71020000000135</v>
      </c>
      <c r="S117" s="13">
        <f t="shared" si="11"/>
        <v>178.71020000000135</v>
      </c>
      <c r="T117" s="13">
        <f t="shared" si="12"/>
        <v>0</v>
      </c>
      <c r="U117" s="15" t="str">
        <f t="shared" si="13"/>
        <v/>
      </c>
    </row>
    <row r="118" spans="1:21" x14ac:dyDescent="0.25">
      <c r="A118" s="2" t="s">
        <v>1522</v>
      </c>
      <c r="B118" s="3">
        <v>450</v>
      </c>
      <c r="C118" s="3">
        <v>3103.9</v>
      </c>
      <c r="D118" s="3">
        <v>352130</v>
      </c>
      <c r="E118" s="3">
        <v>225.00699999999998</v>
      </c>
      <c r="G118" s="2" t="s">
        <v>1476</v>
      </c>
      <c r="H118" s="3">
        <v>27150</v>
      </c>
      <c r="I118" s="3">
        <v>6888.75</v>
      </c>
      <c r="J118" s="3">
        <v>7497736.4000000004</v>
      </c>
      <c r="K118" s="3">
        <v>5000.1421000000009</v>
      </c>
      <c r="L118" s="20">
        <f t="shared" si="8"/>
        <v>7502736.5421000002</v>
      </c>
      <c r="M118" s="14" t="str">
        <f>VLOOKUP(G118,Sell!G:L,1,0)</f>
        <v>INDHO</v>
      </c>
      <c r="N118" s="14">
        <f>IFERROR(VLOOKUP(G118,Sell!G:L,2,0),0)</f>
        <v>27150</v>
      </c>
      <c r="O118" s="13">
        <f>IFERROR(VLOOKUP(G118,Sell!G:L,6,0),0)</f>
        <v>7526884.9869999997</v>
      </c>
      <c r="P118" s="14">
        <f t="shared" si="7"/>
        <v>0</v>
      </c>
      <c r="Q118" s="13">
        <f t="shared" si="9"/>
        <v>24148.444899999537</v>
      </c>
      <c r="R118" s="13">
        <f t="shared" si="10"/>
        <v>24148.444899999537</v>
      </c>
      <c r="S118" s="13">
        <f t="shared" si="11"/>
        <v>24148.444899999537</v>
      </c>
      <c r="T118" s="13">
        <f t="shared" si="12"/>
        <v>0</v>
      </c>
      <c r="U118" s="15" t="str">
        <f t="shared" si="13"/>
        <v/>
      </c>
    </row>
    <row r="119" spans="1:21" x14ac:dyDescent="0.25">
      <c r="A119" s="2" t="s">
        <v>1539</v>
      </c>
      <c r="B119" s="3">
        <v>25</v>
      </c>
      <c r="C119" s="3">
        <v>1471.34</v>
      </c>
      <c r="D119" s="3">
        <v>36783.449999999997</v>
      </c>
      <c r="E119" s="3">
        <v>45.469299999999997</v>
      </c>
      <c r="G119" s="2" t="s">
        <v>1522</v>
      </c>
      <c r="H119" s="3">
        <v>450</v>
      </c>
      <c r="I119" s="3">
        <v>3103.9</v>
      </c>
      <c r="J119" s="3">
        <v>352130</v>
      </c>
      <c r="K119" s="3">
        <v>225.00699999999998</v>
      </c>
      <c r="L119" s="20">
        <f t="shared" si="8"/>
        <v>352355.00699999998</v>
      </c>
      <c r="M119" s="14" t="str">
        <f>VLOOKUP(G119,Sell!G:L,1,0)</f>
        <v>INDRAI</v>
      </c>
      <c r="N119" s="14">
        <f>IFERROR(VLOOKUP(G119,Sell!G:L,2,0),0)</f>
        <v>450</v>
      </c>
      <c r="O119" s="13">
        <f>IFERROR(VLOOKUP(G119,Sell!G:L,6,0),0)</f>
        <v>349446.00400000002</v>
      </c>
      <c r="P119" s="14">
        <f t="shared" si="7"/>
        <v>0</v>
      </c>
      <c r="Q119" s="13">
        <f t="shared" si="9"/>
        <v>-2909.0029999999679</v>
      </c>
      <c r="R119" s="13">
        <f t="shared" si="10"/>
        <v>-2909.0029999999679</v>
      </c>
      <c r="S119" s="13">
        <f t="shared" si="11"/>
        <v>0</v>
      </c>
      <c r="T119" s="13">
        <f t="shared" si="12"/>
        <v>-2909.0029999999679</v>
      </c>
      <c r="U119" s="15" t="str">
        <f t="shared" si="13"/>
        <v/>
      </c>
    </row>
    <row r="120" spans="1:21" x14ac:dyDescent="0.25">
      <c r="A120" s="2" t="s">
        <v>1645</v>
      </c>
      <c r="B120" s="3">
        <v>8000</v>
      </c>
      <c r="C120" s="3">
        <v>408.37</v>
      </c>
      <c r="D120" s="3">
        <v>460035.45</v>
      </c>
      <c r="E120" s="3">
        <v>1526.6306000000002</v>
      </c>
      <c r="G120" s="2" t="s">
        <v>1539</v>
      </c>
      <c r="H120" s="3">
        <v>25</v>
      </c>
      <c r="I120" s="3">
        <v>1471.34</v>
      </c>
      <c r="J120" s="3">
        <v>36783.449999999997</v>
      </c>
      <c r="K120" s="3">
        <v>45.469299999999997</v>
      </c>
      <c r="L120" s="20">
        <f t="shared" si="8"/>
        <v>36828.919299999994</v>
      </c>
      <c r="M120" s="14" t="str">
        <f>VLOOKUP(G120,Sell!G:L,1,0)</f>
        <v>PIRENT</v>
      </c>
      <c r="N120" s="14">
        <f>IFERROR(VLOOKUP(G120,Sell!G:L,2,0),0)</f>
        <v>25</v>
      </c>
      <c r="O120" s="13">
        <f>IFERROR(VLOOKUP(G120,Sell!G:L,6,0),0)</f>
        <v>38780.046000000002</v>
      </c>
      <c r="P120" s="14">
        <f t="shared" si="7"/>
        <v>0</v>
      </c>
      <c r="Q120" s="13">
        <f t="shared" si="9"/>
        <v>1951.126700000008</v>
      </c>
      <c r="R120" s="13">
        <f t="shared" si="10"/>
        <v>1951.126700000008</v>
      </c>
      <c r="S120" s="13">
        <f t="shared" si="11"/>
        <v>1951.126700000008</v>
      </c>
      <c r="T120" s="13">
        <f t="shared" si="12"/>
        <v>0</v>
      </c>
      <c r="U120" s="15" t="str">
        <f t="shared" si="13"/>
        <v/>
      </c>
    </row>
    <row r="121" spans="1:21" x14ac:dyDescent="0.25">
      <c r="A121" s="2" t="s">
        <v>1666</v>
      </c>
      <c r="B121" s="3">
        <v>9750</v>
      </c>
      <c r="C121" s="3">
        <v>3173.37</v>
      </c>
      <c r="D121" s="3">
        <v>4432447.55</v>
      </c>
      <c r="E121" s="3">
        <v>1040.6167</v>
      </c>
      <c r="G121" s="2" t="s">
        <v>1645</v>
      </c>
      <c r="H121" s="3">
        <v>8000</v>
      </c>
      <c r="I121" s="3">
        <v>408.37</v>
      </c>
      <c r="J121" s="3">
        <v>460035.45</v>
      </c>
      <c r="K121" s="3">
        <v>1526.6306000000002</v>
      </c>
      <c r="L121" s="20">
        <f t="shared" si="8"/>
        <v>461562.08059999999</v>
      </c>
      <c r="M121" s="14" t="str">
        <f>VLOOKUP(G121,Sell!G:L,1,0)</f>
        <v>JAGPRA</v>
      </c>
      <c r="N121" s="14">
        <f>IFERROR(VLOOKUP(G121,Sell!G:L,2,0),0)</f>
        <v>6000</v>
      </c>
      <c r="O121" s="13">
        <f>IFERROR(VLOOKUP(G121,Sell!G:L,6,0),0)</f>
        <v>344715.80040000001</v>
      </c>
      <c r="P121" s="14">
        <f t="shared" si="7"/>
        <v>2000</v>
      </c>
      <c r="Q121" s="13">
        <f t="shared" si="9"/>
        <v>-116846.28019999998</v>
      </c>
      <c r="R121" s="13">
        <f t="shared" si="10"/>
        <v>0</v>
      </c>
      <c r="S121" s="13">
        <f t="shared" si="11"/>
        <v>0</v>
      </c>
      <c r="T121" s="13">
        <f t="shared" si="12"/>
        <v>0</v>
      </c>
      <c r="U121" s="15" t="str">
        <f t="shared" si="13"/>
        <v>Open</v>
      </c>
    </row>
    <row r="122" spans="1:21" x14ac:dyDescent="0.25">
      <c r="A122" s="2" t="s">
        <v>1721</v>
      </c>
      <c r="B122" s="3">
        <v>1000</v>
      </c>
      <c r="C122" s="3">
        <v>3.75</v>
      </c>
      <c r="D122" s="3">
        <v>3750</v>
      </c>
      <c r="E122" s="3">
        <v>62.842599999999997</v>
      </c>
      <c r="G122" s="2" t="s">
        <v>1666</v>
      </c>
      <c r="H122" s="3">
        <v>9750</v>
      </c>
      <c r="I122" s="3">
        <v>3173.37</v>
      </c>
      <c r="J122" s="3">
        <v>4432447.55</v>
      </c>
      <c r="K122" s="3">
        <v>1040.6167</v>
      </c>
      <c r="L122" s="20">
        <f t="shared" si="8"/>
        <v>4433488.1666999999</v>
      </c>
      <c r="M122" s="14" t="str">
        <f>VLOOKUP(G122,Sell!G:L,1,0)</f>
        <v>BHAAIR</v>
      </c>
      <c r="N122" s="14">
        <f>IFERROR(VLOOKUP(G122,Sell!G:L,2,0),0)</f>
        <v>9750</v>
      </c>
      <c r="O122" s="13">
        <f>IFERROR(VLOOKUP(G122,Sell!G:L,6,0),0)</f>
        <v>4427865.4458999997</v>
      </c>
      <c r="P122" s="14">
        <f t="shared" si="7"/>
        <v>0</v>
      </c>
      <c r="Q122" s="13">
        <f t="shared" si="9"/>
        <v>-5622.7208000002429</v>
      </c>
      <c r="R122" s="13">
        <f t="shared" si="10"/>
        <v>-5622.7208000002429</v>
      </c>
      <c r="S122" s="13">
        <f t="shared" si="11"/>
        <v>0</v>
      </c>
      <c r="T122" s="13">
        <f t="shared" si="12"/>
        <v>-5622.7208000002429</v>
      </c>
      <c r="U122" s="15" t="str">
        <f t="shared" si="13"/>
        <v/>
      </c>
    </row>
    <row r="123" spans="1:21" x14ac:dyDescent="0.25">
      <c r="A123" s="2" t="s">
        <v>1790</v>
      </c>
      <c r="B123" s="3">
        <v>10</v>
      </c>
      <c r="C123" s="3">
        <v>2208.9499999999998</v>
      </c>
      <c r="D123" s="3">
        <v>22089.5</v>
      </c>
      <c r="E123" s="3">
        <v>30.076000000000001</v>
      </c>
      <c r="G123" s="2" t="s">
        <v>1721</v>
      </c>
      <c r="H123" s="3">
        <v>1000</v>
      </c>
      <c r="I123" s="3">
        <v>3.75</v>
      </c>
      <c r="J123" s="3">
        <v>3750</v>
      </c>
      <c r="K123" s="3">
        <v>62.842599999999997</v>
      </c>
      <c r="L123" s="20">
        <f t="shared" si="8"/>
        <v>3812.8425999999999</v>
      </c>
      <c r="M123" s="14" t="str">
        <f>VLOOKUP(G123,Sell!G:L,1,0)</f>
        <v>IDECEL</v>
      </c>
      <c r="N123" s="14">
        <f>IFERROR(VLOOKUP(G123,Sell!G:L,2,0),0)</f>
        <v>1000</v>
      </c>
      <c r="O123" s="13">
        <f>IFERROR(VLOOKUP(G123,Sell!G:L,6,0),0)</f>
        <v>7432.5050000000001</v>
      </c>
      <c r="P123" s="14">
        <f t="shared" si="7"/>
        <v>0</v>
      </c>
      <c r="Q123" s="13">
        <f t="shared" si="9"/>
        <v>3619.6624000000002</v>
      </c>
      <c r="R123" s="13">
        <f t="shared" si="10"/>
        <v>3619.6624000000002</v>
      </c>
      <c r="S123" s="13">
        <f t="shared" si="11"/>
        <v>3619.6624000000002</v>
      </c>
      <c r="T123" s="13">
        <f t="shared" si="12"/>
        <v>0</v>
      </c>
      <c r="U123" s="15" t="str">
        <f t="shared" si="13"/>
        <v/>
      </c>
    </row>
    <row r="124" spans="1:21" x14ac:dyDescent="0.25">
      <c r="A124" s="2" t="s">
        <v>155</v>
      </c>
      <c r="B124" s="3">
        <v>886771</v>
      </c>
      <c r="C124" s="3">
        <v>222985.57999999993</v>
      </c>
      <c r="D124" s="3">
        <v>138877711.80000001</v>
      </c>
      <c r="E124" s="3">
        <v>155233.26950000005</v>
      </c>
      <c r="G124" s="2" t="s">
        <v>1790</v>
      </c>
      <c r="H124" s="3">
        <v>10</v>
      </c>
      <c r="I124" s="3">
        <v>2208.9499999999998</v>
      </c>
      <c r="J124" s="3">
        <v>22089.5</v>
      </c>
      <c r="K124" s="3">
        <v>30.076000000000001</v>
      </c>
      <c r="L124" s="20">
        <f t="shared" si="8"/>
        <v>22119.576000000001</v>
      </c>
      <c r="M124" s="14" t="str">
        <f>VLOOKUP(G124,Sell!G:L,1,0)</f>
        <v>TCS</v>
      </c>
      <c r="N124" s="14">
        <f>IFERROR(VLOOKUP(G124,Sell!G:L,2,0),0)</f>
        <v>10</v>
      </c>
      <c r="O124" s="13">
        <f>IFERROR(VLOOKUP(G124,Sell!G:L,6,0),0)</f>
        <v>22235.87</v>
      </c>
      <c r="P124" s="14">
        <f t="shared" si="7"/>
        <v>0</v>
      </c>
      <c r="Q124" s="13">
        <f t="shared" si="9"/>
        <v>116.29399999999805</v>
      </c>
      <c r="R124" s="13">
        <f t="shared" si="10"/>
        <v>116.29399999999805</v>
      </c>
      <c r="S124" s="13">
        <f t="shared" si="11"/>
        <v>116.29399999999805</v>
      </c>
      <c r="T124" s="13">
        <f t="shared" si="12"/>
        <v>0</v>
      </c>
      <c r="U124" s="15" t="str">
        <f t="shared" si="13"/>
        <v/>
      </c>
    </row>
    <row r="125" spans="1:21" x14ac:dyDescent="0.25">
      <c r="G125" s="6"/>
      <c r="H125" s="7"/>
      <c r="I125" s="7"/>
      <c r="J125" s="7"/>
      <c r="K125" s="7"/>
      <c r="L125" s="20">
        <f t="shared" si="8"/>
        <v>0</v>
      </c>
      <c r="M125" s="14" t="e">
        <f>VLOOKUP(G125,Sell!G:L,1,0)</f>
        <v>#N/A</v>
      </c>
      <c r="N125" s="14">
        <f>IFERROR(VLOOKUP(G125,Sell!G:L,2,0),0)</f>
        <v>0</v>
      </c>
      <c r="O125" s="13">
        <f>IFERROR(VLOOKUP(G125,Sell!G:L,6,0),0)</f>
        <v>0</v>
      </c>
      <c r="P125" s="14">
        <f t="shared" si="7"/>
        <v>0</v>
      </c>
      <c r="Q125" s="13">
        <f t="shared" si="9"/>
        <v>0</v>
      </c>
      <c r="R125" s="13">
        <f t="shared" si="10"/>
        <v>0</v>
      </c>
      <c r="S125" s="13">
        <f t="shared" si="11"/>
        <v>0</v>
      </c>
      <c r="T125" s="13">
        <f t="shared" si="12"/>
        <v>0</v>
      </c>
      <c r="U125" s="15" t="str">
        <f t="shared" si="13"/>
        <v/>
      </c>
    </row>
    <row r="126" spans="1:21" x14ac:dyDescent="0.25">
      <c r="L126" s="20">
        <f t="shared" si="8"/>
        <v>0</v>
      </c>
      <c r="M126" s="14" t="e">
        <f>VLOOKUP(G126,Sell!G:L,1,0)</f>
        <v>#N/A</v>
      </c>
      <c r="N126" s="14">
        <f>IFERROR(VLOOKUP(G126,Sell!G:L,2,0),0)</f>
        <v>0</v>
      </c>
      <c r="O126" s="13">
        <f>IFERROR(VLOOKUP(G126,Sell!G:L,6,0),0)</f>
        <v>0</v>
      </c>
      <c r="P126" s="14">
        <f t="shared" si="7"/>
        <v>0</v>
      </c>
      <c r="Q126" s="13">
        <f t="shared" si="9"/>
        <v>0</v>
      </c>
      <c r="R126" s="13">
        <f t="shared" si="10"/>
        <v>0</v>
      </c>
      <c r="S126" s="13">
        <f t="shared" si="11"/>
        <v>0</v>
      </c>
      <c r="T126" s="13">
        <f t="shared" si="12"/>
        <v>0</v>
      </c>
      <c r="U126" s="15" t="str">
        <f t="shared" si="13"/>
        <v/>
      </c>
    </row>
    <row r="127" spans="1:21" x14ac:dyDescent="0.25">
      <c r="L127" s="20">
        <f t="shared" si="8"/>
        <v>0</v>
      </c>
      <c r="M127" s="14" t="e">
        <f>VLOOKUP(G127,Sell!G:L,1,0)</f>
        <v>#N/A</v>
      </c>
      <c r="N127" s="14">
        <f>IFERROR(VLOOKUP(G127,Sell!G:L,2,0),0)</f>
        <v>0</v>
      </c>
      <c r="O127" s="13">
        <f>IFERROR(VLOOKUP(G127,Sell!G:L,6,0),0)</f>
        <v>0</v>
      </c>
      <c r="P127" s="14">
        <f t="shared" si="7"/>
        <v>0</v>
      </c>
      <c r="Q127" s="13">
        <f t="shared" si="9"/>
        <v>0</v>
      </c>
      <c r="R127" s="13">
        <f t="shared" si="10"/>
        <v>0</v>
      </c>
      <c r="S127" s="13">
        <f t="shared" si="11"/>
        <v>0</v>
      </c>
      <c r="T127" s="13">
        <f t="shared" si="12"/>
        <v>0</v>
      </c>
      <c r="U127" s="15" t="str">
        <f t="shared" si="13"/>
        <v/>
      </c>
    </row>
    <row r="128" spans="1:21" x14ac:dyDescent="0.25">
      <c r="L128" s="20">
        <f t="shared" si="8"/>
        <v>0</v>
      </c>
      <c r="M128" s="14" t="e">
        <f>VLOOKUP(G128,Sell!G:L,1,0)</f>
        <v>#N/A</v>
      </c>
      <c r="N128" s="14">
        <f>IFERROR(VLOOKUP(G128,Sell!G:L,2,0),0)</f>
        <v>0</v>
      </c>
      <c r="O128" s="13">
        <f>IFERROR(VLOOKUP(G128,Sell!G:L,6,0),0)</f>
        <v>0</v>
      </c>
      <c r="P128" s="14">
        <f t="shared" si="7"/>
        <v>0</v>
      </c>
      <c r="Q128" s="13">
        <f t="shared" si="9"/>
        <v>0</v>
      </c>
      <c r="R128" s="13">
        <f t="shared" si="10"/>
        <v>0</v>
      </c>
      <c r="S128" s="13">
        <f t="shared" si="11"/>
        <v>0</v>
      </c>
      <c r="T128" s="13">
        <f t="shared" si="12"/>
        <v>0</v>
      </c>
      <c r="U128" s="15" t="str">
        <f t="shared" si="13"/>
        <v/>
      </c>
    </row>
    <row r="129" spans="12:21" x14ac:dyDescent="0.25">
      <c r="L129" s="20">
        <f t="shared" si="8"/>
        <v>0</v>
      </c>
      <c r="M129" s="14" t="e">
        <f>VLOOKUP(G129,Sell!G:L,1,0)</f>
        <v>#N/A</v>
      </c>
      <c r="N129" s="14">
        <f>IFERROR(VLOOKUP(G129,Sell!G:L,2,0),0)</f>
        <v>0</v>
      </c>
      <c r="O129" s="13">
        <f>IFERROR(VLOOKUP(G129,Sell!G:L,6,0),0)</f>
        <v>0</v>
      </c>
      <c r="P129" s="14">
        <f t="shared" si="7"/>
        <v>0</v>
      </c>
      <c r="Q129" s="13">
        <f t="shared" si="9"/>
        <v>0</v>
      </c>
      <c r="R129" s="13">
        <f t="shared" si="10"/>
        <v>0</v>
      </c>
      <c r="S129" s="13">
        <f t="shared" si="11"/>
        <v>0</v>
      </c>
      <c r="T129" s="13">
        <f t="shared" si="12"/>
        <v>0</v>
      </c>
      <c r="U129" s="15" t="str">
        <f t="shared" si="13"/>
        <v/>
      </c>
    </row>
    <row r="130" spans="12:21" x14ac:dyDescent="0.25">
      <c r="L130" s="20">
        <f t="shared" si="8"/>
        <v>0</v>
      </c>
      <c r="M130" s="14" t="e">
        <f>VLOOKUP(G130,Sell!G:L,1,0)</f>
        <v>#N/A</v>
      </c>
      <c r="N130" s="14">
        <f>IFERROR(VLOOKUP(G130,Sell!G:L,2,0),0)</f>
        <v>0</v>
      </c>
      <c r="O130" s="13">
        <f>IFERROR(VLOOKUP(G130,Sell!G:L,6,0),0)</f>
        <v>0</v>
      </c>
      <c r="P130" s="14">
        <f t="shared" si="7"/>
        <v>0</v>
      </c>
      <c r="Q130" s="13">
        <f t="shared" si="9"/>
        <v>0</v>
      </c>
      <c r="R130" s="13">
        <f t="shared" si="10"/>
        <v>0</v>
      </c>
      <c r="S130" s="13">
        <f t="shared" si="11"/>
        <v>0</v>
      </c>
      <c r="T130" s="13">
        <f t="shared" si="12"/>
        <v>0</v>
      </c>
      <c r="U130" s="15" t="str">
        <f t="shared" si="13"/>
        <v/>
      </c>
    </row>
    <row r="131" spans="12:21" x14ac:dyDescent="0.25">
      <c r="L131" s="20">
        <f t="shared" si="8"/>
        <v>0</v>
      </c>
      <c r="M131" s="14" t="e">
        <f>VLOOKUP(G131,Sell!G:L,1,0)</f>
        <v>#N/A</v>
      </c>
      <c r="N131" s="14">
        <f>IFERROR(VLOOKUP(G131,Sell!G:L,2,0),0)</f>
        <v>0</v>
      </c>
      <c r="O131" s="13">
        <f>IFERROR(VLOOKUP(G131,Sell!G:L,6,0),0)</f>
        <v>0</v>
      </c>
      <c r="P131" s="14">
        <f t="shared" si="7"/>
        <v>0</v>
      </c>
      <c r="Q131" s="13">
        <f t="shared" si="9"/>
        <v>0</v>
      </c>
      <c r="R131" s="13">
        <f t="shared" si="10"/>
        <v>0</v>
      </c>
      <c r="S131" s="13">
        <f t="shared" si="11"/>
        <v>0</v>
      </c>
      <c r="T131" s="13">
        <f t="shared" si="12"/>
        <v>0</v>
      </c>
      <c r="U131" s="15" t="str">
        <f t="shared" si="13"/>
        <v/>
      </c>
    </row>
    <row r="132" spans="12:21" x14ac:dyDescent="0.25">
      <c r="L132" s="20">
        <f t="shared" si="8"/>
        <v>0</v>
      </c>
      <c r="M132" s="14" t="e">
        <f>VLOOKUP(G132,Sell!G:L,1,0)</f>
        <v>#N/A</v>
      </c>
      <c r="N132" s="14">
        <f>IFERROR(VLOOKUP(G132,Sell!G:L,2,0),0)</f>
        <v>0</v>
      </c>
      <c r="O132" s="13">
        <f>IFERROR(VLOOKUP(G132,Sell!G:L,6,0),0)</f>
        <v>0</v>
      </c>
      <c r="P132" s="14">
        <f t="shared" si="7"/>
        <v>0</v>
      </c>
      <c r="Q132" s="13">
        <f t="shared" si="9"/>
        <v>0</v>
      </c>
      <c r="R132" s="13">
        <f t="shared" si="10"/>
        <v>0</v>
      </c>
      <c r="S132" s="13">
        <f t="shared" si="11"/>
        <v>0</v>
      </c>
      <c r="T132" s="13">
        <f t="shared" si="12"/>
        <v>0</v>
      </c>
      <c r="U132" s="15" t="str">
        <f t="shared" si="13"/>
        <v/>
      </c>
    </row>
    <row r="133" spans="12:21" x14ac:dyDescent="0.25">
      <c r="L133" s="20">
        <f t="shared" si="8"/>
        <v>0</v>
      </c>
      <c r="M133" s="14" t="e">
        <f>VLOOKUP(G133,Sell!G:L,1,0)</f>
        <v>#N/A</v>
      </c>
      <c r="N133" s="14">
        <f>IFERROR(VLOOKUP(G133,Sell!G:L,2,0),0)</f>
        <v>0</v>
      </c>
      <c r="O133" s="13">
        <f>IFERROR(VLOOKUP(G133,Sell!G:L,6,0),0)</f>
        <v>0</v>
      </c>
      <c r="P133" s="14">
        <f t="shared" si="7"/>
        <v>0</v>
      </c>
      <c r="Q133" s="13">
        <f t="shared" si="9"/>
        <v>0</v>
      </c>
      <c r="R133" s="13">
        <f t="shared" si="10"/>
        <v>0</v>
      </c>
      <c r="S133" s="13">
        <f t="shared" si="11"/>
        <v>0</v>
      </c>
      <c r="T133" s="13">
        <f t="shared" si="12"/>
        <v>0</v>
      </c>
      <c r="U133" s="15" t="str">
        <f t="shared" si="13"/>
        <v/>
      </c>
    </row>
    <row r="134" spans="12:21" x14ac:dyDescent="0.25">
      <c r="L134" s="20">
        <f t="shared" si="8"/>
        <v>0</v>
      </c>
      <c r="M134" s="14" t="e">
        <f>VLOOKUP(G134,Sell!G:L,1,0)</f>
        <v>#N/A</v>
      </c>
      <c r="N134" s="14">
        <f>IFERROR(VLOOKUP(G134,Sell!G:L,2,0),0)</f>
        <v>0</v>
      </c>
      <c r="O134" s="13">
        <f>IFERROR(VLOOKUP(G134,Sell!G:L,6,0),0)</f>
        <v>0</v>
      </c>
      <c r="P134" s="14">
        <f t="shared" si="7"/>
        <v>0</v>
      </c>
      <c r="Q134" s="13">
        <f t="shared" si="9"/>
        <v>0</v>
      </c>
      <c r="R134" s="13">
        <f t="shared" si="10"/>
        <v>0</v>
      </c>
      <c r="S134" s="13">
        <f t="shared" si="11"/>
        <v>0</v>
      </c>
      <c r="T134" s="13">
        <f t="shared" si="12"/>
        <v>0</v>
      </c>
      <c r="U134" s="15" t="str">
        <f t="shared" si="13"/>
        <v/>
      </c>
    </row>
    <row r="135" spans="12:21" x14ac:dyDescent="0.25">
      <c r="L135" s="20">
        <f t="shared" si="8"/>
        <v>0</v>
      </c>
      <c r="M135" s="14" t="e">
        <f>VLOOKUP(G135,Sell!G:L,1,0)</f>
        <v>#N/A</v>
      </c>
      <c r="N135" s="14">
        <f>IFERROR(VLOOKUP(G135,Sell!G:L,2,0),0)</f>
        <v>0</v>
      </c>
      <c r="O135" s="13">
        <f>IFERROR(VLOOKUP(G135,Sell!G:L,6,0),0)</f>
        <v>0</v>
      </c>
      <c r="P135" s="14">
        <f t="shared" si="7"/>
        <v>0</v>
      </c>
      <c r="Q135" s="13">
        <f t="shared" si="9"/>
        <v>0</v>
      </c>
      <c r="R135" s="13">
        <f t="shared" si="10"/>
        <v>0</v>
      </c>
      <c r="S135" s="13">
        <f t="shared" si="11"/>
        <v>0</v>
      </c>
      <c r="T135" s="13">
        <f t="shared" si="12"/>
        <v>0</v>
      </c>
      <c r="U135" s="15" t="str">
        <f t="shared" si="13"/>
        <v/>
      </c>
    </row>
    <row r="136" spans="12:21" x14ac:dyDescent="0.25">
      <c r="L136" s="20">
        <f t="shared" si="8"/>
        <v>0</v>
      </c>
      <c r="M136" s="14" t="e">
        <f>VLOOKUP(G136,Sell!G:L,1,0)</f>
        <v>#N/A</v>
      </c>
      <c r="N136" s="14">
        <f>IFERROR(VLOOKUP(G136,Sell!G:L,2,0),0)</f>
        <v>0</v>
      </c>
      <c r="O136" s="13">
        <f>IFERROR(VLOOKUP(G136,Sell!G:L,6,0),0)</f>
        <v>0</v>
      </c>
      <c r="P136" s="14">
        <f t="shared" si="7"/>
        <v>0</v>
      </c>
      <c r="Q136" s="13">
        <f t="shared" si="9"/>
        <v>0</v>
      </c>
      <c r="R136" s="13">
        <f t="shared" si="10"/>
        <v>0</v>
      </c>
      <c r="S136" s="13">
        <f t="shared" si="11"/>
        <v>0</v>
      </c>
      <c r="T136" s="13">
        <f t="shared" si="12"/>
        <v>0</v>
      </c>
      <c r="U136" s="15" t="str">
        <f t="shared" si="13"/>
        <v/>
      </c>
    </row>
    <row r="137" spans="12:21" x14ac:dyDescent="0.25">
      <c r="L137" s="20">
        <f t="shared" si="8"/>
        <v>0</v>
      </c>
      <c r="M137" s="14" t="e">
        <f>VLOOKUP(G137,Sell!G:L,1,0)</f>
        <v>#N/A</v>
      </c>
      <c r="N137" s="14">
        <f>IFERROR(VLOOKUP(G137,Sell!G:L,2,0),0)</f>
        <v>0</v>
      </c>
      <c r="O137" s="13">
        <f>IFERROR(VLOOKUP(G137,Sell!G:L,6,0),0)</f>
        <v>0</v>
      </c>
      <c r="P137" s="14">
        <f t="shared" si="7"/>
        <v>0</v>
      </c>
      <c r="Q137" s="13">
        <f t="shared" si="9"/>
        <v>0</v>
      </c>
      <c r="R137" s="13">
        <f t="shared" si="10"/>
        <v>0</v>
      </c>
      <c r="S137" s="13">
        <f t="shared" si="11"/>
        <v>0</v>
      </c>
      <c r="T137" s="13">
        <f t="shared" si="12"/>
        <v>0</v>
      </c>
      <c r="U137" s="15" t="str">
        <f t="shared" si="13"/>
        <v/>
      </c>
    </row>
    <row r="138" spans="12:21" x14ac:dyDescent="0.25">
      <c r="L138" s="20">
        <f t="shared" si="8"/>
        <v>0</v>
      </c>
      <c r="M138" s="14" t="e">
        <f>VLOOKUP(G138,Sell!G:L,1,0)</f>
        <v>#N/A</v>
      </c>
      <c r="N138" s="14">
        <f>IFERROR(VLOOKUP(G138,Sell!G:L,2,0),0)</f>
        <v>0</v>
      </c>
      <c r="O138" s="13">
        <f>IFERROR(VLOOKUP(G138,Sell!G:L,6,0),0)</f>
        <v>0</v>
      </c>
      <c r="P138" s="14">
        <f t="shared" ref="P138:P201" si="14">H138-N138</f>
        <v>0</v>
      </c>
      <c r="Q138" s="13">
        <f t="shared" si="9"/>
        <v>0</v>
      </c>
      <c r="R138" s="13">
        <f t="shared" si="10"/>
        <v>0</v>
      </c>
      <c r="S138" s="13">
        <f t="shared" si="11"/>
        <v>0</v>
      </c>
      <c r="T138" s="13">
        <f t="shared" si="12"/>
        <v>0</v>
      </c>
      <c r="U138" s="15" t="str">
        <f t="shared" si="13"/>
        <v/>
      </c>
    </row>
    <row r="139" spans="12:21" x14ac:dyDescent="0.25">
      <c r="L139" s="20">
        <f t="shared" ref="L139:L202" si="15">J139+K139</f>
        <v>0</v>
      </c>
      <c r="M139" s="14" t="e">
        <f>VLOOKUP(G139,Sell!G:L,1,0)</f>
        <v>#N/A</v>
      </c>
      <c r="N139" s="14">
        <f>IFERROR(VLOOKUP(G139,Sell!G:L,2,0),0)</f>
        <v>0</v>
      </c>
      <c r="O139" s="13">
        <f>IFERROR(VLOOKUP(G139,Sell!G:L,6,0),0)</f>
        <v>0</v>
      </c>
      <c r="P139" s="14">
        <f t="shared" si="14"/>
        <v>0</v>
      </c>
      <c r="Q139" s="13">
        <f t="shared" ref="Q139:Q202" si="16">O139-L139</f>
        <v>0</v>
      </c>
      <c r="R139" s="13">
        <f t="shared" ref="R139:R202" si="17">IF(P139=0,Q139,0)</f>
        <v>0</v>
      </c>
      <c r="S139" s="13">
        <f t="shared" ref="S139:S202" si="18">IF(R139&gt;0,R139,0)</f>
        <v>0</v>
      </c>
      <c r="T139" s="13">
        <f t="shared" ref="T139:T202" si="19">IF(R139&gt;0,0,R139)</f>
        <v>0</v>
      </c>
      <c r="U139" s="15" t="str">
        <f t="shared" ref="U139:U202" si="20">IF(AND(LEN(G139)&gt;0,R139=0),"Open","")</f>
        <v/>
      </c>
    </row>
    <row r="140" spans="12:21" x14ac:dyDescent="0.25">
      <c r="L140" s="20">
        <f t="shared" si="15"/>
        <v>0</v>
      </c>
      <c r="M140" s="14" t="e">
        <f>VLOOKUP(G140,Sell!G:L,1,0)</f>
        <v>#N/A</v>
      </c>
      <c r="N140" s="14">
        <f>IFERROR(VLOOKUP(G140,Sell!G:L,2,0),0)</f>
        <v>0</v>
      </c>
      <c r="O140" s="13">
        <f>IFERROR(VLOOKUP(G140,Sell!G:L,6,0),0)</f>
        <v>0</v>
      </c>
      <c r="P140" s="14">
        <f t="shared" si="14"/>
        <v>0</v>
      </c>
      <c r="Q140" s="13">
        <f t="shared" si="16"/>
        <v>0</v>
      </c>
      <c r="R140" s="13">
        <f t="shared" si="17"/>
        <v>0</v>
      </c>
      <c r="S140" s="13">
        <f t="shared" si="18"/>
        <v>0</v>
      </c>
      <c r="T140" s="13">
        <f t="shared" si="19"/>
        <v>0</v>
      </c>
      <c r="U140" s="15" t="str">
        <f t="shared" si="20"/>
        <v/>
      </c>
    </row>
    <row r="141" spans="12:21" x14ac:dyDescent="0.25">
      <c r="L141" s="20">
        <f t="shared" si="15"/>
        <v>0</v>
      </c>
      <c r="M141" s="14" t="e">
        <f>VLOOKUP(G141,Sell!G:L,1,0)</f>
        <v>#N/A</v>
      </c>
      <c r="N141" s="14">
        <f>IFERROR(VLOOKUP(G141,Sell!G:L,2,0),0)</f>
        <v>0</v>
      </c>
      <c r="O141" s="13">
        <f>IFERROR(VLOOKUP(G141,Sell!G:L,6,0),0)</f>
        <v>0</v>
      </c>
      <c r="P141" s="14">
        <f t="shared" si="14"/>
        <v>0</v>
      </c>
      <c r="Q141" s="13">
        <f t="shared" si="16"/>
        <v>0</v>
      </c>
      <c r="R141" s="13">
        <f t="shared" si="17"/>
        <v>0</v>
      </c>
      <c r="S141" s="13">
        <f t="shared" si="18"/>
        <v>0</v>
      </c>
      <c r="T141" s="13">
        <f t="shared" si="19"/>
        <v>0</v>
      </c>
      <c r="U141" s="15" t="str">
        <f t="shared" si="20"/>
        <v/>
      </c>
    </row>
    <row r="142" spans="12:21" x14ac:dyDescent="0.25">
      <c r="L142" s="20">
        <f t="shared" si="15"/>
        <v>0</v>
      </c>
      <c r="M142" s="14" t="e">
        <f>VLOOKUP(G142,Sell!G:L,1,0)</f>
        <v>#N/A</v>
      </c>
      <c r="N142" s="14">
        <f>IFERROR(VLOOKUP(G142,Sell!G:L,2,0),0)</f>
        <v>0</v>
      </c>
      <c r="O142" s="13">
        <f>IFERROR(VLOOKUP(G142,Sell!G:L,6,0),0)</f>
        <v>0</v>
      </c>
      <c r="P142" s="14">
        <f t="shared" si="14"/>
        <v>0</v>
      </c>
      <c r="Q142" s="13">
        <f t="shared" si="16"/>
        <v>0</v>
      </c>
      <c r="R142" s="13">
        <f t="shared" si="17"/>
        <v>0</v>
      </c>
      <c r="S142" s="13">
        <f t="shared" si="18"/>
        <v>0</v>
      </c>
      <c r="T142" s="13">
        <f t="shared" si="19"/>
        <v>0</v>
      </c>
      <c r="U142" s="15" t="str">
        <f t="shared" si="20"/>
        <v/>
      </c>
    </row>
    <row r="143" spans="12:21" x14ac:dyDescent="0.25">
      <c r="L143" s="20">
        <f t="shared" si="15"/>
        <v>0</v>
      </c>
      <c r="M143" s="14" t="e">
        <f>VLOOKUP(G143,Sell!G:L,1,0)</f>
        <v>#N/A</v>
      </c>
      <c r="N143" s="14">
        <f>IFERROR(VLOOKUP(G143,Sell!G:L,2,0),0)</f>
        <v>0</v>
      </c>
      <c r="O143" s="13">
        <f>IFERROR(VLOOKUP(G143,Sell!G:L,6,0),0)</f>
        <v>0</v>
      </c>
      <c r="P143" s="14">
        <f t="shared" si="14"/>
        <v>0</v>
      </c>
      <c r="Q143" s="13">
        <f t="shared" si="16"/>
        <v>0</v>
      </c>
      <c r="R143" s="13">
        <f t="shared" si="17"/>
        <v>0</v>
      </c>
      <c r="S143" s="13">
        <f t="shared" si="18"/>
        <v>0</v>
      </c>
      <c r="T143" s="13">
        <f t="shared" si="19"/>
        <v>0</v>
      </c>
      <c r="U143" s="15" t="str">
        <f t="shared" si="20"/>
        <v/>
      </c>
    </row>
    <row r="144" spans="12:21" x14ac:dyDescent="0.25">
      <c r="L144" s="20">
        <f t="shared" si="15"/>
        <v>0</v>
      </c>
      <c r="M144" s="14" t="e">
        <f>VLOOKUP(G144,Sell!G:L,1,0)</f>
        <v>#N/A</v>
      </c>
      <c r="N144" s="14">
        <f>IFERROR(VLOOKUP(G144,Sell!G:L,2,0),0)</f>
        <v>0</v>
      </c>
      <c r="O144" s="13">
        <f>IFERROR(VLOOKUP(G144,Sell!G:L,6,0),0)</f>
        <v>0</v>
      </c>
      <c r="P144" s="14">
        <f t="shared" si="14"/>
        <v>0</v>
      </c>
      <c r="Q144" s="13">
        <f t="shared" si="16"/>
        <v>0</v>
      </c>
      <c r="R144" s="13">
        <f t="shared" si="17"/>
        <v>0</v>
      </c>
      <c r="S144" s="13">
        <f t="shared" si="18"/>
        <v>0</v>
      </c>
      <c r="T144" s="13">
        <f t="shared" si="19"/>
        <v>0</v>
      </c>
      <c r="U144" s="15" t="str">
        <f t="shared" si="20"/>
        <v/>
      </c>
    </row>
    <row r="145" spans="12:21" x14ac:dyDescent="0.25">
      <c r="L145" s="20">
        <f t="shared" si="15"/>
        <v>0</v>
      </c>
      <c r="M145" s="14" t="e">
        <f>VLOOKUP(G145,Sell!G:L,1,0)</f>
        <v>#N/A</v>
      </c>
      <c r="N145" s="14">
        <f>IFERROR(VLOOKUP(G145,Sell!G:L,2,0),0)</f>
        <v>0</v>
      </c>
      <c r="O145" s="13">
        <f>IFERROR(VLOOKUP(G145,Sell!G:L,6,0),0)</f>
        <v>0</v>
      </c>
      <c r="P145" s="14">
        <f t="shared" si="14"/>
        <v>0</v>
      </c>
      <c r="Q145" s="13">
        <f t="shared" si="16"/>
        <v>0</v>
      </c>
      <c r="R145" s="13">
        <f t="shared" si="17"/>
        <v>0</v>
      </c>
      <c r="S145" s="13">
        <f t="shared" si="18"/>
        <v>0</v>
      </c>
      <c r="T145" s="13">
        <f t="shared" si="19"/>
        <v>0</v>
      </c>
      <c r="U145" s="15" t="str">
        <f t="shared" si="20"/>
        <v/>
      </c>
    </row>
    <row r="146" spans="12:21" x14ac:dyDescent="0.25">
      <c r="L146" s="20">
        <f t="shared" si="15"/>
        <v>0</v>
      </c>
      <c r="M146" s="14" t="e">
        <f>VLOOKUP(G146,Sell!G:L,1,0)</f>
        <v>#N/A</v>
      </c>
      <c r="N146" s="14">
        <f>IFERROR(VLOOKUP(G146,Sell!G:L,2,0),0)</f>
        <v>0</v>
      </c>
      <c r="O146" s="13">
        <f>IFERROR(VLOOKUP(G146,Sell!G:L,6,0),0)</f>
        <v>0</v>
      </c>
      <c r="P146" s="14">
        <f t="shared" si="14"/>
        <v>0</v>
      </c>
      <c r="Q146" s="13">
        <f t="shared" si="16"/>
        <v>0</v>
      </c>
      <c r="R146" s="13">
        <f t="shared" si="17"/>
        <v>0</v>
      </c>
      <c r="S146" s="13">
        <f t="shared" si="18"/>
        <v>0</v>
      </c>
      <c r="T146" s="13">
        <f t="shared" si="19"/>
        <v>0</v>
      </c>
      <c r="U146" s="15" t="str">
        <f t="shared" si="20"/>
        <v/>
      </c>
    </row>
    <row r="147" spans="12:21" x14ac:dyDescent="0.25">
      <c r="L147" s="20">
        <f t="shared" si="15"/>
        <v>0</v>
      </c>
      <c r="M147" s="14" t="e">
        <f>VLOOKUP(G147,Sell!G:L,1,0)</f>
        <v>#N/A</v>
      </c>
      <c r="N147" s="14">
        <f>IFERROR(VLOOKUP(G147,Sell!G:L,2,0),0)</f>
        <v>0</v>
      </c>
      <c r="O147" s="13">
        <f>IFERROR(VLOOKUP(G147,Sell!G:L,6,0),0)</f>
        <v>0</v>
      </c>
      <c r="P147" s="14">
        <f t="shared" si="14"/>
        <v>0</v>
      </c>
      <c r="Q147" s="13">
        <f t="shared" si="16"/>
        <v>0</v>
      </c>
      <c r="R147" s="13">
        <f t="shared" si="17"/>
        <v>0</v>
      </c>
      <c r="S147" s="13">
        <f t="shared" si="18"/>
        <v>0</v>
      </c>
      <c r="T147" s="13">
        <f t="shared" si="19"/>
        <v>0</v>
      </c>
      <c r="U147" s="15" t="str">
        <f t="shared" si="20"/>
        <v/>
      </c>
    </row>
    <row r="148" spans="12:21" x14ac:dyDescent="0.25">
      <c r="L148" s="20">
        <f t="shared" si="15"/>
        <v>0</v>
      </c>
      <c r="M148" s="14" t="e">
        <f>VLOOKUP(G148,Sell!G:L,1,0)</f>
        <v>#N/A</v>
      </c>
      <c r="N148" s="14">
        <f>IFERROR(VLOOKUP(G148,Sell!G:L,2,0),0)</f>
        <v>0</v>
      </c>
      <c r="O148" s="13">
        <f>IFERROR(VLOOKUP(G148,Sell!G:L,6,0),0)</f>
        <v>0</v>
      </c>
      <c r="P148" s="14">
        <f t="shared" si="14"/>
        <v>0</v>
      </c>
      <c r="Q148" s="13">
        <f t="shared" si="16"/>
        <v>0</v>
      </c>
      <c r="R148" s="13">
        <f t="shared" si="17"/>
        <v>0</v>
      </c>
      <c r="S148" s="13">
        <f t="shared" si="18"/>
        <v>0</v>
      </c>
      <c r="T148" s="13">
        <f t="shared" si="19"/>
        <v>0</v>
      </c>
      <c r="U148" s="15" t="str">
        <f t="shared" si="20"/>
        <v/>
      </c>
    </row>
    <row r="149" spans="12:21" x14ac:dyDescent="0.25">
      <c r="L149" s="20">
        <f t="shared" si="15"/>
        <v>0</v>
      </c>
      <c r="M149" s="14" t="e">
        <f>VLOOKUP(G149,Sell!G:L,1,0)</f>
        <v>#N/A</v>
      </c>
      <c r="N149" s="14">
        <f>IFERROR(VLOOKUP(G149,Sell!G:L,2,0),0)</f>
        <v>0</v>
      </c>
      <c r="O149" s="13">
        <f>IFERROR(VLOOKUP(G149,Sell!G:L,6,0),0)</f>
        <v>0</v>
      </c>
      <c r="P149" s="14">
        <f t="shared" si="14"/>
        <v>0</v>
      </c>
      <c r="Q149" s="13">
        <f t="shared" si="16"/>
        <v>0</v>
      </c>
      <c r="R149" s="13">
        <f t="shared" si="17"/>
        <v>0</v>
      </c>
      <c r="S149" s="13">
        <f t="shared" si="18"/>
        <v>0</v>
      </c>
      <c r="T149" s="13">
        <f t="shared" si="19"/>
        <v>0</v>
      </c>
      <c r="U149" s="15" t="str">
        <f t="shared" si="20"/>
        <v/>
      </c>
    </row>
    <row r="150" spans="12:21" x14ac:dyDescent="0.25">
      <c r="L150" s="20">
        <f t="shared" si="15"/>
        <v>0</v>
      </c>
      <c r="M150" s="14" t="e">
        <f>VLOOKUP(G150,Sell!G:L,1,0)</f>
        <v>#N/A</v>
      </c>
      <c r="N150" s="14">
        <f>IFERROR(VLOOKUP(G150,Sell!G:L,2,0),0)</f>
        <v>0</v>
      </c>
      <c r="O150" s="13">
        <f>IFERROR(VLOOKUP(G150,Sell!G:L,6,0),0)</f>
        <v>0</v>
      </c>
      <c r="P150" s="14">
        <f t="shared" si="14"/>
        <v>0</v>
      </c>
      <c r="Q150" s="13">
        <f t="shared" si="16"/>
        <v>0</v>
      </c>
      <c r="R150" s="13">
        <f t="shared" si="17"/>
        <v>0</v>
      </c>
      <c r="S150" s="13">
        <f t="shared" si="18"/>
        <v>0</v>
      </c>
      <c r="T150" s="13">
        <f t="shared" si="19"/>
        <v>0</v>
      </c>
      <c r="U150" s="15" t="str">
        <f t="shared" si="20"/>
        <v/>
      </c>
    </row>
    <row r="151" spans="12:21" x14ac:dyDescent="0.25">
      <c r="L151" s="20">
        <f t="shared" si="15"/>
        <v>0</v>
      </c>
      <c r="M151" s="14" t="e">
        <f>VLOOKUP(G151,Sell!G:L,1,0)</f>
        <v>#N/A</v>
      </c>
      <c r="N151" s="14">
        <f>IFERROR(VLOOKUP(G151,Sell!G:L,2,0),0)</f>
        <v>0</v>
      </c>
      <c r="O151" s="13">
        <f>IFERROR(VLOOKUP(G151,Sell!G:L,6,0),0)</f>
        <v>0</v>
      </c>
      <c r="P151" s="14">
        <f t="shared" si="14"/>
        <v>0</v>
      </c>
      <c r="Q151" s="13">
        <f t="shared" si="16"/>
        <v>0</v>
      </c>
      <c r="R151" s="13">
        <f t="shared" si="17"/>
        <v>0</v>
      </c>
      <c r="S151" s="13">
        <f t="shared" si="18"/>
        <v>0</v>
      </c>
      <c r="T151" s="13">
        <f t="shared" si="19"/>
        <v>0</v>
      </c>
      <c r="U151" s="15" t="str">
        <f t="shared" si="20"/>
        <v/>
      </c>
    </row>
    <row r="152" spans="12:21" x14ac:dyDescent="0.25">
      <c r="L152" s="20">
        <f t="shared" si="15"/>
        <v>0</v>
      </c>
      <c r="M152" s="14" t="e">
        <f>VLOOKUP(G152,Sell!G:L,1,0)</f>
        <v>#N/A</v>
      </c>
      <c r="N152" s="14">
        <f>IFERROR(VLOOKUP(G152,Sell!G:L,2,0),0)</f>
        <v>0</v>
      </c>
      <c r="O152" s="13">
        <f>IFERROR(VLOOKUP(G152,Sell!G:L,6,0),0)</f>
        <v>0</v>
      </c>
      <c r="P152" s="14">
        <f t="shared" si="14"/>
        <v>0</v>
      </c>
      <c r="Q152" s="13">
        <f t="shared" si="16"/>
        <v>0</v>
      </c>
      <c r="R152" s="13">
        <f t="shared" si="17"/>
        <v>0</v>
      </c>
      <c r="S152" s="13">
        <f t="shared" si="18"/>
        <v>0</v>
      </c>
      <c r="T152" s="13">
        <f t="shared" si="19"/>
        <v>0</v>
      </c>
      <c r="U152" s="15" t="str">
        <f t="shared" si="20"/>
        <v/>
      </c>
    </row>
    <row r="153" spans="12:21" x14ac:dyDescent="0.25">
      <c r="L153" s="20">
        <f t="shared" si="15"/>
        <v>0</v>
      </c>
      <c r="M153" s="14" t="e">
        <f>VLOOKUP(G153,Sell!G:L,1,0)</f>
        <v>#N/A</v>
      </c>
      <c r="N153" s="14">
        <f>IFERROR(VLOOKUP(G153,Sell!G:L,2,0),0)</f>
        <v>0</v>
      </c>
      <c r="O153" s="13">
        <f>IFERROR(VLOOKUP(G153,Sell!G:L,6,0),0)</f>
        <v>0</v>
      </c>
      <c r="P153" s="14">
        <f t="shared" si="14"/>
        <v>0</v>
      </c>
      <c r="Q153" s="13">
        <f t="shared" si="16"/>
        <v>0</v>
      </c>
      <c r="R153" s="13">
        <f t="shared" si="17"/>
        <v>0</v>
      </c>
      <c r="S153" s="13">
        <f t="shared" si="18"/>
        <v>0</v>
      </c>
      <c r="T153" s="13">
        <f t="shared" si="19"/>
        <v>0</v>
      </c>
      <c r="U153" s="15" t="str">
        <f t="shared" si="20"/>
        <v/>
      </c>
    </row>
    <row r="154" spans="12:21" x14ac:dyDescent="0.25">
      <c r="L154" s="20">
        <f t="shared" si="15"/>
        <v>0</v>
      </c>
      <c r="M154" s="14" t="e">
        <f>VLOOKUP(G154,Sell!G:L,1,0)</f>
        <v>#N/A</v>
      </c>
      <c r="N154" s="14">
        <f>IFERROR(VLOOKUP(G154,Sell!G:L,2,0),0)</f>
        <v>0</v>
      </c>
      <c r="O154" s="13">
        <f>IFERROR(VLOOKUP(G154,Sell!G:L,6,0),0)</f>
        <v>0</v>
      </c>
      <c r="P154" s="14">
        <f t="shared" si="14"/>
        <v>0</v>
      </c>
      <c r="Q154" s="13">
        <f t="shared" si="16"/>
        <v>0</v>
      </c>
      <c r="R154" s="13">
        <f t="shared" si="17"/>
        <v>0</v>
      </c>
      <c r="S154" s="13">
        <f t="shared" si="18"/>
        <v>0</v>
      </c>
      <c r="T154" s="13">
        <f t="shared" si="19"/>
        <v>0</v>
      </c>
      <c r="U154" s="15" t="str">
        <f t="shared" si="20"/>
        <v/>
      </c>
    </row>
    <row r="155" spans="12:21" x14ac:dyDescent="0.25">
      <c r="L155" s="20">
        <f t="shared" si="15"/>
        <v>0</v>
      </c>
      <c r="M155" s="14" t="e">
        <f>VLOOKUP(G155,Sell!G:L,1,0)</f>
        <v>#N/A</v>
      </c>
      <c r="N155" s="14">
        <f>IFERROR(VLOOKUP(G155,Sell!G:L,2,0),0)</f>
        <v>0</v>
      </c>
      <c r="O155" s="13">
        <f>IFERROR(VLOOKUP(G155,Sell!G:L,6,0),0)</f>
        <v>0</v>
      </c>
      <c r="P155" s="14">
        <f t="shared" si="14"/>
        <v>0</v>
      </c>
      <c r="Q155" s="13">
        <f t="shared" si="16"/>
        <v>0</v>
      </c>
      <c r="R155" s="13">
        <f t="shared" si="17"/>
        <v>0</v>
      </c>
      <c r="S155" s="13">
        <f t="shared" si="18"/>
        <v>0</v>
      </c>
      <c r="T155" s="13">
        <f t="shared" si="19"/>
        <v>0</v>
      </c>
      <c r="U155" s="15" t="str">
        <f t="shared" si="20"/>
        <v/>
      </c>
    </row>
    <row r="156" spans="12:21" x14ac:dyDescent="0.25">
      <c r="L156" s="20">
        <f t="shared" si="15"/>
        <v>0</v>
      </c>
      <c r="M156" s="14" t="e">
        <f>VLOOKUP(G156,Sell!G:L,1,0)</f>
        <v>#N/A</v>
      </c>
      <c r="N156" s="14">
        <f>IFERROR(VLOOKUP(G156,Sell!G:L,2,0),0)</f>
        <v>0</v>
      </c>
      <c r="O156" s="13">
        <f>IFERROR(VLOOKUP(G156,Sell!G:L,6,0),0)</f>
        <v>0</v>
      </c>
      <c r="P156" s="14">
        <f t="shared" si="14"/>
        <v>0</v>
      </c>
      <c r="Q156" s="13">
        <f t="shared" si="16"/>
        <v>0</v>
      </c>
      <c r="R156" s="13">
        <f t="shared" si="17"/>
        <v>0</v>
      </c>
      <c r="S156" s="13">
        <f t="shared" si="18"/>
        <v>0</v>
      </c>
      <c r="T156" s="13">
        <f t="shared" si="19"/>
        <v>0</v>
      </c>
      <c r="U156" s="15" t="str">
        <f t="shared" si="20"/>
        <v/>
      </c>
    </row>
    <row r="157" spans="12:21" x14ac:dyDescent="0.25">
      <c r="L157" s="20">
        <f t="shared" si="15"/>
        <v>0</v>
      </c>
      <c r="M157" s="14" t="e">
        <f>VLOOKUP(G157,Sell!G:L,1,0)</f>
        <v>#N/A</v>
      </c>
      <c r="N157" s="14">
        <f>IFERROR(VLOOKUP(G157,Sell!G:L,2,0),0)</f>
        <v>0</v>
      </c>
      <c r="O157" s="13">
        <f>IFERROR(VLOOKUP(G157,Sell!G:L,6,0),0)</f>
        <v>0</v>
      </c>
      <c r="P157" s="14">
        <f t="shared" si="14"/>
        <v>0</v>
      </c>
      <c r="Q157" s="13">
        <f t="shared" si="16"/>
        <v>0</v>
      </c>
      <c r="R157" s="13">
        <f t="shared" si="17"/>
        <v>0</v>
      </c>
      <c r="S157" s="13">
        <f t="shared" si="18"/>
        <v>0</v>
      </c>
      <c r="T157" s="13">
        <f t="shared" si="19"/>
        <v>0</v>
      </c>
      <c r="U157" s="15" t="str">
        <f t="shared" si="20"/>
        <v/>
      </c>
    </row>
    <row r="158" spans="12:21" x14ac:dyDescent="0.25">
      <c r="L158" s="20">
        <f t="shared" si="15"/>
        <v>0</v>
      </c>
      <c r="M158" s="14" t="e">
        <f>VLOOKUP(G158,Sell!G:L,1,0)</f>
        <v>#N/A</v>
      </c>
      <c r="N158" s="14">
        <f>IFERROR(VLOOKUP(G158,Sell!G:L,2,0),0)</f>
        <v>0</v>
      </c>
      <c r="O158" s="13">
        <f>IFERROR(VLOOKUP(G158,Sell!G:L,6,0),0)</f>
        <v>0</v>
      </c>
      <c r="P158" s="14">
        <f t="shared" si="14"/>
        <v>0</v>
      </c>
      <c r="Q158" s="13">
        <f t="shared" si="16"/>
        <v>0</v>
      </c>
      <c r="R158" s="13">
        <f t="shared" si="17"/>
        <v>0</v>
      </c>
      <c r="S158" s="13">
        <f t="shared" si="18"/>
        <v>0</v>
      </c>
      <c r="T158" s="13">
        <f t="shared" si="19"/>
        <v>0</v>
      </c>
      <c r="U158" s="15" t="str">
        <f t="shared" si="20"/>
        <v/>
      </c>
    </row>
    <row r="159" spans="12:21" x14ac:dyDescent="0.25">
      <c r="L159" s="20">
        <f t="shared" si="15"/>
        <v>0</v>
      </c>
      <c r="M159" s="14" t="e">
        <f>VLOOKUP(G159,Sell!G:L,1,0)</f>
        <v>#N/A</v>
      </c>
      <c r="N159" s="14">
        <f>IFERROR(VLOOKUP(G159,Sell!G:L,2,0),0)</f>
        <v>0</v>
      </c>
      <c r="O159" s="13">
        <f>IFERROR(VLOOKUP(G159,Sell!G:L,6,0),0)</f>
        <v>0</v>
      </c>
      <c r="P159" s="14">
        <f t="shared" si="14"/>
        <v>0</v>
      </c>
      <c r="Q159" s="13">
        <f t="shared" si="16"/>
        <v>0</v>
      </c>
      <c r="R159" s="13">
        <f t="shared" si="17"/>
        <v>0</v>
      </c>
      <c r="S159" s="13">
        <f t="shared" si="18"/>
        <v>0</v>
      </c>
      <c r="T159" s="13">
        <f t="shared" si="19"/>
        <v>0</v>
      </c>
      <c r="U159" s="15" t="str">
        <f t="shared" si="20"/>
        <v/>
      </c>
    </row>
    <row r="160" spans="12:21" x14ac:dyDescent="0.25">
      <c r="L160" s="20">
        <f t="shared" si="15"/>
        <v>0</v>
      </c>
      <c r="M160" s="14" t="e">
        <f>VLOOKUP(G160,Sell!G:L,1,0)</f>
        <v>#N/A</v>
      </c>
      <c r="N160" s="14">
        <f>IFERROR(VLOOKUP(G160,Sell!G:L,2,0),0)</f>
        <v>0</v>
      </c>
      <c r="O160" s="13">
        <f>IFERROR(VLOOKUP(G160,Sell!G:L,6,0),0)</f>
        <v>0</v>
      </c>
      <c r="P160" s="14">
        <f t="shared" si="14"/>
        <v>0</v>
      </c>
      <c r="Q160" s="13">
        <f t="shared" si="16"/>
        <v>0</v>
      </c>
      <c r="R160" s="13">
        <f t="shared" si="17"/>
        <v>0</v>
      </c>
      <c r="S160" s="13">
        <f t="shared" si="18"/>
        <v>0</v>
      </c>
      <c r="T160" s="13">
        <f t="shared" si="19"/>
        <v>0</v>
      </c>
      <c r="U160" s="15" t="str">
        <f t="shared" si="20"/>
        <v/>
      </c>
    </row>
    <row r="161" spans="12:21" x14ac:dyDescent="0.25">
      <c r="L161" s="20">
        <f t="shared" si="15"/>
        <v>0</v>
      </c>
      <c r="M161" s="14" t="e">
        <f>VLOOKUP(G161,Sell!G:L,1,0)</f>
        <v>#N/A</v>
      </c>
      <c r="N161" s="14">
        <f>IFERROR(VLOOKUP(G161,Sell!G:L,2,0),0)</f>
        <v>0</v>
      </c>
      <c r="O161" s="13">
        <f>IFERROR(VLOOKUP(G161,Sell!G:L,6,0),0)</f>
        <v>0</v>
      </c>
      <c r="P161" s="14">
        <f t="shared" si="14"/>
        <v>0</v>
      </c>
      <c r="Q161" s="13">
        <f t="shared" si="16"/>
        <v>0</v>
      </c>
      <c r="R161" s="13">
        <f t="shared" si="17"/>
        <v>0</v>
      </c>
      <c r="S161" s="13">
        <f t="shared" si="18"/>
        <v>0</v>
      </c>
      <c r="T161" s="13">
        <f t="shared" si="19"/>
        <v>0</v>
      </c>
      <c r="U161" s="15" t="str">
        <f t="shared" si="20"/>
        <v/>
      </c>
    </row>
    <row r="162" spans="12:21" x14ac:dyDescent="0.25">
      <c r="L162" s="20">
        <f t="shared" si="15"/>
        <v>0</v>
      </c>
      <c r="M162" s="14" t="e">
        <f>VLOOKUP(G162,Sell!G:L,1,0)</f>
        <v>#N/A</v>
      </c>
      <c r="N162" s="14">
        <f>IFERROR(VLOOKUP(G162,Sell!G:L,2,0),0)</f>
        <v>0</v>
      </c>
      <c r="O162" s="13">
        <f>IFERROR(VLOOKUP(G162,Sell!G:L,6,0),0)</f>
        <v>0</v>
      </c>
      <c r="P162" s="14">
        <f t="shared" si="14"/>
        <v>0</v>
      </c>
      <c r="Q162" s="13">
        <f t="shared" si="16"/>
        <v>0</v>
      </c>
      <c r="R162" s="13">
        <f t="shared" si="17"/>
        <v>0</v>
      </c>
      <c r="S162" s="13">
        <f t="shared" si="18"/>
        <v>0</v>
      </c>
      <c r="T162" s="13">
        <f t="shared" si="19"/>
        <v>0</v>
      </c>
      <c r="U162" s="15" t="str">
        <f t="shared" si="20"/>
        <v/>
      </c>
    </row>
    <row r="163" spans="12:21" x14ac:dyDescent="0.25">
      <c r="L163" s="20">
        <f t="shared" si="15"/>
        <v>0</v>
      </c>
      <c r="M163" s="14" t="e">
        <f>VLOOKUP(G163,Sell!G:L,1,0)</f>
        <v>#N/A</v>
      </c>
      <c r="N163" s="14">
        <f>IFERROR(VLOOKUP(G163,Sell!G:L,2,0),0)</f>
        <v>0</v>
      </c>
      <c r="O163" s="13">
        <f>IFERROR(VLOOKUP(G163,Sell!G:L,6,0),0)</f>
        <v>0</v>
      </c>
      <c r="P163" s="14">
        <f t="shared" si="14"/>
        <v>0</v>
      </c>
      <c r="Q163" s="13">
        <f t="shared" si="16"/>
        <v>0</v>
      </c>
      <c r="R163" s="13">
        <f t="shared" si="17"/>
        <v>0</v>
      </c>
      <c r="S163" s="13">
        <f t="shared" si="18"/>
        <v>0</v>
      </c>
      <c r="T163" s="13">
        <f t="shared" si="19"/>
        <v>0</v>
      </c>
      <c r="U163" s="15" t="str">
        <f t="shared" si="20"/>
        <v/>
      </c>
    </row>
    <row r="164" spans="12:21" x14ac:dyDescent="0.25">
      <c r="L164" s="20">
        <f t="shared" si="15"/>
        <v>0</v>
      </c>
      <c r="M164" s="14" t="e">
        <f>VLOOKUP(G164,Sell!G:L,1,0)</f>
        <v>#N/A</v>
      </c>
      <c r="N164" s="14">
        <f>IFERROR(VLOOKUP(G164,Sell!G:L,2,0),0)</f>
        <v>0</v>
      </c>
      <c r="O164" s="13">
        <f>IFERROR(VLOOKUP(G164,Sell!G:L,6,0),0)</f>
        <v>0</v>
      </c>
      <c r="P164" s="14">
        <f t="shared" si="14"/>
        <v>0</v>
      </c>
      <c r="Q164" s="13">
        <f t="shared" si="16"/>
        <v>0</v>
      </c>
      <c r="R164" s="13">
        <f t="shared" si="17"/>
        <v>0</v>
      </c>
      <c r="S164" s="13">
        <f t="shared" si="18"/>
        <v>0</v>
      </c>
      <c r="T164" s="13">
        <f t="shared" si="19"/>
        <v>0</v>
      </c>
      <c r="U164" s="15" t="str">
        <f t="shared" si="20"/>
        <v/>
      </c>
    </row>
    <row r="165" spans="12:21" x14ac:dyDescent="0.25">
      <c r="L165" s="20">
        <f t="shared" si="15"/>
        <v>0</v>
      </c>
      <c r="M165" s="14" t="e">
        <f>VLOOKUP(G165,Sell!G:L,1,0)</f>
        <v>#N/A</v>
      </c>
      <c r="N165" s="14">
        <f>IFERROR(VLOOKUP(G165,Sell!G:L,2,0),0)</f>
        <v>0</v>
      </c>
      <c r="O165" s="13">
        <f>IFERROR(VLOOKUP(G165,Sell!G:L,6,0),0)</f>
        <v>0</v>
      </c>
      <c r="P165" s="14">
        <f t="shared" si="14"/>
        <v>0</v>
      </c>
      <c r="Q165" s="13">
        <f t="shared" si="16"/>
        <v>0</v>
      </c>
      <c r="R165" s="13">
        <f t="shared" si="17"/>
        <v>0</v>
      </c>
      <c r="S165" s="13">
        <f t="shared" si="18"/>
        <v>0</v>
      </c>
      <c r="T165" s="13">
        <f t="shared" si="19"/>
        <v>0</v>
      </c>
      <c r="U165" s="15" t="str">
        <f t="shared" si="20"/>
        <v/>
      </c>
    </row>
    <row r="166" spans="12:21" x14ac:dyDescent="0.25">
      <c r="L166" s="20">
        <f t="shared" si="15"/>
        <v>0</v>
      </c>
      <c r="M166" s="14" t="e">
        <f>VLOOKUP(G166,Sell!G:L,1,0)</f>
        <v>#N/A</v>
      </c>
      <c r="N166" s="14">
        <f>IFERROR(VLOOKUP(G166,Sell!G:L,2,0),0)</f>
        <v>0</v>
      </c>
      <c r="O166" s="13">
        <f>IFERROR(VLOOKUP(G166,Sell!G:L,6,0),0)</f>
        <v>0</v>
      </c>
      <c r="P166" s="14">
        <f t="shared" si="14"/>
        <v>0</v>
      </c>
      <c r="Q166" s="13">
        <f t="shared" si="16"/>
        <v>0</v>
      </c>
      <c r="R166" s="13">
        <f t="shared" si="17"/>
        <v>0</v>
      </c>
      <c r="S166" s="13">
        <f t="shared" si="18"/>
        <v>0</v>
      </c>
      <c r="T166" s="13">
        <f t="shared" si="19"/>
        <v>0</v>
      </c>
      <c r="U166" s="15" t="str">
        <f t="shared" si="20"/>
        <v/>
      </c>
    </row>
    <row r="167" spans="12:21" x14ac:dyDescent="0.25">
      <c r="L167" s="20">
        <f t="shared" si="15"/>
        <v>0</v>
      </c>
      <c r="M167" s="14" t="e">
        <f>VLOOKUP(G167,Sell!G:L,1,0)</f>
        <v>#N/A</v>
      </c>
      <c r="N167" s="14">
        <f>IFERROR(VLOOKUP(G167,Sell!G:L,2,0),0)</f>
        <v>0</v>
      </c>
      <c r="O167" s="13">
        <f>IFERROR(VLOOKUP(G167,Sell!G:L,6,0),0)</f>
        <v>0</v>
      </c>
      <c r="P167" s="14">
        <f t="shared" si="14"/>
        <v>0</v>
      </c>
      <c r="Q167" s="13">
        <f t="shared" si="16"/>
        <v>0</v>
      </c>
      <c r="R167" s="13">
        <f t="shared" si="17"/>
        <v>0</v>
      </c>
      <c r="S167" s="13">
        <f t="shared" si="18"/>
        <v>0</v>
      </c>
      <c r="T167" s="13">
        <f t="shared" si="19"/>
        <v>0</v>
      </c>
      <c r="U167" s="15" t="str">
        <f t="shared" si="20"/>
        <v/>
      </c>
    </row>
    <row r="168" spans="12:21" x14ac:dyDescent="0.25">
      <c r="L168" s="20">
        <f t="shared" si="15"/>
        <v>0</v>
      </c>
      <c r="M168" s="14" t="e">
        <f>VLOOKUP(G168,Sell!G:L,1,0)</f>
        <v>#N/A</v>
      </c>
      <c r="N168" s="14">
        <f>IFERROR(VLOOKUP(G168,Sell!G:L,2,0),0)</f>
        <v>0</v>
      </c>
      <c r="O168" s="13">
        <f>IFERROR(VLOOKUP(G168,Sell!G:L,6,0),0)</f>
        <v>0</v>
      </c>
      <c r="P168" s="14">
        <f t="shared" si="14"/>
        <v>0</v>
      </c>
      <c r="Q168" s="13">
        <f t="shared" si="16"/>
        <v>0</v>
      </c>
      <c r="R168" s="13">
        <f t="shared" si="17"/>
        <v>0</v>
      </c>
      <c r="S168" s="13">
        <f t="shared" si="18"/>
        <v>0</v>
      </c>
      <c r="T168" s="13">
        <f t="shared" si="19"/>
        <v>0</v>
      </c>
      <c r="U168" s="15" t="str">
        <f t="shared" si="20"/>
        <v/>
      </c>
    </row>
    <row r="169" spans="12:21" x14ac:dyDescent="0.25">
      <c r="L169" s="20">
        <f t="shared" si="15"/>
        <v>0</v>
      </c>
      <c r="M169" s="14" t="e">
        <f>VLOOKUP(G169,Sell!G:L,1,0)</f>
        <v>#N/A</v>
      </c>
      <c r="N169" s="14">
        <f>IFERROR(VLOOKUP(G169,Sell!G:L,2,0),0)</f>
        <v>0</v>
      </c>
      <c r="O169" s="13">
        <f>IFERROR(VLOOKUP(G169,Sell!G:L,6,0),0)</f>
        <v>0</v>
      </c>
      <c r="P169" s="14">
        <f t="shared" si="14"/>
        <v>0</v>
      </c>
      <c r="Q169" s="13">
        <f t="shared" si="16"/>
        <v>0</v>
      </c>
      <c r="R169" s="13">
        <f t="shared" si="17"/>
        <v>0</v>
      </c>
      <c r="S169" s="13">
        <f t="shared" si="18"/>
        <v>0</v>
      </c>
      <c r="T169" s="13">
        <f t="shared" si="19"/>
        <v>0</v>
      </c>
      <c r="U169" s="15" t="str">
        <f t="shared" si="20"/>
        <v/>
      </c>
    </row>
    <row r="170" spans="12:21" x14ac:dyDescent="0.25">
      <c r="L170" s="20">
        <f t="shared" si="15"/>
        <v>0</v>
      </c>
      <c r="M170" s="14" t="e">
        <f>VLOOKUP(G170,Sell!G:L,1,0)</f>
        <v>#N/A</v>
      </c>
      <c r="N170" s="14">
        <f>IFERROR(VLOOKUP(G170,Sell!G:L,2,0),0)</f>
        <v>0</v>
      </c>
      <c r="O170" s="13">
        <f>IFERROR(VLOOKUP(G170,Sell!G:L,6,0),0)</f>
        <v>0</v>
      </c>
      <c r="P170" s="14">
        <f t="shared" si="14"/>
        <v>0</v>
      </c>
      <c r="Q170" s="13">
        <f t="shared" si="16"/>
        <v>0</v>
      </c>
      <c r="R170" s="13">
        <f t="shared" si="17"/>
        <v>0</v>
      </c>
      <c r="S170" s="13">
        <f t="shared" si="18"/>
        <v>0</v>
      </c>
      <c r="T170" s="13">
        <f t="shared" si="19"/>
        <v>0</v>
      </c>
      <c r="U170" s="15" t="str">
        <f t="shared" si="20"/>
        <v/>
      </c>
    </row>
    <row r="171" spans="12:21" x14ac:dyDescent="0.25">
      <c r="L171" s="20">
        <f t="shared" si="15"/>
        <v>0</v>
      </c>
      <c r="M171" s="14" t="e">
        <f>VLOOKUP(G171,Sell!G:L,1,0)</f>
        <v>#N/A</v>
      </c>
      <c r="N171" s="14">
        <f>IFERROR(VLOOKUP(G171,Sell!G:L,2,0),0)</f>
        <v>0</v>
      </c>
      <c r="O171" s="13">
        <f>IFERROR(VLOOKUP(G171,Sell!G:L,6,0),0)</f>
        <v>0</v>
      </c>
      <c r="P171" s="14">
        <f t="shared" si="14"/>
        <v>0</v>
      </c>
      <c r="Q171" s="13">
        <f t="shared" si="16"/>
        <v>0</v>
      </c>
      <c r="R171" s="13">
        <f t="shared" si="17"/>
        <v>0</v>
      </c>
      <c r="S171" s="13">
        <f t="shared" si="18"/>
        <v>0</v>
      </c>
      <c r="T171" s="13">
        <f t="shared" si="19"/>
        <v>0</v>
      </c>
      <c r="U171" s="15" t="str">
        <f t="shared" si="20"/>
        <v/>
      </c>
    </row>
    <row r="172" spans="12:21" x14ac:dyDescent="0.25">
      <c r="L172" s="20">
        <f t="shared" si="15"/>
        <v>0</v>
      </c>
      <c r="M172" s="14" t="e">
        <f>VLOOKUP(G172,Sell!G:L,1,0)</f>
        <v>#N/A</v>
      </c>
      <c r="N172" s="14">
        <f>IFERROR(VLOOKUP(G172,Sell!G:L,2,0),0)</f>
        <v>0</v>
      </c>
      <c r="O172" s="13">
        <f>IFERROR(VLOOKUP(G172,Sell!G:L,6,0),0)</f>
        <v>0</v>
      </c>
      <c r="P172" s="14">
        <f t="shared" si="14"/>
        <v>0</v>
      </c>
      <c r="Q172" s="13">
        <f t="shared" si="16"/>
        <v>0</v>
      </c>
      <c r="R172" s="13">
        <f t="shared" si="17"/>
        <v>0</v>
      </c>
      <c r="S172" s="13">
        <f t="shared" si="18"/>
        <v>0</v>
      </c>
      <c r="T172" s="13">
        <f t="shared" si="19"/>
        <v>0</v>
      </c>
      <c r="U172" s="15" t="str">
        <f t="shared" si="20"/>
        <v/>
      </c>
    </row>
    <row r="173" spans="12:21" x14ac:dyDescent="0.25">
      <c r="L173" s="20">
        <f t="shared" si="15"/>
        <v>0</v>
      </c>
      <c r="M173" s="14" t="e">
        <f>VLOOKUP(G173,Sell!G:L,1,0)</f>
        <v>#N/A</v>
      </c>
      <c r="N173" s="14">
        <f>IFERROR(VLOOKUP(G173,Sell!G:L,2,0),0)</f>
        <v>0</v>
      </c>
      <c r="O173" s="13">
        <f>IFERROR(VLOOKUP(G173,Sell!G:L,6,0),0)</f>
        <v>0</v>
      </c>
      <c r="P173" s="14">
        <f t="shared" si="14"/>
        <v>0</v>
      </c>
      <c r="Q173" s="13">
        <f t="shared" si="16"/>
        <v>0</v>
      </c>
      <c r="R173" s="13">
        <f t="shared" si="17"/>
        <v>0</v>
      </c>
      <c r="S173" s="13">
        <f t="shared" si="18"/>
        <v>0</v>
      </c>
      <c r="T173" s="13">
        <f t="shared" si="19"/>
        <v>0</v>
      </c>
      <c r="U173" s="15" t="str">
        <f t="shared" si="20"/>
        <v/>
      </c>
    </row>
    <row r="174" spans="12:21" x14ac:dyDescent="0.25">
      <c r="L174" s="20">
        <f t="shared" si="15"/>
        <v>0</v>
      </c>
      <c r="M174" s="14" t="e">
        <f>VLOOKUP(G174,Sell!G:L,1,0)</f>
        <v>#N/A</v>
      </c>
      <c r="N174" s="14">
        <f>IFERROR(VLOOKUP(G174,Sell!G:L,2,0),0)</f>
        <v>0</v>
      </c>
      <c r="O174" s="13">
        <f>IFERROR(VLOOKUP(G174,Sell!G:L,6,0),0)</f>
        <v>0</v>
      </c>
      <c r="P174" s="14">
        <f t="shared" si="14"/>
        <v>0</v>
      </c>
      <c r="Q174" s="13">
        <f t="shared" si="16"/>
        <v>0</v>
      </c>
      <c r="R174" s="13">
        <f t="shared" si="17"/>
        <v>0</v>
      </c>
      <c r="S174" s="13">
        <f t="shared" si="18"/>
        <v>0</v>
      </c>
      <c r="T174" s="13">
        <f t="shared" si="19"/>
        <v>0</v>
      </c>
      <c r="U174" s="15" t="str">
        <f t="shared" si="20"/>
        <v/>
      </c>
    </row>
    <row r="175" spans="12:21" x14ac:dyDescent="0.25">
      <c r="L175" s="20">
        <f t="shared" si="15"/>
        <v>0</v>
      </c>
      <c r="M175" s="14" t="e">
        <f>VLOOKUP(G175,Sell!G:L,1,0)</f>
        <v>#N/A</v>
      </c>
      <c r="N175" s="14">
        <f>IFERROR(VLOOKUP(G175,Sell!G:L,2,0),0)</f>
        <v>0</v>
      </c>
      <c r="O175" s="13">
        <f>IFERROR(VLOOKUP(G175,Sell!G:L,6,0),0)</f>
        <v>0</v>
      </c>
      <c r="P175" s="14">
        <f t="shared" si="14"/>
        <v>0</v>
      </c>
      <c r="Q175" s="13">
        <f t="shared" si="16"/>
        <v>0</v>
      </c>
      <c r="R175" s="13">
        <f t="shared" si="17"/>
        <v>0</v>
      </c>
      <c r="S175" s="13">
        <f t="shared" si="18"/>
        <v>0</v>
      </c>
      <c r="T175" s="13">
        <f t="shared" si="19"/>
        <v>0</v>
      </c>
      <c r="U175" s="15" t="str">
        <f t="shared" si="20"/>
        <v/>
      </c>
    </row>
    <row r="176" spans="12:21" x14ac:dyDescent="0.25">
      <c r="L176" s="20">
        <f t="shared" si="15"/>
        <v>0</v>
      </c>
      <c r="M176" s="14" t="e">
        <f>VLOOKUP(G176,Sell!G:L,1,0)</f>
        <v>#N/A</v>
      </c>
      <c r="N176" s="14">
        <f>IFERROR(VLOOKUP(G176,Sell!G:L,2,0),0)</f>
        <v>0</v>
      </c>
      <c r="O176" s="13">
        <f>IFERROR(VLOOKUP(G176,Sell!G:L,6,0),0)</f>
        <v>0</v>
      </c>
      <c r="P176" s="14">
        <f t="shared" si="14"/>
        <v>0</v>
      </c>
      <c r="Q176" s="13">
        <f t="shared" si="16"/>
        <v>0</v>
      </c>
      <c r="R176" s="13">
        <f t="shared" si="17"/>
        <v>0</v>
      </c>
      <c r="S176" s="13">
        <f t="shared" si="18"/>
        <v>0</v>
      </c>
      <c r="T176" s="13">
        <f t="shared" si="19"/>
        <v>0</v>
      </c>
      <c r="U176" s="15" t="str">
        <f t="shared" si="20"/>
        <v/>
      </c>
    </row>
    <row r="177" spans="12:21" x14ac:dyDescent="0.25">
      <c r="L177" s="20">
        <f t="shared" si="15"/>
        <v>0</v>
      </c>
      <c r="M177" s="14" t="e">
        <f>VLOOKUP(G177,Sell!G:L,1,0)</f>
        <v>#N/A</v>
      </c>
      <c r="N177" s="14">
        <f>IFERROR(VLOOKUP(G177,Sell!G:L,2,0),0)</f>
        <v>0</v>
      </c>
      <c r="O177" s="13">
        <f>IFERROR(VLOOKUP(G177,Sell!G:L,6,0),0)</f>
        <v>0</v>
      </c>
      <c r="P177" s="14">
        <f t="shared" si="14"/>
        <v>0</v>
      </c>
      <c r="Q177" s="13">
        <f t="shared" si="16"/>
        <v>0</v>
      </c>
      <c r="R177" s="13">
        <f t="shared" si="17"/>
        <v>0</v>
      </c>
      <c r="S177" s="13">
        <f t="shared" si="18"/>
        <v>0</v>
      </c>
      <c r="T177" s="13">
        <f t="shared" si="19"/>
        <v>0</v>
      </c>
      <c r="U177" s="15" t="str">
        <f t="shared" si="20"/>
        <v/>
      </c>
    </row>
    <row r="178" spans="12:21" x14ac:dyDescent="0.25">
      <c r="L178" s="20">
        <f t="shared" si="15"/>
        <v>0</v>
      </c>
      <c r="M178" s="14" t="e">
        <f>VLOOKUP(G178,Sell!G:L,1,0)</f>
        <v>#N/A</v>
      </c>
      <c r="N178" s="14">
        <f>IFERROR(VLOOKUP(G178,Sell!G:L,2,0),0)</f>
        <v>0</v>
      </c>
      <c r="O178" s="13">
        <f>IFERROR(VLOOKUP(G178,Sell!G:L,6,0),0)</f>
        <v>0</v>
      </c>
      <c r="P178" s="14">
        <f t="shared" si="14"/>
        <v>0</v>
      </c>
      <c r="Q178" s="13">
        <f t="shared" si="16"/>
        <v>0</v>
      </c>
      <c r="R178" s="13">
        <f t="shared" si="17"/>
        <v>0</v>
      </c>
      <c r="S178" s="13">
        <f t="shared" si="18"/>
        <v>0</v>
      </c>
      <c r="T178" s="13">
        <f t="shared" si="19"/>
        <v>0</v>
      </c>
      <c r="U178" s="15" t="str">
        <f t="shared" si="20"/>
        <v/>
      </c>
    </row>
    <row r="179" spans="12:21" x14ac:dyDescent="0.25">
      <c r="L179" s="20">
        <f t="shared" si="15"/>
        <v>0</v>
      </c>
      <c r="M179" s="14" t="e">
        <f>VLOOKUP(G179,Sell!G:L,1,0)</f>
        <v>#N/A</v>
      </c>
      <c r="N179" s="14">
        <f>IFERROR(VLOOKUP(G179,Sell!G:L,2,0),0)</f>
        <v>0</v>
      </c>
      <c r="O179" s="13">
        <f>IFERROR(VLOOKUP(G179,Sell!G:L,6,0),0)</f>
        <v>0</v>
      </c>
      <c r="P179" s="14">
        <f t="shared" si="14"/>
        <v>0</v>
      </c>
      <c r="Q179" s="13">
        <f t="shared" si="16"/>
        <v>0</v>
      </c>
      <c r="R179" s="13">
        <f t="shared" si="17"/>
        <v>0</v>
      </c>
      <c r="S179" s="13">
        <f t="shared" si="18"/>
        <v>0</v>
      </c>
      <c r="T179" s="13">
        <f t="shared" si="19"/>
        <v>0</v>
      </c>
      <c r="U179" s="15" t="str">
        <f t="shared" si="20"/>
        <v/>
      </c>
    </row>
    <row r="180" spans="12:21" x14ac:dyDescent="0.25">
      <c r="L180" s="20">
        <f t="shared" si="15"/>
        <v>0</v>
      </c>
      <c r="M180" s="14" t="e">
        <f>VLOOKUP(G180,Sell!G:L,1,0)</f>
        <v>#N/A</v>
      </c>
      <c r="N180" s="14">
        <f>IFERROR(VLOOKUP(G180,Sell!G:L,2,0),0)</f>
        <v>0</v>
      </c>
      <c r="O180" s="13">
        <f>IFERROR(VLOOKUP(G180,Sell!G:L,6,0),0)</f>
        <v>0</v>
      </c>
      <c r="P180" s="14">
        <f t="shared" si="14"/>
        <v>0</v>
      </c>
      <c r="Q180" s="13">
        <f t="shared" si="16"/>
        <v>0</v>
      </c>
      <c r="R180" s="13">
        <f t="shared" si="17"/>
        <v>0</v>
      </c>
      <c r="S180" s="13">
        <f t="shared" si="18"/>
        <v>0</v>
      </c>
      <c r="T180" s="13">
        <f t="shared" si="19"/>
        <v>0</v>
      </c>
      <c r="U180" s="15" t="str">
        <f t="shared" si="20"/>
        <v/>
      </c>
    </row>
    <row r="181" spans="12:21" x14ac:dyDescent="0.25">
      <c r="L181" s="20">
        <f t="shared" si="15"/>
        <v>0</v>
      </c>
      <c r="M181" s="14" t="e">
        <f>VLOOKUP(G181,Sell!G:L,1,0)</f>
        <v>#N/A</v>
      </c>
      <c r="N181" s="14">
        <f>IFERROR(VLOOKUP(G181,Sell!G:L,2,0),0)</f>
        <v>0</v>
      </c>
      <c r="O181" s="13">
        <f>IFERROR(VLOOKUP(G181,Sell!G:L,6,0),0)</f>
        <v>0</v>
      </c>
      <c r="P181" s="14">
        <f t="shared" si="14"/>
        <v>0</v>
      </c>
      <c r="Q181" s="13">
        <f t="shared" si="16"/>
        <v>0</v>
      </c>
      <c r="R181" s="13">
        <f t="shared" si="17"/>
        <v>0</v>
      </c>
      <c r="S181" s="13">
        <f t="shared" si="18"/>
        <v>0</v>
      </c>
      <c r="T181" s="13">
        <f t="shared" si="19"/>
        <v>0</v>
      </c>
      <c r="U181" s="15" t="str">
        <f t="shared" si="20"/>
        <v/>
      </c>
    </row>
    <row r="182" spans="12:21" x14ac:dyDescent="0.25">
      <c r="L182" s="20">
        <f t="shared" si="15"/>
        <v>0</v>
      </c>
      <c r="M182" s="14" t="e">
        <f>VLOOKUP(G182,Sell!G:L,1,0)</f>
        <v>#N/A</v>
      </c>
      <c r="N182" s="14">
        <f>IFERROR(VLOOKUP(G182,Sell!G:L,2,0),0)</f>
        <v>0</v>
      </c>
      <c r="O182" s="13">
        <f>IFERROR(VLOOKUP(G182,Sell!G:L,6,0),0)</f>
        <v>0</v>
      </c>
      <c r="P182" s="14">
        <f t="shared" si="14"/>
        <v>0</v>
      </c>
      <c r="Q182" s="13">
        <f t="shared" si="16"/>
        <v>0</v>
      </c>
      <c r="R182" s="13">
        <f t="shared" si="17"/>
        <v>0</v>
      </c>
      <c r="S182" s="13">
        <f t="shared" si="18"/>
        <v>0</v>
      </c>
      <c r="T182" s="13">
        <f t="shared" si="19"/>
        <v>0</v>
      </c>
      <c r="U182" s="15" t="str">
        <f t="shared" si="20"/>
        <v/>
      </c>
    </row>
    <row r="183" spans="12:21" x14ac:dyDescent="0.25">
      <c r="L183" s="20">
        <f t="shared" si="15"/>
        <v>0</v>
      </c>
      <c r="M183" s="14" t="e">
        <f>VLOOKUP(G183,Sell!G:L,1,0)</f>
        <v>#N/A</v>
      </c>
      <c r="N183" s="14">
        <f>IFERROR(VLOOKUP(G183,Sell!G:L,2,0),0)</f>
        <v>0</v>
      </c>
      <c r="O183" s="13">
        <f>IFERROR(VLOOKUP(G183,Sell!G:L,6,0),0)</f>
        <v>0</v>
      </c>
      <c r="P183" s="14">
        <f t="shared" si="14"/>
        <v>0</v>
      </c>
      <c r="Q183" s="13">
        <f t="shared" si="16"/>
        <v>0</v>
      </c>
      <c r="R183" s="13">
        <f t="shared" si="17"/>
        <v>0</v>
      </c>
      <c r="S183" s="13">
        <f t="shared" si="18"/>
        <v>0</v>
      </c>
      <c r="T183" s="13">
        <f t="shared" si="19"/>
        <v>0</v>
      </c>
      <c r="U183" s="15" t="str">
        <f t="shared" si="20"/>
        <v/>
      </c>
    </row>
    <row r="184" spans="12:21" x14ac:dyDescent="0.25">
      <c r="L184" s="20">
        <f t="shared" si="15"/>
        <v>0</v>
      </c>
      <c r="M184" s="14" t="e">
        <f>VLOOKUP(G184,Sell!G:L,1,0)</f>
        <v>#N/A</v>
      </c>
      <c r="N184" s="14">
        <f>IFERROR(VLOOKUP(G184,Sell!G:L,2,0),0)</f>
        <v>0</v>
      </c>
      <c r="O184" s="13">
        <f>IFERROR(VLOOKUP(G184,Sell!G:L,6,0),0)</f>
        <v>0</v>
      </c>
      <c r="P184" s="14">
        <f t="shared" si="14"/>
        <v>0</v>
      </c>
      <c r="Q184" s="13">
        <f t="shared" si="16"/>
        <v>0</v>
      </c>
      <c r="R184" s="13">
        <f t="shared" si="17"/>
        <v>0</v>
      </c>
      <c r="S184" s="13">
        <f t="shared" si="18"/>
        <v>0</v>
      </c>
      <c r="T184" s="13">
        <f t="shared" si="19"/>
        <v>0</v>
      </c>
      <c r="U184" s="15" t="str">
        <f t="shared" si="20"/>
        <v/>
      </c>
    </row>
    <row r="185" spans="12:21" x14ac:dyDescent="0.25">
      <c r="L185" s="20">
        <f t="shared" si="15"/>
        <v>0</v>
      </c>
      <c r="M185" s="14" t="e">
        <f>VLOOKUP(G185,Sell!G:L,1,0)</f>
        <v>#N/A</v>
      </c>
      <c r="N185" s="14">
        <f>IFERROR(VLOOKUP(G185,Sell!G:L,2,0),0)</f>
        <v>0</v>
      </c>
      <c r="O185" s="13">
        <f>IFERROR(VLOOKUP(G185,Sell!G:L,6,0),0)</f>
        <v>0</v>
      </c>
      <c r="P185" s="14">
        <f t="shared" si="14"/>
        <v>0</v>
      </c>
      <c r="Q185" s="13">
        <f t="shared" si="16"/>
        <v>0</v>
      </c>
      <c r="R185" s="13">
        <f t="shared" si="17"/>
        <v>0</v>
      </c>
      <c r="S185" s="13">
        <f t="shared" si="18"/>
        <v>0</v>
      </c>
      <c r="T185" s="13">
        <f t="shared" si="19"/>
        <v>0</v>
      </c>
      <c r="U185" s="15" t="str">
        <f t="shared" si="20"/>
        <v/>
      </c>
    </row>
    <row r="186" spans="12:21" x14ac:dyDescent="0.25">
      <c r="L186" s="20">
        <f t="shared" si="15"/>
        <v>0</v>
      </c>
      <c r="M186" s="14" t="e">
        <f>VLOOKUP(G186,Sell!G:L,1,0)</f>
        <v>#N/A</v>
      </c>
      <c r="N186" s="14">
        <f>IFERROR(VLOOKUP(G186,Sell!G:L,2,0),0)</f>
        <v>0</v>
      </c>
      <c r="O186" s="13">
        <f>IFERROR(VLOOKUP(G186,Sell!G:L,6,0),0)</f>
        <v>0</v>
      </c>
      <c r="P186" s="14">
        <f t="shared" si="14"/>
        <v>0</v>
      </c>
      <c r="Q186" s="13">
        <f t="shared" si="16"/>
        <v>0</v>
      </c>
      <c r="R186" s="13">
        <f t="shared" si="17"/>
        <v>0</v>
      </c>
      <c r="S186" s="13">
        <f t="shared" si="18"/>
        <v>0</v>
      </c>
      <c r="T186" s="13">
        <f t="shared" si="19"/>
        <v>0</v>
      </c>
      <c r="U186" s="15" t="str">
        <f t="shared" si="20"/>
        <v/>
      </c>
    </row>
    <row r="187" spans="12:21" x14ac:dyDescent="0.25">
      <c r="L187" s="20">
        <f t="shared" si="15"/>
        <v>0</v>
      </c>
      <c r="M187" s="14" t="e">
        <f>VLOOKUP(G187,Sell!G:L,1,0)</f>
        <v>#N/A</v>
      </c>
      <c r="N187" s="14">
        <f>IFERROR(VLOOKUP(G187,Sell!G:L,2,0),0)</f>
        <v>0</v>
      </c>
      <c r="O187" s="13">
        <f>IFERROR(VLOOKUP(G187,Sell!G:L,6,0),0)</f>
        <v>0</v>
      </c>
      <c r="P187" s="14">
        <f t="shared" si="14"/>
        <v>0</v>
      </c>
      <c r="Q187" s="13">
        <f t="shared" si="16"/>
        <v>0</v>
      </c>
      <c r="R187" s="13">
        <f t="shared" si="17"/>
        <v>0</v>
      </c>
      <c r="S187" s="13">
        <f t="shared" si="18"/>
        <v>0</v>
      </c>
      <c r="T187" s="13">
        <f t="shared" si="19"/>
        <v>0</v>
      </c>
      <c r="U187" s="15" t="str">
        <f t="shared" si="20"/>
        <v/>
      </c>
    </row>
    <row r="188" spans="12:21" x14ac:dyDescent="0.25">
      <c r="L188" s="20">
        <f t="shared" si="15"/>
        <v>0</v>
      </c>
      <c r="M188" s="14" t="e">
        <f>VLOOKUP(G188,Sell!G:L,1,0)</f>
        <v>#N/A</v>
      </c>
      <c r="N188" s="14">
        <f>IFERROR(VLOOKUP(G188,Sell!G:L,2,0),0)</f>
        <v>0</v>
      </c>
      <c r="O188" s="13">
        <f>IFERROR(VLOOKUP(G188,Sell!G:L,6,0),0)</f>
        <v>0</v>
      </c>
      <c r="P188" s="14">
        <f t="shared" si="14"/>
        <v>0</v>
      </c>
      <c r="Q188" s="13">
        <f t="shared" si="16"/>
        <v>0</v>
      </c>
      <c r="R188" s="13">
        <f t="shared" si="17"/>
        <v>0</v>
      </c>
      <c r="S188" s="13">
        <f t="shared" si="18"/>
        <v>0</v>
      </c>
      <c r="T188" s="13">
        <f t="shared" si="19"/>
        <v>0</v>
      </c>
      <c r="U188" s="15" t="str">
        <f t="shared" si="20"/>
        <v/>
      </c>
    </row>
    <row r="189" spans="12:21" x14ac:dyDescent="0.25">
      <c r="L189" s="20">
        <f t="shared" si="15"/>
        <v>0</v>
      </c>
      <c r="M189" s="14" t="e">
        <f>VLOOKUP(G189,Sell!G:L,1,0)</f>
        <v>#N/A</v>
      </c>
      <c r="N189" s="14">
        <f>IFERROR(VLOOKUP(G189,Sell!G:L,2,0),0)</f>
        <v>0</v>
      </c>
      <c r="O189" s="13">
        <f>IFERROR(VLOOKUP(G189,Sell!G:L,6,0),0)</f>
        <v>0</v>
      </c>
      <c r="P189" s="14">
        <f t="shared" si="14"/>
        <v>0</v>
      </c>
      <c r="Q189" s="13">
        <f t="shared" si="16"/>
        <v>0</v>
      </c>
      <c r="R189" s="13">
        <f t="shared" si="17"/>
        <v>0</v>
      </c>
      <c r="S189" s="13">
        <f t="shared" si="18"/>
        <v>0</v>
      </c>
      <c r="T189" s="13">
        <f t="shared" si="19"/>
        <v>0</v>
      </c>
      <c r="U189" s="15" t="str">
        <f t="shared" si="20"/>
        <v/>
      </c>
    </row>
    <row r="190" spans="12:21" x14ac:dyDescent="0.25">
      <c r="L190" s="20">
        <f t="shared" si="15"/>
        <v>0</v>
      </c>
      <c r="M190" s="14" t="e">
        <f>VLOOKUP(G190,Sell!G:L,1,0)</f>
        <v>#N/A</v>
      </c>
      <c r="N190" s="14">
        <f>IFERROR(VLOOKUP(G190,Sell!G:L,2,0),0)</f>
        <v>0</v>
      </c>
      <c r="O190" s="13">
        <f>IFERROR(VLOOKUP(G190,Sell!G:L,6,0),0)</f>
        <v>0</v>
      </c>
      <c r="P190" s="14">
        <f t="shared" si="14"/>
        <v>0</v>
      </c>
      <c r="Q190" s="13">
        <f t="shared" si="16"/>
        <v>0</v>
      </c>
      <c r="R190" s="13">
        <f t="shared" si="17"/>
        <v>0</v>
      </c>
      <c r="S190" s="13">
        <f t="shared" si="18"/>
        <v>0</v>
      </c>
      <c r="T190" s="13">
        <f t="shared" si="19"/>
        <v>0</v>
      </c>
      <c r="U190" s="15" t="str">
        <f t="shared" si="20"/>
        <v/>
      </c>
    </row>
    <row r="191" spans="12:21" x14ac:dyDescent="0.25">
      <c r="L191" s="20">
        <f t="shared" si="15"/>
        <v>0</v>
      </c>
      <c r="M191" s="14" t="e">
        <f>VLOOKUP(G191,Sell!G:L,1,0)</f>
        <v>#N/A</v>
      </c>
      <c r="N191" s="14">
        <f>IFERROR(VLOOKUP(G191,Sell!G:L,2,0),0)</f>
        <v>0</v>
      </c>
      <c r="O191" s="13">
        <f>IFERROR(VLOOKUP(G191,Sell!G:L,6,0),0)</f>
        <v>0</v>
      </c>
      <c r="P191" s="14">
        <f t="shared" si="14"/>
        <v>0</v>
      </c>
      <c r="Q191" s="13">
        <f t="shared" si="16"/>
        <v>0</v>
      </c>
      <c r="R191" s="13">
        <f t="shared" si="17"/>
        <v>0</v>
      </c>
      <c r="S191" s="13">
        <f t="shared" si="18"/>
        <v>0</v>
      </c>
      <c r="T191" s="13">
        <f t="shared" si="19"/>
        <v>0</v>
      </c>
      <c r="U191" s="15" t="str">
        <f t="shared" si="20"/>
        <v/>
      </c>
    </row>
    <row r="192" spans="12:21" x14ac:dyDescent="0.25">
      <c r="L192" s="20">
        <f t="shared" si="15"/>
        <v>0</v>
      </c>
      <c r="M192" s="14" t="e">
        <f>VLOOKUP(G192,Sell!G:L,1,0)</f>
        <v>#N/A</v>
      </c>
      <c r="N192" s="14">
        <f>IFERROR(VLOOKUP(G192,Sell!G:L,2,0),0)</f>
        <v>0</v>
      </c>
      <c r="O192" s="13">
        <f>IFERROR(VLOOKUP(G192,Sell!G:L,6,0),0)</f>
        <v>0</v>
      </c>
      <c r="P192" s="14">
        <f t="shared" si="14"/>
        <v>0</v>
      </c>
      <c r="Q192" s="13">
        <f t="shared" si="16"/>
        <v>0</v>
      </c>
      <c r="R192" s="13">
        <f t="shared" si="17"/>
        <v>0</v>
      </c>
      <c r="S192" s="13">
        <f t="shared" si="18"/>
        <v>0</v>
      </c>
      <c r="T192" s="13">
        <f t="shared" si="19"/>
        <v>0</v>
      </c>
      <c r="U192" s="15" t="str">
        <f t="shared" si="20"/>
        <v/>
      </c>
    </row>
    <row r="193" spans="12:21" x14ac:dyDescent="0.25">
      <c r="L193" s="20">
        <f t="shared" si="15"/>
        <v>0</v>
      </c>
      <c r="M193" s="14" t="e">
        <f>VLOOKUP(G193,Sell!G:L,1,0)</f>
        <v>#N/A</v>
      </c>
      <c r="N193" s="14">
        <f>IFERROR(VLOOKUP(G193,Sell!G:L,2,0),0)</f>
        <v>0</v>
      </c>
      <c r="O193" s="13">
        <f>IFERROR(VLOOKUP(G193,Sell!G:L,6,0),0)</f>
        <v>0</v>
      </c>
      <c r="P193" s="14">
        <f t="shared" si="14"/>
        <v>0</v>
      </c>
      <c r="Q193" s="13">
        <f t="shared" si="16"/>
        <v>0</v>
      </c>
      <c r="R193" s="13">
        <f t="shared" si="17"/>
        <v>0</v>
      </c>
      <c r="S193" s="13">
        <f t="shared" si="18"/>
        <v>0</v>
      </c>
      <c r="T193" s="13">
        <f t="shared" si="19"/>
        <v>0</v>
      </c>
      <c r="U193" s="15" t="str">
        <f t="shared" si="20"/>
        <v/>
      </c>
    </row>
    <row r="194" spans="12:21" x14ac:dyDescent="0.25">
      <c r="L194" s="20">
        <f t="shared" si="15"/>
        <v>0</v>
      </c>
      <c r="M194" s="14" t="e">
        <f>VLOOKUP(G194,Sell!G:L,1,0)</f>
        <v>#N/A</v>
      </c>
      <c r="N194" s="14">
        <f>IFERROR(VLOOKUP(G194,Sell!G:L,2,0),0)</f>
        <v>0</v>
      </c>
      <c r="O194" s="13">
        <f>IFERROR(VLOOKUP(G194,Sell!G:L,6,0),0)</f>
        <v>0</v>
      </c>
      <c r="P194" s="14">
        <f t="shared" si="14"/>
        <v>0</v>
      </c>
      <c r="Q194" s="13">
        <f t="shared" si="16"/>
        <v>0</v>
      </c>
      <c r="R194" s="13">
        <f t="shared" si="17"/>
        <v>0</v>
      </c>
      <c r="S194" s="13">
        <f t="shared" si="18"/>
        <v>0</v>
      </c>
      <c r="T194" s="13">
        <f t="shared" si="19"/>
        <v>0</v>
      </c>
      <c r="U194" s="15" t="str">
        <f t="shared" si="20"/>
        <v/>
      </c>
    </row>
    <row r="195" spans="12:21" x14ac:dyDescent="0.25">
      <c r="L195" s="20">
        <f t="shared" si="15"/>
        <v>0</v>
      </c>
      <c r="M195" s="14" t="e">
        <f>VLOOKUP(G195,Sell!G:L,1,0)</f>
        <v>#N/A</v>
      </c>
      <c r="N195" s="14">
        <f>IFERROR(VLOOKUP(G195,Sell!G:L,2,0),0)</f>
        <v>0</v>
      </c>
      <c r="O195" s="13">
        <f>IFERROR(VLOOKUP(G195,Sell!G:L,6,0),0)</f>
        <v>0</v>
      </c>
      <c r="P195" s="14">
        <f t="shared" si="14"/>
        <v>0</v>
      </c>
      <c r="Q195" s="13">
        <f t="shared" si="16"/>
        <v>0</v>
      </c>
      <c r="R195" s="13">
        <f t="shared" si="17"/>
        <v>0</v>
      </c>
      <c r="S195" s="13">
        <f t="shared" si="18"/>
        <v>0</v>
      </c>
      <c r="T195" s="13">
        <f t="shared" si="19"/>
        <v>0</v>
      </c>
      <c r="U195" s="15" t="str">
        <f t="shared" si="20"/>
        <v/>
      </c>
    </row>
    <row r="196" spans="12:21" x14ac:dyDescent="0.25">
      <c r="L196" s="20">
        <f t="shared" si="15"/>
        <v>0</v>
      </c>
      <c r="M196" s="14" t="e">
        <f>VLOOKUP(G196,Sell!G:L,1,0)</f>
        <v>#N/A</v>
      </c>
      <c r="N196" s="14">
        <f>IFERROR(VLOOKUP(G196,Sell!G:L,2,0),0)</f>
        <v>0</v>
      </c>
      <c r="O196" s="13">
        <f>IFERROR(VLOOKUP(G196,Sell!G:L,6,0),0)</f>
        <v>0</v>
      </c>
      <c r="P196" s="14">
        <f t="shared" si="14"/>
        <v>0</v>
      </c>
      <c r="Q196" s="13">
        <f t="shared" si="16"/>
        <v>0</v>
      </c>
      <c r="R196" s="13">
        <f t="shared" si="17"/>
        <v>0</v>
      </c>
      <c r="S196" s="13">
        <f t="shared" si="18"/>
        <v>0</v>
      </c>
      <c r="T196" s="13">
        <f t="shared" si="19"/>
        <v>0</v>
      </c>
      <c r="U196" s="15" t="str">
        <f t="shared" si="20"/>
        <v/>
      </c>
    </row>
    <row r="197" spans="12:21" x14ac:dyDescent="0.25">
      <c r="L197" s="20">
        <f t="shared" si="15"/>
        <v>0</v>
      </c>
      <c r="M197" s="14" t="e">
        <f>VLOOKUP(G197,Sell!G:L,1,0)</f>
        <v>#N/A</v>
      </c>
      <c r="N197" s="14">
        <f>IFERROR(VLOOKUP(G197,Sell!G:L,2,0),0)</f>
        <v>0</v>
      </c>
      <c r="O197" s="13">
        <f>IFERROR(VLOOKUP(G197,Sell!G:L,6,0),0)</f>
        <v>0</v>
      </c>
      <c r="P197" s="14">
        <f t="shared" si="14"/>
        <v>0</v>
      </c>
      <c r="Q197" s="13">
        <f t="shared" si="16"/>
        <v>0</v>
      </c>
      <c r="R197" s="13">
        <f t="shared" si="17"/>
        <v>0</v>
      </c>
      <c r="S197" s="13">
        <f t="shared" si="18"/>
        <v>0</v>
      </c>
      <c r="T197" s="13">
        <f t="shared" si="19"/>
        <v>0</v>
      </c>
      <c r="U197" s="15" t="str">
        <f t="shared" si="20"/>
        <v/>
      </c>
    </row>
    <row r="198" spans="12:21" x14ac:dyDescent="0.25">
      <c r="L198" s="20">
        <f t="shared" si="15"/>
        <v>0</v>
      </c>
      <c r="M198" s="14" t="e">
        <f>VLOOKUP(G198,Sell!G:L,1,0)</f>
        <v>#N/A</v>
      </c>
      <c r="N198" s="14">
        <f>IFERROR(VLOOKUP(G198,Sell!G:L,2,0),0)</f>
        <v>0</v>
      </c>
      <c r="O198" s="13">
        <f>IFERROR(VLOOKUP(G198,Sell!G:L,6,0),0)</f>
        <v>0</v>
      </c>
      <c r="P198" s="14">
        <f t="shared" si="14"/>
        <v>0</v>
      </c>
      <c r="Q198" s="13">
        <f t="shared" si="16"/>
        <v>0</v>
      </c>
      <c r="R198" s="13">
        <f t="shared" si="17"/>
        <v>0</v>
      </c>
      <c r="S198" s="13">
        <f t="shared" si="18"/>
        <v>0</v>
      </c>
      <c r="T198" s="13">
        <f t="shared" si="19"/>
        <v>0</v>
      </c>
      <c r="U198" s="15" t="str">
        <f t="shared" si="20"/>
        <v/>
      </c>
    </row>
    <row r="199" spans="12:21" x14ac:dyDescent="0.25">
      <c r="L199" s="20">
        <f t="shared" si="15"/>
        <v>0</v>
      </c>
      <c r="M199" s="14" t="e">
        <f>VLOOKUP(G199,Sell!G:L,1,0)</f>
        <v>#N/A</v>
      </c>
      <c r="N199" s="14">
        <f>IFERROR(VLOOKUP(G199,Sell!G:L,2,0),0)</f>
        <v>0</v>
      </c>
      <c r="O199" s="13">
        <f>IFERROR(VLOOKUP(G199,Sell!G:L,6,0),0)</f>
        <v>0</v>
      </c>
      <c r="P199" s="14">
        <f t="shared" si="14"/>
        <v>0</v>
      </c>
      <c r="Q199" s="13">
        <f t="shared" si="16"/>
        <v>0</v>
      </c>
      <c r="R199" s="13">
        <f t="shared" si="17"/>
        <v>0</v>
      </c>
      <c r="S199" s="13">
        <f t="shared" si="18"/>
        <v>0</v>
      </c>
      <c r="T199" s="13">
        <f t="shared" si="19"/>
        <v>0</v>
      </c>
      <c r="U199" s="15" t="str">
        <f t="shared" si="20"/>
        <v/>
      </c>
    </row>
    <row r="200" spans="12:21" x14ac:dyDescent="0.25">
      <c r="L200" s="20">
        <f t="shared" si="15"/>
        <v>0</v>
      </c>
      <c r="M200" s="14" t="e">
        <f>VLOOKUP(G200,Sell!G:L,1,0)</f>
        <v>#N/A</v>
      </c>
      <c r="N200" s="14">
        <f>IFERROR(VLOOKUP(G200,Sell!G:L,2,0),0)</f>
        <v>0</v>
      </c>
      <c r="O200" s="13">
        <f>IFERROR(VLOOKUP(G200,Sell!G:L,6,0),0)</f>
        <v>0</v>
      </c>
      <c r="P200" s="14">
        <f t="shared" si="14"/>
        <v>0</v>
      </c>
      <c r="Q200" s="13">
        <f t="shared" si="16"/>
        <v>0</v>
      </c>
      <c r="R200" s="13">
        <f t="shared" si="17"/>
        <v>0</v>
      </c>
      <c r="S200" s="13">
        <f t="shared" si="18"/>
        <v>0</v>
      </c>
      <c r="T200" s="13">
        <f t="shared" si="19"/>
        <v>0</v>
      </c>
      <c r="U200" s="15" t="str">
        <f t="shared" si="20"/>
        <v/>
      </c>
    </row>
    <row r="201" spans="12:21" x14ac:dyDescent="0.25">
      <c r="L201" s="20">
        <f t="shared" si="15"/>
        <v>0</v>
      </c>
      <c r="M201" s="14" t="e">
        <f>VLOOKUP(G201,Sell!G:L,1,0)</f>
        <v>#N/A</v>
      </c>
      <c r="N201" s="14">
        <f>IFERROR(VLOOKUP(G201,Sell!G:L,2,0),0)</f>
        <v>0</v>
      </c>
      <c r="O201" s="13">
        <f>IFERROR(VLOOKUP(G201,Sell!G:L,6,0),0)</f>
        <v>0</v>
      </c>
      <c r="P201" s="14">
        <f t="shared" si="14"/>
        <v>0</v>
      </c>
      <c r="Q201" s="13">
        <f t="shared" si="16"/>
        <v>0</v>
      </c>
      <c r="R201" s="13">
        <f t="shared" si="17"/>
        <v>0</v>
      </c>
      <c r="S201" s="13">
        <f t="shared" si="18"/>
        <v>0</v>
      </c>
      <c r="T201" s="13">
        <f t="shared" si="19"/>
        <v>0</v>
      </c>
      <c r="U201" s="15" t="str">
        <f t="shared" si="20"/>
        <v/>
      </c>
    </row>
    <row r="202" spans="12:21" x14ac:dyDescent="0.25">
      <c r="L202" s="20">
        <f t="shared" si="15"/>
        <v>0</v>
      </c>
      <c r="M202" s="14" t="e">
        <f>VLOOKUP(G202,Sell!G:L,1,0)</f>
        <v>#N/A</v>
      </c>
      <c r="N202" s="14">
        <f>IFERROR(VLOOKUP(G202,Sell!G:L,2,0),0)</f>
        <v>0</v>
      </c>
      <c r="O202" s="13">
        <f>IFERROR(VLOOKUP(G202,Sell!G:L,6,0),0)</f>
        <v>0</v>
      </c>
      <c r="P202" s="14">
        <f t="shared" ref="P202:P265" si="21">H202-N202</f>
        <v>0</v>
      </c>
      <c r="Q202" s="13">
        <f t="shared" si="16"/>
        <v>0</v>
      </c>
      <c r="R202" s="13">
        <f t="shared" si="17"/>
        <v>0</v>
      </c>
      <c r="S202" s="13">
        <f t="shared" si="18"/>
        <v>0</v>
      </c>
      <c r="T202" s="13">
        <f t="shared" si="19"/>
        <v>0</v>
      </c>
      <c r="U202" s="15" t="str">
        <f t="shared" si="20"/>
        <v/>
      </c>
    </row>
    <row r="203" spans="12:21" x14ac:dyDescent="0.25">
      <c r="L203" s="20">
        <f t="shared" ref="L203:L266" si="22">J203+K203</f>
        <v>0</v>
      </c>
      <c r="M203" s="14" t="e">
        <f>VLOOKUP(G203,Sell!G:L,1,0)</f>
        <v>#N/A</v>
      </c>
      <c r="N203" s="14">
        <f>IFERROR(VLOOKUP(G203,Sell!G:L,2,0),0)</f>
        <v>0</v>
      </c>
      <c r="O203" s="13">
        <f>IFERROR(VLOOKUP(G203,Sell!G:L,6,0),0)</f>
        <v>0</v>
      </c>
      <c r="P203" s="14">
        <f t="shared" si="21"/>
        <v>0</v>
      </c>
      <c r="Q203" s="13">
        <f t="shared" ref="Q203:Q266" si="23">O203-L203</f>
        <v>0</v>
      </c>
      <c r="R203" s="13">
        <f t="shared" ref="R203:R266" si="24">IF(P203=0,Q203,0)</f>
        <v>0</v>
      </c>
      <c r="S203" s="13">
        <f t="shared" ref="S203:S266" si="25">IF(R203&gt;0,R203,0)</f>
        <v>0</v>
      </c>
      <c r="T203" s="13">
        <f t="shared" ref="T203:T266" si="26">IF(R203&gt;0,0,R203)</f>
        <v>0</v>
      </c>
      <c r="U203" s="15" t="str">
        <f t="shared" ref="U203:U266" si="27">IF(AND(LEN(G203)&gt;0,R203=0),"Open","")</f>
        <v/>
      </c>
    </row>
    <row r="204" spans="12:21" x14ac:dyDescent="0.25">
      <c r="L204" s="20">
        <f t="shared" si="22"/>
        <v>0</v>
      </c>
      <c r="M204" s="14" t="e">
        <f>VLOOKUP(G204,Sell!G:L,1,0)</f>
        <v>#N/A</v>
      </c>
      <c r="N204" s="14">
        <f>IFERROR(VLOOKUP(G204,Sell!G:L,2,0),0)</f>
        <v>0</v>
      </c>
      <c r="O204" s="13">
        <f>IFERROR(VLOOKUP(G204,Sell!G:L,6,0),0)</f>
        <v>0</v>
      </c>
      <c r="P204" s="14">
        <f t="shared" si="21"/>
        <v>0</v>
      </c>
      <c r="Q204" s="13">
        <f t="shared" si="23"/>
        <v>0</v>
      </c>
      <c r="R204" s="13">
        <f t="shared" si="24"/>
        <v>0</v>
      </c>
      <c r="S204" s="13">
        <f t="shared" si="25"/>
        <v>0</v>
      </c>
      <c r="T204" s="13">
        <f t="shared" si="26"/>
        <v>0</v>
      </c>
      <c r="U204" s="15" t="str">
        <f t="shared" si="27"/>
        <v/>
      </c>
    </row>
    <row r="205" spans="12:21" x14ac:dyDescent="0.25">
      <c r="L205" s="20">
        <f t="shared" si="22"/>
        <v>0</v>
      </c>
      <c r="M205" s="14" t="e">
        <f>VLOOKUP(G205,Sell!G:L,1,0)</f>
        <v>#N/A</v>
      </c>
      <c r="N205" s="14">
        <f>IFERROR(VLOOKUP(G205,Sell!G:L,2,0),0)</f>
        <v>0</v>
      </c>
      <c r="O205" s="13">
        <f>IFERROR(VLOOKUP(G205,Sell!G:L,6,0),0)</f>
        <v>0</v>
      </c>
      <c r="P205" s="14">
        <f t="shared" si="21"/>
        <v>0</v>
      </c>
      <c r="Q205" s="13">
        <f t="shared" si="23"/>
        <v>0</v>
      </c>
      <c r="R205" s="13">
        <f t="shared" si="24"/>
        <v>0</v>
      </c>
      <c r="S205" s="13">
        <f t="shared" si="25"/>
        <v>0</v>
      </c>
      <c r="T205" s="13">
        <f t="shared" si="26"/>
        <v>0</v>
      </c>
      <c r="U205" s="15" t="str">
        <f t="shared" si="27"/>
        <v/>
      </c>
    </row>
    <row r="206" spans="12:21" x14ac:dyDescent="0.25">
      <c r="L206" s="20">
        <f t="shared" si="22"/>
        <v>0</v>
      </c>
      <c r="M206" s="14" t="e">
        <f>VLOOKUP(G206,Sell!G:L,1,0)</f>
        <v>#N/A</v>
      </c>
      <c r="N206" s="14">
        <f>IFERROR(VLOOKUP(G206,Sell!G:L,2,0),0)</f>
        <v>0</v>
      </c>
      <c r="O206" s="13">
        <f>IFERROR(VLOOKUP(G206,Sell!G:L,6,0),0)</f>
        <v>0</v>
      </c>
      <c r="P206" s="14">
        <f t="shared" si="21"/>
        <v>0</v>
      </c>
      <c r="Q206" s="13">
        <f t="shared" si="23"/>
        <v>0</v>
      </c>
      <c r="R206" s="13">
        <f t="shared" si="24"/>
        <v>0</v>
      </c>
      <c r="S206" s="13">
        <f t="shared" si="25"/>
        <v>0</v>
      </c>
      <c r="T206" s="13">
        <f t="shared" si="26"/>
        <v>0</v>
      </c>
      <c r="U206" s="15" t="str">
        <f t="shared" si="27"/>
        <v/>
      </c>
    </row>
    <row r="207" spans="12:21" x14ac:dyDescent="0.25">
      <c r="L207" s="20">
        <f t="shared" si="22"/>
        <v>0</v>
      </c>
      <c r="M207" s="14" t="e">
        <f>VLOOKUP(G207,Sell!G:L,1,0)</f>
        <v>#N/A</v>
      </c>
      <c r="N207" s="14">
        <f>IFERROR(VLOOKUP(G207,Sell!G:L,2,0),0)</f>
        <v>0</v>
      </c>
      <c r="O207" s="13">
        <f>IFERROR(VLOOKUP(G207,Sell!G:L,6,0),0)</f>
        <v>0</v>
      </c>
      <c r="P207" s="14">
        <f t="shared" si="21"/>
        <v>0</v>
      </c>
      <c r="Q207" s="13">
        <f t="shared" si="23"/>
        <v>0</v>
      </c>
      <c r="R207" s="13">
        <f t="shared" si="24"/>
        <v>0</v>
      </c>
      <c r="S207" s="13">
        <f t="shared" si="25"/>
        <v>0</v>
      </c>
      <c r="T207" s="13">
        <f t="shared" si="26"/>
        <v>0</v>
      </c>
      <c r="U207" s="15" t="str">
        <f t="shared" si="27"/>
        <v/>
      </c>
    </row>
    <row r="208" spans="12:21" x14ac:dyDescent="0.25">
      <c r="L208" s="20">
        <f t="shared" si="22"/>
        <v>0</v>
      </c>
      <c r="M208" s="14" t="e">
        <f>VLOOKUP(G208,Sell!G:L,1,0)</f>
        <v>#N/A</v>
      </c>
      <c r="N208" s="14">
        <f>IFERROR(VLOOKUP(G208,Sell!G:L,2,0),0)</f>
        <v>0</v>
      </c>
      <c r="O208" s="13">
        <f>IFERROR(VLOOKUP(G208,Sell!G:L,6,0),0)</f>
        <v>0</v>
      </c>
      <c r="P208" s="14">
        <f t="shared" si="21"/>
        <v>0</v>
      </c>
      <c r="Q208" s="13">
        <f t="shared" si="23"/>
        <v>0</v>
      </c>
      <c r="R208" s="13">
        <f t="shared" si="24"/>
        <v>0</v>
      </c>
      <c r="S208" s="13">
        <f t="shared" si="25"/>
        <v>0</v>
      </c>
      <c r="T208" s="13">
        <f t="shared" si="26"/>
        <v>0</v>
      </c>
      <c r="U208" s="15" t="str">
        <f t="shared" si="27"/>
        <v/>
      </c>
    </row>
    <row r="209" spans="12:21" x14ac:dyDescent="0.25">
      <c r="L209" s="20">
        <f t="shared" si="22"/>
        <v>0</v>
      </c>
      <c r="M209" s="14" t="e">
        <f>VLOOKUP(G209,Sell!G:L,1,0)</f>
        <v>#N/A</v>
      </c>
      <c r="N209" s="14">
        <f>IFERROR(VLOOKUP(G209,Sell!G:L,2,0),0)</f>
        <v>0</v>
      </c>
      <c r="O209" s="13">
        <f>IFERROR(VLOOKUP(G209,Sell!G:L,6,0),0)</f>
        <v>0</v>
      </c>
      <c r="P209" s="14">
        <f t="shared" si="21"/>
        <v>0</v>
      </c>
      <c r="Q209" s="13">
        <f t="shared" si="23"/>
        <v>0</v>
      </c>
      <c r="R209" s="13">
        <f t="shared" si="24"/>
        <v>0</v>
      </c>
      <c r="S209" s="13">
        <f t="shared" si="25"/>
        <v>0</v>
      </c>
      <c r="T209" s="13">
        <f t="shared" si="26"/>
        <v>0</v>
      </c>
      <c r="U209" s="15" t="str">
        <f t="shared" si="27"/>
        <v/>
      </c>
    </row>
    <row r="210" spans="12:21" x14ac:dyDescent="0.25">
      <c r="L210" s="20">
        <f t="shared" si="22"/>
        <v>0</v>
      </c>
      <c r="M210" s="14" t="e">
        <f>VLOOKUP(G210,Sell!G:L,1,0)</f>
        <v>#N/A</v>
      </c>
      <c r="N210" s="14">
        <f>IFERROR(VLOOKUP(G210,Sell!G:L,2,0),0)</f>
        <v>0</v>
      </c>
      <c r="O210" s="13">
        <f>IFERROR(VLOOKUP(G210,Sell!G:L,6,0),0)</f>
        <v>0</v>
      </c>
      <c r="P210" s="14">
        <f t="shared" si="21"/>
        <v>0</v>
      </c>
      <c r="Q210" s="13">
        <f t="shared" si="23"/>
        <v>0</v>
      </c>
      <c r="R210" s="13">
        <f t="shared" si="24"/>
        <v>0</v>
      </c>
      <c r="S210" s="13">
        <f t="shared" si="25"/>
        <v>0</v>
      </c>
      <c r="T210" s="13">
        <f t="shared" si="26"/>
        <v>0</v>
      </c>
      <c r="U210" s="15" t="str">
        <f t="shared" si="27"/>
        <v/>
      </c>
    </row>
    <row r="211" spans="12:21" x14ac:dyDescent="0.25">
      <c r="L211" s="20">
        <f t="shared" si="22"/>
        <v>0</v>
      </c>
      <c r="M211" s="14" t="e">
        <f>VLOOKUP(G211,Sell!G:L,1,0)</f>
        <v>#N/A</v>
      </c>
      <c r="N211" s="14">
        <f>IFERROR(VLOOKUP(G211,Sell!G:L,2,0),0)</f>
        <v>0</v>
      </c>
      <c r="O211" s="13">
        <f>IFERROR(VLOOKUP(G211,Sell!G:L,6,0),0)</f>
        <v>0</v>
      </c>
      <c r="P211" s="14">
        <f t="shared" si="21"/>
        <v>0</v>
      </c>
      <c r="Q211" s="13">
        <f t="shared" si="23"/>
        <v>0</v>
      </c>
      <c r="R211" s="13">
        <f t="shared" si="24"/>
        <v>0</v>
      </c>
      <c r="S211" s="13">
        <f t="shared" si="25"/>
        <v>0</v>
      </c>
      <c r="T211" s="13">
        <f t="shared" si="26"/>
        <v>0</v>
      </c>
      <c r="U211" s="15" t="str">
        <f t="shared" si="27"/>
        <v/>
      </c>
    </row>
    <row r="212" spans="12:21" x14ac:dyDescent="0.25">
      <c r="L212" s="20">
        <f t="shared" si="22"/>
        <v>0</v>
      </c>
      <c r="M212" s="14" t="e">
        <f>VLOOKUP(G212,Sell!G:L,1,0)</f>
        <v>#N/A</v>
      </c>
      <c r="N212" s="14">
        <f>IFERROR(VLOOKUP(G212,Sell!G:L,2,0),0)</f>
        <v>0</v>
      </c>
      <c r="O212" s="13">
        <f>IFERROR(VLOOKUP(G212,Sell!G:L,6,0),0)</f>
        <v>0</v>
      </c>
      <c r="P212" s="14">
        <f t="shared" si="21"/>
        <v>0</v>
      </c>
      <c r="Q212" s="13">
        <f t="shared" si="23"/>
        <v>0</v>
      </c>
      <c r="R212" s="13">
        <f t="shared" si="24"/>
        <v>0</v>
      </c>
      <c r="S212" s="13">
        <f t="shared" si="25"/>
        <v>0</v>
      </c>
      <c r="T212" s="13">
        <f t="shared" si="26"/>
        <v>0</v>
      </c>
      <c r="U212" s="15" t="str">
        <f t="shared" si="27"/>
        <v/>
      </c>
    </row>
    <row r="213" spans="12:21" x14ac:dyDescent="0.25">
      <c r="L213" s="20">
        <f t="shared" si="22"/>
        <v>0</v>
      </c>
      <c r="M213" s="14" t="e">
        <f>VLOOKUP(G213,Sell!G:L,1,0)</f>
        <v>#N/A</v>
      </c>
      <c r="N213" s="14">
        <f>IFERROR(VLOOKUP(G213,Sell!G:L,2,0),0)</f>
        <v>0</v>
      </c>
      <c r="O213" s="13">
        <f>IFERROR(VLOOKUP(G213,Sell!G:L,6,0),0)</f>
        <v>0</v>
      </c>
      <c r="P213" s="14">
        <f t="shared" si="21"/>
        <v>0</v>
      </c>
      <c r="Q213" s="13">
        <f t="shared" si="23"/>
        <v>0</v>
      </c>
      <c r="R213" s="13">
        <f t="shared" si="24"/>
        <v>0</v>
      </c>
      <c r="S213" s="13">
        <f t="shared" si="25"/>
        <v>0</v>
      </c>
      <c r="T213" s="13">
        <f t="shared" si="26"/>
        <v>0</v>
      </c>
      <c r="U213" s="15" t="str">
        <f t="shared" si="27"/>
        <v/>
      </c>
    </row>
    <row r="214" spans="12:21" x14ac:dyDescent="0.25">
      <c r="L214" s="20">
        <f t="shared" si="22"/>
        <v>0</v>
      </c>
      <c r="M214" s="14" t="e">
        <f>VLOOKUP(G214,Sell!G:L,1,0)</f>
        <v>#N/A</v>
      </c>
      <c r="N214" s="14">
        <f>IFERROR(VLOOKUP(G214,Sell!G:L,2,0),0)</f>
        <v>0</v>
      </c>
      <c r="O214" s="13">
        <f>IFERROR(VLOOKUP(G214,Sell!G:L,6,0),0)</f>
        <v>0</v>
      </c>
      <c r="P214" s="14">
        <f t="shared" si="21"/>
        <v>0</v>
      </c>
      <c r="Q214" s="13">
        <f t="shared" si="23"/>
        <v>0</v>
      </c>
      <c r="R214" s="13">
        <f t="shared" si="24"/>
        <v>0</v>
      </c>
      <c r="S214" s="13">
        <f t="shared" si="25"/>
        <v>0</v>
      </c>
      <c r="T214" s="13">
        <f t="shared" si="26"/>
        <v>0</v>
      </c>
      <c r="U214" s="15" t="str">
        <f t="shared" si="27"/>
        <v/>
      </c>
    </row>
    <row r="215" spans="12:21" x14ac:dyDescent="0.25">
      <c r="L215" s="20">
        <f t="shared" si="22"/>
        <v>0</v>
      </c>
      <c r="M215" s="14" t="e">
        <f>VLOOKUP(G215,Sell!G:L,1,0)</f>
        <v>#N/A</v>
      </c>
      <c r="N215" s="14">
        <f>IFERROR(VLOOKUP(G215,Sell!G:L,2,0),0)</f>
        <v>0</v>
      </c>
      <c r="O215" s="13">
        <f>IFERROR(VLOOKUP(G215,Sell!G:L,6,0),0)</f>
        <v>0</v>
      </c>
      <c r="P215" s="14">
        <f t="shared" si="21"/>
        <v>0</v>
      </c>
      <c r="Q215" s="13">
        <f t="shared" si="23"/>
        <v>0</v>
      </c>
      <c r="R215" s="13">
        <f t="shared" si="24"/>
        <v>0</v>
      </c>
      <c r="S215" s="13">
        <f t="shared" si="25"/>
        <v>0</v>
      </c>
      <c r="T215" s="13">
        <f t="shared" si="26"/>
        <v>0</v>
      </c>
      <c r="U215" s="15" t="str">
        <f t="shared" si="27"/>
        <v/>
      </c>
    </row>
    <row r="216" spans="12:21" x14ac:dyDescent="0.25">
      <c r="L216" s="20">
        <f t="shared" si="22"/>
        <v>0</v>
      </c>
      <c r="M216" s="14" t="e">
        <f>VLOOKUP(G216,Sell!G:L,1,0)</f>
        <v>#N/A</v>
      </c>
      <c r="N216" s="14">
        <f>IFERROR(VLOOKUP(G216,Sell!G:L,2,0),0)</f>
        <v>0</v>
      </c>
      <c r="O216" s="13">
        <f>IFERROR(VLOOKUP(G216,Sell!G:L,6,0),0)</f>
        <v>0</v>
      </c>
      <c r="P216" s="14">
        <f t="shared" si="21"/>
        <v>0</v>
      </c>
      <c r="Q216" s="13">
        <f t="shared" si="23"/>
        <v>0</v>
      </c>
      <c r="R216" s="13">
        <f t="shared" si="24"/>
        <v>0</v>
      </c>
      <c r="S216" s="13">
        <f t="shared" si="25"/>
        <v>0</v>
      </c>
      <c r="T216" s="13">
        <f t="shared" si="26"/>
        <v>0</v>
      </c>
      <c r="U216" s="15" t="str">
        <f t="shared" si="27"/>
        <v/>
      </c>
    </row>
    <row r="217" spans="12:21" x14ac:dyDescent="0.25">
      <c r="L217" s="20">
        <f t="shared" si="22"/>
        <v>0</v>
      </c>
      <c r="M217" s="14" t="e">
        <f>VLOOKUP(G217,Sell!G:L,1,0)</f>
        <v>#N/A</v>
      </c>
      <c r="N217" s="14">
        <f>IFERROR(VLOOKUP(G217,Sell!G:L,2,0),0)</f>
        <v>0</v>
      </c>
      <c r="O217" s="13">
        <f>IFERROR(VLOOKUP(G217,Sell!G:L,6,0),0)</f>
        <v>0</v>
      </c>
      <c r="P217" s="14">
        <f t="shared" si="21"/>
        <v>0</v>
      </c>
      <c r="Q217" s="13">
        <f t="shared" si="23"/>
        <v>0</v>
      </c>
      <c r="R217" s="13">
        <f t="shared" si="24"/>
        <v>0</v>
      </c>
      <c r="S217" s="13">
        <f t="shared" si="25"/>
        <v>0</v>
      </c>
      <c r="T217" s="13">
        <f t="shared" si="26"/>
        <v>0</v>
      </c>
      <c r="U217" s="15" t="str">
        <f t="shared" si="27"/>
        <v/>
      </c>
    </row>
    <row r="218" spans="12:21" x14ac:dyDescent="0.25">
      <c r="L218" s="20">
        <f t="shared" si="22"/>
        <v>0</v>
      </c>
      <c r="M218" s="14" t="e">
        <f>VLOOKUP(G218,Sell!G:L,1,0)</f>
        <v>#N/A</v>
      </c>
      <c r="N218" s="14">
        <f>IFERROR(VLOOKUP(G218,Sell!G:L,2,0),0)</f>
        <v>0</v>
      </c>
      <c r="O218" s="13">
        <f>IFERROR(VLOOKUP(G218,Sell!G:L,6,0),0)</f>
        <v>0</v>
      </c>
      <c r="P218" s="14">
        <f t="shared" si="21"/>
        <v>0</v>
      </c>
      <c r="Q218" s="13">
        <f t="shared" si="23"/>
        <v>0</v>
      </c>
      <c r="R218" s="13">
        <f t="shared" si="24"/>
        <v>0</v>
      </c>
      <c r="S218" s="13">
        <f t="shared" si="25"/>
        <v>0</v>
      </c>
      <c r="T218" s="13">
        <f t="shared" si="26"/>
        <v>0</v>
      </c>
      <c r="U218" s="15" t="str">
        <f t="shared" si="27"/>
        <v/>
      </c>
    </row>
    <row r="219" spans="12:21" x14ac:dyDescent="0.25">
      <c r="L219" s="20">
        <f t="shared" si="22"/>
        <v>0</v>
      </c>
      <c r="M219" s="14" t="e">
        <f>VLOOKUP(G219,Sell!G:L,1,0)</f>
        <v>#N/A</v>
      </c>
      <c r="N219" s="14">
        <f>IFERROR(VLOOKUP(G219,Sell!G:L,2,0),0)</f>
        <v>0</v>
      </c>
      <c r="O219" s="13">
        <f>IFERROR(VLOOKUP(G219,Sell!G:L,6,0),0)</f>
        <v>0</v>
      </c>
      <c r="P219" s="14">
        <f t="shared" si="21"/>
        <v>0</v>
      </c>
      <c r="Q219" s="13">
        <f t="shared" si="23"/>
        <v>0</v>
      </c>
      <c r="R219" s="13">
        <f t="shared" si="24"/>
        <v>0</v>
      </c>
      <c r="S219" s="13">
        <f t="shared" si="25"/>
        <v>0</v>
      </c>
      <c r="T219" s="13">
        <f t="shared" si="26"/>
        <v>0</v>
      </c>
      <c r="U219" s="15" t="str">
        <f t="shared" si="27"/>
        <v/>
      </c>
    </row>
    <row r="220" spans="12:21" x14ac:dyDescent="0.25">
      <c r="L220" s="20">
        <f t="shared" si="22"/>
        <v>0</v>
      </c>
      <c r="M220" s="14" t="e">
        <f>VLOOKUP(G220,Sell!G:L,1,0)</f>
        <v>#N/A</v>
      </c>
      <c r="N220" s="14">
        <f>IFERROR(VLOOKUP(G220,Sell!G:L,2,0),0)</f>
        <v>0</v>
      </c>
      <c r="O220" s="13">
        <f>IFERROR(VLOOKUP(G220,Sell!G:L,6,0),0)</f>
        <v>0</v>
      </c>
      <c r="P220" s="14">
        <f t="shared" si="21"/>
        <v>0</v>
      </c>
      <c r="Q220" s="13">
        <f t="shared" si="23"/>
        <v>0</v>
      </c>
      <c r="R220" s="13">
        <f t="shared" si="24"/>
        <v>0</v>
      </c>
      <c r="S220" s="13">
        <f t="shared" si="25"/>
        <v>0</v>
      </c>
      <c r="T220" s="13">
        <f t="shared" si="26"/>
        <v>0</v>
      </c>
      <c r="U220" s="15" t="str">
        <f t="shared" si="27"/>
        <v/>
      </c>
    </row>
    <row r="221" spans="12:21" x14ac:dyDescent="0.25">
      <c r="L221" s="20">
        <f t="shared" si="22"/>
        <v>0</v>
      </c>
      <c r="M221" s="14" t="e">
        <f>VLOOKUP(G221,Sell!G:L,1,0)</f>
        <v>#N/A</v>
      </c>
      <c r="N221" s="14">
        <f>IFERROR(VLOOKUP(G221,Sell!G:L,2,0),0)</f>
        <v>0</v>
      </c>
      <c r="O221" s="13">
        <f>IFERROR(VLOOKUP(G221,Sell!G:L,6,0),0)</f>
        <v>0</v>
      </c>
      <c r="P221" s="14">
        <f t="shared" si="21"/>
        <v>0</v>
      </c>
      <c r="Q221" s="13">
        <f t="shared" si="23"/>
        <v>0</v>
      </c>
      <c r="R221" s="13">
        <f t="shared" si="24"/>
        <v>0</v>
      </c>
      <c r="S221" s="13">
        <f t="shared" si="25"/>
        <v>0</v>
      </c>
      <c r="T221" s="13">
        <f t="shared" si="26"/>
        <v>0</v>
      </c>
      <c r="U221" s="15" t="str">
        <f t="shared" si="27"/>
        <v/>
      </c>
    </row>
    <row r="222" spans="12:21" x14ac:dyDescent="0.25">
      <c r="L222" s="20">
        <f t="shared" si="22"/>
        <v>0</v>
      </c>
      <c r="M222" s="14" t="e">
        <f>VLOOKUP(G222,Sell!G:L,1,0)</f>
        <v>#N/A</v>
      </c>
      <c r="N222" s="14">
        <f>IFERROR(VLOOKUP(G222,Sell!G:L,2,0),0)</f>
        <v>0</v>
      </c>
      <c r="O222" s="13">
        <f>IFERROR(VLOOKUP(G222,Sell!G:L,6,0),0)</f>
        <v>0</v>
      </c>
      <c r="P222" s="14">
        <f t="shared" si="21"/>
        <v>0</v>
      </c>
      <c r="Q222" s="13">
        <f t="shared" si="23"/>
        <v>0</v>
      </c>
      <c r="R222" s="13">
        <f t="shared" si="24"/>
        <v>0</v>
      </c>
      <c r="S222" s="13">
        <f t="shared" si="25"/>
        <v>0</v>
      </c>
      <c r="T222" s="13">
        <f t="shared" si="26"/>
        <v>0</v>
      </c>
      <c r="U222" s="15" t="str">
        <f t="shared" si="27"/>
        <v/>
      </c>
    </row>
    <row r="223" spans="12:21" x14ac:dyDescent="0.25">
      <c r="L223" s="20">
        <f t="shared" si="22"/>
        <v>0</v>
      </c>
      <c r="M223" s="14" t="e">
        <f>VLOOKUP(G223,Sell!G:L,1,0)</f>
        <v>#N/A</v>
      </c>
      <c r="N223" s="14">
        <f>IFERROR(VLOOKUP(G223,Sell!G:L,2,0),0)</f>
        <v>0</v>
      </c>
      <c r="O223" s="13">
        <f>IFERROR(VLOOKUP(G223,Sell!G:L,6,0),0)</f>
        <v>0</v>
      </c>
      <c r="P223" s="14">
        <f t="shared" si="21"/>
        <v>0</v>
      </c>
      <c r="Q223" s="13">
        <f t="shared" si="23"/>
        <v>0</v>
      </c>
      <c r="R223" s="13">
        <f t="shared" si="24"/>
        <v>0</v>
      </c>
      <c r="S223" s="13">
        <f t="shared" si="25"/>
        <v>0</v>
      </c>
      <c r="T223" s="13">
        <f t="shared" si="26"/>
        <v>0</v>
      </c>
      <c r="U223" s="15" t="str">
        <f t="shared" si="27"/>
        <v/>
      </c>
    </row>
    <row r="224" spans="12:21" x14ac:dyDescent="0.25">
      <c r="L224" s="20">
        <f t="shared" si="22"/>
        <v>0</v>
      </c>
      <c r="M224" s="14" t="e">
        <f>VLOOKUP(G224,Sell!G:L,1,0)</f>
        <v>#N/A</v>
      </c>
      <c r="N224" s="14">
        <f>IFERROR(VLOOKUP(G224,Sell!G:L,2,0),0)</f>
        <v>0</v>
      </c>
      <c r="O224" s="13">
        <f>IFERROR(VLOOKUP(G224,Sell!G:L,6,0),0)</f>
        <v>0</v>
      </c>
      <c r="P224" s="14">
        <f t="shared" si="21"/>
        <v>0</v>
      </c>
      <c r="Q224" s="13">
        <f t="shared" si="23"/>
        <v>0</v>
      </c>
      <c r="R224" s="13">
        <f t="shared" si="24"/>
        <v>0</v>
      </c>
      <c r="S224" s="13">
        <f t="shared" si="25"/>
        <v>0</v>
      </c>
      <c r="T224" s="13">
        <f t="shared" si="26"/>
        <v>0</v>
      </c>
      <c r="U224" s="15" t="str">
        <f t="shared" si="27"/>
        <v/>
      </c>
    </row>
    <row r="225" spans="12:21" x14ac:dyDescent="0.25">
      <c r="L225" s="20">
        <f t="shared" si="22"/>
        <v>0</v>
      </c>
      <c r="M225" s="14" t="e">
        <f>VLOOKUP(G225,Sell!G:L,1,0)</f>
        <v>#N/A</v>
      </c>
      <c r="N225" s="14">
        <f>IFERROR(VLOOKUP(G225,Sell!G:L,2,0),0)</f>
        <v>0</v>
      </c>
      <c r="O225" s="13">
        <f>IFERROR(VLOOKUP(G225,Sell!G:L,6,0),0)</f>
        <v>0</v>
      </c>
      <c r="P225" s="14">
        <f t="shared" si="21"/>
        <v>0</v>
      </c>
      <c r="Q225" s="13">
        <f t="shared" si="23"/>
        <v>0</v>
      </c>
      <c r="R225" s="13">
        <f t="shared" si="24"/>
        <v>0</v>
      </c>
      <c r="S225" s="13">
        <f t="shared" si="25"/>
        <v>0</v>
      </c>
      <c r="T225" s="13">
        <f t="shared" si="26"/>
        <v>0</v>
      </c>
      <c r="U225" s="15" t="str">
        <f t="shared" si="27"/>
        <v/>
      </c>
    </row>
    <row r="226" spans="12:21" x14ac:dyDescent="0.25">
      <c r="L226" s="20">
        <f t="shared" si="22"/>
        <v>0</v>
      </c>
      <c r="M226" s="14" t="e">
        <f>VLOOKUP(G226,Sell!G:L,1,0)</f>
        <v>#N/A</v>
      </c>
      <c r="N226" s="14">
        <f>IFERROR(VLOOKUP(G226,Sell!G:L,2,0),0)</f>
        <v>0</v>
      </c>
      <c r="O226" s="13">
        <f>IFERROR(VLOOKUP(G226,Sell!G:L,6,0),0)</f>
        <v>0</v>
      </c>
      <c r="P226" s="14">
        <f t="shared" si="21"/>
        <v>0</v>
      </c>
      <c r="Q226" s="13">
        <f t="shared" si="23"/>
        <v>0</v>
      </c>
      <c r="R226" s="13">
        <f t="shared" si="24"/>
        <v>0</v>
      </c>
      <c r="S226" s="13">
        <f t="shared" si="25"/>
        <v>0</v>
      </c>
      <c r="T226" s="13">
        <f t="shared" si="26"/>
        <v>0</v>
      </c>
      <c r="U226" s="15" t="str">
        <f t="shared" si="27"/>
        <v/>
      </c>
    </row>
    <row r="227" spans="12:21" x14ac:dyDescent="0.25">
      <c r="L227" s="20">
        <f t="shared" si="22"/>
        <v>0</v>
      </c>
      <c r="M227" s="14" t="e">
        <f>VLOOKUP(G227,Sell!G:L,1,0)</f>
        <v>#N/A</v>
      </c>
      <c r="N227" s="14">
        <f>IFERROR(VLOOKUP(G227,Sell!G:L,2,0),0)</f>
        <v>0</v>
      </c>
      <c r="O227" s="13">
        <f>IFERROR(VLOOKUP(G227,Sell!G:L,6,0),0)</f>
        <v>0</v>
      </c>
      <c r="P227" s="14">
        <f t="shared" si="21"/>
        <v>0</v>
      </c>
      <c r="Q227" s="13">
        <f t="shared" si="23"/>
        <v>0</v>
      </c>
      <c r="R227" s="13">
        <f t="shared" si="24"/>
        <v>0</v>
      </c>
      <c r="S227" s="13">
        <f t="shared" si="25"/>
        <v>0</v>
      </c>
      <c r="T227" s="13">
        <f t="shared" si="26"/>
        <v>0</v>
      </c>
      <c r="U227" s="15" t="str">
        <f t="shared" si="27"/>
        <v/>
      </c>
    </row>
    <row r="228" spans="12:21" x14ac:dyDescent="0.25">
      <c r="L228" s="20">
        <f t="shared" si="22"/>
        <v>0</v>
      </c>
      <c r="M228" s="14" t="e">
        <f>VLOOKUP(G228,Sell!G:L,1,0)</f>
        <v>#N/A</v>
      </c>
      <c r="N228" s="14">
        <f>IFERROR(VLOOKUP(G228,Sell!G:L,2,0),0)</f>
        <v>0</v>
      </c>
      <c r="O228" s="13">
        <f>IFERROR(VLOOKUP(G228,Sell!G:L,6,0),0)</f>
        <v>0</v>
      </c>
      <c r="P228" s="14">
        <f t="shared" si="21"/>
        <v>0</v>
      </c>
      <c r="Q228" s="13">
        <f t="shared" si="23"/>
        <v>0</v>
      </c>
      <c r="R228" s="13">
        <f t="shared" si="24"/>
        <v>0</v>
      </c>
      <c r="S228" s="13">
        <f t="shared" si="25"/>
        <v>0</v>
      </c>
      <c r="T228" s="13">
        <f t="shared" si="26"/>
        <v>0</v>
      </c>
      <c r="U228" s="15" t="str">
        <f t="shared" si="27"/>
        <v/>
      </c>
    </row>
    <row r="229" spans="12:21" x14ac:dyDescent="0.25">
      <c r="L229" s="20">
        <f t="shared" si="22"/>
        <v>0</v>
      </c>
      <c r="M229" s="14" t="e">
        <f>VLOOKUP(G229,Sell!G:L,1,0)</f>
        <v>#N/A</v>
      </c>
      <c r="N229" s="14">
        <f>IFERROR(VLOOKUP(G229,Sell!G:L,2,0),0)</f>
        <v>0</v>
      </c>
      <c r="O229" s="13">
        <f>IFERROR(VLOOKUP(G229,Sell!G:L,6,0),0)</f>
        <v>0</v>
      </c>
      <c r="P229" s="14">
        <f t="shared" si="21"/>
        <v>0</v>
      </c>
      <c r="Q229" s="13">
        <f t="shared" si="23"/>
        <v>0</v>
      </c>
      <c r="R229" s="13">
        <f t="shared" si="24"/>
        <v>0</v>
      </c>
      <c r="S229" s="13">
        <f t="shared" si="25"/>
        <v>0</v>
      </c>
      <c r="T229" s="13">
        <f t="shared" si="26"/>
        <v>0</v>
      </c>
      <c r="U229" s="15" t="str">
        <f t="shared" si="27"/>
        <v/>
      </c>
    </row>
    <row r="230" spans="12:21" x14ac:dyDescent="0.25">
      <c r="L230" s="20">
        <f t="shared" si="22"/>
        <v>0</v>
      </c>
      <c r="M230" s="14" t="e">
        <f>VLOOKUP(G230,Sell!G:L,1,0)</f>
        <v>#N/A</v>
      </c>
      <c r="N230" s="14">
        <f>IFERROR(VLOOKUP(G230,Sell!G:L,2,0),0)</f>
        <v>0</v>
      </c>
      <c r="O230" s="13">
        <f>IFERROR(VLOOKUP(G230,Sell!G:L,6,0),0)</f>
        <v>0</v>
      </c>
      <c r="P230" s="14">
        <f t="shared" si="21"/>
        <v>0</v>
      </c>
      <c r="Q230" s="13">
        <f t="shared" si="23"/>
        <v>0</v>
      </c>
      <c r="R230" s="13">
        <f t="shared" si="24"/>
        <v>0</v>
      </c>
      <c r="S230" s="13">
        <f t="shared" si="25"/>
        <v>0</v>
      </c>
      <c r="T230" s="13">
        <f t="shared" si="26"/>
        <v>0</v>
      </c>
      <c r="U230" s="15" t="str">
        <f t="shared" si="27"/>
        <v/>
      </c>
    </row>
    <row r="231" spans="12:21" x14ac:dyDescent="0.25">
      <c r="L231" s="20">
        <f t="shared" si="22"/>
        <v>0</v>
      </c>
      <c r="M231" s="14" t="e">
        <f>VLOOKUP(G231,Sell!G:L,1,0)</f>
        <v>#N/A</v>
      </c>
      <c r="N231" s="14">
        <f>IFERROR(VLOOKUP(G231,Sell!G:L,2,0),0)</f>
        <v>0</v>
      </c>
      <c r="O231" s="13">
        <f>IFERROR(VLOOKUP(G231,Sell!G:L,6,0),0)</f>
        <v>0</v>
      </c>
      <c r="P231" s="14">
        <f t="shared" si="21"/>
        <v>0</v>
      </c>
      <c r="Q231" s="13">
        <f t="shared" si="23"/>
        <v>0</v>
      </c>
      <c r="R231" s="13">
        <f t="shared" si="24"/>
        <v>0</v>
      </c>
      <c r="S231" s="13">
        <f t="shared" si="25"/>
        <v>0</v>
      </c>
      <c r="T231" s="13">
        <f t="shared" si="26"/>
        <v>0</v>
      </c>
      <c r="U231" s="15" t="str">
        <f t="shared" si="27"/>
        <v/>
      </c>
    </row>
    <row r="232" spans="12:21" x14ac:dyDescent="0.25">
      <c r="L232" s="20">
        <f t="shared" si="22"/>
        <v>0</v>
      </c>
      <c r="M232" s="14" t="e">
        <f>VLOOKUP(G232,Sell!G:L,1,0)</f>
        <v>#N/A</v>
      </c>
      <c r="N232" s="14">
        <f>IFERROR(VLOOKUP(G232,Sell!G:L,2,0),0)</f>
        <v>0</v>
      </c>
      <c r="O232" s="13">
        <f>IFERROR(VLOOKUP(G232,Sell!G:L,6,0),0)</f>
        <v>0</v>
      </c>
      <c r="P232" s="14">
        <f t="shared" si="21"/>
        <v>0</v>
      </c>
      <c r="Q232" s="13">
        <f t="shared" si="23"/>
        <v>0</v>
      </c>
      <c r="R232" s="13">
        <f t="shared" si="24"/>
        <v>0</v>
      </c>
      <c r="S232" s="13">
        <f t="shared" si="25"/>
        <v>0</v>
      </c>
      <c r="T232" s="13">
        <f t="shared" si="26"/>
        <v>0</v>
      </c>
      <c r="U232" s="15" t="str">
        <f t="shared" si="27"/>
        <v/>
      </c>
    </row>
    <row r="233" spans="12:21" x14ac:dyDescent="0.25">
      <c r="L233" s="20">
        <f t="shared" si="22"/>
        <v>0</v>
      </c>
      <c r="M233" s="14" t="e">
        <f>VLOOKUP(G233,Sell!G:L,1,0)</f>
        <v>#N/A</v>
      </c>
      <c r="N233" s="14">
        <f>IFERROR(VLOOKUP(G233,Sell!G:L,2,0),0)</f>
        <v>0</v>
      </c>
      <c r="O233" s="13">
        <f>IFERROR(VLOOKUP(G233,Sell!G:L,6,0),0)</f>
        <v>0</v>
      </c>
      <c r="P233" s="14">
        <f t="shared" si="21"/>
        <v>0</v>
      </c>
      <c r="Q233" s="13">
        <f t="shared" si="23"/>
        <v>0</v>
      </c>
      <c r="R233" s="13">
        <f t="shared" si="24"/>
        <v>0</v>
      </c>
      <c r="S233" s="13">
        <f t="shared" si="25"/>
        <v>0</v>
      </c>
      <c r="T233" s="13">
        <f t="shared" si="26"/>
        <v>0</v>
      </c>
      <c r="U233" s="15" t="str">
        <f t="shared" si="27"/>
        <v/>
      </c>
    </row>
    <row r="234" spans="12:21" x14ac:dyDescent="0.25">
      <c r="L234" s="20">
        <f t="shared" si="22"/>
        <v>0</v>
      </c>
      <c r="M234" s="14" t="e">
        <f>VLOOKUP(G234,Sell!G:L,1,0)</f>
        <v>#N/A</v>
      </c>
      <c r="N234" s="14">
        <f>IFERROR(VLOOKUP(G234,Sell!G:L,2,0),0)</f>
        <v>0</v>
      </c>
      <c r="O234" s="13">
        <f>IFERROR(VLOOKUP(G234,Sell!G:L,6,0),0)</f>
        <v>0</v>
      </c>
      <c r="P234" s="14">
        <f t="shared" si="21"/>
        <v>0</v>
      </c>
      <c r="Q234" s="13">
        <f t="shared" si="23"/>
        <v>0</v>
      </c>
      <c r="R234" s="13">
        <f t="shared" si="24"/>
        <v>0</v>
      </c>
      <c r="S234" s="13">
        <f t="shared" si="25"/>
        <v>0</v>
      </c>
      <c r="T234" s="13">
        <f t="shared" si="26"/>
        <v>0</v>
      </c>
      <c r="U234" s="15" t="str">
        <f t="shared" si="27"/>
        <v/>
      </c>
    </row>
    <row r="235" spans="12:21" x14ac:dyDescent="0.25">
      <c r="L235" s="20">
        <f t="shared" si="22"/>
        <v>0</v>
      </c>
      <c r="M235" s="14" t="e">
        <f>VLOOKUP(G235,Sell!G:L,1,0)</f>
        <v>#N/A</v>
      </c>
      <c r="N235" s="14">
        <f>IFERROR(VLOOKUP(G235,Sell!G:L,2,0),0)</f>
        <v>0</v>
      </c>
      <c r="O235" s="13">
        <f>IFERROR(VLOOKUP(G235,Sell!G:L,6,0),0)</f>
        <v>0</v>
      </c>
      <c r="P235" s="14">
        <f t="shared" si="21"/>
        <v>0</v>
      </c>
      <c r="Q235" s="13">
        <f t="shared" si="23"/>
        <v>0</v>
      </c>
      <c r="R235" s="13">
        <f t="shared" si="24"/>
        <v>0</v>
      </c>
      <c r="S235" s="13">
        <f t="shared" si="25"/>
        <v>0</v>
      </c>
      <c r="T235" s="13">
        <f t="shared" si="26"/>
        <v>0</v>
      </c>
      <c r="U235" s="15" t="str">
        <f t="shared" si="27"/>
        <v/>
      </c>
    </row>
    <row r="236" spans="12:21" x14ac:dyDescent="0.25">
      <c r="L236" s="20">
        <f t="shared" si="22"/>
        <v>0</v>
      </c>
      <c r="M236" s="14" t="e">
        <f>VLOOKUP(G236,Sell!G:L,1,0)</f>
        <v>#N/A</v>
      </c>
      <c r="N236" s="14">
        <f>IFERROR(VLOOKUP(G236,Sell!G:L,2,0),0)</f>
        <v>0</v>
      </c>
      <c r="O236" s="13">
        <f>IFERROR(VLOOKUP(G236,Sell!G:L,6,0),0)</f>
        <v>0</v>
      </c>
      <c r="P236" s="14">
        <f t="shared" si="21"/>
        <v>0</v>
      </c>
      <c r="Q236" s="13">
        <f t="shared" si="23"/>
        <v>0</v>
      </c>
      <c r="R236" s="13">
        <f t="shared" si="24"/>
        <v>0</v>
      </c>
      <c r="S236" s="13">
        <f t="shared" si="25"/>
        <v>0</v>
      </c>
      <c r="T236" s="13">
        <f t="shared" si="26"/>
        <v>0</v>
      </c>
      <c r="U236" s="15" t="str">
        <f t="shared" si="27"/>
        <v/>
      </c>
    </row>
    <row r="237" spans="12:21" x14ac:dyDescent="0.25">
      <c r="L237" s="20">
        <f t="shared" si="22"/>
        <v>0</v>
      </c>
      <c r="M237" s="14" t="e">
        <f>VLOOKUP(G237,Sell!G:L,1,0)</f>
        <v>#N/A</v>
      </c>
      <c r="N237" s="14">
        <f>IFERROR(VLOOKUP(G237,Sell!G:L,2,0),0)</f>
        <v>0</v>
      </c>
      <c r="O237" s="13">
        <f>IFERROR(VLOOKUP(G237,Sell!G:L,6,0),0)</f>
        <v>0</v>
      </c>
      <c r="P237" s="14">
        <f t="shared" si="21"/>
        <v>0</v>
      </c>
      <c r="Q237" s="13">
        <f t="shared" si="23"/>
        <v>0</v>
      </c>
      <c r="R237" s="13">
        <f t="shared" si="24"/>
        <v>0</v>
      </c>
      <c r="S237" s="13">
        <f t="shared" si="25"/>
        <v>0</v>
      </c>
      <c r="T237" s="13">
        <f t="shared" si="26"/>
        <v>0</v>
      </c>
      <c r="U237" s="15" t="str">
        <f t="shared" si="27"/>
        <v/>
      </c>
    </row>
    <row r="238" spans="12:21" x14ac:dyDescent="0.25">
      <c r="L238" s="20">
        <f t="shared" si="22"/>
        <v>0</v>
      </c>
      <c r="M238" s="14" t="e">
        <f>VLOOKUP(G238,Sell!G:L,1,0)</f>
        <v>#N/A</v>
      </c>
      <c r="N238" s="14">
        <f>IFERROR(VLOOKUP(G238,Sell!G:L,2,0),0)</f>
        <v>0</v>
      </c>
      <c r="O238" s="13">
        <f>IFERROR(VLOOKUP(G238,Sell!G:L,6,0),0)</f>
        <v>0</v>
      </c>
      <c r="P238" s="14">
        <f t="shared" si="21"/>
        <v>0</v>
      </c>
      <c r="Q238" s="13">
        <f t="shared" si="23"/>
        <v>0</v>
      </c>
      <c r="R238" s="13">
        <f t="shared" si="24"/>
        <v>0</v>
      </c>
      <c r="S238" s="13">
        <f t="shared" si="25"/>
        <v>0</v>
      </c>
      <c r="T238" s="13">
        <f t="shared" si="26"/>
        <v>0</v>
      </c>
      <c r="U238" s="15" t="str">
        <f t="shared" si="27"/>
        <v/>
      </c>
    </row>
    <row r="239" spans="12:21" x14ac:dyDescent="0.25">
      <c r="L239" s="20">
        <f t="shared" si="22"/>
        <v>0</v>
      </c>
      <c r="M239" s="14" t="e">
        <f>VLOOKUP(G239,Sell!G:L,1,0)</f>
        <v>#N/A</v>
      </c>
      <c r="N239" s="14">
        <f>IFERROR(VLOOKUP(G239,Sell!G:L,2,0),0)</f>
        <v>0</v>
      </c>
      <c r="O239" s="13">
        <f>IFERROR(VLOOKUP(G239,Sell!G:L,6,0),0)</f>
        <v>0</v>
      </c>
      <c r="P239" s="14">
        <f t="shared" si="21"/>
        <v>0</v>
      </c>
      <c r="Q239" s="13">
        <f t="shared" si="23"/>
        <v>0</v>
      </c>
      <c r="R239" s="13">
        <f t="shared" si="24"/>
        <v>0</v>
      </c>
      <c r="S239" s="13">
        <f t="shared" si="25"/>
        <v>0</v>
      </c>
      <c r="T239" s="13">
        <f t="shared" si="26"/>
        <v>0</v>
      </c>
      <c r="U239" s="15" t="str">
        <f t="shared" si="27"/>
        <v/>
      </c>
    </row>
    <row r="240" spans="12:21" x14ac:dyDescent="0.25">
      <c r="L240" s="20">
        <f t="shared" si="22"/>
        <v>0</v>
      </c>
      <c r="M240" s="14" t="e">
        <f>VLOOKUP(G240,Sell!G:L,1,0)</f>
        <v>#N/A</v>
      </c>
      <c r="N240" s="14">
        <f>IFERROR(VLOOKUP(G240,Sell!G:L,2,0),0)</f>
        <v>0</v>
      </c>
      <c r="O240" s="13">
        <f>IFERROR(VLOOKUP(G240,Sell!G:L,6,0),0)</f>
        <v>0</v>
      </c>
      <c r="P240" s="14">
        <f t="shared" si="21"/>
        <v>0</v>
      </c>
      <c r="Q240" s="13">
        <f t="shared" si="23"/>
        <v>0</v>
      </c>
      <c r="R240" s="13">
        <f t="shared" si="24"/>
        <v>0</v>
      </c>
      <c r="S240" s="13">
        <f t="shared" si="25"/>
        <v>0</v>
      </c>
      <c r="T240" s="13">
        <f t="shared" si="26"/>
        <v>0</v>
      </c>
      <c r="U240" s="15" t="str">
        <f t="shared" si="27"/>
        <v/>
      </c>
    </row>
    <row r="241" spans="12:21" x14ac:dyDescent="0.25">
      <c r="L241" s="20">
        <f t="shared" si="22"/>
        <v>0</v>
      </c>
      <c r="M241" s="14" t="e">
        <f>VLOOKUP(G241,Sell!G:L,1,0)</f>
        <v>#N/A</v>
      </c>
      <c r="N241" s="14">
        <f>IFERROR(VLOOKUP(G241,Sell!G:L,2,0),0)</f>
        <v>0</v>
      </c>
      <c r="O241" s="13">
        <f>IFERROR(VLOOKUP(G241,Sell!G:L,6,0),0)</f>
        <v>0</v>
      </c>
      <c r="P241" s="14">
        <f t="shared" si="21"/>
        <v>0</v>
      </c>
      <c r="Q241" s="13">
        <f t="shared" si="23"/>
        <v>0</v>
      </c>
      <c r="R241" s="13">
        <f t="shared" si="24"/>
        <v>0</v>
      </c>
      <c r="S241" s="13">
        <f t="shared" si="25"/>
        <v>0</v>
      </c>
      <c r="T241" s="13">
        <f t="shared" si="26"/>
        <v>0</v>
      </c>
      <c r="U241" s="15" t="str">
        <f t="shared" si="27"/>
        <v/>
      </c>
    </row>
    <row r="242" spans="12:21" x14ac:dyDescent="0.25">
      <c r="L242" s="20">
        <f t="shared" si="22"/>
        <v>0</v>
      </c>
      <c r="M242" s="14" t="e">
        <f>VLOOKUP(G242,Sell!G:L,1,0)</f>
        <v>#N/A</v>
      </c>
      <c r="N242" s="14">
        <f>IFERROR(VLOOKUP(G242,Sell!G:L,2,0),0)</f>
        <v>0</v>
      </c>
      <c r="O242" s="13">
        <f>IFERROR(VLOOKUP(G242,Sell!G:L,6,0),0)</f>
        <v>0</v>
      </c>
      <c r="P242" s="14">
        <f t="shared" si="21"/>
        <v>0</v>
      </c>
      <c r="Q242" s="13">
        <f t="shared" si="23"/>
        <v>0</v>
      </c>
      <c r="R242" s="13">
        <f t="shared" si="24"/>
        <v>0</v>
      </c>
      <c r="S242" s="13">
        <f t="shared" si="25"/>
        <v>0</v>
      </c>
      <c r="T242" s="13">
        <f t="shared" si="26"/>
        <v>0</v>
      </c>
      <c r="U242" s="15" t="str">
        <f t="shared" si="27"/>
        <v/>
      </c>
    </row>
    <row r="243" spans="12:21" x14ac:dyDescent="0.25">
      <c r="L243" s="20">
        <f t="shared" si="22"/>
        <v>0</v>
      </c>
      <c r="M243" s="14" t="e">
        <f>VLOOKUP(G243,Sell!G:L,1,0)</f>
        <v>#N/A</v>
      </c>
      <c r="N243" s="14">
        <f>IFERROR(VLOOKUP(G243,Sell!G:L,2,0),0)</f>
        <v>0</v>
      </c>
      <c r="O243" s="13">
        <f>IFERROR(VLOOKUP(G243,Sell!G:L,6,0),0)</f>
        <v>0</v>
      </c>
      <c r="P243" s="14">
        <f t="shared" si="21"/>
        <v>0</v>
      </c>
      <c r="Q243" s="13">
        <f t="shared" si="23"/>
        <v>0</v>
      </c>
      <c r="R243" s="13">
        <f t="shared" si="24"/>
        <v>0</v>
      </c>
      <c r="S243" s="13">
        <f t="shared" si="25"/>
        <v>0</v>
      </c>
      <c r="T243" s="13">
        <f t="shared" si="26"/>
        <v>0</v>
      </c>
      <c r="U243" s="15" t="str">
        <f t="shared" si="27"/>
        <v/>
      </c>
    </row>
    <row r="244" spans="12:21" x14ac:dyDescent="0.25">
      <c r="L244" s="20">
        <f t="shared" si="22"/>
        <v>0</v>
      </c>
      <c r="M244" s="14" t="e">
        <f>VLOOKUP(G244,Sell!G:L,1,0)</f>
        <v>#N/A</v>
      </c>
      <c r="N244" s="14">
        <f>IFERROR(VLOOKUP(G244,Sell!G:L,2,0),0)</f>
        <v>0</v>
      </c>
      <c r="O244" s="13">
        <f>IFERROR(VLOOKUP(G244,Sell!G:L,6,0),0)</f>
        <v>0</v>
      </c>
      <c r="P244" s="14">
        <f t="shared" si="21"/>
        <v>0</v>
      </c>
      <c r="Q244" s="13">
        <f t="shared" si="23"/>
        <v>0</v>
      </c>
      <c r="R244" s="13">
        <f t="shared" si="24"/>
        <v>0</v>
      </c>
      <c r="S244" s="13">
        <f t="shared" si="25"/>
        <v>0</v>
      </c>
      <c r="T244" s="13">
        <f t="shared" si="26"/>
        <v>0</v>
      </c>
      <c r="U244" s="15" t="str">
        <f t="shared" si="27"/>
        <v/>
      </c>
    </row>
    <row r="245" spans="12:21" x14ac:dyDescent="0.25">
      <c r="L245" s="20">
        <f t="shared" si="22"/>
        <v>0</v>
      </c>
      <c r="M245" s="14" t="e">
        <f>VLOOKUP(G245,Sell!G:L,1,0)</f>
        <v>#N/A</v>
      </c>
      <c r="N245" s="14">
        <f>IFERROR(VLOOKUP(G245,Sell!G:L,2,0),0)</f>
        <v>0</v>
      </c>
      <c r="O245" s="13">
        <f>IFERROR(VLOOKUP(G245,Sell!G:L,6,0),0)</f>
        <v>0</v>
      </c>
      <c r="P245" s="14">
        <f t="shared" si="21"/>
        <v>0</v>
      </c>
      <c r="Q245" s="13">
        <f t="shared" si="23"/>
        <v>0</v>
      </c>
      <c r="R245" s="13">
        <f t="shared" si="24"/>
        <v>0</v>
      </c>
      <c r="S245" s="13">
        <f t="shared" si="25"/>
        <v>0</v>
      </c>
      <c r="T245" s="13">
        <f t="shared" si="26"/>
        <v>0</v>
      </c>
      <c r="U245" s="15" t="str">
        <f t="shared" si="27"/>
        <v/>
      </c>
    </row>
    <row r="246" spans="12:21" x14ac:dyDescent="0.25">
      <c r="L246" s="20">
        <f t="shared" si="22"/>
        <v>0</v>
      </c>
      <c r="M246" s="14" t="e">
        <f>VLOOKUP(G246,Sell!G:L,1,0)</f>
        <v>#N/A</v>
      </c>
      <c r="N246" s="14">
        <f>IFERROR(VLOOKUP(G246,Sell!G:L,2,0),0)</f>
        <v>0</v>
      </c>
      <c r="O246" s="13">
        <f>IFERROR(VLOOKUP(G246,Sell!G:L,6,0),0)</f>
        <v>0</v>
      </c>
      <c r="P246" s="14">
        <f t="shared" si="21"/>
        <v>0</v>
      </c>
      <c r="Q246" s="13">
        <f t="shared" si="23"/>
        <v>0</v>
      </c>
      <c r="R246" s="13">
        <f t="shared" si="24"/>
        <v>0</v>
      </c>
      <c r="S246" s="13">
        <f t="shared" si="25"/>
        <v>0</v>
      </c>
      <c r="T246" s="13">
        <f t="shared" si="26"/>
        <v>0</v>
      </c>
      <c r="U246" s="15" t="str">
        <f t="shared" si="27"/>
        <v/>
      </c>
    </row>
    <row r="247" spans="12:21" x14ac:dyDescent="0.25">
      <c r="L247" s="20">
        <f t="shared" si="22"/>
        <v>0</v>
      </c>
      <c r="M247" s="14" t="e">
        <f>VLOOKUP(G247,Sell!G:L,1,0)</f>
        <v>#N/A</v>
      </c>
      <c r="N247" s="14">
        <f>IFERROR(VLOOKUP(G247,Sell!G:L,2,0),0)</f>
        <v>0</v>
      </c>
      <c r="O247" s="13">
        <f>IFERROR(VLOOKUP(G247,Sell!G:L,6,0),0)</f>
        <v>0</v>
      </c>
      <c r="P247" s="14">
        <f t="shared" si="21"/>
        <v>0</v>
      </c>
      <c r="Q247" s="13">
        <f t="shared" si="23"/>
        <v>0</v>
      </c>
      <c r="R247" s="13">
        <f t="shared" si="24"/>
        <v>0</v>
      </c>
      <c r="S247" s="13">
        <f t="shared" si="25"/>
        <v>0</v>
      </c>
      <c r="T247" s="13">
        <f t="shared" si="26"/>
        <v>0</v>
      </c>
      <c r="U247" s="15" t="str">
        <f t="shared" si="27"/>
        <v/>
      </c>
    </row>
    <row r="248" spans="12:21" x14ac:dyDescent="0.25">
      <c r="L248" s="20">
        <f t="shared" si="22"/>
        <v>0</v>
      </c>
      <c r="M248" s="14" t="e">
        <f>VLOOKUP(G248,Sell!G:L,1,0)</f>
        <v>#N/A</v>
      </c>
      <c r="N248" s="14">
        <f>IFERROR(VLOOKUP(G248,Sell!G:L,2,0),0)</f>
        <v>0</v>
      </c>
      <c r="O248" s="13">
        <f>IFERROR(VLOOKUP(G248,Sell!G:L,6,0),0)</f>
        <v>0</v>
      </c>
      <c r="P248" s="14">
        <f t="shared" si="21"/>
        <v>0</v>
      </c>
      <c r="Q248" s="13">
        <f t="shared" si="23"/>
        <v>0</v>
      </c>
      <c r="R248" s="13">
        <f t="shared" si="24"/>
        <v>0</v>
      </c>
      <c r="S248" s="13">
        <f t="shared" si="25"/>
        <v>0</v>
      </c>
      <c r="T248" s="13">
        <f t="shared" si="26"/>
        <v>0</v>
      </c>
      <c r="U248" s="15" t="str">
        <f t="shared" si="27"/>
        <v/>
      </c>
    </row>
    <row r="249" spans="12:21" x14ac:dyDescent="0.25">
      <c r="L249" s="20">
        <f t="shared" si="22"/>
        <v>0</v>
      </c>
      <c r="M249" s="14" t="e">
        <f>VLOOKUP(G249,Sell!G:L,1,0)</f>
        <v>#N/A</v>
      </c>
      <c r="N249" s="14">
        <f>IFERROR(VLOOKUP(G249,Sell!G:L,2,0),0)</f>
        <v>0</v>
      </c>
      <c r="O249" s="13">
        <f>IFERROR(VLOOKUP(G249,Sell!G:L,6,0),0)</f>
        <v>0</v>
      </c>
      <c r="P249" s="14">
        <f t="shared" si="21"/>
        <v>0</v>
      </c>
      <c r="Q249" s="13">
        <f t="shared" si="23"/>
        <v>0</v>
      </c>
      <c r="R249" s="13">
        <f t="shared" si="24"/>
        <v>0</v>
      </c>
      <c r="S249" s="13">
        <f t="shared" si="25"/>
        <v>0</v>
      </c>
      <c r="T249" s="13">
        <f t="shared" si="26"/>
        <v>0</v>
      </c>
      <c r="U249" s="15" t="str">
        <f t="shared" si="27"/>
        <v/>
      </c>
    </row>
    <row r="250" spans="12:21" x14ac:dyDescent="0.25">
      <c r="L250" s="20">
        <f t="shared" si="22"/>
        <v>0</v>
      </c>
      <c r="M250" s="14" t="e">
        <f>VLOOKUP(G250,Sell!G:L,1,0)</f>
        <v>#N/A</v>
      </c>
      <c r="N250" s="14">
        <f>IFERROR(VLOOKUP(G250,Sell!G:L,2,0),0)</f>
        <v>0</v>
      </c>
      <c r="O250" s="13">
        <f>IFERROR(VLOOKUP(G250,Sell!G:L,6,0),0)</f>
        <v>0</v>
      </c>
      <c r="P250" s="14">
        <f t="shared" si="21"/>
        <v>0</v>
      </c>
      <c r="Q250" s="13">
        <f t="shared" si="23"/>
        <v>0</v>
      </c>
      <c r="R250" s="13">
        <f t="shared" si="24"/>
        <v>0</v>
      </c>
      <c r="S250" s="13">
        <f t="shared" si="25"/>
        <v>0</v>
      </c>
      <c r="T250" s="13">
        <f t="shared" si="26"/>
        <v>0</v>
      </c>
      <c r="U250" s="15" t="str">
        <f t="shared" si="27"/>
        <v/>
      </c>
    </row>
    <row r="251" spans="12:21" x14ac:dyDescent="0.25">
      <c r="L251" s="20">
        <f t="shared" si="22"/>
        <v>0</v>
      </c>
      <c r="M251" s="14" t="e">
        <f>VLOOKUP(G251,Sell!G:L,1,0)</f>
        <v>#N/A</v>
      </c>
      <c r="N251" s="14">
        <f>IFERROR(VLOOKUP(G251,Sell!G:L,2,0),0)</f>
        <v>0</v>
      </c>
      <c r="O251" s="13">
        <f>IFERROR(VLOOKUP(G251,Sell!G:L,6,0),0)</f>
        <v>0</v>
      </c>
      <c r="P251" s="14">
        <f t="shared" si="21"/>
        <v>0</v>
      </c>
      <c r="Q251" s="13">
        <f t="shared" si="23"/>
        <v>0</v>
      </c>
      <c r="R251" s="13">
        <f t="shared" si="24"/>
        <v>0</v>
      </c>
      <c r="S251" s="13">
        <f t="shared" si="25"/>
        <v>0</v>
      </c>
      <c r="T251" s="13">
        <f t="shared" si="26"/>
        <v>0</v>
      </c>
      <c r="U251" s="15" t="str">
        <f t="shared" si="27"/>
        <v/>
      </c>
    </row>
    <row r="252" spans="12:21" x14ac:dyDescent="0.25">
      <c r="L252" s="20">
        <f t="shared" si="22"/>
        <v>0</v>
      </c>
      <c r="M252" s="14" t="e">
        <f>VLOOKUP(G252,Sell!G:L,1,0)</f>
        <v>#N/A</v>
      </c>
      <c r="N252" s="14">
        <f>IFERROR(VLOOKUP(G252,Sell!G:L,2,0),0)</f>
        <v>0</v>
      </c>
      <c r="O252" s="13">
        <f>IFERROR(VLOOKUP(G252,Sell!G:L,6,0),0)</f>
        <v>0</v>
      </c>
      <c r="P252" s="14">
        <f t="shared" si="21"/>
        <v>0</v>
      </c>
      <c r="Q252" s="13">
        <f t="shared" si="23"/>
        <v>0</v>
      </c>
      <c r="R252" s="13">
        <f t="shared" si="24"/>
        <v>0</v>
      </c>
      <c r="S252" s="13">
        <f t="shared" si="25"/>
        <v>0</v>
      </c>
      <c r="T252" s="13">
        <f t="shared" si="26"/>
        <v>0</v>
      </c>
      <c r="U252" s="15" t="str">
        <f t="shared" si="27"/>
        <v/>
      </c>
    </row>
    <row r="253" spans="12:21" x14ac:dyDescent="0.25">
      <c r="L253" s="20">
        <f t="shared" si="22"/>
        <v>0</v>
      </c>
      <c r="M253" s="14" t="e">
        <f>VLOOKUP(G253,Sell!G:L,1,0)</f>
        <v>#N/A</v>
      </c>
      <c r="N253" s="14">
        <f>IFERROR(VLOOKUP(G253,Sell!G:L,2,0),0)</f>
        <v>0</v>
      </c>
      <c r="O253" s="13">
        <f>IFERROR(VLOOKUP(G253,Sell!G:L,6,0),0)</f>
        <v>0</v>
      </c>
      <c r="P253" s="14">
        <f t="shared" si="21"/>
        <v>0</v>
      </c>
      <c r="Q253" s="13">
        <f t="shared" si="23"/>
        <v>0</v>
      </c>
      <c r="R253" s="13">
        <f t="shared" si="24"/>
        <v>0</v>
      </c>
      <c r="S253" s="13">
        <f t="shared" si="25"/>
        <v>0</v>
      </c>
      <c r="T253" s="13">
        <f t="shared" si="26"/>
        <v>0</v>
      </c>
      <c r="U253" s="15" t="str">
        <f t="shared" si="27"/>
        <v/>
      </c>
    </row>
    <row r="254" spans="12:21" x14ac:dyDescent="0.25">
      <c r="L254" s="20">
        <f t="shared" si="22"/>
        <v>0</v>
      </c>
      <c r="M254" s="14" t="e">
        <f>VLOOKUP(G254,Sell!G:L,1,0)</f>
        <v>#N/A</v>
      </c>
      <c r="N254" s="14">
        <f>IFERROR(VLOOKUP(G254,Sell!G:L,2,0),0)</f>
        <v>0</v>
      </c>
      <c r="O254" s="13">
        <f>IFERROR(VLOOKUP(G254,Sell!G:L,6,0),0)</f>
        <v>0</v>
      </c>
      <c r="P254" s="14">
        <f t="shared" si="21"/>
        <v>0</v>
      </c>
      <c r="Q254" s="13">
        <f t="shared" si="23"/>
        <v>0</v>
      </c>
      <c r="R254" s="13">
        <f t="shared" si="24"/>
        <v>0</v>
      </c>
      <c r="S254" s="13">
        <f t="shared" si="25"/>
        <v>0</v>
      </c>
      <c r="T254" s="13">
        <f t="shared" si="26"/>
        <v>0</v>
      </c>
      <c r="U254" s="15" t="str">
        <f t="shared" si="27"/>
        <v/>
      </c>
    </row>
    <row r="255" spans="12:21" x14ac:dyDescent="0.25">
      <c r="L255" s="20">
        <f t="shared" si="22"/>
        <v>0</v>
      </c>
      <c r="M255" s="14" t="e">
        <f>VLOOKUP(G255,Sell!G:L,1,0)</f>
        <v>#N/A</v>
      </c>
      <c r="N255" s="14">
        <f>IFERROR(VLOOKUP(G255,Sell!G:L,2,0),0)</f>
        <v>0</v>
      </c>
      <c r="O255" s="13">
        <f>IFERROR(VLOOKUP(G255,Sell!G:L,6,0),0)</f>
        <v>0</v>
      </c>
      <c r="P255" s="14">
        <f t="shared" si="21"/>
        <v>0</v>
      </c>
      <c r="Q255" s="13">
        <f t="shared" si="23"/>
        <v>0</v>
      </c>
      <c r="R255" s="13">
        <f t="shared" si="24"/>
        <v>0</v>
      </c>
      <c r="S255" s="13">
        <f t="shared" si="25"/>
        <v>0</v>
      </c>
      <c r="T255" s="13">
        <f t="shared" si="26"/>
        <v>0</v>
      </c>
      <c r="U255" s="15" t="str">
        <f t="shared" si="27"/>
        <v/>
      </c>
    </row>
    <row r="256" spans="12:21" x14ac:dyDescent="0.25">
      <c r="L256" s="20">
        <f t="shared" si="22"/>
        <v>0</v>
      </c>
      <c r="M256" s="14" t="e">
        <f>VLOOKUP(G256,Sell!G:L,1,0)</f>
        <v>#N/A</v>
      </c>
      <c r="N256" s="14">
        <f>IFERROR(VLOOKUP(G256,Sell!G:L,2,0),0)</f>
        <v>0</v>
      </c>
      <c r="O256" s="13">
        <f>IFERROR(VLOOKUP(G256,Sell!G:L,6,0),0)</f>
        <v>0</v>
      </c>
      <c r="P256" s="14">
        <f t="shared" si="21"/>
        <v>0</v>
      </c>
      <c r="Q256" s="13">
        <f t="shared" si="23"/>
        <v>0</v>
      </c>
      <c r="R256" s="13">
        <f t="shared" si="24"/>
        <v>0</v>
      </c>
      <c r="S256" s="13">
        <f t="shared" si="25"/>
        <v>0</v>
      </c>
      <c r="T256" s="13">
        <f t="shared" si="26"/>
        <v>0</v>
      </c>
      <c r="U256" s="15" t="str">
        <f t="shared" si="27"/>
        <v/>
      </c>
    </row>
    <row r="257" spans="12:21" x14ac:dyDescent="0.25">
      <c r="L257" s="20">
        <f t="shared" si="22"/>
        <v>0</v>
      </c>
      <c r="M257" s="14" t="e">
        <f>VLOOKUP(G257,Sell!G:L,1,0)</f>
        <v>#N/A</v>
      </c>
      <c r="N257" s="14">
        <f>IFERROR(VLOOKUP(G257,Sell!G:L,2,0),0)</f>
        <v>0</v>
      </c>
      <c r="O257" s="13">
        <f>IFERROR(VLOOKUP(G257,Sell!G:L,6,0),0)</f>
        <v>0</v>
      </c>
      <c r="P257" s="14">
        <f t="shared" si="21"/>
        <v>0</v>
      </c>
      <c r="Q257" s="13">
        <f t="shared" si="23"/>
        <v>0</v>
      </c>
      <c r="R257" s="13">
        <f t="shared" si="24"/>
        <v>0</v>
      </c>
      <c r="S257" s="13">
        <f t="shared" si="25"/>
        <v>0</v>
      </c>
      <c r="T257" s="13">
        <f t="shared" si="26"/>
        <v>0</v>
      </c>
      <c r="U257" s="15" t="str">
        <f t="shared" si="27"/>
        <v/>
      </c>
    </row>
    <row r="258" spans="12:21" x14ac:dyDescent="0.25">
      <c r="L258" s="20">
        <f t="shared" si="22"/>
        <v>0</v>
      </c>
      <c r="M258" s="14" t="e">
        <f>VLOOKUP(G258,Sell!G:L,1,0)</f>
        <v>#N/A</v>
      </c>
      <c r="N258" s="14">
        <f>IFERROR(VLOOKUP(G258,Sell!G:L,2,0),0)</f>
        <v>0</v>
      </c>
      <c r="O258" s="13">
        <f>IFERROR(VLOOKUP(G258,Sell!G:L,6,0),0)</f>
        <v>0</v>
      </c>
      <c r="P258" s="14">
        <f t="shared" si="21"/>
        <v>0</v>
      </c>
      <c r="Q258" s="13">
        <f t="shared" si="23"/>
        <v>0</v>
      </c>
      <c r="R258" s="13">
        <f t="shared" si="24"/>
        <v>0</v>
      </c>
      <c r="S258" s="13">
        <f t="shared" si="25"/>
        <v>0</v>
      </c>
      <c r="T258" s="13">
        <f t="shared" si="26"/>
        <v>0</v>
      </c>
      <c r="U258" s="15" t="str">
        <f t="shared" si="27"/>
        <v/>
      </c>
    </row>
    <row r="259" spans="12:21" x14ac:dyDescent="0.25">
      <c r="L259" s="20">
        <f t="shared" si="22"/>
        <v>0</v>
      </c>
      <c r="M259" s="14" t="e">
        <f>VLOOKUP(G259,Sell!G:L,1,0)</f>
        <v>#N/A</v>
      </c>
      <c r="N259" s="14">
        <f>IFERROR(VLOOKUP(G259,Sell!G:L,2,0),0)</f>
        <v>0</v>
      </c>
      <c r="O259" s="13">
        <f>IFERROR(VLOOKUP(G259,Sell!G:L,6,0),0)</f>
        <v>0</v>
      </c>
      <c r="P259" s="14">
        <f t="shared" si="21"/>
        <v>0</v>
      </c>
      <c r="Q259" s="13">
        <f t="shared" si="23"/>
        <v>0</v>
      </c>
      <c r="R259" s="13">
        <f t="shared" si="24"/>
        <v>0</v>
      </c>
      <c r="S259" s="13">
        <f t="shared" si="25"/>
        <v>0</v>
      </c>
      <c r="T259" s="13">
        <f t="shared" si="26"/>
        <v>0</v>
      </c>
      <c r="U259" s="15" t="str">
        <f t="shared" si="27"/>
        <v/>
      </c>
    </row>
    <row r="260" spans="12:21" x14ac:dyDescent="0.25">
      <c r="L260" s="20">
        <f t="shared" si="22"/>
        <v>0</v>
      </c>
      <c r="M260" s="14" t="e">
        <f>VLOOKUP(G260,Sell!G:L,1,0)</f>
        <v>#N/A</v>
      </c>
      <c r="N260" s="14">
        <f>IFERROR(VLOOKUP(G260,Sell!G:L,2,0),0)</f>
        <v>0</v>
      </c>
      <c r="O260" s="13">
        <f>IFERROR(VLOOKUP(G260,Sell!G:L,6,0),0)</f>
        <v>0</v>
      </c>
      <c r="P260" s="14">
        <f t="shared" si="21"/>
        <v>0</v>
      </c>
      <c r="Q260" s="13">
        <f t="shared" si="23"/>
        <v>0</v>
      </c>
      <c r="R260" s="13">
        <f t="shared" si="24"/>
        <v>0</v>
      </c>
      <c r="S260" s="13">
        <f t="shared" si="25"/>
        <v>0</v>
      </c>
      <c r="T260" s="13">
        <f t="shared" si="26"/>
        <v>0</v>
      </c>
      <c r="U260" s="15" t="str">
        <f t="shared" si="27"/>
        <v/>
      </c>
    </row>
    <row r="261" spans="12:21" x14ac:dyDescent="0.25">
      <c r="L261" s="20">
        <f t="shared" si="22"/>
        <v>0</v>
      </c>
      <c r="M261" s="14" t="e">
        <f>VLOOKUP(G261,Sell!G:L,1,0)</f>
        <v>#N/A</v>
      </c>
      <c r="N261" s="14">
        <f>IFERROR(VLOOKUP(G261,Sell!G:L,2,0),0)</f>
        <v>0</v>
      </c>
      <c r="O261" s="13">
        <f>IFERROR(VLOOKUP(G261,Sell!G:L,6,0),0)</f>
        <v>0</v>
      </c>
      <c r="P261" s="14">
        <f t="shared" si="21"/>
        <v>0</v>
      </c>
      <c r="Q261" s="13">
        <f t="shared" si="23"/>
        <v>0</v>
      </c>
      <c r="R261" s="13">
        <f t="shared" si="24"/>
        <v>0</v>
      </c>
      <c r="S261" s="13">
        <f t="shared" si="25"/>
        <v>0</v>
      </c>
      <c r="T261" s="13">
        <f t="shared" si="26"/>
        <v>0</v>
      </c>
      <c r="U261" s="15" t="str">
        <f t="shared" si="27"/>
        <v/>
      </c>
    </row>
    <row r="262" spans="12:21" x14ac:dyDescent="0.25">
      <c r="L262" s="20">
        <f t="shared" si="22"/>
        <v>0</v>
      </c>
      <c r="M262" s="14" t="e">
        <f>VLOOKUP(G262,Sell!G:L,1,0)</f>
        <v>#N/A</v>
      </c>
      <c r="N262" s="14">
        <f>IFERROR(VLOOKUP(G262,Sell!G:L,2,0),0)</f>
        <v>0</v>
      </c>
      <c r="O262" s="13">
        <f>IFERROR(VLOOKUP(G262,Sell!G:L,6,0),0)</f>
        <v>0</v>
      </c>
      <c r="P262" s="14">
        <f t="shared" si="21"/>
        <v>0</v>
      </c>
      <c r="Q262" s="13">
        <f t="shared" si="23"/>
        <v>0</v>
      </c>
      <c r="R262" s="13">
        <f t="shared" si="24"/>
        <v>0</v>
      </c>
      <c r="S262" s="13">
        <f t="shared" si="25"/>
        <v>0</v>
      </c>
      <c r="T262" s="13">
        <f t="shared" si="26"/>
        <v>0</v>
      </c>
      <c r="U262" s="15" t="str">
        <f t="shared" si="27"/>
        <v/>
      </c>
    </row>
    <row r="263" spans="12:21" x14ac:dyDescent="0.25">
      <c r="L263" s="20">
        <f t="shared" si="22"/>
        <v>0</v>
      </c>
      <c r="M263" s="14" t="e">
        <f>VLOOKUP(G263,Sell!G:L,1,0)</f>
        <v>#N/A</v>
      </c>
      <c r="N263" s="14">
        <f>IFERROR(VLOOKUP(G263,Sell!G:L,2,0),0)</f>
        <v>0</v>
      </c>
      <c r="O263" s="13">
        <f>IFERROR(VLOOKUP(G263,Sell!G:L,6,0),0)</f>
        <v>0</v>
      </c>
      <c r="P263" s="14">
        <f t="shared" si="21"/>
        <v>0</v>
      </c>
      <c r="Q263" s="13">
        <f t="shared" si="23"/>
        <v>0</v>
      </c>
      <c r="R263" s="13">
        <f t="shared" si="24"/>
        <v>0</v>
      </c>
      <c r="S263" s="13">
        <f t="shared" si="25"/>
        <v>0</v>
      </c>
      <c r="T263" s="13">
        <f t="shared" si="26"/>
        <v>0</v>
      </c>
      <c r="U263" s="15" t="str">
        <f t="shared" si="27"/>
        <v/>
      </c>
    </row>
    <row r="264" spans="12:21" x14ac:dyDescent="0.25">
      <c r="L264" s="20">
        <f t="shared" si="22"/>
        <v>0</v>
      </c>
      <c r="M264" s="14" t="e">
        <f>VLOOKUP(G264,Sell!G:L,1,0)</f>
        <v>#N/A</v>
      </c>
      <c r="N264" s="14">
        <f>IFERROR(VLOOKUP(G264,Sell!G:L,2,0),0)</f>
        <v>0</v>
      </c>
      <c r="O264" s="13">
        <f>IFERROR(VLOOKUP(G264,Sell!G:L,6,0),0)</f>
        <v>0</v>
      </c>
      <c r="P264" s="14">
        <f t="shared" si="21"/>
        <v>0</v>
      </c>
      <c r="Q264" s="13">
        <f t="shared" si="23"/>
        <v>0</v>
      </c>
      <c r="R264" s="13">
        <f t="shared" si="24"/>
        <v>0</v>
      </c>
      <c r="S264" s="13">
        <f t="shared" si="25"/>
        <v>0</v>
      </c>
      <c r="T264" s="13">
        <f t="shared" si="26"/>
        <v>0</v>
      </c>
      <c r="U264" s="15" t="str">
        <f t="shared" si="27"/>
        <v/>
      </c>
    </row>
    <row r="265" spans="12:21" x14ac:dyDescent="0.25">
      <c r="L265" s="20">
        <f t="shared" si="22"/>
        <v>0</v>
      </c>
      <c r="M265" s="14" t="e">
        <f>VLOOKUP(G265,Sell!G:L,1,0)</f>
        <v>#N/A</v>
      </c>
      <c r="N265" s="14">
        <f>IFERROR(VLOOKUP(G265,Sell!G:L,2,0),0)</f>
        <v>0</v>
      </c>
      <c r="O265" s="13">
        <f>IFERROR(VLOOKUP(G265,Sell!G:L,6,0),0)</f>
        <v>0</v>
      </c>
      <c r="P265" s="14">
        <f t="shared" si="21"/>
        <v>0</v>
      </c>
      <c r="Q265" s="13">
        <f t="shared" si="23"/>
        <v>0</v>
      </c>
      <c r="R265" s="13">
        <f t="shared" si="24"/>
        <v>0</v>
      </c>
      <c r="S265" s="13">
        <f t="shared" si="25"/>
        <v>0</v>
      </c>
      <c r="T265" s="13">
        <f t="shared" si="26"/>
        <v>0</v>
      </c>
      <c r="U265" s="15" t="str">
        <f t="shared" si="27"/>
        <v/>
      </c>
    </row>
    <row r="266" spans="12:21" x14ac:dyDescent="0.25">
      <c r="L266" s="20">
        <f t="shared" si="22"/>
        <v>0</v>
      </c>
      <c r="M266" s="14" t="e">
        <f>VLOOKUP(G266,Sell!G:L,1,0)</f>
        <v>#N/A</v>
      </c>
      <c r="N266" s="14">
        <f>IFERROR(VLOOKUP(G266,Sell!G:L,2,0),0)</f>
        <v>0</v>
      </c>
      <c r="O266" s="13">
        <f>IFERROR(VLOOKUP(G266,Sell!G:L,6,0),0)</f>
        <v>0</v>
      </c>
      <c r="P266" s="14">
        <f t="shared" ref="P266:P329" si="28">H266-N266</f>
        <v>0</v>
      </c>
      <c r="Q266" s="13">
        <f t="shared" si="23"/>
        <v>0</v>
      </c>
      <c r="R266" s="13">
        <f t="shared" si="24"/>
        <v>0</v>
      </c>
      <c r="S266" s="13">
        <f t="shared" si="25"/>
        <v>0</v>
      </c>
      <c r="T266" s="13">
        <f t="shared" si="26"/>
        <v>0</v>
      </c>
      <c r="U266" s="15" t="str">
        <f t="shared" si="27"/>
        <v/>
      </c>
    </row>
    <row r="267" spans="12:21" x14ac:dyDescent="0.25">
      <c r="L267" s="20">
        <f t="shared" ref="L267:L330" si="29">J267+K267</f>
        <v>0</v>
      </c>
      <c r="M267" s="14" t="e">
        <f>VLOOKUP(G267,Sell!G:L,1,0)</f>
        <v>#N/A</v>
      </c>
      <c r="N267" s="14">
        <f>IFERROR(VLOOKUP(G267,Sell!G:L,2,0),0)</f>
        <v>0</v>
      </c>
      <c r="O267" s="13">
        <f>IFERROR(VLOOKUP(G267,Sell!G:L,6,0),0)</f>
        <v>0</v>
      </c>
      <c r="P267" s="14">
        <f t="shared" si="28"/>
        <v>0</v>
      </c>
      <c r="Q267" s="13">
        <f t="shared" ref="Q267:Q330" si="30">O267-L267</f>
        <v>0</v>
      </c>
      <c r="R267" s="13">
        <f t="shared" ref="R267:R330" si="31">IF(P267=0,Q267,0)</f>
        <v>0</v>
      </c>
      <c r="S267" s="13">
        <f t="shared" ref="S267:S330" si="32">IF(R267&gt;0,R267,0)</f>
        <v>0</v>
      </c>
      <c r="T267" s="13">
        <f t="shared" ref="T267:T330" si="33">IF(R267&gt;0,0,R267)</f>
        <v>0</v>
      </c>
      <c r="U267" s="15" t="str">
        <f t="shared" ref="U267:U330" si="34">IF(AND(LEN(G267)&gt;0,R267=0),"Open","")</f>
        <v/>
      </c>
    </row>
    <row r="268" spans="12:21" x14ac:dyDescent="0.25">
      <c r="L268" s="20">
        <f t="shared" si="29"/>
        <v>0</v>
      </c>
      <c r="M268" s="14" t="e">
        <f>VLOOKUP(G268,Sell!G:L,1,0)</f>
        <v>#N/A</v>
      </c>
      <c r="N268" s="14">
        <f>IFERROR(VLOOKUP(G268,Sell!G:L,2,0),0)</f>
        <v>0</v>
      </c>
      <c r="O268" s="13">
        <f>IFERROR(VLOOKUP(G268,Sell!G:L,6,0),0)</f>
        <v>0</v>
      </c>
      <c r="P268" s="14">
        <f t="shared" si="28"/>
        <v>0</v>
      </c>
      <c r="Q268" s="13">
        <f t="shared" si="30"/>
        <v>0</v>
      </c>
      <c r="R268" s="13">
        <f t="shared" si="31"/>
        <v>0</v>
      </c>
      <c r="S268" s="13">
        <f t="shared" si="32"/>
        <v>0</v>
      </c>
      <c r="T268" s="13">
        <f t="shared" si="33"/>
        <v>0</v>
      </c>
      <c r="U268" s="15" t="str">
        <f t="shared" si="34"/>
        <v/>
      </c>
    </row>
    <row r="269" spans="12:21" x14ac:dyDescent="0.25">
      <c r="L269" s="20">
        <f t="shared" si="29"/>
        <v>0</v>
      </c>
      <c r="M269" s="14" t="e">
        <f>VLOOKUP(G269,Sell!G:L,1,0)</f>
        <v>#N/A</v>
      </c>
      <c r="N269" s="14">
        <f>IFERROR(VLOOKUP(G269,Sell!G:L,2,0),0)</f>
        <v>0</v>
      </c>
      <c r="O269" s="13">
        <f>IFERROR(VLOOKUP(G269,Sell!G:L,6,0),0)</f>
        <v>0</v>
      </c>
      <c r="P269" s="14">
        <f t="shared" si="28"/>
        <v>0</v>
      </c>
      <c r="Q269" s="13">
        <f t="shared" si="30"/>
        <v>0</v>
      </c>
      <c r="R269" s="13">
        <f t="shared" si="31"/>
        <v>0</v>
      </c>
      <c r="S269" s="13">
        <f t="shared" si="32"/>
        <v>0</v>
      </c>
      <c r="T269" s="13">
        <f t="shared" si="33"/>
        <v>0</v>
      </c>
      <c r="U269" s="15" t="str">
        <f t="shared" si="34"/>
        <v/>
      </c>
    </row>
    <row r="270" spans="12:21" x14ac:dyDescent="0.25">
      <c r="L270" s="20">
        <f t="shared" si="29"/>
        <v>0</v>
      </c>
      <c r="M270" s="14" t="e">
        <f>VLOOKUP(G270,Sell!G:L,1,0)</f>
        <v>#N/A</v>
      </c>
      <c r="N270" s="14">
        <f>IFERROR(VLOOKUP(G270,Sell!G:L,2,0),0)</f>
        <v>0</v>
      </c>
      <c r="O270" s="13">
        <f>IFERROR(VLOOKUP(G270,Sell!G:L,6,0),0)</f>
        <v>0</v>
      </c>
      <c r="P270" s="14">
        <f t="shared" si="28"/>
        <v>0</v>
      </c>
      <c r="Q270" s="13">
        <f t="shared" si="30"/>
        <v>0</v>
      </c>
      <c r="R270" s="13">
        <f t="shared" si="31"/>
        <v>0</v>
      </c>
      <c r="S270" s="13">
        <f t="shared" si="32"/>
        <v>0</v>
      </c>
      <c r="T270" s="13">
        <f t="shared" si="33"/>
        <v>0</v>
      </c>
      <c r="U270" s="15" t="str">
        <f t="shared" si="34"/>
        <v/>
      </c>
    </row>
    <row r="271" spans="12:21" x14ac:dyDescent="0.25">
      <c r="L271" s="20">
        <f t="shared" si="29"/>
        <v>0</v>
      </c>
      <c r="M271" s="14" t="e">
        <f>VLOOKUP(G271,Sell!G:L,1,0)</f>
        <v>#N/A</v>
      </c>
      <c r="N271" s="14">
        <f>IFERROR(VLOOKUP(G271,Sell!G:L,2,0),0)</f>
        <v>0</v>
      </c>
      <c r="O271" s="13">
        <f>IFERROR(VLOOKUP(G271,Sell!G:L,6,0),0)</f>
        <v>0</v>
      </c>
      <c r="P271" s="14">
        <f t="shared" si="28"/>
        <v>0</v>
      </c>
      <c r="Q271" s="13">
        <f t="shared" si="30"/>
        <v>0</v>
      </c>
      <c r="R271" s="13">
        <f t="shared" si="31"/>
        <v>0</v>
      </c>
      <c r="S271" s="13">
        <f t="shared" si="32"/>
        <v>0</v>
      </c>
      <c r="T271" s="13">
        <f t="shared" si="33"/>
        <v>0</v>
      </c>
      <c r="U271" s="15" t="str">
        <f t="shared" si="34"/>
        <v/>
      </c>
    </row>
    <row r="272" spans="12:21" x14ac:dyDescent="0.25">
      <c r="L272" s="20">
        <f t="shared" si="29"/>
        <v>0</v>
      </c>
      <c r="M272" s="14" t="e">
        <f>VLOOKUP(G272,Sell!G:L,1,0)</f>
        <v>#N/A</v>
      </c>
      <c r="N272" s="14">
        <f>IFERROR(VLOOKUP(G272,Sell!G:L,2,0),0)</f>
        <v>0</v>
      </c>
      <c r="O272" s="13">
        <f>IFERROR(VLOOKUP(G272,Sell!G:L,6,0),0)</f>
        <v>0</v>
      </c>
      <c r="P272" s="14">
        <f t="shared" si="28"/>
        <v>0</v>
      </c>
      <c r="Q272" s="13">
        <f t="shared" si="30"/>
        <v>0</v>
      </c>
      <c r="R272" s="13">
        <f t="shared" si="31"/>
        <v>0</v>
      </c>
      <c r="S272" s="13">
        <f t="shared" si="32"/>
        <v>0</v>
      </c>
      <c r="T272" s="13">
        <f t="shared" si="33"/>
        <v>0</v>
      </c>
      <c r="U272" s="15" t="str">
        <f t="shared" si="34"/>
        <v/>
      </c>
    </row>
    <row r="273" spans="12:21" x14ac:dyDescent="0.25">
      <c r="L273" s="20">
        <f t="shared" si="29"/>
        <v>0</v>
      </c>
      <c r="M273" s="14" t="e">
        <f>VLOOKUP(G273,Sell!G:L,1,0)</f>
        <v>#N/A</v>
      </c>
      <c r="N273" s="14">
        <f>IFERROR(VLOOKUP(G273,Sell!G:L,2,0),0)</f>
        <v>0</v>
      </c>
      <c r="O273" s="13">
        <f>IFERROR(VLOOKUP(G273,Sell!G:L,6,0),0)</f>
        <v>0</v>
      </c>
      <c r="P273" s="14">
        <f t="shared" si="28"/>
        <v>0</v>
      </c>
      <c r="Q273" s="13">
        <f t="shared" si="30"/>
        <v>0</v>
      </c>
      <c r="R273" s="13">
        <f t="shared" si="31"/>
        <v>0</v>
      </c>
      <c r="S273" s="13">
        <f t="shared" si="32"/>
        <v>0</v>
      </c>
      <c r="T273" s="13">
        <f t="shared" si="33"/>
        <v>0</v>
      </c>
      <c r="U273" s="15" t="str">
        <f t="shared" si="34"/>
        <v/>
      </c>
    </row>
    <row r="274" spans="12:21" x14ac:dyDescent="0.25">
      <c r="L274" s="20">
        <f t="shared" si="29"/>
        <v>0</v>
      </c>
      <c r="M274" s="14" t="e">
        <f>VLOOKUP(G274,Sell!G:L,1,0)</f>
        <v>#N/A</v>
      </c>
      <c r="N274" s="14">
        <f>IFERROR(VLOOKUP(G274,Sell!G:L,2,0),0)</f>
        <v>0</v>
      </c>
      <c r="O274" s="13">
        <f>IFERROR(VLOOKUP(G274,Sell!G:L,6,0),0)</f>
        <v>0</v>
      </c>
      <c r="P274" s="14">
        <f t="shared" si="28"/>
        <v>0</v>
      </c>
      <c r="Q274" s="13">
        <f t="shared" si="30"/>
        <v>0</v>
      </c>
      <c r="R274" s="13">
        <f t="shared" si="31"/>
        <v>0</v>
      </c>
      <c r="S274" s="13">
        <f t="shared" si="32"/>
        <v>0</v>
      </c>
      <c r="T274" s="13">
        <f t="shared" si="33"/>
        <v>0</v>
      </c>
      <c r="U274" s="15" t="str">
        <f t="shared" si="34"/>
        <v/>
      </c>
    </row>
    <row r="275" spans="12:21" x14ac:dyDescent="0.25">
      <c r="L275" s="20">
        <f t="shared" si="29"/>
        <v>0</v>
      </c>
      <c r="M275" s="14" t="e">
        <f>VLOOKUP(G275,Sell!G:L,1,0)</f>
        <v>#N/A</v>
      </c>
      <c r="N275" s="14">
        <f>IFERROR(VLOOKUP(G275,Sell!G:L,2,0),0)</f>
        <v>0</v>
      </c>
      <c r="O275" s="13">
        <f>IFERROR(VLOOKUP(G275,Sell!G:L,6,0),0)</f>
        <v>0</v>
      </c>
      <c r="P275" s="14">
        <f t="shared" si="28"/>
        <v>0</v>
      </c>
      <c r="Q275" s="13">
        <f t="shared" si="30"/>
        <v>0</v>
      </c>
      <c r="R275" s="13">
        <f t="shared" si="31"/>
        <v>0</v>
      </c>
      <c r="S275" s="13">
        <f t="shared" si="32"/>
        <v>0</v>
      </c>
      <c r="T275" s="13">
        <f t="shared" si="33"/>
        <v>0</v>
      </c>
      <c r="U275" s="15" t="str">
        <f t="shared" si="34"/>
        <v/>
      </c>
    </row>
    <row r="276" spans="12:21" x14ac:dyDescent="0.25">
      <c r="L276" s="20">
        <f t="shared" si="29"/>
        <v>0</v>
      </c>
      <c r="M276" s="14" t="e">
        <f>VLOOKUP(G276,Sell!G:L,1,0)</f>
        <v>#N/A</v>
      </c>
      <c r="N276" s="14">
        <f>IFERROR(VLOOKUP(G276,Sell!G:L,2,0),0)</f>
        <v>0</v>
      </c>
      <c r="O276" s="13">
        <f>IFERROR(VLOOKUP(G276,Sell!G:L,6,0),0)</f>
        <v>0</v>
      </c>
      <c r="P276" s="14">
        <f t="shared" si="28"/>
        <v>0</v>
      </c>
      <c r="Q276" s="13">
        <f t="shared" si="30"/>
        <v>0</v>
      </c>
      <c r="R276" s="13">
        <f t="shared" si="31"/>
        <v>0</v>
      </c>
      <c r="S276" s="13">
        <f t="shared" si="32"/>
        <v>0</v>
      </c>
      <c r="T276" s="13">
        <f t="shared" si="33"/>
        <v>0</v>
      </c>
      <c r="U276" s="15" t="str">
        <f t="shared" si="34"/>
        <v/>
      </c>
    </row>
    <row r="277" spans="12:21" x14ac:dyDescent="0.25">
      <c r="L277" s="20">
        <f t="shared" si="29"/>
        <v>0</v>
      </c>
      <c r="M277" s="14" t="e">
        <f>VLOOKUP(G277,Sell!G:L,1,0)</f>
        <v>#N/A</v>
      </c>
      <c r="N277" s="14">
        <f>IFERROR(VLOOKUP(G277,Sell!G:L,2,0),0)</f>
        <v>0</v>
      </c>
      <c r="O277" s="13">
        <f>IFERROR(VLOOKUP(G277,Sell!G:L,6,0),0)</f>
        <v>0</v>
      </c>
      <c r="P277" s="14">
        <f t="shared" si="28"/>
        <v>0</v>
      </c>
      <c r="Q277" s="13">
        <f t="shared" si="30"/>
        <v>0</v>
      </c>
      <c r="R277" s="13">
        <f t="shared" si="31"/>
        <v>0</v>
      </c>
      <c r="S277" s="13">
        <f t="shared" si="32"/>
        <v>0</v>
      </c>
      <c r="T277" s="13">
        <f t="shared" si="33"/>
        <v>0</v>
      </c>
      <c r="U277" s="15" t="str">
        <f t="shared" si="34"/>
        <v/>
      </c>
    </row>
    <row r="278" spans="12:21" x14ac:dyDescent="0.25">
      <c r="L278" s="20">
        <f t="shared" si="29"/>
        <v>0</v>
      </c>
      <c r="M278" s="14" t="e">
        <f>VLOOKUP(G278,Sell!G:L,1,0)</f>
        <v>#N/A</v>
      </c>
      <c r="N278" s="14">
        <f>IFERROR(VLOOKUP(G278,Sell!G:L,2,0),0)</f>
        <v>0</v>
      </c>
      <c r="O278" s="13">
        <f>IFERROR(VLOOKUP(G278,Sell!G:L,6,0),0)</f>
        <v>0</v>
      </c>
      <c r="P278" s="14">
        <f t="shared" si="28"/>
        <v>0</v>
      </c>
      <c r="Q278" s="13">
        <f t="shared" si="30"/>
        <v>0</v>
      </c>
      <c r="R278" s="13">
        <f t="shared" si="31"/>
        <v>0</v>
      </c>
      <c r="S278" s="13">
        <f t="shared" si="32"/>
        <v>0</v>
      </c>
      <c r="T278" s="13">
        <f t="shared" si="33"/>
        <v>0</v>
      </c>
      <c r="U278" s="15" t="str">
        <f t="shared" si="34"/>
        <v/>
      </c>
    </row>
    <row r="279" spans="12:21" x14ac:dyDescent="0.25">
      <c r="L279" s="20">
        <f t="shared" si="29"/>
        <v>0</v>
      </c>
      <c r="M279" s="14" t="e">
        <f>VLOOKUP(G279,Sell!G:L,1,0)</f>
        <v>#N/A</v>
      </c>
      <c r="N279" s="14">
        <f>IFERROR(VLOOKUP(G279,Sell!G:L,2,0),0)</f>
        <v>0</v>
      </c>
      <c r="O279" s="13">
        <f>IFERROR(VLOOKUP(G279,Sell!G:L,6,0),0)</f>
        <v>0</v>
      </c>
      <c r="P279" s="14">
        <f t="shared" si="28"/>
        <v>0</v>
      </c>
      <c r="Q279" s="13">
        <f t="shared" si="30"/>
        <v>0</v>
      </c>
      <c r="R279" s="13">
        <f t="shared" si="31"/>
        <v>0</v>
      </c>
      <c r="S279" s="13">
        <f t="shared" si="32"/>
        <v>0</v>
      </c>
      <c r="T279" s="13">
        <f t="shared" si="33"/>
        <v>0</v>
      </c>
      <c r="U279" s="15" t="str">
        <f t="shared" si="34"/>
        <v/>
      </c>
    </row>
    <row r="280" spans="12:21" x14ac:dyDescent="0.25">
      <c r="L280" s="20">
        <f t="shared" si="29"/>
        <v>0</v>
      </c>
      <c r="M280" s="14" t="e">
        <f>VLOOKUP(G280,Sell!G:L,1,0)</f>
        <v>#N/A</v>
      </c>
      <c r="N280" s="14">
        <f>IFERROR(VLOOKUP(G280,Sell!G:L,2,0),0)</f>
        <v>0</v>
      </c>
      <c r="O280" s="13">
        <f>IFERROR(VLOOKUP(G280,Sell!G:L,6,0),0)</f>
        <v>0</v>
      </c>
      <c r="P280" s="14">
        <f t="shared" si="28"/>
        <v>0</v>
      </c>
      <c r="Q280" s="13">
        <f t="shared" si="30"/>
        <v>0</v>
      </c>
      <c r="R280" s="13">
        <f t="shared" si="31"/>
        <v>0</v>
      </c>
      <c r="S280" s="13">
        <f t="shared" si="32"/>
        <v>0</v>
      </c>
      <c r="T280" s="13">
        <f t="shared" si="33"/>
        <v>0</v>
      </c>
      <c r="U280" s="15" t="str">
        <f t="shared" si="34"/>
        <v/>
      </c>
    </row>
    <row r="281" spans="12:21" x14ac:dyDescent="0.25">
      <c r="L281" s="20">
        <f t="shared" si="29"/>
        <v>0</v>
      </c>
      <c r="M281" s="14" t="e">
        <f>VLOOKUP(G281,Sell!G:L,1,0)</f>
        <v>#N/A</v>
      </c>
      <c r="N281" s="14">
        <f>IFERROR(VLOOKUP(G281,Sell!G:L,2,0),0)</f>
        <v>0</v>
      </c>
      <c r="O281" s="13">
        <f>IFERROR(VLOOKUP(G281,Sell!G:L,6,0),0)</f>
        <v>0</v>
      </c>
      <c r="P281" s="14">
        <f t="shared" si="28"/>
        <v>0</v>
      </c>
      <c r="Q281" s="13">
        <f t="shared" si="30"/>
        <v>0</v>
      </c>
      <c r="R281" s="13">
        <f t="shared" si="31"/>
        <v>0</v>
      </c>
      <c r="S281" s="13">
        <f t="shared" si="32"/>
        <v>0</v>
      </c>
      <c r="T281" s="13">
        <f t="shared" si="33"/>
        <v>0</v>
      </c>
      <c r="U281" s="15" t="str">
        <f t="shared" si="34"/>
        <v/>
      </c>
    </row>
    <row r="282" spans="12:21" x14ac:dyDescent="0.25">
      <c r="L282" s="20">
        <f t="shared" si="29"/>
        <v>0</v>
      </c>
      <c r="M282" s="14" t="e">
        <f>VLOOKUP(G282,Sell!G:L,1,0)</f>
        <v>#N/A</v>
      </c>
      <c r="N282" s="14">
        <f>IFERROR(VLOOKUP(G282,Sell!G:L,2,0),0)</f>
        <v>0</v>
      </c>
      <c r="O282" s="13">
        <f>IFERROR(VLOOKUP(G282,Sell!G:L,6,0),0)</f>
        <v>0</v>
      </c>
      <c r="P282" s="14">
        <f t="shared" si="28"/>
        <v>0</v>
      </c>
      <c r="Q282" s="13">
        <f t="shared" si="30"/>
        <v>0</v>
      </c>
      <c r="R282" s="13">
        <f t="shared" si="31"/>
        <v>0</v>
      </c>
      <c r="S282" s="13">
        <f t="shared" si="32"/>
        <v>0</v>
      </c>
      <c r="T282" s="13">
        <f t="shared" si="33"/>
        <v>0</v>
      </c>
      <c r="U282" s="15" t="str">
        <f t="shared" si="34"/>
        <v/>
      </c>
    </row>
    <row r="283" spans="12:21" x14ac:dyDescent="0.25">
      <c r="L283" s="20">
        <f t="shared" si="29"/>
        <v>0</v>
      </c>
      <c r="M283" s="14" t="e">
        <f>VLOOKUP(G283,Sell!G:L,1,0)</f>
        <v>#N/A</v>
      </c>
      <c r="N283" s="14">
        <f>IFERROR(VLOOKUP(G283,Sell!G:L,2,0),0)</f>
        <v>0</v>
      </c>
      <c r="O283" s="13">
        <f>IFERROR(VLOOKUP(G283,Sell!G:L,6,0),0)</f>
        <v>0</v>
      </c>
      <c r="P283" s="14">
        <f t="shared" si="28"/>
        <v>0</v>
      </c>
      <c r="Q283" s="13">
        <f t="shared" si="30"/>
        <v>0</v>
      </c>
      <c r="R283" s="13">
        <f t="shared" si="31"/>
        <v>0</v>
      </c>
      <c r="S283" s="13">
        <f t="shared" si="32"/>
        <v>0</v>
      </c>
      <c r="T283" s="13">
        <f t="shared" si="33"/>
        <v>0</v>
      </c>
      <c r="U283" s="15" t="str">
        <f t="shared" si="34"/>
        <v/>
      </c>
    </row>
    <row r="284" spans="12:21" x14ac:dyDescent="0.25">
      <c r="L284" s="20">
        <f t="shared" si="29"/>
        <v>0</v>
      </c>
      <c r="M284" s="14" t="e">
        <f>VLOOKUP(G284,Sell!G:L,1,0)</f>
        <v>#N/A</v>
      </c>
      <c r="N284" s="14">
        <f>IFERROR(VLOOKUP(G284,Sell!G:L,2,0),0)</f>
        <v>0</v>
      </c>
      <c r="O284" s="13">
        <f>IFERROR(VLOOKUP(G284,Sell!G:L,6,0),0)</f>
        <v>0</v>
      </c>
      <c r="P284" s="14">
        <f t="shared" si="28"/>
        <v>0</v>
      </c>
      <c r="Q284" s="13">
        <f t="shared" si="30"/>
        <v>0</v>
      </c>
      <c r="R284" s="13">
        <f t="shared" si="31"/>
        <v>0</v>
      </c>
      <c r="S284" s="13">
        <f t="shared" si="32"/>
        <v>0</v>
      </c>
      <c r="T284" s="13">
        <f t="shared" si="33"/>
        <v>0</v>
      </c>
      <c r="U284" s="15" t="str">
        <f t="shared" si="34"/>
        <v/>
      </c>
    </row>
    <row r="285" spans="12:21" x14ac:dyDescent="0.25">
      <c r="L285" s="20">
        <f t="shared" si="29"/>
        <v>0</v>
      </c>
      <c r="M285" s="14" t="e">
        <f>VLOOKUP(G285,Sell!G:L,1,0)</f>
        <v>#N/A</v>
      </c>
      <c r="N285" s="14">
        <f>IFERROR(VLOOKUP(G285,Sell!G:L,2,0),0)</f>
        <v>0</v>
      </c>
      <c r="O285" s="13">
        <f>IFERROR(VLOOKUP(G285,Sell!G:L,6,0),0)</f>
        <v>0</v>
      </c>
      <c r="P285" s="14">
        <f t="shared" si="28"/>
        <v>0</v>
      </c>
      <c r="Q285" s="13">
        <f t="shared" si="30"/>
        <v>0</v>
      </c>
      <c r="R285" s="13">
        <f t="shared" si="31"/>
        <v>0</v>
      </c>
      <c r="S285" s="13">
        <f t="shared" si="32"/>
        <v>0</v>
      </c>
      <c r="T285" s="13">
        <f t="shared" si="33"/>
        <v>0</v>
      </c>
      <c r="U285" s="15" t="str">
        <f t="shared" si="34"/>
        <v/>
      </c>
    </row>
    <row r="286" spans="12:21" x14ac:dyDescent="0.25">
      <c r="L286" s="20">
        <f t="shared" si="29"/>
        <v>0</v>
      </c>
      <c r="M286" s="14" t="e">
        <f>VLOOKUP(G286,Sell!G:L,1,0)</f>
        <v>#N/A</v>
      </c>
      <c r="N286" s="14">
        <f>IFERROR(VLOOKUP(G286,Sell!G:L,2,0),0)</f>
        <v>0</v>
      </c>
      <c r="O286" s="13">
        <f>IFERROR(VLOOKUP(G286,Sell!G:L,6,0),0)</f>
        <v>0</v>
      </c>
      <c r="P286" s="14">
        <f t="shared" si="28"/>
        <v>0</v>
      </c>
      <c r="Q286" s="13">
        <f t="shared" si="30"/>
        <v>0</v>
      </c>
      <c r="R286" s="13">
        <f t="shared" si="31"/>
        <v>0</v>
      </c>
      <c r="S286" s="13">
        <f t="shared" si="32"/>
        <v>0</v>
      </c>
      <c r="T286" s="13">
        <f t="shared" si="33"/>
        <v>0</v>
      </c>
      <c r="U286" s="15" t="str">
        <f t="shared" si="34"/>
        <v/>
      </c>
    </row>
    <row r="287" spans="12:21" x14ac:dyDescent="0.25">
      <c r="L287" s="20">
        <f t="shared" si="29"/>
        <v>0</v>
      </c>
      <c r="M287" s="14" t="e">
        <f>VLOOKUP(G287,Sell!G:L,1,0)</f>
        <v>#N/A</v>
      </c>
      <c r="N287" s="14">
        <f>IFERROR(VLOOKUP(G287,Sell!G:L,2,0),0)</f>
        <v>0</v>
      </c>
      <c r="O287" s="13">
        <f>IFERROR(VLOOKUP(G287,Sell!G:L,6,0),0)</f>
        <v>0</v>
      </c>
      <c r="P287" s="14">
        <f t="shared" si="28"/>
        <v>0</v>
      </c>
      <c r="Q287" s="13">
        <f t="shared" si="30"/>
        <v>0</v>
      </c>
      <c r="R287" s="13">
        <f t="shared" si="31"/>
        <v>0</v>
      </c>
      <c r="S287" s="13">
        <f t="shared" si="32"/>
        <v>0</v>
      </c>
      <c r="T287" s="13">
        <f t="shared" si="33"/>
        <v>0</v>
      </c>
      <c r="U287" s="15" t="str">
        <f t="shared" si="34"/>
        <v/>
      </c>
    </row>
    <row r="288" spans="12:21" x14ac:dyDescent="0.25">
      <c r="L288" s="20">
        <f t="shared" si="29"/>
        <v>0</v>
      </c>
      <c r="M288" s="14" t="e">
        <f>VLOOKUP(G288,Sell!G:L,1,0)</f>
        <v>#N/A</v>
      </c>
      <c r="N288" s="14">
        <f>IFERROR(VLOOKUP(G288,Sell!G:L,2,0),0)</f>
        <v>0</v>
      </c>
      <c r="O288" s="13">
        <f>IFERROR(VLOOKUP(G288,Sell!G:L,6,0),0)</f>
        <v>0</v>
      </c>
      <c r="P288" s="14">
        <f t="shared" si="28"/>
        <v>0</v>
      </c>
      <c r="Q288" s="13">
        <f t="shared" si="30"/>
        <v>0</v>
      </c>
      <c r="R288" s="13">
        <f t="shared" si="31"/>
        <v>0</v>
      </c>
      <c r="S288" s="13">
        <f t="shared" si="32"/>
        <v>0</v>
      </c>
      <c r="T288" s="13">
        <f t="shared" si="33"/>
        <v>0</v>
      </c>
      <c r="U288" s="15" t="str">
        <f t="shared" si="34"/>
        <v/>
      </c>
    </row>
    <row r="289" spans="12:21" x14ac:dyDescent="0.25">
      <c r="L289" s="20">
        <f t="shared" si="29"/>
        <v>0</v>
      </c>
      <c r="M289" s="14" t="e">
        <f>VLOOKUP(G289,Sell!G:L,1,0)</f>
        <v>#N/A</v>
      </c>
      <c r="N289" s="14">
        <f>IFERROR(VLOOKUP(G289,Sell!G:L,2,0),0)</f>
        <v>0</v>
      </c>
      <c r="O289" s="13">
        <f>IFERROR(VLOOKUP(G289,Sell!G:L,6,0),0)</f>
        <v>0</v>
      </c>
      <c r="P289" s="14">
        <f t="shared" si="28"/>
        <v>0</v>
      </c>
      <c r="Q289" s="13">
        <f t="shared" si="30"/>
        <v>0</v>
      </c>
      <c r="R289" s="13">
        <f t="shared" si="31"/>
        <v>0</v>
      </c>
      <c r="S289" s="13">
        <f t="shared" si="32"/>
        <v>0</v>
      </c>
      <c r="T289" s="13">
        <f t="shared" si="33"/>
        <v>0</v>
      </c>
      <c r="U289" s="15" t="str">
        <f t="shared" si="34"/>
        <v/>
      </c>
    </row>
    <row r="290" spans="12:21" x14ac:dyDescent="0.25">
      <c r="L290" s="20">
        <f t="shared" si="29"/>
        <v>0</v>
      </c>
      <c r="M290" s="14" t="e">
        <f>VLOOKUP(G290,Sell!G:L,1,0)</f>
        <v>#N/A</v>
      </c>
      <c r="N290" s="14">
        <f>IFERROR(VLOOKUP(G290,Sell!G:L,2,0),0)</f>
        <v>0</v>
      </c>
      <c r="O290" s="13">
        <f>IFERROR(VLOOKUP(G290,Sell!G:L,6,0),0)</f>
        <v>0</v>
      </c>
      <c r="P290" s="14">
        <f t="shared" si="28"/>
        <v>0</v>
      </c>
      <c r="Q290" s="13">
        <f t="shared" si="30"/>
        <v>0</v>
      </c>
      <c r="R290" s="13">
        <f t="shared" si="31"/>
        <v>0</v>
      </c>
      <c r="S290" s="13">
        <f t="shared" si="32"/>
        <v>0</v>
      </c>
      <c r="T290" s="13">
        <f t="shared" si="33"/>
        <v>0</v>
      </c>
      <c r="U290" s="15" t="str">
        <f t="shared" si="34"/>
        <v/>
      </c>
    </row>
    <row r="291" spans="12:21" x14ac:dyDescent="0.25">
      <c r="L291" s="20">
        <f t="shared" si="29"/>
        <v>0</v>
      </c>
      <c r="M291" s="14" t="e">
        <f>VLOOKUP(G291,Sell!G:L,1,0)</f>
        <v>#N/A</v>
      </c>
      <c r="N291" s="14">
        <f>IFERROR(VLOOKUP(G291,Sell!G:L,2,0),0)</f>
        <v>0</v>
      </c>
      <c r="O291" s="13">
        <f>IFERROR(VLOOKUP(G291,Sell!G:L,6,0),0)</f>
        <v>0</v>
      </c>
      <c r="P291" s="14">
        <f t="shared" si="28"/>
        <v>0</v>
      </c>
      <c r="Q291" s="13">
        <f t="shared" si="30"/>
        <v>0</v>
      </c>
      <c r="R291" s="13">
        <f t="shared" si="31"/>
        <v>0</v>
      </c>
      <c r="S291" s="13">
        <f t="shared" si="32"/>
        <v>0</v>
      </c>
      <c r="T291" s="13">
        <f t="shared" si="33"/>
        <v>0</v>
      </c>
      <c r="U291" s="15" t="str">
        <f t="shared" si="34"/>
        <v/>
      </c>
    </row>
    <row r="292" spans="12:21" x14ac:dyDescent="0.25">
      <c r="L292" s="20">
        <f t="shared" si="29"/>
        <v>0</v>
      </c>
      <c r="M292" s="14" t="e">
        <f>VLOOKUP(G292,Sell!G:L,1,0)</f>
        <v>#N/A</v>
      </c>
      <c r="N292" s="14">
        <f>IFERROR(VLOOKUP(G292,Sell!G:L,2,0),0)</f>
        <v>0</v>
      </c>
      <c r="O292" s="13">
        <f>IFERROR(VLOOKUP(G292,Sell!G:L,6,0),0)</f>
        <v>0</v>
      </c>
      <c r="P292" s="14">
        <f t="shared" si="28"/>
        <v>0</v>
      </c>
      <c r="Q292" s="13">
        <f t="shared" si="30"/>
        <v>0</v>
      </c>
      <c r="R292" s="13">
        <f t="shared" si="31"/>
        <v>0</v>
      </c>
      <c r="S292" s="13">
        <f t="shared" si="32"/>
        <v>0</v>
      </c>
      <c r="T292" s="13">
        <f t="shared" si="33"/>
        <v>0</v>
      </c>
      <c r="U292" s="15" t="str">
        <f t="shared" si="34"/>
        <v/>
      </c>
    </row>
    <row r="293" spans="12:21" x14ac:dyDescent="0.25">
      <c r="L293" s="20">
        <f t="shared" si="29"/>
        <v>0</v>
      </c>
      <c r="M293" s="14" t="e">
        <f>VLOOKUP(G293,Sell!G:L,1,0)</f>
        <v>#N/A</v>
      </c>
      <c r="N293" s="14">
        <f>IFERROR(VLOOKUP(G293,Sell!G:L,2,0),0)</f>
        <v>0</v>
      </c>
      <c r="O293" s="13">
        <f>IFERROR(VLOOKUP(G293,Sell!G:L,6,0),0)</f>
        <v>0</v>
      </c>
      <c r="P293" s="14">
        <f t="shared" si="28"/>
        <v>0</v>
      </c>
      <c r="Q293" s="13">
        <f t="shared" si="30"/>
        <v>0</v>
      </c>
      <c r="R293" s="13">
        <f t="shared" si="31"/>
        <v>0</v>
      </c>
      <c r="S293" s="13">
        <f t="shared" si="32"/>
        <v>0</v>
      </c>
      <c r="T293" s="13">
        <f t="shared" si="33"/>
        <v>0</v>
      </c>
      <c r="U293" s="15" t="str">
        <f t="shared" si="34"/>
        <v/>
      </c>
    </row>
    <row r="294" spans="12:21" x14ac:dyDescent="0.25">
      <c r="L294" s="20">
        <f t="shared" si="29"/>
        <v>0</v>
      </c>
      <c r="M294" s="14" t="e">
        <f>VLOOKUP(G294,Sell!G:L,1,0)</f>
        <v>#N/A</v>
      </c>
      <c r="N294" s="14">
        <f>IFERROR(VLOOKUP(G294,Sell!G:L,2,0),0)</f>
        <v>0</v>
      </c>
      <c r="O294" s="13">
        <f>IFERROR(VLOOKUP(G294,Sell!G:L,6,0),0)</f>
        <v>0</v>
      </c>
      <c r="P294" s="14">
        <f t="shared" si="28"/>
        <v>0</v>
      </c>
      <c r="Q294" s="13">
        <f t="shared" si="30"/>
        <v>0</v>
      </c>
      <c r="R294" s="13">
        <f t="shared" si="31"/>
        <v>0</v>
      </c>
      <c r="S294" s="13">
        <f t="shared" si="32"/>
        <v>0</v>
      </c>
      <c r="T294" s="13">
        <f t="shared" si="33"/>
        <v>0</v>
      </c>
      <c r="U294" s="15" t="str">
        <f t="shared" si="34"/>
        <v/>
      </c>
    </row>
    <row r="295" spans="12:21" x14ac:dyDescent="0.25">
      <c r="L295" s="20">
        <f t="shared" si="29"/>
        <v>0</v>
      </c>
      <c r="M295" s="14" t="e">
        <f>VLOOKUP(G295,Sell!G:L,1,0)</f>
        <v>#N/A</v>
      </c>
      <c r="N295" s="14">
        <f>IFERROR(VLOOKUP(G295,Sell!G:L,2,0),0)</f>
        <v>0</v>
      </c>
      <c r="O295" s="13">
        <f>IFERROR(VLOOKUP(G295,Sell!G:L,6,0),0)</f>
        <v>0</v>
      </c>
      <c r="P295" s="14">
        <f t="shared" si="28"/>
        <v>0</v>
      </c>
      <c r="Q295" s="13">
        <f t="shared" si="30"/>
        <v>0</v>
      </c>
      <c r="R295" s="13">
        <f t="shared" si="31"/>
        <v>0</v>
      </c>
      <c r="S295" s="13">
        <f t="shared" si="32"/>
        <v>0</v>
      </c>
      <c r="T295" s="13">
        <f t="shared" si="33"/>
        <v>0</v>
      </c>
      <c r="U295" s="15" t="str">
        <f t="shared" si="34"/>
        <v/>
      </c>
    </row>
    <row r="296" spans="12:21" x14ac:dyDescent="0.25">
      <c r="L296" s="20">
        <f t="shared" si="29"/>
        <v>0</v>
      </c>
      <c r="M296" s="14" t="e">
        <f>VLOOKUP(G296,Sell!G:L,1,0)</f>
        <v>#N/A</v>
      </c>
      <c r="N296" s="14">
        <f>IFERROR(VLOOKUP(G296,Sell!G:L,2,0),0)</f>
        <v>0</v>
      </c>
      <c r="O296" s="13">
        <f>IFERROR(VLOOKUP(G296,Sell!G:L,6,0),0)</f>
        <v>0</v>
      </c>
      <c r="P296" s="14">
        <f t="shared" si="28"/>
        <v>0</v>
      </c>
      <c r="Q296" s="13">
        <f t="shared" si="30"/>
        <v>0</v>
      </c>
      <c r="R296" s="13">
        <f t="shared" si="31"/>
        <v>0</v>
      </c>
      <c r="S296" s="13">
        <f t="shared" si="32"/>
        <v>0</v>
      </c>
      <c r="T296" s="13">
        <f t="shared" si="33"/>
        <v>0</v>
      </c>
      <c r="U296" s="15" t="str">
        <f t="shared" si="34"/>
        <v/>
      </c>
    </row>
    <row r="297" spans="12:21" x14ac:dyDescent="0.25">
      <c r="L297" s="20">
        <f t="shared" si="29"/>
        <v>0</v>
      </c>
      <c r="M297" s="14" t="e">
        <f>VLOOKUP(G297,Sell!G:L,1,0)</f>
        <v>#N/A</v>
      </c>
      <c r="N297" s="14">
        <f>IFERROR(VLOOKUP(G297,Sell!G:L,2,0),0)</f>
        <v>0</v>
      </c>
      <c r="O297" s="13">
        <f>IFERROR(VLOOKUP(G297,Sell!G:L,6,0),0)</f>
        <v>0</v>
      </c>
      <c r="P297" s="14">
        <f t="shared" si="28"/>
        <v>0</v>
      </c>
      <c r="Q297" s="13">
        <f t="shared" si="30"/>
        <v>0</v>
      </c>
      <c r="R297" s="13">
        <f t="shared" si="31"/>
        <v>0</v>
      </c>
      <c r="S297" s="13">
        <f t="shared" si="32"/>
        <v>0</v>
      </c>
      <c r="T297" s="13">
        <f t="shared" si="33"/>
        <v>0</v>
      </c>
      <c r="U297" s="15" t="str">
        <f t="shared" si="34"/>
        <v/>
      </c>
    </row>
    <row r="298" spans="12:21" x14ac:dyDescent="0.25">
      <c r="L298" s="20">
        <f t="shared" si="29"/>
        <v>0</v>
      </c>
      <c r="M298" s="14" t="e">
        <f>VLOOKUP(G298,Sell!G:L,1,0)</f>
        <v>#N/A</v>
      </c>
      <c r="N298" s="14">
        <f>IFERROR(VLOOKUP(G298,Sell!G:L,2,0),0)</f>
        <v>0</v>
      </c>
      <c r="O298" s="13">
        <f>IFERROR(VLOOKUP(G298,Sell!G:L,6,0),0)</f>
        <v>0</v>
      </c>
      <c r="P298" s="14">
        <f t="shared" si="28"/>
        <v>0</v>
      </c>
      <c r="Q298" s="13">
        <f t="shared" si="30"/>
        <v>0</v>
      </c>
      <c r="R298" s="13">
        <f t="shared" si="31"/>
        <v>0</v>
      </c>
      <c r="S298" s="13">
        <f t="shared" si="32"/>
        <v>0</v>
      </c>
      <c r="T298" s="13">
        <f t="shared" si="33"/>
        <v>0</v>
      </c>
      <c r="U298" s="15" t="str">
        <f t="shared" si="34"/>
        <v/>
      </c>
    </row>
    <row r="299" spans="12:21" x14ac:dyDescent="0.25">
      <c r="L299" s="20">
        <f t="shared" si="29"/>
        <v>0</v>
      </c>
      <c r="M299" s="14" t="e">
        <f>VLOOKUP(G299,Sell!G:L,1,0)</f>
        <v>#N/A</v>
      </c>
      <c r="N299" s="14">
        <f>IFERROR(VLOOKUP(G299,Sell!G:L,2,0),0)</f>
        <v>0</v>
      </c>
      <c r="O299" s="13">
        <f>IFERROR(VLOOKUP(G299,Sell!G:L,6,0),0)</f>
        <v>0</v>
      </c>
      <c r="P299" s="14">
        <f t="shared" si="28"/>
        <v>0</v>
      </c>
      <c r="Q299" s="13">
        <f t="shared" si="30"/>
        <v>0</v>
      </c>
      <c r="R299" s="13">
        <f t="shared" si="31"/>
        <v>0</v>
      </c>
      <c r="S299" s="13">
        <f t="shared" si="32"/>
        <v>0</v>
      </c>
      <c r="T299" s="13">
        <f t="shared" si="33"/>
        <v>0</v>
      </c>
      <c r="U299" s="15" t="str">
        <f t="shared" si="34"/>
        <v/>
      </c>
    </row>
    <row r="300" spans="12:21" x14ac:dyDescent="0.25">
      <c r="L300" s="20">
        <f t="shared" si="29"/>
        <v>0</v>
      </c>
      <c r="M300" s="14" t="e">
        <f>VLOOKUP(G300,Sell!G:L,1,0)</f>
        <v>#N/A</v>
      </c>
      <c r="N300" s="14">
        <f>IFERROR(VLOOKUP(G300,Sell!G:L,2,0),0)</f>
        <v>0</v>
      </c>
      <c r="O300" s="13">
        <f>IFERROR(VLOOKUP(G300,Sell!G:L,6,0),0)</f>
        <v>0</v>
      </c>
      <c r="P300" s="14">
        <f t="shared" si="28"/>
        <v>0</v>
      </c>
      <c r="Q300" s="13">
        <f t="shared" si="30"/>
        <v>0</v>
      </c>
      <c r="R300" s="13">
        <f t="shared" si="31"/>
        <v>0</v>
      </c>
      <c r="S300" s="13">
        <f t="shared" si="32"/>
        <v>0</v>
      </c>
      <c r="T300" s="13">
        <f t="shared" si="33"/>
        <v>0</v>
      </c>
      <c r="U300" s="15" t="str">
        <f t="shared" si="34"/>
        <v/>
      </c>
    </row>
    <row r="301" spans="12:21" x14ac:dyDescent="0.25">
      <c r="L301" s="20">
        <f t="shared" si="29"/>
        <v>0</v>
      </c>
      <c r="M301" s="14" t="e">
        <f>VLOOKUP(G301,Sell!G:L,1,0)</f>
        <v>#N/A</v>
      </c>
      <c r="N301" s="14">
        <f>IFERROR(VLOOKUP(G301,Sell!G:L,2,0),0)</f>
        <v>0</v>
      </c>
      <c r="O301" s="13">
        <f>IFERROR(VLOOKUP(G301,Sell!G:L,6,0),0)</f>
        <v>0</v>
      </c>
      <c r="P301" s="14">
        <f t="shared" si="28"/>
        <v>0</v>
      </c>
      <c r="Q301" s="13">
        <f t="shared" si="30"/>
        <v>0</v>
      </c>
      <c r="R301" s="13">
        <f t="shared" si="31"/>
        <v>0</v>
      </c>
      <c r="S301" s="13">
        <f t="shared" si="32"/>
        <v>0</v>
      </c>
      <c r="T301" s="13">
        <f t="shared" si="33"/>
        <v>0</v>
      </c>
      <c r="U301" s="15" t="str">
        <f t="shared" si="34"/>
        <v/>
      </c>
    </row>
    <row r="302" spans="12:21" x14ac:dyDescent="0.25">
      <c r="L302" s="20">
        <f t="shared" si="29"/>
        <v>0</v>
      </c>
      <c r="M302" s="14" t="e">
        <f>VLOOKUP(G302,Sell!G:L,1,0)</f>
        <v>#N/A</v>
      </c>
      <c r="N302" s="14">
        <f>IFERROR(VLOOKUP(G302,Sell!G:L,2,0),0)</f>
        <v>0</v>
      </c>
      <c r="O302" s="13">
        <f>IFERROR(VLOOKUP(G302,Sell!G:L,6,0),0)</f>
        <v>0</v>
      </c>
      <c r="P302" s="14">
        <f t="shared" si="28"/>
        <v>0</v>
      </c>
      <c r="Q302" s="13">
        <f t="shared" si="30"/>
        <v>0</v>
      </c>
      <c r="R302" s="13">
        <f t="shared" si="31"/>
        <v>0</v>
      </c>
      <c r="S302" s="13">
        <f t="shared" si="32"/>
        <v>0</v>
      </c>
      <c r="T302" s="13">
        <f t="shared" si="33"/>
        <v>0</v>
      </c>
      <c r="U302" s="15" t="str">
        <f t="shared" si="34"/>
        <v/>
      </c>
    </row>
    <row r="303" spans="12:21" x14ac:dyDescent="0.25">
      <c r="L303" s="20">
        <f t="shared" si="29"/>
        <v>0</v>
      </c>
      <c r="M303" s="14" t="e">
        <f>VLOOKUP(G303,Sell!G:L,1,0)</f>
        <v>#N/A</v>
      </c>
      <c r="N303" s="14">
        <f>IFERROR(VLOOKUP(G303,Sell!G:L,2,0),0)</f>
        <v>0</v>
      </c>
      <c r="O303" s="13">
        <f>IFERROR(VLOOKUP(G303,Sell!G:L,6,0),0)</f>
        <v>0</v>
      </c>
      <c r="P303" s="14">
        <f t="shared" si="28"/>
        <v>0</v>
      </c>
      <c r="Q303" s="13">
        <f t="shared" si="30"/>
        <v>0</v>
      </c>
      <c r="R303" s="13">
        <f t="shared" si="31"/>
        <v>0</v>
      </c>
      <c r="S303" s="13">
        <f t="shared" si="32"/>
        <v>0</v>
      </c>
      <c r="T303" s="13">
        <f t="shared" si="33"/>
        <v>0</v>
      </c>
      <c r="U303" s="15" t="str">
        <f t="shared" si="34"/>
        <v/>
      </c>
    </row>
    <row r="304" spans="12:21" x14ac:dyDescent="0.25">
      <c r="L304" s="20">
        <f t="shared" si="29"/>
        <v>0</v>
      </c>
      <c r="M304" s="14" t="e">
        <f>VLOOKUP(G304,Sell!G:L,1,0)</f>
        <v>#N/A</v>
      </c>
      <c r="N304" s="14">
        <f>IFERROR(VLOOKUP(G304,Sell!G:L,2,0),0)</f>
        <v>0</v>
      </c>
      <c r="O304" s="13">
        <f>IFERROR(VLOOKUP(G304,Sell!G:L,6,0),0)</f>
        <v>0</v>
      </c>
      <c r="P304" s="14">
        <f t="shared" si="28"/>
        <v>0</v>
      </c>
      <c r="Q304" s="13">
        <f t="shared" si="30"/>
        <v>0</v>
      </c>
      <c r="R304" s="13">
        <f t="shared" si="31"/>
        <v>0</v>
      </c>
      <c r="S304" s="13">
        <f t="shared" si="32"/>
        <v>0</v>
      </c>
      <c r="T304" s="13">
        <f t="shared" si="33"/>
        <v>0</v>
      </c>
      <c r="U304" s="15" t="str">
        <f t="shared" si="34"/>
        <v/>
      </c>
    </row>
    <row r="305" spans="12:21" x14ac:dyDescent="0.25">
      <c r="L305" s="20">
        <f t="shared" si="29"/>
        <v>0</v>
      </c>
      <c r="M305" s="14" t="e">
        <f>VLOOKUP(G305,Sell!G:L,1,0)</f>
        <v>#N/A</v>
      </c>
      <c r="N305" s="14">
        <f>IFERROR(VLOOKUP(G305,Sell!G:L,2,0),0)</f>
        <v>0</v>
      </c>
      <c r="O305" s="13">
        <f>IFERROR(VLOOKUP(G305,Sell!G:L,6,0),0)</f>
        <v>0</v>
      </c>
      <c r="P305" s="14">
        <f t="shared" si="28"/>
        <v>0</v>
      </c>
      <c r="Q305" s="13">
        <f t="shared" si="30"/>
        <v>0</v>
      </c>
      <c r="R305" s="13">
        <f t="shared" si="31"/>
        <v>0</v>
      </c>
      <c r="S305" s="13">
        <f t="shared" si="32"/>
        <v>0</v>
      </c>
      <c r="T305" s="13">
        <f t="shared" si="33"/>
        <v>0</v>
      </c>
      <c r="U305" s="15" t="str">
        <f t="shared" si="34"/>
        <v/>
      </c>
    </row>
    <row r="306" spans="12:21" x14ac:dyDescent="0.25">
      <c r="L306" s="20">
        <f t="shared" si="29"/>
        <v>0</v>
      </c>
      <c r="M306" s="14" t="e">
        <f>VLOOKUP(G306,Sell!G:L,1,0)</f>
        <v>#N/A</v>
      </c>
      <c r="N306" s="14">
        <f>IFERROR(VLOOKUP(G306,Sell!G:L,2,0),0)</f>
        <v>0</v>
      </c>
      <c r="O306" s="13">
        <f>IFERROR(VLOOKUP(G306,Sell!G:L,6,0),0)</f>
        <v>0</v>
      </c>
      <c r="P306" s="14">
        <f t="shared" si="28"/>
        <v>0</v>
      </c>
      <c r="Q306" s="13">
        <f t="shared" si="30"/>
        <v>0</v>
      </c>
      <c r="R306" s="13">
        <f t="shared" si="31"/>
        <v>0</v>
      </c>
      <c r="S306" s="13">
        <f t="shared" si="32"/>
        <v>0</v>
      </c>
      <c r="T306" s="13">
        <f t="shared" si="33"/>
        <v>0</v>
      </c>
      <c r="U306" s="15" t="str">
        <f t="shared" si="34"/>
        <v/>
      </c>
    </row>
    <row r="307" spans="12:21" x14ac:dyDescent="0.25">
      <c r="L307" s="20">
        <f t="shared" si="29"/>
        <v>0</v>
      </c>
      <c r="M307" s="14" t="e">
        <f>VLOOKUP(G307,Sell!G:L,1,0)</f>
        <v>#N/A</v>
      </c>
      <c r="N307" s="14">
        <f>IFERROR(VLOOKUP(G307,Sell!G:L,2,0),0)</f>
        <v>0</v>
      </c>
      <c r="O307" s="13">
        <f>IFERROR(VLOOKUP(G307,Sell!G:L,6,0),0)</f>
        <v>0</v>
      </c>
      <c r="P307" s="14">
        <f t="shared" si="28"/>
        <v>0</v>
      </c>
      <c r="Q307" s="13">
        <f t="shared" si="30"/>
        <v>0</v>
      </c>
      <c r="R307" s="13">
        <f t="shared" si="31"/>
        <v>0</v>
      </c>
      <c r="S307" s="13">
        <f t="shared" si="32"/>
        <v>0</v>
      </c>
      <c r="T307" s="13">
        <f t="shared" si="33"/>
        <v>0</v>
      </c>
      <c r="U307" s="15" t="str">
        <f t="shared" si="34"/>
        <v/>
      </c>
    </row>
    <row r="308" spans="12:21" x14ac:dyDescent="0.25">
      <c r="L308" s="20">
        <f t="shared" si="29"/>
        <v>0</v>
      </c>
      <c r="M308" s="14" t="e">
        <f>VLOOKUP(G308,Sell!G:L,1,0)</f>
        <v>#N/A</v>
      </c>
      <c r="N308" s="14">
        <f>IFERROR(VLOOKUP(G308,Sell!G:L,2,0),0)</f>
        <v>0</v>
      </c>
      <c r="O308" s="13">
        <f>IFERROR(VLOOKUP(G308,Sell!G:L,6,0),0)</f>
        <v>0</v>
      </c>
      <c r="P308" s="14">
        <f t="shared" si="28"/>
        <v>0</v>
      </c>
      <c r="Q308" s="13">
        <f t="shared" si="30"/>
        <v>0</v>
      </c>
      <c r="R308" s="13">
        <f t="shared" si="31"/>
        <v>0</v>
      </c>
      <c r="S308" s="13">
        <f t="shared" si="32"/>
        <v>0</v>
      </c>
      <c r="T308" s="13">
        <f t="shared" si="33"/>
        <v>0</v>
      </c>
      <c r="U308" s="15" t="str">
        <f t="shared" si="34"/>
        <v/>
      </c>
    </row>
    <row r="309" spans="12:21" x14ac:dyDescent="0.25">
      <c r="L309" s="20">
        <f t="shared" si="29"/>
        <v>0</v>
      </c>
      <c r="M309" s="14" t="e">
        <f>VLOOKUP(G309,Sell!G:L,1,0)</f>
        <v>#N/A</v>
      </c>
      <c r="N309" s="14">
        <f>IFERROR(VLOOKUP(G309,Sell!G:L,2,0),0)</f>
        <v>0</v>
      </c>
      <c r="O309" s="13">
        <f>IFERROR(VLOOKUP(G309,Sell!G:L,6,0),0)</f>
        <v>0</v>
      </c>
      <c r="P309" s="14">
        <f t="shared" si="28"/>
        <v>0</v>
      </c>
      <c r="Q309" s="13">
        <f t="shared" si="30"/>
        <v>0</v>
      </c>
      <c r="R309" s="13">
        <f t="shared" si="31"/>
        <v>0</v>
      </c>
      <c r="S309" s="13">
        <f t="shared" si="32"/>
        <v>0</v>
      </c>
      <c r="T309" s="13">
        <f t="shared" si="33"/>
        <v>0</v>
      </c>
      <c r="U309" s="15" t="str">
        <f t="shared" si="34"/>
        <v/>
      </c>
    </row>
    <row r="310" spans="12:21" x14ac:dyDescent="0.25">
      <c r="L310" s="20">
        <f t="shared" si="29"/>
        <v>0</v>
      </c>
      <c r="M310" s="14" t="e">
        <f>VLOOKUP(G310,Sell!G:L,1,0)</f>
        <v>#N/A</v>
      </c>
      <c r="N310" s="14">
        <f>IFERROR(VLOOKUP(G310,Sell!G:L,2,0),0)</f>
        <v>0</v>
      </c>
      <c r="O310" s="13">
        <f>IFERROR(VLOOKUP(G310,Sell!G:L,6,0),0)</f>
        <v>0</v>
      </c>
      <c r="P310" s="14">
        <f t="shared" si="28"/>
        <v>0</v>
      </c>
      <c r="Q310" s="13">
        <f t="shared" si="30"/>
        <v>0</v>
      </c>
      <c r="R310" s="13">
        <f t="shared" si="31"/>
        <v>0</v>
      </c>
      <c r="S310" s="13">
        <f t="shared" si="32"/>
        <v>0</v>
      </c>
      <c r="T310" s="13">
        <f t="shared" si="33"/>
        <v>0</v>
      </c>
      <c r="U310" s="15" t="str">
        <f t="shared" si="34"/>
        <v/>
      </c>
    </row>
    <row r="311" spans="12:21" x14ac:dyDescent="0.25">
      <c r="L311" s="20">
        <f t="shared" si="29"/>
        <v>0</v>
      </c>
      <c r="M311" s="14" t="e">
        <f>VLOOKUP(G311,Sell!G:L,1,0)</f>
        <v>#N/A</v>
      </c>
      <c r="N311" s="14">
        <f>IFERROR(VLOOKUP(G311,Sell!G:L,2,0),0)</f>
        <v>0</v>
      </c>
      <c r="O311" s="13">
        <f>IFERROR(VLOOKUP(G311,Sell!G:L,6,0),0)</f>
        <v>0</v>
      </c>
      <c r="P311" s="14">
        <f t="shared" si="28"/>
        <v>0</v>
      </c>
      <c r="Q311" s="13">
        <f t="shared" si="30"/>
        <v>0</v>
      </c>
      <c r="R311" s="13">
        <f t="shared" si="31"/>
        <v>0</v>
      </c>
      <c r="S311" s="13">
        <f t="shared" si="32"/>
        <v>0</v>
      </c>
      <c r="T311" s="13">
        <f t="shared" si="33"/>
        <v>0</v>
      </c>
      <c r="U311" s="15" t="str">
        <f t="shared" si="34"/>
        <v/>
      </c>
    </row>
    <row r="312" spans="12:21" x14ac:dyDescent="0.25">
      <c r="L312" s="20">
        <f t="shared" si="29"/>
        <v>0</v>
      </c>
      <c r="M312" s="14" t="e">
        <f>VLOOKUP(G312,Sell!G:L,1,0)</f>
        <v>#N/A</v>
      </c>
      <c r="N312" s="14">
        <f>IFERROR(VLOOKUP(G312,Sell!G:L,2,0),0)</f>
        <v>0</v>
      </c>
      <c r="O312" s="13">
        <f>IFERROR(VLOOKUP(G312,Sell!G:L,6,0),0)</f>
        <v>0</v>
      </c>
      <c r="P312" s="14">
        <f t="shared" si="28"/>
        <v>0</v>
      </c>
      <c r="Q312" s="13">
        <f t="shared" si="30"/>
        <v>0</v>
      </c>
      <c r="R312" s="13">
        <f t="shared" si="31"/>
        <v>0</v>
      </c>
      <c r="S312" s="13">
        <f t="shared" si="32"/>
        <v>0</v>
      </c>
      <c r="T312" s="13">
        <f t="shared" si="33"/>
        <v>0</v>
      </c>
      <c r="U312" s="15" t="str">
        <f t="shared" si="34"/>
        <v/>
      </c>
    </row>
    <row r="313" spans="12:21" x14ac:dyDescent="0.25">
      <c r="L313" s="20">
        <f t="shared" si="29"/>
        <v>0</v>
      </c>
      <c r="M313" s="14" t="e">
        <f>VLOOKUP(G313,Sell!G:L,1,0)</f>
        <v>#N/A</v>
      </c>
      <c r="N313" s="14">
        <f>IFERROR(VLOOKUP(G313,Sell!G:L,2,0),0)</f>
        <v>0</v>
      </c>
      <c r="O313" s="13">
        <f>IFERROR(VLOOKUP(G313,Sell!G:L,6,0),0)</f>
        <v>0</v>
      </c>
      <c r="P313" s="14">
        <f t="shared" si="28"/>
        <v>0</v>
      </c>
      <c r="Q313" s="13">
        <f t="shared" si="30"/>
        <v>0</v>
      </c>
      <c r="R313" s="13">
        <f t="shared" si="31"/>
        <v>0</v>
      </c>
      <c r="S313" s="13">
        <f t="shared" si="32"/>
        <v>0</v>
      </c>
      <c r="T313" s="13">
        <f t="shared" si="33"/>
        <v>0</v>
      </c>
      <c r="U313" s="15" t="str">
        <f t="shared" si="34"/>
        <v/>
      </c>
    </row>
    <row r="314" spans="12:21" x14ac:dyDescent="0.25">
      <c r="L314" s="20">
        <f t="shared" si="29"/>
        <v>0</v>
      </c>
      <c r="M314" s="14" t="e">
        <f>VLOOKUP(G314,Sell!G:L,1,0)</f>
        <v>#N/A</v>
      </c>
      <c r="N314" s="14">
        <f>IFERROR(VLOOKUP(G314,Sell!G:L,2,0),0)</f>
        <v>0</v>
      </c>
      <c r="O314" s="13">
        <f>IFERROR(VLOOKUP(G314,Sell!G:L,6,0),0)</f>
        <v>0</v>
      </c>
      <c r="P314" s="14">
        <f t="shared" si="28"/>
        <v>0</v>
      </c>
      <c r="Q314" s="13">
        <f t="shared" si="30"/>
        <v>0</v>
      </c>
      <c r="R314" s="13">
        <f t="shared" si="31"/>
        <v>0</v>
      </c>
      <c r="S314" s="13">
        <f t="shared" si="32"/>
        <v>0</v>
      </c>
      <c r="T314" s="13">
        <f t="shared" si="33"/>
        <v>0</v>
      </c>
      <c r="U314" s="15" t="str">
        <f t="shared" si="34"/>
        <v/>
      </c>
    </row>
    <row r="315" spans="12:21" x14ac:dyDescent="0.25">
      <c r="L315" s="20">
        <f t="shared" si="29"/>
        <v>0</v>
      </c>
      <c r="M315" s="14" t="e">
        <f>VLOOKUP(G315,Sell!G:L,1,0)</f>
        <v>#N/A</v>
      </c>
      <c r="N315" s="14">
        <f>IFERROR(VLOOKUP(G315,Sell!G:L,2,0),0)</f>
        <v>0</v>
      </c>
      <c r="O315" s="13">
        <f>IFERROR(VLOOKUP(G315,Sell!G:L,6,0),0)</f>
        <v>0</v>
      </c>
      <c r="P315" s="14">
        <f t="shared" si="28"/>
        <v>0</v>
      </c>
      <c r="Q315" s="13">
        <f t="shared" si="30"/>
        <v>0</v>
      </c>
      <c r="R315" s="13">
        <f t="shared" si="31"/>
        <v>0</v>
      </c>
      <c r="S315" s="13">
        <f t="shared" si="32"/>
        <v>0</v>
      </c>
      <c r="T315" s="13">
        <f t="shared" si="33"/>
        <v>0</v>
      </c>
      <c r="U315" s="15" t="str">
        <f t="shared" si="34"/>
        <v/>
      </c>
    </row>
    <row r="316" spans="12:21" x14ac:dyDescent="0.25">
      <c r="L316" s="20">
        <f t="shared" si="29"/>
        <v>0</v>
      </c>
      <c r="M316" s="14" t="e">
        <f>VLOOKUP(G316,Sell!G:L,1,0)</f>
        <v>#N/A</v>
      </c>
      <c r="N316" s="14">
        <f>IFERROR(VLOOKUP(G316,Sell!G:L,2,0),0)</f>
        <v>0</v>
      </c>
      <c r="O316" s="13">
        <f>IFERROR(VLOOKUP(G316,Sell!G:L,6,0),0)</f>
        <v>0</v>
      </c>
      <c r="P316" s="14">
        <f t="shared" si="28"/>
        <v>0</v>
      </c>
      <c r="Q316" s="13">
        <f t="shared" si="30"/>
        <v>0</v>
      </c>
      <c r="R316" s="13">
        <f t="shared" si="31"/>
        <v>0</v>
      </c>
      <c r="S316" s="13">
        <f t="shared" si="32"/>
        <v>0</v>
      </c>
      <c r="T316" s="13">
        <f t="shared" si="33"/>
        <v>0</v>
      </c>
      <c r="U316" s="15" t="str">
        <f t="shared" si="34"/>
        <v/>
      </c>
    </row>
    <row r="317" spans="12:21" x14ac:dyDescent="0.25">
      <c r="L317" s="20">
        <f t="shared" si="29"/>
        <v>0</v>
      </c>
      <c r="M317" s="14" t="e">
        <f>VLOOKUP(G317,Sell!G:L,1,0)</f>
        <v>#N/A</v>
      </c>
      <c r="N317" s="14">
        <f>IFERROR(VLOOKUP(G317,Sell!G:L,2,0),0)</f>
        <v>0</v>
      </c>
      <c r="O317" s="13">
        <f>IFERROR(VLOOKUP(G317,Sell!G:L,6,0),0)</f>
        <v>0</v>
      </c>
      <c r="P317" s="14">
        <f t="shared" si="28"/>
        <v>0</v>
      </c>
      <c r="Q317" s="13">
        <f t="shared" si="30"/>
        <v>0</v>
      </c>
      <c r="R317" s="13">
        <f t="shared" si="31"/>
        <v>0</v>
      </c>
      <c r="S317" s="13">
        <f t="shared" si="32"/>
        <v>0</v>
      </c>
      <c r="T317" s="13">
        <f t="shared" si="33"/>
        <v>0</v>
      </c>
      <c r="U317" s="15" t="str">
        <f t="shared" si="34"/>
        <v/>
      </c>
    </row>
    <row r="318" spans="12:21" x14ac:dyDescent="0.25">
      <c r="L318" s="20">
        <f t="shared" si="29"/>
        <v>0</v>
      </c>
      <c r="M318" s="14" t="e">
        <f>VLOOKUP(G318,Sell!G:L,1,0)</f>
        <v>#N/A</v>
      </c>
      <c r="N318" s="14">
        <f>IFERROR(VLOOKUP(G318,Sell!G:L,2,0),0)</f>
        <v>0</v>
      </c>
      <c r="O318" s="13">
        <f>IFERROR(VLOOKUP(G318,Sell!G:L,6,0),0)</f>
        <v>0</v>
      </c>
      <c r="P318" s="14">
        <f t="shared" si="28"/>
        <v>0</v>
      </c>
      <c r="Q318" s="13">
        <f t="shared" si="30"/>
        <v>0</v>
      </c>
      <c r="R318" s="13">
        <f t="shared" si="31"/>
        <v>0</v>
      </c>
      <c r="S318" s="13">
        <f t="shared" si="32"/>
        <v>0</v>
      </c>
      <c r="T318" s="13">
        <f t="shared" si="33"/>
        <v>0</v>
      </c>
      <c r="U318" s="15" t="str">
        <f t="shared" si="34"/>
        <v/>
      </c>
    </row>
    <row r="319" spans="12:21" x14ac:dyDescent="0.25">
      <c r="L319" s="20">
        <f t="shared" si="29"/>
        <v>0</v>
      </c>
      <c r="M319" s="14" t="e">
        <f>VLOOKUP(G319,Sell!G:L,1,0)</f>
        <v>#N/A</v>
      </c>
      <c r="N319" s="14">
        <f>IFERROR(VLOOKUP(G319,Sell!G:L,2,0),0)</f>
        <v>0</v>
      </c>
      <c r="O319" s="13">
        <f>IFERROR(VLOOKUP(G319,Sell!G:L,6,0),0)</f>
        <v>0</v>
      </c>
      <c r="P319" s="14">
        <f t="shared" si="28"/>
        <v>0</v>
      </c>
      <c r="Q319" s="13">
        <f t="shared" si="30"/>
        <v>0</v>
      </c>
      <c r="R319" s="13">
        <f t="shared" si="31"/>
        <v>0</v>
      </c>
      <c r="S319" s="13">
        <f t="shared" si="32"/>
        <v>0</v>
      </c>
      <c r="T319" s="13">
        <f t="shared" si="33"/>
        <v>0</v>
      </c>
      <c r="U319" s="15" t="str">
        <f t="shared" si="34"/>
        <v/>
      </c>
    </row>
    <row r="320" spans="12:21" x14ac:dyDescent="0.25">
      <c r="L320" s="20">
        <f t="shared" si="29"/>
        <v>0</v>
      </c>
      <c r="M320" s="14" t="e">
        <f>VLOOKUP(G320,Sell!G:L,1,0)</f>
        <v>#N/A</v>
      </c>
      <c r="N320" s="14">
        <f>IFERROR(VLOOKUP(G320,Sell!G:L,2,0),0)</f>
        <v>0</v>
      </c>
      <c r="O320" s="13">
        <f>IFERROR(VLOOKUP(G320,Sell!G:L,6,0),0)</f>
        <v>0</v>
      </c>
      <c r="P320" s="14">
        <f t="shared" si="28"/>
        <v>0</v>
      </c>
      <c r="Q320" s="13">
        <f t="shared" si="30"/>
        <v>0</v>
      </c>
      <c r="R320" s="13">
        <f t="shared" si="31"/>
        <v>0</v>
      </c>
      <c r="S320" s="13">
        <f t="shared" si="32"/>
        <v>0</v>
      </c>
      <c r="T320" s="13">
        <f t="shared" si="33"/>
        <v>0</v>
      </c>
      <c r="U320" s="15" t="str">
        <f t="shared" si="34"/>
        <v/>
      </c>
    </row>
    <row r="321" spans="12:21" x14ac:dyDescent="0.25">
      <c r="L321" s="20">
        <f t="shared" si="29"/>
        <v>0</v>
      </c>
      <c r="M321" s="14" t="e">
        <f>VLOOKUP(G321,Sell!G:L,1,0)</f>
        <v>#N/A</v>
      </c>
      <c r="N321" s="14">
        <f>IFERROR(VLOOKUP(G321,Sell!G:L,2,0),0)</f>
        <v>0</v>
      </c>
      <c r="O321" s="13">
        <f>IFERROR(VLOOKUP(G321,Sell!G:L,6,0),0)</f>
        <v>0</v>
      </c>
      <c r="P321" s="14">
        <f t="shared" si="28"/>
        <v>0</v>
      </c>
      <c r="Q321" s="13">
        <f t="shared" si="30"/>
        <v>0</v>
      </c>
      <c r="R321" s="13">
        <f t="shared" si="31"/>
        <v>0</v>
      </c>
      <c r="S321" s="13">
        <f t="shared" si="32"/>
        <v>0</v>
      </c>
      <c r="T321" s="13">
        <f t="shared" si="33"/>
        <v>0</v>
      </c>
      <c r="U321" s="15" t="str">
        <f t="shared" si="34"/>
        <v/>
      </c>
    </row>
    <row r="322" spans="12:21" x14ac:dyDescent="0.25">
      <c r="L322" s="20">
        <f t="shared" si="29"/>
        <v>0</v>
      </c>
      <c r="M322" s="14" t="e">
        <f>VLOOKUP(G322,Sell!G:L,1,0)</f>
        <v>#N/A</v>
      </c>
      <c r="N322" s="14">
        <f>IFERROR(VLOOKUP(G322,Sell!G:L,2,0),0)</f>
        <v>0</v>
      </c>
      <c r="O322" s="13">
        <f>IFERROR(VLOOKUP(G322,Sell!G:L,6,0),0)</f>
        <v>0</v>
      </c>
      <c r="P322" s="14">
        <f t="shared" si="28"/>
        <v>0</v>
      </c>
      <c r="Q322" s="13">
        <f t="shared" si="30"/>
        <v>0</v>
      </c>
      <c r="R322" s="13">
        <f t="shared" si="31"/>
        <v>0</v>
      </c>
      <c r="S322" s="13">
        <f t="shared" si="32"/>
        <v>0</v>
      </c>
      <c r="T322" s="13">
        <f t="shared" si="33"/>
        <v>0</v>
      </c>
      <c r="U322" s="15" t="str">
        <f t="shared" si="34"/>
        <v/>
      </c>
    </row>
    <row r="323" spans="12:21" x14ac:dyDescent="0.25">
      <c r="L323" s="20">
        <f t="shared" si="29"/>
        <v>0</v>
      </c>
      <c r="M323" s="14" t="e">
        <f>VLOOKUP(G323,Sell!G:L,1,0)</f>
        <v>#N/A</v>
      </c>
      <c r="N323" s="14">
        <f>IFERROR(VLOOKUP(G323,Sell!G:L,2,0),0)</f>
        <v>0</v>
      </c>
      <c r="O323" s="13">
        <f>IFERROR(VLOOKUP(G323,Sell!G:L,6,0),0)</f>
        <v>0</v>
      </c>
      <c r="P323" s="14">
        <f t="shared" si="28"/>
        <v>0</v>
      </c>
      <c r="Q323" s="13">
        <f t="shared" si="30"/>
        <v>0</v>
      </c>
      <c r="R323" s="13">
        <f t="shared" si="31"/>
        <v>0</v>
      </c>
      <c r="S323" s="13">
        <f t="shared" si="32"/>
        <v>0</v>
      </c>
      <c r="T323" s="13">
        <f t="shared" si="33"/>
        <v>0</v>
      </c>
      <c r="U323" s="15" t="str">
        <f t="shared" si="34"/>
        <v/>
      </c>
    </row>
    <row r="324" spans="12:21" x14ac:dyDescent="0.25">
      <c r="L324" s="20">
        <f t="shared" si="29"/>
        <v>0</v>
      </c>
      <c r="M324" s="14" t="e">
        <f>VLOOKUP(G324,Sell!G:L,1,0)</f>
        <v>#N/A</v>
      </c>
      <c r="N324" s="14">
        <f>IFERROR(VLOOKUP(G324,Sell!G:L,2,0),0)</f>
        <v>0</v>
      </c>
      <c r="O324" s="13">
        <f>IFERROR(VLOOKUP(G324,Sell!G:L,6,0),0)</f>
        <v>0</v>
      </c>
      <c r="P324" s="14">
        <f t="shared" si="28"/>
        <v>0</v>
      </c>
      <c r="Q324" s="13">
        <f t="shared" si="30"/>
        <v>0</v>
      </c>
      <c r="R324" s="13">
        <f t="shared" si="31"/>
        <v>0</v>
      </c>
      <c r="S324" s="13">
        <f t="shared" si="32"/>
        <v>0</v>
      </c>
      <c r="T324" s="13">
        <f t="shared" si="33"/>
        <v>0</v>
      </c>
      <c r="U324" s="15" t="str">
        <f t="shared" si="34"/>
        <v/>
      </c>
    </row>
    <row r="325" spans="12:21" x14ac:dyDescent="0.25">
      <c r="L325" s="20">
        <f t="shared" si="29"/>
        <v>0</v>
      </c>
      <c r="M325" s="14" t="e">
        <f>VLOOKUP(G325,Sell!G:L,1,0)</f>
        <v>#N/A</v>
      </c>
      <c r="N325" s="14">
        <f>IFERROR(VLOOKUP(G325,Sell!G:L,2,0),0)</f>
        <v>0</v>
      </c>
      <c r="O325" s="13">
        <f>IFERROR(VLOOKUP(G325,Sell!G:L,6,0),0)</f>
        <v>0</v>
      </c>
      <c r="P325" s="14">
        <f t="shared" si="28"/>
        <v>0</v>
      </c>
      <c r="Q325" s="13">
        <f t="shared" si="30"/>
        <v>0</v>
      </c>
      <c r="R325" s="13">
        <f t="shared" si="31"/>
        <v>0</v>
      </c>
      <c r="S325" s="13">
        <f t="shared" si="32"/>
        <v>0</v>
      </c>
      <c r="T325" s="13">
        <f t="shared" si="33"/>
        <v>0</v>
      </c>
      <c r="U325" s="15" t="str">
        <f t="shared" si="34"/>
        <v/>
      </c>
    </row>
    <row r="326" spans="12:21" x14ac:dyDescent="0.25">
      <c r="L326" s="20">
        <f t="shared" si="29"/>
        <v>0</v>
      </c>
      <c r="M326" s="14" t="e">
        <f>VLOOKUP(G326,Sell!G:L,1,0)</f>
        <v>#N/A</v>
      </c>
      <c r="N326" s="14">
        <f>IFERROR(VLOOKUP(G326,Sell!G:L,2,0),0)</f>
        <v>0</v>
      </c>
      <c r="O326" s="13">
        <f>IFERROR(VLOOKUP(G326,Sell!G:L,6,0),0)</f>
        <v>0</v>
      </c>
      <c r="P326" s="14">
        <f t="shared" si="28"/>
        <v>0</v>
      </c>
      <c r="Q326" s="13">
        <f t="shared" si="30"/>
        <v>0</v>
      </c>
      <c r="R326" s="13">
        <f t="shared" si="31"/>
        <v>0</v>
      </c>
      <c r="S326" s="13">
        <f t="shared" si="32"/>
        <v>0</v>
      </c>
      <c r="T326" s="13">
        <f t="shared" si="33"/>
        <v>0</v>
      </c>
      <c r="U326" s="15" t="str">
        <f t="shared" si="34"/>
        <v/>
      </c>
    </row>
    <row r="327" spans="12:21" x14ac:dyDescent="0.25">
      <c r="L327" s="20">
        <f t="shared" si="29"/>
        <v>0</v>
      </c>
      <c r="M327" s="14" t="e">
        <f>VLOOKUP(G327,Sell!G:L,1,0)</f>
        <v>#N/A</v>
      </c>
      <c r="N327" s="14">
        <f>IFERROR(VLOOKUP(G327,Sell!G:L,2,0),0)</f>
        <v>0</v>
      </c>
      <c r="O327" s="13">
        <f>IFERROR(VLOOKUP(G327,Sell!G:L,6,0),0)</f>
        <v>0</v>
      </c>
      <c r="P327" s="14">
        <f t="shared" si="28"/>
        <v>0</v>
      </c>
      <c r="Q327" s="13">
        <f t="shared" si="30"/>
        <v>0</v>
      </c>
      <c r="R327" s="13">
        <f t="shared" si="31"/>
        <v>0</v>
      </c>
      <c r="S327" s="13">
        <f t="shared" si="32"/>
        <v>0</v>
      </c>
      <c r="T327" s="13">
        <f t="shared" si="33"/>
        <v>0</v>
      </c>
      <c r="U327" s="15" t="str">
        <f t="shared" si="34"/>
        <v/>
      </c>
    </row>
    <row r="328" spans="12:21" x14ac:dyDescent="0.25">
      <c r="L328" s="20">
        <f t="shared" si="29"/>
        <v>0</v>
      </c>
      <c r="M328" s="14" t="e">
        <f>VLOOKUP(G328,Sell!G:L,1,0)</f>
        <v>#N/A</v>
      </c>
      <c r="N328" s="14">
        <f>IFERROR(VLOOKUP(G328,Sell!G:L,2,0),0)</f>
        <v>0</v>
      </c>
      <c r="O328" s="13">
        <f>IFERROR(VLOOKUP(G328,Sell!G:L,6,0),0)</f>
        <v>0</v>
      </c>
      <c r="P328" s="14">
        <f t="shared" si="28"/>
        <v>0</v>
      </c>
      <c r="Q328" s="13">
        <f t="shared" si="30"/>
        <v>0</v>
      </c>
      <c r="R328" s="13">
        <f t="shared" si="31"/>
        <v>0</v>
      </c>
      <c r="S328" s="13">
        <f t="shared" si="32"/>
        <v>0</v>
      </c>
      <c r="T328" s="13">
        <f t="shared" si="33"/>
        <v>0</v>
      </c>
      <c r="U328" s="15" t="str">
        <f t="shared" si="34"/>
        <v/>
      </c>
    </row>
    <row r="329" spans="12:21" x14ac:dyDescent="0.25">
      <c r="L329" s="20">
        <f t="shared" si="29"/>
        <v>0</v>
      </c>
      <c r="M329" s="14" t="e">
        <f>VLOOKUP(G329,Sell!G:L,1,0)</f>
        <v>#N/A</v>
      </c>
      <c r="N329" s="14">
        <f>IFERROR(VLOOKUP(G329,Sell!G:L,2,0),0)</f>
        <v>0</v>
      </c>
      <c r="O329" s="13">
        <f>IFERROR(VLOOKUP(G329,Sell!G:L,6,0),0)</f>
        <v>0</v>
      </c>
      <c r="P329" s="14">
        <f t="shared" si="28"/>
        <v>0</v>
      </c>
      <c r="Q329" s="13">
        <f t="shared" si="30"/>
        <v>0</v>
      </c>
      <c r="R329" s="13">
        <f t="shared" si="31"/>
        <v>0</v>
      </c>
      <c r="S329" s="13">
        <f t="shared" si="32"/>
        <v>0</v>
      </c>
      <c r="T329" s="13">
        <f t="shared" si="33"/>
        <v>0</v>
      </c>
      <c r="U329" s="15" t="str">
        <f t="shared" si="34"/>
        <v/>
      </c>
    </row>
    <row r="330" spans="12:21" x14ac:dyDescent="0.25">
      <c r="L330" s="20">
        <f t="shared" si="29"/>
        <v>0</v>
      </c>
      <c r="M330" s="14" t="e">
        <f>VLOOKUP(G330,Sell!G:L,1,0)</f>
        <v>#N/A</v>
      </c>
      <c r="N330" s="14">
        <f>IFERROR(VLOOKUP(G330,Sell!G:L,2,0),0)</f>
        <v>0</v>
      </c>
      <c r="O330" s="13">
        <f>IFERROR(VLOOKUP(G330,Sell!G:L,6,0),0)</f>
        <v>0</v>
      </c>
      <c r="P330" s="14">
        <f t="shared" ref="P330:P393" si="35">H330-N330</f>
        <v>0</v>
      </c>
      <c r="Q330" s="13">
        <f t="shared" si="30"/>
        <v>0</v>
      </c>
      <c r="R330" s="13">
        <f t="shared" si="31"/>
        <v>0</v>
      </c>
      <c r="S330" s="13">
        <f t="shared" si="32"/>
        <v>0</v>
      </c>
      <c r="T330" s="13">
        <f t="shared" si="33"/>
        <v>0</v>
      </c>
      <c r="U330" s="15" t="str">
        <f t="shared" si="34"/>
        <v/>
      </c>
    </row>
    <row r="331" spans="12:21" x14ac:dyDescent="0.25">
      <c r="L331" s="20">
        <f t="shared" ref="L331:L394" si="36">J331+K331</f>
        <v>0</v>
      </c>
      <c r="M331" s="14" t="e">
        <f>VLOOKUP(G331,Sell!G:L,1,0)</f>
        <v>#N/A</v>
      </c>
      <c r="N331" s="14">
        <f>IFERROR(VLOOKUP(G331,Sell!G:L,2,0),0)</f>
        <v>0</v>
      </c>
      <c r="O331" s="13">
        <f>IFERROR(VLOOKUP(G331,Sell!G:L,6,0),0)</f>
        <v>0</v>
      </c>
      <c r="P331" s="14">
        <f t="shared" si="35"/>
        <v>0</v>
      </c>
      <c r="Q331" s="13">
        <f t="shared" ref="Q331:Q394" si="37">O331-L331</f>
        <v>0</v>
      </c>
      <c r="R331" s="13">
        <f t="shared" ref="R331:R394" si="38">IF(P331=0,Q331,0)</f>
        <v>0</v>
      </c>
      <c r="S331" s="13">
        <f t="shared" ref="S331:S394" si="39">IF(R331&gt;0,R331,0)</f>
        <v>0</v>
      </c>
      <c r="T331" s="13">
        <f t="shared" ref="T331:T394" si="40">IF(R331&gt;0,0,R331)</f>
        <v>0</v>
      </c>
      <c r="U331" s="15" t="str">
        <f t="shared" ref="U331:U394" si="41">IF(AND(LEN(G331)&gt;0,R331=0),"Open","")</f>
        <v/>
      </c>
    </row>
    <row r="332" spans="12:21" x14ac:dyDescent="0.25">
      <c r="L332" s="20">
        <f t="shared" si="36"/>
        <v>0</v>
      </c>
      <c r="M332" s="14" t="e">
        <f>VLOOKUP(G332,Sell!G:L,1,0)</f>
        <v>#N/A</v>
      </c>
      <c r="N332" s="14">
        <f>IFERROR(VLOOKUP(G332,Sell!G:L,2,0),0)</f>
        <v>0</v>
      </c>
      <c r="O332" s="13">
        <f>IFERROR(VLOOKUP(G332,Sell!G:L,6,0),0)</f>
        <v>0</v>
      </c>
      <c r="P332" s="14">
        <f t="shared" si="35"/>
        <v>0</v>
      </c>
      <c r="Q332" s="13">
        <f t="shared" si="37"/>
        <v>0</v>
      </c>
      <c r="R332" s="13">
        <f t="shared" si="38"/>
        <v>0</v>
      </c>
      <c r="S332" s="13">
        <f t="shared" si="39"/>
        <v>0</v>
      </c>
      <c r="T332" s="13">
        <f t="shared" si="40"/>
        <v>0</v>
      </c>
      <c r="U332" s="15" t="str">
        <f t="shared" si="41"/>
        <v/>
      </c>
    </row>
    <row r="333" spans="12:21" x14ac:dyDescent="0.25">
      <c r="L333" s="20">
        <f t="shared" si="36"/>
        <v>0</v>
      </c>
      <c r="M333" s="14" t="e">
        <f>VLOOKUP(G333,Sell!G:L,1,0)</f>
        <v>#N/A</v>
      </c>
      <c r="N333" s="14">
        <f>IFERROR(VLOOKUP(G333,Sell!G:L,2,0),0)</f>
        <v>0</v>
      </c>
      <c r="O333" s="13">
        <f>IFERROR(VLOOKUP(G333,Sell!G:L,6,0),0)</f>
        <v>0</v>
      </c>
      <c r="P333" s="14">
        <f t="shared" si="35"/>
        <v>0</v>
      </c>
      <c r="Q333" s="13">
        <f t="shared" si="37"/>
        <v>0</v>
      </c>
      <c r="R333" s="13">
        <f t="shared" si="38"/>
        <v>0</v>
      </c>
      <c r="S333" s="13">
        <f t="shared" si="39"/>
        <v>0</v>
      </c>
      <c r="T333" s="13">
        <f t="shared" si="40"/>
        <v>0</v>
      </c>
      <c r="U333" s="15" t="str">
        <f t="shared" si="41"/>
        <v/>
      </c>
    </row>
    <row r="334" spans="12:21" x14ac:dyDescent="0.25">
      <c r="L334" s="20">
        <f t="shared" si="36"/>
        <v>0</v>
      </c>
      <c r="M334" s="14" t="e">
        <f>VLOOKUP(G334,Sell!G:L,1,0)</f>
        <v>#N/A</v>
      </c>
      <c r="N334" s="14">
        <f>IFERROR(VLOOKUP(G334,Sell!G:L,2,0),0)</f>
        <v>0</v>
      </c>
      <c r="O334" s="13">
        <f>IFERROR(VLOOKUP(G334,Sell!G:L,6,0),0)</f>
        <v>0</v>
      </c>
      <c r="P334" s="14">
        <f t="shared" si="35"/>
        <v>0</v>
      </c>
      <c r="Q334" s="13">
        <f t="shared" si="37"/>
        <v>0</v>
      </c>
      <c r="R334" s="13">
        <f t="shared" si="38"/>
        <v>0</v>
      </c>
      <c r="S334" s="13">
        <f t="shared" si="39"/>
        <v>0</v>
      </c>
      <c r="T334" s="13">
        <f t="shared" si="40"/>
        <v>0</v>
      </c>
      <c r="U334" s="15" t="str">
        <f t="shared" si="41"/>
        <v/>
      </c>
    </row>
    <row r="335" spans="12:21" x14ac:dyDescent="0.25">
      <c r="L335" s="20">
        <f t="shared" si="36"/>
        <v>0</v>
      </c>
      <c r="M335" s="14" t="e">
        <f>VLOOKUP(G335,Sell!G:L,1,0)</f>
        <v>#N/A</v>
      </c>
      <c r="N335" s="14">
        <f>IFERROR(VLOOKUP(G335,Sell!G:L,2,0),0)</f>
        <v>0</v>
      </c>
      <c r="O335" s="13">
        <f>IFERROR(VLOOKUP(G335,Sell!G:L,6,0),0)</f>
        <v>0</v>
      </c>
      <c r="P335" s="14">
        <f t="shared" si="35"/>
        <v>0</v>
      </c>
      <c r="Q335" s="13">
        <f t="shared" si="37"/>
        <v>0</v>
      </c>
      <c r="R335" s="13">
        <f t="shared" si="38"/>
        <v>0</v>
      </c>
      <c r="S335" s="13">
        <f t="shared" si="39"/>
        <v>0</v>
      </c>
      <c r="T335" s="13">
        <f t="shared" si="40"/>
        <v>0</v>
      </c>
      <c r="U335" s="15" t="str">
        <f t="shared" si="41"/>
        <v/>
      </c>
    </row>
    <row r="336" spans="12:21" x14ac:dyDescent="0.25">
      <c r="L336" s="20">
        <f t="shared" si="36"/>
        <v>0</v>
      </c>
      <c r="M336" s="14" t="e">
        <f>VLOOKUP(G336,Sell!G:L,1,0)</f>
        <v>#N/A</v>
      </c>
      <c r="N336" s="14">
        <f>IFERROR(VLOOKUP(G336,Sell!G:L,2,0),0)</f>
        <v>0</v>
      </c>
      <c r="O336" s="13">
        <f>IFERROR(VLOOKUP(G336,Sell!G:L,6,0),0)</f>
        <v>0</v>
      </c>
      <c r="P336" s="14">
        <f t="shared" si="35"/>
        <v>0</v>
      </c>
      <c r="Q336" s="13">
        <f t="shared" si="37"/>
        <v>0</v>
      </c>
      <c r="R336" s="13">
        <f t="shared" si="38"/>
        <v>0</v>
      </c>
      <c r="S336" s="13">
        <f t="shared" si="39"/>
        <v>0</v>
      </c>
      <c r="T336" s="13">
        <f t="shared" si="40"/>
        <v>0</v>
      </c>
      <c r="U336" s="15" t="str">
        <f t="shared" si="41"/>
        <v/>
      </c>
    </row>
    <row r="337" spans="12:21" x14ac:dyDescent="0.25">
      <c r="L337" s="20">
        <f t="shared" si="36"/>
        <v>0</v>
      </c>
      <c r="M337" s="14" t="e">
        <f>VLOOKUP(G337,Sell!G:L,1,0)</f>
        <v>#N/A</v>
      </c>
      <c r="N337" s="14">
        <f>IFERROR(VLOOKUP(G337,Sell!G:L,2,0),0)</f>
        <v>0</v>
      </c>
      <c r="O337" s="13">
        <f>IFERROR(VLOOKUP(G337,Sell!G:L,6,0),0)</f>
        <v>0</v>
      </c>
      <c r="P337" s="14">
        <f t="shared" si="35"/>
        <v>0</v>
      </c>
      <c r="Q337" s="13">
        <f t="shared" si="37"/>
        <v>0</v>
      </c>
      <c r="R337" s="13">
        <f t="shared" si="38"/>
        <v>0</v>
      </c>
      <c r="S337" s="13">
        <f t="shared" si="39"/>
        <v>0</v>
      </c>
      <c r="T337" s="13">
        <f t="shared" si="40"/>
        <v>0</v>
      </c>
      <c r="U337" s="15" t="str">
        <f t="shared" si="41"/>
        <v/>
      </c>
    </row>
    <row r="338" spans="12:21" x14ac:dyDescent="0.25">
      <c r="L338" s="20">
        <f t="shared" si="36"/>
        <v>0</v>
      </c>
      <c r="M338" s="14" t="e">
        <f>VLOOKUP(G338,Sell!G:L,1,0)</f>
        <v>#N/A</v>
      </c>
      <c r="N338" s="14">
        <f>IFERROR(VLOOKUP(G338,Sell!G:L,2,0),0)</f>
        <v>0</v>
      </c>
      <c r="O338" s="13">
        <f>IFERROR(VLOOKUP(G338,Sell!G:L,6,0),0)</f>
        <v>0</v>
      </c>
      <c r="P338" s="14">
        <f t="shared" si="35"/>
        <v>0</v>
      </c>
      <c r="Q338" s="13">
        <f t="shared" si="37"/>
        <v>0</v>
      </c>
      <c r="R338" s="13">
        <f t="shared" si="38"/>
        <v>0</v>
      </c>
      <c r="S338" s="13">
        <f t="shared" si="39"/>
        <v>0</v>
      </c>
      <c r="T338" s="13">
        <f t="shared" si="40"/>
        <v>0</v>
      </c>
      <c r="U338" s="15" t="str">
        <f t="shared" si="41"/>
        <v/>
      </c>
    </row>
    <row r="339" spans="12:21" x14ac:dyDescent="0.25">
      <c r="L339" s="20">
        <f t="shared" si="36"/>
        <v>0</v>
      </c>
      <c r="M339" s="14" t="e">
        <f>VLOOKUP(G339,Sell!G:L,1,0)</f>
        <v>#N/A</v>
      </c>
      <c r="N339" s="14">
        <f>IFERROR(VLOOKUP(G339,Sell!G:L,2,0),0)</f>
        <v>0</v>
      </c>
      <c r="O339" s="13">
        <f>IFERROR(VLOOKUP(G339,Sell!G:L,6,0),0)</f>
        <v>0</v>
      </c>
      <c r="P339" s="14">
        <f t="shared" si="35"/>
        <v>0</v>
      </c>
      <c r="Q339" s="13">
        <f t="shared" si="37"/>
        <v>0</v>
      </c>
      <c r="R339" s="13">
        <f t="shared" si="38"/>
        <v>0</v>
      </c>
      <c r="S339" s="13">
        <f t="shared" si="39"/>
        <v>0</v>
      </c>
      <c r="T339" s="13">
        <f t="shared" si="40"/>
        <v>0</v>
      </c>
      <c r="U339" s="15" t="str">
        <f t="shared" si="41"/>
        <v/>
      </c>
    </row>
    <row r="340" spans="12:21" x14ac:dyDescent="0.25">
      <c r="L340" s="20">
        <f t="shared" si="36"/>
        <v>0</v>
      </c>
      <c r="M340" s="14" t="e">
        <f>VLOOKUP(G340,Sell!G:L,1,0)</f>
        <v>#N/A</v>
      </c>
      <c r="N340" s="14">
        <f>IFERROR(VLOOKUP(G340,Sell!G:L,2,0),0)</f>
        <v>0</v>
      </c>
      <c r="O340" s="13">
        <f>IFERROR(VLOOKUP(G340,Sell!G:L,6,0),0)</f>
        <v>0</v>
      </c>
      <c r="P340" s="14">
        <f t="shared" si="35"/>
        <v>0</v>
      </c>
      <c r="Q340" s="13">
        <f t="shared" si="37"/>
        <v>0</v>
      </c>
      <c r="R340" s="13">
        <f t="shared" si="38"/>
        <v>0</v>
      </c>
      <c r="S340" s="13">
        <f t="shared" si="39"/>
        <v>0</v>
      </c>
      <c r="T340" s="13">
        <f t="shared" si="40"/>
        <v>0</v>
      </c>
      <c r="U340" s="15" t="str">
        <f t="shared" si="41"/>
        <v/>
      </c>
    </row>
    <row r="341" spans="12:21" x14ac:dyDescent="0.25">
      <c r="L341" s="20">
        <f t="shared" si="36"/>
        <v>0</v>
      </c>
      <c r="M341" s="14" t="e">
        <f>VLOOKUP(G341,Sell!G:L,1,0)</f>
        <v>#N/A</v>
      </c>
      <c r="N341" s="14">
        <f>IFERROR(VLOOKUP(G341,Sell!G:L,2,0),0)</f>
        <v>0</v>
      </c>
      <c r="O341" s="13">
        <f>IFERROR(VLOOKUP(G341,Sell!G:L,6,0),0)</f>
        <v>0</v>
      </c>
      <c r="P341" s="14">
        <f t="shared" si="35"/>
        <v>0</v>
      </c>
      <c r="Q341" s="13">
        <f t="shared" si="37"/>
        <v>0</v>
      </c>
      <c r="R341" s="13">
        <f t="shared" si="38"/>
        <v>0</v>
      </c>
      <c r="S341" s="13">
        <f t="shared" si="39"/>
        <v>0</v>
      </c>
      <c r="T341" s="13">
        <f t="shared" si="40"/>
        <v>0</v>
      </c>
      <c r="U341" s="15" t="str">
        <f t="shared" si="41"/>
        <v/>
      </c>
    </row>
    <row r="342" spans="12:21" x14ac:dyDescent="0.25">
      <c r="L342" s="20">
        <f t="shared" si="36"/>
        <v>0</v>
      </c>
      <c r="M342" s="14" t="e">
        <f>VLOOKUP(G342,Sell!G:L,1,0)</f>
        <v>#N/A</v>
      </c>
      <c r="N342" s="14">
        <f>IFERROR(VLOOKUP(G342,Sell!G:L,2,0),0)</f>
        <v>0</v>
      </c>
      <c r="O342" s="13">
        <f>IFERROR(VLOOKUP(G342,Sell!G:L,6,0),0)</f>
        <v>0</v>
      </c>
      <c r="P342" s="14">
        <f t="shared" si="35"/>
        <v>0</v>
      </c>
      <c r="Q342" s="13">
        <f t="shared" si="37"/>
        <v>0</v>
      </c>
      <c r="R342" s="13">
        <f t="shared" si="38"/>
        <v>0</v>
      </c>
      <c r="S342" s="13">
        <f t="shared" si="39"/>
        <v>0</v>
      </c>
      <c r="T342" s="13">
        <f t="shared" si="40"/>
        <v>0</v>
      </c>
      <c r="U342" s="15" t="str">
        <f t="shared" si="41"/>
        <v/>
      </c>
    </row>
    <row r="343" spans="12:21" x14ac:dyDescent="0.25">
      <c r="L343" s="20">
        <f t="shared" si="36"/>
        <v>0</v>
      </c>
      <c r="M343" s="14" t="e">
        <f>VLOOKUP(G343,Sell!G:L,1,0)</f>
        <v>#N/A</v>
      </c>
      <c r="N343" s="14">
        <f>IFERROR(VLOOKUP(G343,Sell!G:L,2,0),0)</f>
        <v>0</v>
      </c>
      <c r="O343" s="13">
        <f>IFERROR(VLOOKUP(G343,Sell!G:L,6,0),0)</f>
        <v>0</v>
      </c>
      <c r="P343" s="14">
        <f t="shared" si="35"/>
        <v>0</v>
      </c>
      <c r="Q343" s="13">
        <f t="shared" si="37"/>
        <v>0</v>
      </c>
      <c r="R343" s="13">
        <f t="shared" si="38"/>
        <v>0</v>
      </c>
      <c r="S343" s="13">
        <f t="shared" si="39"/>
        <v>0</v>
      </c>
      <c r="T343" s="13">
        <f t="shared" si="40"/>
        <v>0</v>
      </c>
      <c r="U343" s="15" t="str">
        <f t="shared" si="41"/>
        <v/>
      </c>
    </row>
    <row r="344" spans="12:21" x14ac:dyDescent="0.25">
      <c r="L344" s="20">
        <f t="shared" si="36"/>
        <v>0</v>
      </c>
      <c r="M344" s="14" t="e">
        <f>VLOOKUP(G344,Sell!G:L,1,0)</f>
        <v>#N/A</v>
      </c>
      <c r="N344" s="14">
        <f>IFERROR(VLOOKUP(G344,Sell!G:L,2,0),0)</f>
        <v>0</v>
      </c>
      <c r="O344" s="13">
        <f>IFERROR(VLOOKUP(G344,Sell!G:L,6,0),0)</f>
        <v>0</v>
      </c>
      <c r="P344" s="14">
        <f t="shared" si="35"/>
        <v>0</v>
      </c>
      <c r="Q344" s="13">
        <f t="shared" si="37"/>
        <v>0</v>
      </c>
      <c r="R344" s="13">
        <f t="shared" si="38"/>
        <v>0</v>
      </c>
      <c r="S344" s="13">
        <f t="shared" si="39"/>
        <v>0</v>
      </c>
      <c r="T344" s="13">
        <f t="shared" si="40"/>
        <v>0</v>
      </c>
      <c r="U344" s="15" t="str">
        <f t="shared" si="41"/>
        <v/>
      </c>
    </row>
    <row r="345" spans="12:21" x14ac:dyDescent="0.25">
      <c r="L345" s="20">
        <f t="shared" si="36"/>
        <v>0</v>
      </c>
      <c r="M345" s="14" t="e">
        <f>VLOOKUP(G345,Sell!G:L,1,0)</f>
        <v>#N/A</v>
      </c>
      <c r="N345" s="14">
        <f>IFERROR(VLOOKUP(G345,Sell!G:L,2,0),0)</f>
        <v>0</v>
      </c>
      <c r="O345" s="13">
        <f>IFERROR(VLOOKUP(G345,Sell!G:L,6,0),0)</f>
        <v>0</v>
      </c>
      <c r="P345" s="14">
        <f t="shared" si="35"/>
        <v>0</v>
      </c>
      <c r="Q345" s="13">
        <f t="shared" si="37"/>
        <v>0</v>
      </c>
      <c r="R345" s="13">
        <f t="shared" si="38"/>
        <v>0</v>
      </c>
      <c r="S345" s="13">
        <f t="shared" si="39"/>
        <v>0</v>
      </c>
      <c r="T345" s="13">
        <f t="shared" si="40"/>
        <v>0</v>
      </c>
      <c r="U345" s="15" t="str">
        <f t="shared" si="41"/>
        <v/>
      </c>
    </row>
    <row r="346" spans="12:21" x14ac:dyDescent="0.25">
      <c r="L346" s="20">
        <f t="shared" si="36"/>
        <v>0</v>
      </c>
      <c r="M346" s="14" t="e">
        <f>VLOOKUP(G346,Sell!G:L,1,0)</f>
        <v>#N/A</v>
      </c>
      <c r="N346" s="14">
        <f>IFERROR(VLOOKUP(G346,Sell!G:L,2,0),0)</f>
        <v>0</v>
      </c>
      <c r="O346" s="13">
        <f>IFERROR(VLOOKUP(G346,Sell!G:L,6,0),0)</f>
        <v>0</v>
      </c>
      <c r="P346" s="14">
        <f t="shared" si="35"/>
        <v>0</v>
      </c>
      <c r="Q346" s="13">
        <f t="shared" si="37"/>
        <v>0</v>
      </c>
      <c r="R346" s="13">
        <f t="shared" si="38"/>
        <v>0</v>
      </c>
      <c r="S346" s="13">
        <f t="shared" si="39"/>
        <v>0</v>
      </c>
      <c r="T346" s="13">
        <f t="shared" si="40"/>
        <v>0</v>
      </c>
      <c r="U346" s="15" t="str">
        <f t="shared" si="41"/>
        <v/>
      </c>
    </row>
    <row r="347" spans="12:21" x14ac:dyDescent="0.25">
      <c r="L347" s="20">
        <f t="shared" si="36"/>
        <v>0</v>
      </c>
      <c r="M347" s="14" t="e">
        <f>VLOOKUP(G347,Sell!G:L,1,0)</f>
        <v>#N/A</v>
      </c>
      <c r="N347" s="14">
        <f>IFERROR(VLOOKUP(G347,Sell!G:L,2,0),0)</f>
        <v>0</v>
      </c>
      <c r="O347" s="13">
        <f>IFERROR(VLOOKUP(G347,Sell!G:L,6,0),0)</f>
        <v>0</v>
      </c>
      <c r="P347" s="14">
        <f t="shared" si="35"/>
        <v>0</v>
      </c>
      <c r="Q347" s="13">
        <f t="shared" si="37"/>
        <v>0</v>
      </c>
      <c r="R347" s="13">
        <f t="shared" si="38"/>
        <v>0</v>
      </c>
      <c r="S347" s="13">
        <f t="shared" si="39"/>
        <v>0</v>
      </c>
      <c r="T347" s="13">
        <f t="shared" si="40"/>
        <v>0</v>
      </c>
      <c r="U347" s="15" t="str">
        <f t="shared" si="41"/>
        <v/>
      </c>
    </row>
    <row r="348" spans="12:21" x14ac:dyDescent="0.25">
      <c r="L348" s="20">
        <f t="shared" si="36"/>
        <v>0</v>
      </c>
      <c r="M348" s="14" t="e">
        <f>VLOOKUP(G348,Sell!G:L,1,0)</f>
        <v>#N/A</v>
      </c>
      <c r="N348" s="14">
        <f>IFERROR(VLOOKUP(G348,Sell!G:L,2,0),0)</f>
        <v>0</v>
      </c>
      <c r="O348" s="13">
        <f>IFERROR(VLOOKUP(G348,Sell!G:L,6,0),0)</f>
        <v>0</v>
      </c>
      <c r="P348" s="14">
        <f t="shared" si="35"/>
        <v>0</v>
      </c>
      <c r="Q348" s="13">
        <f t="shared" si="37"/>
        <v>0</v>
      </c>
      <c r="R348" s="13">
        <f t="shared" si="38"/>
        <v>0</v>
      </c>
      <c r="S348" s="13">
        <f t="shared" si="39"/>
        <v>0</v>
      </c>
      <c r="T348" s="13">
        <f t="shared" si="40"/>
        <v>0</v>
      </c>
      <c r="U348" s="15" t="str">
        <f t="shared" si="41"/>
        <v/>
      </c>
    </row>
    <row r="349" spans="12:21" x14ac:dyDescent="0.25">
      <c r="L349" s="20">
        <f t="shared" si="36"/>
        <v>0</v>
      </c>
      <c r="M349" s="14" t="e">
        <f>VLOOKUP(G349,Sell!G:L,1,0)</f>
        <v>#N/A</v>
      </c>
      <c r="N349" s="14">
        <f>IFERROR(VLOOKUP(G349,Sell!G:L,2,0),0)</f>
        <v>0</v>
      </c>
      <c r="O349" s="13">
        <f>IFERROR(VLOOKUP(G349,Sell!G:L,6,0),0)</f>
        <v>0</v>
      </c>
      <c r="P349" s="14">
        <f t="shared" si="35"/>
        <v>0</v>
      </c>
      <c r="Q349" s="13">
        <f t="shared" si="37"/>
        <v>0</v>
      </c>
      <c r="R349" s="13">
        <f t="shared" si="38"/>
        <v>0</v>
      </c>
      <c r="S349" s="13">
        <f t="shared" si="39"/>
        <v>0</v>
      </c>
      <c r="T349" s="13">
        <f t="shared" si="40"/>
        <v>0</v>
      </c>
      <c r="U349" s="15" t="str">
        <f t="shared" si="41"/>
        <v/>
      </c>
    </row>
    <row r="350" spans="12:21" x14ac:dyDescent="0.25">
      <c r="L350" s="20">
        <f t="shared" si="36"/>
        <v>0</v>
      </c>
      <c r="M350" s="14" t="e">
        <f>VLOOKUP(G350,Sell!G:L,1,0)</f>
        <v>#N/A</v>
      </c>
      <c r="N350" s="14">
        <f>IFERROR(VLOOKUP(G350,Sell!G:L,2,0),0)</f>
        <v>0</v>
      </c>
      <c r="O350" s="13">
        <f>IFERROR(VLOOKUP(G350,Sell!G:L,6,0),0)</f>
        <v>0</v>
      </c>
      <c r="P350" s="14">
        <f t="shared" si="35"/>
        <v>0</v>
      </c>
      <c r="Q350" s="13">
        <f t="shared" si="37"/>
        <v>0</v>
      </c>
      <c r="R350" s="13">
        <f t="shared" si="38"/>
        <v>0</v>
      </c>
      <c r="S350" s="13">
        <f t="shared" si="39"/>
        <v>0</v>
      </c>
      <c r="T350" s="13">
        <f t="shared" si="40"/>
        <v>0</v>
      </c>
      <c r="U350" s="15" t="str">
        <f t="shared" si="41"/>
        <v/>
      </c>
    </row>
    <row r="351" spans="12:21" x14ac:dyDescent="0.25">
      <c r="L351" s="20">
        <f t="shared" si="36"/>
        <v>0</v>
      </c>
      <c r="M351" s="14" t="e">
        <f>VLOOKUP(G351,Sell!G:L,1,0)</f>
        <v>#N/A</v>
      </c>
      <c r="N351" s="14">
        <f>IFERROR(VLOOKUP(G351,Sell!G:L,2,0),0)</f>
        <v>0</v>
      </c>
      <c r="O351" s="13">
        <f>IFERROR(VLOOKUP(G351,Sell!G:L,6,0),0)</f>
        <v>0</v>
      </c>
      <c r="P351" s="14">
        <f t="shared" si="35"/>
        <v>0</v>
      </c>
      <c r="Q351" s="13">
        <f t="shared" si="37"/>
        <v>0</v>
      </c>
      <c r="R351" s="13">
        <f t="shared" si="38"/>
        <v>0</v>
      </c>
      <c r="S351" s="13">
        <f t="shared" si="39"/>
        <v>0</v>
      </c>
      <c r="T351" s="13">
        <f t="shared" si="40"/>
        <v>0</v>
      </c>
      <c r="U351" s="15" t="str">
        <f t="shared" si="41"/>
        <v/>
      </c>
    </row>
    <row r="352" spans="12:21" x14ac:dyDescent="0.25">
      <c r="L352" s="20">
        <f t="shared" si="36"/>
        <v>0</v>
      </c>
      <c r="M352" s="14" t="e">
        <f>VLOOKUP(G352,Sell!G:L,1,0)</f>
        <v>#N/A</v>
      </c>
      <c r="N352" s="14">
        <f>IFERROR(VLOOKUP(G352,Sell!G:L,2,0),0)</f>
        <v>0</v>
      </c>
      <c r="O352" s="13">
        <f>IFERROR(VLOOKUP(G352,Sell!G:L,6,0),0)</f>
        <v>0</v>
      </c>
      <c r="P352" s="14">
        <f t="shared" si="35"/>
        <v>0</v>
      </c>
      <c r="Q352" s="13">
        <f t="shared" si="37"/>
        <v>0</v>
      </c>
      <c r="R352" s="13">
        <f t="shared" si="38"/>
        <v>0</v>
      </c>
      <c r="S352" s="13">
        <f t="shared" si="39"/>
        <v>0</v>
      </c>
      <c r="T352" s="13">
        <f t="shared" si="40"/>
        <v>0</v>
      </c>
      <c r="U352" s="15" t="str">
        <f t="shared" si="41"/>
        <v/>
      </c>
    </row>
    <row r="353" spans="12:21" x14ac:dyDescent="0.25">
      <c r="L353" s="20">
        <f t="shared" si="36"/>
        <v>0</v>
      </c>
      <c r="M353" s="14" t="e">
        <f>VLOOKUP(G353,Sell!G:L,1,0)</f>
        <v>#N/A</v>
      </c>
      <c r="N353" s="14">
        <f>IFERROR(VLOOKUP(G353,Sell!G:L,2,0),0)</f>
        <v>0</v>
      </c>
      <c r="O353" s="13">
        <f>IFERROR(VLOOKUP(G353,Sell!G:L,6,0),0)</f>
        <v>0</v>
      </c>
      <c r="P353" s="14">
        <f t="shared" si="35"/>
        <v>0</v>
      </c>
      <c r="Q353" s="13">
        <f t="shared" si="37"/>
        <v>0</v>
      </c>
      <c r="R353" s="13">
        <f t="shared" si="38"/>
        <v>0</v>
      </c>
      <c r="S353" s="13">
        <f t="shared" si="39"/>
        <v>0</v>
      </c>
      <c r="T353" s="13">
        <f t="shared" si="40"/>
        <v>0</v>
      </c>
      <c r="U353" s="15" t="str">
        <f t="shared" si="41"/>
        <v/>
      </c>
    </row>
    <row r="354" spans="12:21" x14ac:dyDescent="0.25">
      <c r="L354" s="20">
        <f t="shared" si="36"/>
        <v>0</v>
      </c>
      <c r="M354" s="14" t="e">
        <f>VLOOKUP(G354,Sell!G:L,1,0)</f>
        <v>#N/A</v>
      </c>
      <c r="N354" s="14">
        <f>IFERROR(VLOOKUP(G354,Sell!G:L,2,0),0)</f>
        <v>0</v>
      </c>
      <c r="O354" s="13">
        <f>IFERROR(VLOOKUP(G354,Sell!G:L,6,0),0)</f>
        <v>0</v>
      </c>
      <c r="P354" s="14">
        <f t="shared" si="35"/>
        <v>0</v>
      </c>
      <c r="Q354" s="13">
        <f t="shared" si="37"/>
        <v>0</v>
      </c>
      <c r="R354" s="13">
        <f t="shared" si="38"/>
        <v>0</v>
      </c>
      <c r="S354" s="13">
        <f t="shared" si="39"/>
        <v>0</v>
      </c>
      <c r="T354" s="13">
        <f t="shared" si="40"/>
        <v>0</v>
      </c>
      <c r="U354" s="15" t="str">
        <f t="shared" si="41"/>
        <v/>
      </c>
    </row>
    <row r="355" spans="12:21" x14ac:dyDescent="0.25">
      <c r="L355" s="20">
        <f t="shared" si="36"/>
        <v>0</v>
      </c>
      <c r="M355" s="14" t="e">
        <f>VLOOKUP(G355,Sell!G:L,1,0)</f>
        <v>#N/A</v>
      </c>
      <c r="N355" s="14">
        <f>IFERROR(VLOOKUP(G355,Sell!G:L,2,0),0)</f>
        <v>0</v>
      </c>
      <c r="O355" s="13">
        <f>IFERROR(VLOOKUP(G355,Sell!G:L,6,0),0)</f>
        <v>0</v>
      </c>
      <c r="P355" s="14">
        <f t="shared" si="35"/>
        <v>0</v>
      </c>
      <c r="Q355" s="13">
        <f t="shared" si="37"/>
        <v>0</v>
      </c>
      <c r="R355" s="13">
        <f t="shared" si="38"/>
        <v>0</v>
      </c>
      <c r="S355" s="13">
        <f t="shared" si="39"/>
        <v>0</v>
      </c>
      <c r="T355" s="13">
        <f t="shared" si="40"/>
        <v>0</v>
      </c>
      <c r="U355" s="15" t="str">
        <f t="shared" si="41"/>
        <v/>
      </c>
    </row>
    <row r="356" spans="12:21" x14ac:dyDescent="0.25">
      <c r="L356" s="20">
        <f t="shared" si="36"/>
        <v>0</v>
      </c>
      <c r="M356" s="14" t="e">
        <f>VLOOKUP(G356,Sell!G:L,1,0)</f>
        <v>#N/A</v>
      </c>
      <c r="N356" s="14">
        <f>IFERROR(VLOOKUP(G356,Sell!G:L,2,0),0)</f>
        <v>0</v>
      </c>
      <c r="O356" s="13">
        <f>IFERROR(VLOOKUP(G356,Sell!G:L,6,0),0)</f>
        <v>0</v>
      </c>
      <c r="P356" s="14">
        <f t="shared" si="35"/>
        <v>0</v>
      </c>
      <c r="Q356" s="13">
        <f t="shared" si="37"/>
        <v>0</v>
      </c>
      <c r="R356" s="13">
        <f t="shared" si="38"/>
        <v>0</v>
      </c>
      <c r="S356" s="13">
        <f t="shared" si="39"/>
        <v>0</v>
      </c>
      <c r="T356" s="13">
        <f t="shared" si="40"/>
        <v>0</v>
      </c>
      <c r="U356" s="15" t="str">
        <f t="shared" si="41"/>
        <v/>
      </c>
    </row>
    <row r="357" spans="12:21" x14ac:dyDescent="0.25">
      <c r="L357" s="20">
        <f t="shared" si="36"/>
        <v>0</v>
      </c>
      <c r="M357" s="14" t="e">
        <f>VLOOKUP(G357,Sell!G:L,1,0)</f>
        <v>#N/A</v>
      </c>
      <c r="N357" s="14">
        <f>IFERROR(VLOOKUP(G357,Sell!G:L,2,0),0)</f>
        <v>0</v>
      </c>
      <c r="O357" s="13">
        <f>IFERROR(VLOOKUP(G357,Sell!G:L,6,0),0)</f>
        <v>0</v>
      </c>
      <c r="P357" s="14">
        <f t="shared" si="35"/>
        <v>0</v>
      </c>
      <c r="Q357" s="13">
        <f t="shared" si="37"/>
        <v>0</v>
      </c>
      <c r="R357" s="13">
        <f t="shared" si="38"/>
        <v>0</v>
      </c>
      <c r="S357" s="13">
        <f t="shared" si="39"/>
        <v>0</v>
      </c>
      <c r="T357" s="13">
        <f t="shared" si="40"/>
        <v>0</v>
      </c>
      <c r="U357" s="15" t="str">
        <f t="shared" si="41"/>
        <v/>
      </c>
    </row>
    <row r="358" spans="12:21" x14ac:dyDescent="0.25">
      <c r="L358" s="20">
        <f t="shared" si="36"/>
        <v>0</v>
      </c>
      <c r="M358" s="14" t="e">
        <f>VLOOKUP(G358,Sell!G:L,1,0)</f>
        <v>#N/A</v>
      </c>
      <c r="N358" s="14">
        <f>IFERROR(VLOOKUP(G358,Sell!G:L,2,0),0)</f>
        <v>0</v>
      </c>
      <c r="O358" s="13">
        <f>IFERROR(VLOOKUP(G358,Sell!G:L,6,0),0)</f>
        <v>0</v>
      </c>
      <c r="P358" s="14">
        <f t="shared" si="35"/>
        <v>0</v>
      </c>
      <c r="Q358" s="13">
        <f t="shared" si="37"/>
        <v>0</v>
      </c>
      <c r="R358" s="13">
        <f t="shared" si="38"/>
        <v>0</v>
      </c>
      <c r="S358" s="13">
        <f t="shared" si="39"/>
        <v>0</v>
      </c>
      <c r="T358" s="13">
        <f t="shared" si="40"/>
        <v>0</v>
      </c>
      <c r="U358" s="15" t="str">
        <f t="shared" si="41"/>
        <v/>
      </c>
    </row>
    <row r="359" spans="12:21" x14ac:dyDescent="0.25">
      <c r="L359" s="20">
        <f t="shared" si="36"/>
        <v>0</v>
      </c>
      <c r="M359" s="14" t="e">
        <f>VLOOKUP(G359,Sell!G:L,1,0)</f>
        <v>#N/A</v>
      </c>
      <c r="N359" s="14">
        <f>IFERROR(VLOOKUP(G359,Sell!G:L,2,0),0)</f>
        <v>0</v>
      </c>
      <c r="O359" s="13">
        <f>IFERROR(VLOOKUP(G359,Sell!G:L,6,0),0)</f>
        <v>0</v>
      </c>
      <c r="P359" s="14">
        <f t="shared" si="35"/>
        <v>0</v>
      </c>
      <c r="Q359" s="13">
        <f t="shared" si="37"/>
        <v>0</v>
      </c>
      <c r="R359" s="13">
        <f t="shared" si="38"/>
        <v>0</v>
      </c>
      <c r="S359" s="13">
        <f t="shared" si="39"/>
        <v>0</v>
      </c>
      <c r="T359" s="13">
        <f t="shared" si="40"/>
        <v>0</v>
      </c>
      <c r="U359" s="15" t="str">
        <f t="shared" si="41"/>
        <v/>
      </c>
    </row>
    <row r="360" spans="12:21" x14ac:dyDescent="0.25">
      <c r="L360" s="20">
        <f t="shared" si="36"/>
        <v>0</v>
      </c>
      <c r="M360" s="14" t="e">
        <f>VLOOKUP(G360,Sell!G:L,1,0)</f>
        <v>#N/A</v>
      </c>
      <c r="N360" s="14">
        <f>IFERROR(VLOOKUP(G360,Sell!G:L,2,0),0)</f>
        <v>0</v>
      </c>
      <c r="O360" s="13">
        <f>IFERROR(VLOOKUP(G360,Sell!G:L,6,0),0)</f>
        <v>0</v>
      </c>
      <c r="P360" s="14">
        <f t="shared" si="35"/>
        <v>0</v>
      </c>
      <c r="Q360" s="13">
        <f t="shared" si="37"/>
        <v>0</v>
      </c>
      <c r="R360" s="13">
        <f t="shared" si="38"/>
        <v>0</v>
      </c>
      <c r="S360" s="13">
        <f t="shared" si="39"/>
        <v>0</v>
      </c>
      <c r="T360" s="13">
        <f t="shared" si="40"/>
        <v>0</v>
      </c>
      <c r="U360" s="15" t="str">
        <f t="shared" si="41"/>
        <v/>
      </c>
    </row>
    <row r="361" spans="12:21" x14ac:dyDescent="0.25">
      <c r="L361" s="20">
        <f t="shared" si="36"/>
        <v>0</v>
      </c>
      <c r="M361" s="14" t="e">
        <f>VLOOKUP(G361,Sell!G:L,1,0)</f>
        <v>#N/A</v>
      </c>
      <c r="N361" s="14">
        <f>IFERROR(VLOOKUP(G361,Sell!G:L,2,0),0)</f>
        <v>0</v>
      </c>
      <c r="O361" s="13">
        <f>IFERROR(VLOOKUP(G361,Sell!G:L,6,0),0)</f>
        <v>0</v>
      </c>
      <c r="P361" s="14">
        <f t="shared" si="35"/>
        <v>0</v>
      </c>
      <c r="Q361" s="13">
        <f t="shared" si="37"/>
        <v>0</v>
      </c>
      <c r="R361" s="13">
        <f t="shared" si="38"/>
        <v>0</v>
      </c>
      <c r="S361" s="13">
        <f t="shared" si="39"/>
        <v>0</v>
      </c>
      <c r="T361" s="13">
        <f t="shared" si="40"/>
        <v>0</v>
      </c>
      <c r="U361" s="15" t="str">
        <f t="shared" si="41"/>
        <v/>
      </c>
    </row>
    <row r="362" spans="12:21" x14ac:dyDescent="0.25">
      <c r="L362" s="20">
        <f t="shared" si="36"/>
        <v>0</v>
      </c>
      <c r="M362" s="14" t="e">
        <f>VLOOKUP(G362,Sell!G:L,1,0)</f>
        <v>#N/A</v>
      </c>
      <c r="N362" s="14">
        <f>IFERROR(VLOOKUP(G362,Sell!G:L,2,0),0)</f>
        <v>0</v>
      </c>
      <c r="O362" s="13">
        <f>IFERROR(VLOOKUP(G362,Sell!G:L,6,0),0)</f>
        <v>0</v>
      </c>
      <c r="P362" s="14">
        <f t="shared" si="35"/>
        <v>0</v>
      </c>
      <c r="Q362" s="13">
        <f t="shared" si="37"/>
        <v>0</v>
      </c>
      <c r="R362" s="13">
        <f t="shared" si="38"/>
        <v>0</v>
      </c>
      <c r="S362" s="13">
        <f t="shared" si="39"/>
        <v>0</v>
      </c>
      <c r="T362" s="13">
        <f t="shared" si="40"/>
        <v>0</v>
      </c>
      <c r="U362" s="15" t="str">
        <f t="shared" si="41"/>
        <v/>
      </c>
    </row>
    <row r="363" spans="12:21" x14ac:dyDescent="0.25">
      <c r="L363" s="20">
        <f t="shared" si="36"/>
        <v>0</v>
      </c>
      <c r="M363" s="14" t="e">
        <f>VLOOKUP(G363,Sell!G:L,1,0)</f>
        <v>#N/A</v>
      </c>
      <c r="N363" s="14">
        <f>IFERROR(VLOOKUP(G363,Sell!G:L,2,0),0)</f>
        <v>0</v>
      </c>
      <c r="O363" s="13">
        <f>IFERROR(VLOOKUP(G363,Sell!G:L,6,0),0)</f>
        <v>0</v>
      </c>
      <c r="P363" s="14">
        <f t="shared" si="35"/>
        <v>0</v>
      </c>
      <c r="Q363" s="13">
        <f t="shared" si="37"/>
        <v>0</v>
      </c>
      <c r="R363" s="13">
        <f t="shared" si="38"/>
        <v>0</v>
      </c>
      <c r="S363" s="13">
        <f t="shared" si="39"/>
        <v>0</v>
      </c>
      <c r="T363" s="13">
        <f t="shared" si="40"/>
        <v>0</v>
      </c>
      <c r="U363" s="15" t="str">
        <f t="shared" si="41"/>
        <v/>
      </c>
    </row>
    <row r="364" spans="12:21" x14ac:dyDescent="0.25">
      <c r="L364" s="20">
        <f t="shared" si="36"/>
        <v>0</v>
      </c>
      <c r="M364" s="14" t="e">
        <f>VLOOKUP(G364,Sell!G:L,1,0)</f>
        <v>#N/A</v>
      </c>
      <c r="N364" s="14">
        <f>IFERROR(VLOOKUP(G364,Sell!G:L,2,0),0)</f>
        <v>0</v>
      </c>
      <c r="O364" s="13">
        <f>IFERROR(VLOOKUP(G364,Sell!G:L,6,0),0)</f>
        <v>0</v>
      </c>
      <c r="P364" s="14">
        <f t="shared" si="35"/>
        <v>0</v>
      </c>
      <c r="Q364" s="13">
        <f t="shared" si="37"/>
        <v>0</v>
      </c>
      <c r="R364" s="13">
        <f t="shared" si="38"/>
        <v>0</v>
      </c>
      <c r="S364" s="13">
        <f t="shared" si="39"/>
        <v>0</v>
      </c>
      <c r="T364" s="13">
        <f t="shared" si="40"/>
        <v>0</v>
      </c>
      <c r="U364" s="15" t="str">
        <f t="shared" si="41"/>
        <v/>
      </c>
    </row>
    <row r="365" spans="12:21" x14ac:dyDescent="0.25">
      <c r="L365" s="20">
        <f t="shared" si="36"/>
        <v>0</v>
      </c>
      <c r="M365" s="14" t="e">
        <f>VLOOKUP(G365,Sell!G:L,1,0)</f>
        <v>#N/A</v>
      </c>
      <c r="N365" s="14">
        <f>IFERROR(VLOOKUP(G365,Sell!G:L,2,0),0)</f>
        <v>0</v>
      </c>
      <c r="O365" s="13">
        <f>IFERROR(VLOOKUP(G365,Sell!G:L,6,0),0)</f>
        <v>0</v>
      </c>
      <c r="P365" s="14">
        <f t="shared" si="35"/>
        <v>0</v>
      </c>
      <c r="Q365" s="13">
        <f t="shared" si="37"/>
        <v>0</v>
      </c>
      <c r="R365" s="13">
        <f t="shared" si="38"/>
        <v>0</v>
      </c>
      <c r="S365" s="13">
        <f t="shared" si="39"/>
        <v>0</v>
      </c>
      <c r="T365" s="13">
        <f t="shared" si="40"/>
        <v>0</v>
      </c>
      <c r="U365" s="15" t="str">
        <f t="shared" si="41"/>
        <v/>
      </c>
    </row>
    <row r="366" spans="12:21" x14ac:dyDescent="0.25">
      <c r="L366" s="20">
        <f t="shared" si="36"/>
        <v>0</v>
      </c>
      <c r="M366" s="14" t="e">
        <f>VLOOKUP(G366,Sell!G:L,1,0)</f>
        <v>#N/A</v>
      </c>
      <c r="N366" s="14">
        <f>IFERROR(VLOOKUP(G366,Sell!G:L,2,0),0)</f>
        <v>0</v>
      </c>
      <c r="O366" s="13">
        <f>IFERROR(VLOOKUP(G366,Sell!G:L,6,0),0)</f>
        <v>0</v>
      </c>
      <c r="P366" s="14">
        <f t="shared" si="35"/>
        <v>0</v>
      </c>
      <c r="Q366" s="13">
        <f t="shared" si="37"/>
        <v>0</v>
      </c>
      <c r="R366" s="13">
        <f t="shared" si="38"/>
        <v>0</v>
      </c>
      <c r="S366" s="13">
        <f t="shared" si="39"/>
        <v>0</v>
      </c>
      <c r="T366" s="13">
        <f t="shared" si="40"/>
        <v>0</v>
      </c>
      <c r="U366" s="15" t="str">
        <f t="shared" si="41"/>
        <v/>
      </c>
    </row>
    <row r="367" spans="12:21" x14ac:dyDescent="0.25">
      <c r="L367" s="20">
        <f t="shared" si="36"/>
        <v>0</v>
      </c>
      <c r="M367" s="14" t="e">
        <f>VLOOKUP(G367,Sell!G:L,1,0)</f>
        <v>#N/A</v>
      </c>
      <c r="N367" s="14">
        <f>IFERROR(VLOOKUP(G367,Sell!G:L,2,0),0)</f>
        <v>0</v>
      </c>
      <c r="O367" s="13">
        <f>IFERROR(VLOOKUP(G367,Sell!G:L,6,0),0)</f>
        <v>0</v>
      </c>
      <c r="P367" s="14">
        <f t="shared" si="35"/>
        <v>0</v>
      </c>
      <c r="Q367" s="13">
        <f t="shared" si="37"/>
        <v>0</v>
      </c>
      <c r="R367" s="13">
        <f t="shared" si="38"/>
        <v>0</v>
      </c>
      <c r="S367" s="13">
        <f t="shared" si="39"/>
        <v>0</v>
      </c>
      <c r="T367" s="13">
        <f t="shared" si="40"/>
        <v>0</v>
      </c>
      <c r="U367" s="15" t="str">
        <f t="shared" si="41"/>
        <v/>
      </c>
    </row>
    <row r="368" spans="12:21" x14ac:dyDescent="0.25">
      <c r="L368" s="20">
        <f t="shared" si="36"/>
        <v>0</v>
      </c>
      <c r="M368" s="14" t="e">
        <f>VLOOKUP(G368,Sell!G:L,1,0)</f>
        <v>#N/A</v>
      </c>
      <c r="N368" s="14">
        <f>IFERROR(VLOOKUP(G368,Sell!G:L,2,0),0)</f>
        <v>0</v>
      </c>
      <c r="O368" s="13">
        <f>IFERROR(VLOOKUP(G368,Sell!G:L,6,0),0)</f>
        <v>0</v>
      </c>
      <c r="P368" s="14">
        <f t="shared" si="35"/>
        <v>0</v>
      </c>
      <c r="Q368" s="13">
        <f t="shared" si="37"/>
        <v>0</v>
      </c>
      <c r="R368" s="13">
        <f t="shared" si="38"/>
        <v>0</v>
      </c>
      <c r="S368" s="13">
        <f t="shared" si="39"/>
        <v>0</v>
      </c>
      <c r="T368" s="13">
        <f t="shared" si="40"/>
        <v>0</v>
      </c>
      <c r="U368" s="15" t="str">
        <f t="shared" si="41"/>
        <v/>
      </c>
    </row>
    <row r="369" spans="12:21" x14ac:dyDescent="0.25">
      <c r="L369" s="20">
        <f t="shared" si="36"/>
        <v>0</v>
      </c>
      <c r="M369" s="14" t="e">
        <f>VLOOKUP(G369,Sell!G:L,1,0)</f>
        <v>#N/A</v>
      </c>
      <c r="N369" s="14">
        <f>IFERROR(VLOOKUP(G369,Sell!G:L,2,0),0)</f>
        <v>0</v>
      </c>
      <c r="O369" s="13">
        <f>IFERROR(VLOOKUP(G369,Sell!G:L,6,0),0)</f>
        <v>0</v>
      </c>
      <c r="P369" s="14">
        <f t="shared" si="35"/>
        <v>0</v>
      </c>
      <c r="Q369" s="13">
        <f t="shared" si="37"/>
        <v>0</v>
      </c>
      <c r="R369" s="13">
        <f t="shared" si="38"/>
        <v>0</v>
      </c>
      <c r="S369" s="13">
        <f t="shared" si="39"/>
        <v>0</v>
      </c>
      <c r="T369" s="13">
        <f t="shared" si="40"/>
        <v>0</v>
      </c>
      <c r="U369" s="15" t="str">
        <f t="shared" si="41"/>
        <v/>
      </c>
    </row>
    <row r="370" spans="12:21" x14ac:dyDescent="0.25">
      <c r="L370" s="20">
        <f t="shared" si="36"/>
        <v>0</v>
      </c>
      <c r="M370" s="14" t="e">
        <f>VLOOKUP(G370,Sell!G:L,1,0)</f>
        <v>#N/A</v>
      </c>
      <c r="N370" s="14">
        <f>IFERROR(VLOOKUP(G370,Sell!G:L,2,0),0)</f>
        <v>0</v>
      </c>
      <c r="O370" s="13">
        <f>IFERROR(VLOOKUP(G370,Sell!G:L,6,0),0)</f>
        <v>0</v>
      </c>
      <c r="P370" s="14">
        <f t="shared" si="35"/>
        <v>0</v>
      </c>
      <c r="Q370" s="13">
        <f t="shared" si="37"/>
        <v>0</v>
      </c>
      <c r="R370" s="13">
        <f t="shared" si="38"/>
        <v>0</v>
      </c>
      <c r="S370" s="13">
        <f t="shared" si="39"/>
        <v>0</v>
      </c>
      <c r="T370" s="13">
        <f t="shared" si="40"/>
        <v>0</v>
      </c>
      <c r="U370" s="15" t="str">
        <f t="shared" si="41"/>
        <v/>
      </c>
    </row>
    <row r="371" spans="12:21" x14ac:dyDescent="0.25">
      <c r="L371" s="20">
        <f t="shared" si="36"/>
        <v>0</v>
      </c>
      <c r="M371" s="14" t="e">
        <f>VLOOKUP(G371,Sell!G:L,1,0)</f>
        <v>#N/A</v>
      </c>
      <c r="N371" s="14">
        <f>IFERROR(VLOOKUP(G371,Sell!G:L,2,0),0)</f>
        <v>0</v>
      </c>
      <c r="O371" s="13">
        <f>IFERROR(VLOOKUP(G371,Sell!G:L,6,0),0)</f>
        <v>0</v>
      </c>
      <c r="P371" s="14">
        <f t="shared" si="35"/>
        <v>0</v>
      </c>
      <c r="Q371" s="13">
        <f t="shared" si="37"/>
        <v>0</v>
      </c>
      <c r="R371" s="13">
        <f t="shared" si="38"/>
        <v>0</v>
      </c>
      <c r="S371" s="13">
        <f t="shared" si="39"/>
        <v>0</v>
      </c>
      <c r="T371" s="13">
        <f t="shared" si="40"/>
        <v>0</v>
      </c>
      <c r="U371" s="15" t="str">
        <f t="shared" si="41"/>
        <v/>
      </c>
    </row>
    <row r="372" spans="12:21" x14ac:dyDescent="0.25">
      <c r="L372" s="20">
        <f t="shared" si="36"/>
        <v>0</v>
      </c>
      <c r="M372" s="14" t="e">
        <f>VLOOKUP(G372,Sell!G:L,1,0)</f>
        <v>#N/A</v>
      </c>
      <c r="N372" s="14">
        <f>IFERROR(VLOOKUP(G372,Sell!G:L,2,0),0)</f>
        <v>0</v>
      </c>
      <c r="O372" s="13">
        <f>IFERROR(VLOOKUP(G372,Sell!G:L,6,0),0)</f>
        <v>0</v>
      </c>
      <c r="P372" s="14">
        <f t="shared" si="35"/>
        <v>0</v>
      </c>
      <c r="Q372" s="13">
        <f t="shared" si="37"/>
        <v>0</v>
      </c>
      <c r="R372" s="13">
        <f t="shared" si="38"/>
        <v>0</v>
      </c>
      <c r="S372" s="13">
        <f t="shared" si="39"/>
        <v>0</v>
      </c>
      <c r="T372" s="13">
        <f t="shared" si="40"/>
        <v>0</v>
      </c>
      <c r="U372" s="15" t="str">
        <f t="shared" si="41"/>
        <v/>
      </c>
    </row>
    <row r="373" spans="12:21" x14ac:dyDescent="0.25">
      <c r="L373" s="20">
        <f t="shared" si="36"/>
        <v>0</v>
      </c>
      <c r="M373" s="14" t="e">
        <f>VLOOKUP(G373,Sell!G:L,1,0)</f>
        <v>#N/A</v>
      </c>
      <c r="N373" s="14">
        <f>IFERROR(VLOOKUP(G373,Sell!G:L,2,0),0)</f>
        <v>0</v>
      </c>
      <c r="O373" s="13">
        <f>IFERROR(VLOOKUP(G373,Sell!G:L,6,0),0)</f>
        <v>0</v>
      </c>
      <c r="P373" s="14">
        <f t="shared" si="35"/>
        <v>0</v>
      </c>
      <c r="Q373" s="13">
        <f t="shared" si="37"/>
        <v>0</v>
      </c>
      <c r="R373" s="13">
        <f t="shared" si="38"/>
        <v>0</v>
      </c>
      <c r="S373" s="13">
        <f t="shared" si="39"/>
        <v>0</v>
      </c>
      <c r="T373" s="13">
        <f t="shared" si="40"/>
        <v>0</v>
      </c>
      <c r="U373" s="15" t="str">
        <f t="shared" si="41"/>
        <v/>
      </c>
    </row>
    <row r="374" spans="12:21" x14ac:dyDescent="0.25">
      <c r="L374" s="20">
        <f t="shared" si="36"/>
        <v>0</v>
      </c>
      <c r="M374" s="14" t="e">
        <f>VLOOKUP(G374,Sell!G:L,1,0)</f>
        <v>#N/A</v>
      </c>
      <c r="N374" s="14">
        <f>IFERROR(VLOOKUP(G374,Sell!G:L,2,0),0)</f>
        <v>0</v>
      </c>
      <c r="O374" s="13">
        <f>IFERROR(VLOOKUP(G374,Sell!G:L,6,0),0)</f>
        <v>0</v>
      </c>
      <c r="P374" s="14">
        <f t="shared" si="35"/>
        <v>0</v>
      </c>
      <c r="Q374" s="13">
        <f t="shared" si="37"/>
        <v>0</v>
      </c>
      <c r="R374" s="13">
        <f t="shared" si="38"/>
        <v>0</v>
      </c>
      <c r="S374" s="13">
        <f t="shared" si="39"/>
        <v>0</v>
      </c>
      <c r="T374" s="13">
        <f t="shared" si="40"/>
        <v>0</v>
      </c>
      <c r="U374" s="15" t="str">
        <f t="shared" si="41"/>
        <v/>
      </c>
    </row>
    <row r="375" spans="12:21" x14ac:dyDescent="0.25">
      <c r="L375" s="20">
        <f t="shared" si="36"/>
        <v>0</v>
      </c>
      <c r="M375" s="14" t="e">
        <f>VLOOKUP(G375,Sell!G:L,1,0)</f>
        <v>#N/A</v>
      </c>
      <c r="N375" s="14">
        <f>IFERROR(VLOOKUP(G375,Sell!G:L,2,0),0)</f>
        <v>0</v>
      </c>
      <c r="O375" s="13">
        <f>IFERROR(VLOOKUP(G375,Sell!G:L,6,0),0)</f>
        <v>0</v>
      </c>
      <c r="P375" s="14">
        <f t="shared" si="35"/>
        <v>0</v>
      </c>
      <c r="Q375" s="13">
        <f t="shared" si="37"/>
        <v>0</v>
      </c>
      <c r="R375" s="13">
        <f t="shared" si="38"/>
        <v>0</v>
      </c>
      <c r="S375" s="13">
        <f t="shared" si="39"/>
        <v>0</v>
      </c>
      <c r="T375" s="13">
        <f t="shared" si="40"/>
        <v>0</v>
      </c>
      <c r="U375" s="15" t="str">
        <f t="shared" si="41"/>
        <v/>
      </c>
    </row>
    <row r="376" spans="12:21" x14ac:dyDescent="0.25">
      <c r="L376" s="20">
        <f t="shared" si="36"/>
        <v>0</v>
      </c>
      <c r="M376" s="14" t="e">
        <f>VLOOKUP(G376,Sell!G:L,1,0)</f>
        <v>#N/A</v>
      </c>
      <c r="N376" s="14">
        <f>IFERROR(VLOOKUP(G376,Sell!G:L,2,0),0)</f>
        <v>0</v>
      </c>
      <c r="O376" s="13">
        <f>IFERROR(VLOOKUP(G376,Sell!G:L,6,0),0)</f>
        <v>0</v>
      </c>
      <c r="P376" s="14">
        <f t="shared" si="35"/>
        <v>0</v>
      </c>
      <c r="Q376" s="13">
        <f t="shared" si="37"/>
        <v>0</v>
      </c>
      <c r="R376" s="13">
        <f t="shared" si="38"/>
        <v>0</v>
      </c>
      <c r="S376" s="13">
        <f t="shared" si="39"/>
        <v>0</v>
      </c>
      <c r="T376" s="13">
        <f t="shared" si="40"/>
        <v>0</v>
      </c>
      <c r="U376" s="15" t="str">
        <f t="shared" si="41"/>
        <v/>
      </c>
    </row>
    <row r="377" spans="12:21" x14ac:dyDescent="0.25">
      <c r="L377" s="20">
        <f t="shared" si="36"/>
        <v>0</v>
      </c>
      <c r="M377" s="14" t="e">
        <f>VLOOKUP(G377,Sell!G:L,1,0)</f>
        <v>#N/A</v>
      </c>
      <c r="N377" s="14">
        <f>IFERROR(VLOOKUP(G377,Sell!G:L,2,0),0)</f>
        <v>0</v>
      </c>
      <c r="O377" s="13">
        <f>IFERROR(VLOOKUP(G377,Sell!G:L,6,0),0)</f>
        <v>0</v>
      </c>
      <c r="P377" s="14">
        <f t="shared" si="35"/>
        <v>0</v>
      </c>
      <c r="Q377" s="13">
        <f t="shared" si="37"/>
        <v>0</v>
      </c>
      <c r="R377" s="13">
        <f t="shared" si="38"/>
        <v>0</v>
      </c>
      <c r="S377" s="13">
        <f t="shared" si="39"/>
        <v>0</v>
      </c>
      <c r="T377" s="13">
        <f t="shared" si="40"/>
        <v>0</v>
      </c>
      <c r="U377" s="15" t="str">
        <f t="shared" si="41"/>
        <v/>
      </c>
    </row>
    <row r="378" spans="12:21" x14ac:dyDescent="0.25">
      <c r="L378" s="20">
        <f t="shared" si="36"/>
        <v>0</v>
      </c>
      <c r="M378" s="14" t="e">
        <f>VLOOKUP(G378,Sell!G:L,1,0)</f>
        <v>#N/A</v>
      </c>
      <c r="N378" s="14">
        <f>IFERROR(VLOOKUP(G378,Sell!G:L,2,0),0)</f>
        <v>0</v>
      </c>
      <c r="O378" s="13">
        <f>IFERROR(VLOOKUP(G378,Sell!G:L,6,0),0)</f>
        <v>0</v>
      </c>
      <c r="P378" s="14">
        <f t="shared" si="35"/>
        <v>0</v>
      </c>
      <c r="Q378" s="13">
        <f t="shared" si="37"/>
        <v>0</v>
      </c>
      <c r="R378" s="13">
        <f t="shared" si="38"/>
        <v>0</v>
      </c>
      <c r="S378" s="13">
        <f t="shared" si="39"/>
        <v>0</v>
      </c>
      <c r="T378" s="13">
        <f t="shared" si="40"/>
        <v>0</v>
      </c>
      <c r="U378" s="15" t="str">
        <f t="shared" si="41"/>
        <v/>
      </c>
    </row>
    <row r="379" spans="12:21" x14ac:dyDescent="0.25">
      <c r="L379" s="20">
        <f t="shared" si="36"/>
        <v>0</v>
      </c>
      <c r="M379" s="14" t="e">
        <f>VLOOKUP(G379,Sell!G:L,1,0)</f>
        <v>#N/A</v>
      </c>
      <c r="N379" s="14">
        <f>IFERROR(VLOOKUP(G379,Sell!G:L,2,0),0)</f>
        <v>0</v>
      </c>
      <c r="O379" s="13">
        <f>IFERROR(VLOOKUP(G379,Sell!G:L,6,0),0)</f>
        <v>0</v>
      </c>
      <c r="P379" s="14">
        <f t="shared" si="35"/>
        <v>0</v>
      </c>
      <c r="Q379" s="13">
        <f t="shared" si="37"/>
        <v>0</v>
      </c>
      <c r="R379" s="13">
        <f t="shared" si="38"/>
        <v>0</v>
      </c>
      <c r="S379" s="13">
        <f t="shared" si="39"/>
        <v>0</v>
      </c>
      <c r="T379" s="13">
        <f t="shared" si="40"/>
        <v>0</v>
      </c>
      <c r="U379" s="15" t="str">
        <f t="shared" si="41"/>
        <v/>
      </c>
    </row>
    <row r="380" spans="12:21" x14ac:dyDescent="0.25">
      <c r="L380" s="20">
        <f t="shared" si="36"/>
        <v>0</v>
      </c>
      <c r="M380" s="14" t="e">
        <f>VLOOKUP(G380,Sell!G:L,1,0)</f>
        <v>#N/A</v>
      </c>
      <c r="N380" s="14">
        <f>IFERROR(VLOOKUP(G380,Sell!G:L,2,0),0)</f>
        <v>0</v>
      </c>
      <c r="O380" s="13">
        <f>IFERROR(VLOOKUP(G380,Sell!G:L,6,0),0)</f>
        <v>0</v>
      </c>
      <c r="P380" s="14">
        <f t="shared" si="35"/>
        <v>0</v>
      </c>
      <c r="Q380" s="13">
        <f t="shared" si="37"/>
        <v>0</v>
      </c>
      <c r="R380" s="13">
        <f t="shared" si="38"/>
        <v>0</v>
      </c>
      <c r="S380" s="13">
        <f t="shared" si="39"/>
        <v>0</v>
      </c>
      <c r="T380" s="13">
        <f t="shared" si="40"/>
        <v>0</v>
      </c>
      <c r="U380" s="15" t="str">
        <f t="shared" si="41"/>
        <v/>
      </c>
    </row>
    <row r="381" spans="12:21" x14ac:dyDescent="0.25">
      <c r="L381" s="20">
        <f t="shared" si="36"/>
        <v>0</v>
      </c>
      <c r="M381" s="14" t="e">
        <f>VLOOKUP(G381,Sell!G:L,1,0)</f>
        <v>#N/A</v>
      </c>
      <c r="N381" s="14">
        <f>IFERROR(VLOOKUP(G381,Sell!G:L,2,0),0)</f>
        <v>0</v>
      </c>
      <c r="O381" s="13">
        <f>IFERROR(VLOOKUP(G381,Sell!G:L,6,0),0)</f>
        <v>0</v>
      </c>
      <c r="P381" s="14">
        <f t="shared" si="35"/>
        <v>0</v>
      </c>
      <c r="Q381" s="13">
        <f t="shared" si="37"/>
        <v>0</v>
      </c>
      <c r="R381" s="13">
        <f t="shared" si="38"/>
        <v>0</v>
      </c>
      <c r="S381" s="13">
        <f t="shared" si="39"/>
        <v>0</v>
      </c>
      <c r="T381" s="13">
        <f t="shared" si="40"/>
        <v>0</v>
      </c>
      <c r="U381" s="15" t="str">
        <f t="shared" si="41"/>
        <v/>
      </c>
    </row>
    <row r="382" spans="12:21" x14ac:dyDescent="0.25">
      <c r="L382" s="20">
        <f t="shared" si="36"/>
        <v>0</v>
      </c>
      <c r="M382" s="14" t="e">
        <f>VLOOKUP(G382,Sell!G:L,1,0)</f>
        <v>#N/A</v>
      </c>
      <c r="N382" s="14">
        <f>IFERROR(VLOOKUP(G382,Sell!G:L,2,0),0)</f>
        <v>0</v>
      </c>
      <c r="O382" s="13">
        <f>IFERROR(VLOOKUP(G382,Sell!G:L,6,0),0)</f>
        <v>0</v>
      </c>
      <c r="P382" s="14">
        <f t="shared" si="35"/>
        <v>0</v>
      </c>
      <c r="Q382" s="13">
        <f t="shared" si="37"/>
        <v>0</v>
      </c>
      <c r="R382" s="13">
        <f t="shared" si="38"/>
        <v>0</v>
      </c>
      <c r="S382" s="13">
        <f t="shared" si="39"/>
        <v>0</v>
      </c>
      <c r="T382" s="13">
        <f t="shared" si="40"/>
        <v>0</v>
      </c>
      <c r="U382" s="15" t="str">
        <f t="shared" si="41"/>
        <v/>
      </c>
    </row>
    <row r="383" spans="12:21" x14ac:dyDescent="0.25">
      <c r="L383" s="20">
        <f t="shared" si="36"/>
        <v>0</v>
      </c>
      <c r="M383" s="14" t="e">
        <f>VLOOKUP(G383,Sell!G:L,1,0)</f>
        <v>#N/A</v>
      </c>
      <c r="N383" s="14">
        <f>IFERROR(VLOOKUP(G383,Sell!G:L,2,0),0)</f>
        <v>0</v>
      </c>
      <c r="O383" s="13">
        <f>IFERROR(VLOOKUP(G383,Sell!G:L,6,0),0)</f>
        <v>0</v>
      </c>
      <c r="P383" s="14">
        <f t="shared" si="35"/>
        <v>0</v>
      </c>
      <c r="Q383" s="13">
        <f t="shared" si="37"/>
        <v>0</v>
      </c>
      <c r="R383" s="13">
        <f t="shared" si="38"/>
        <v>0</v>
      </c>
      <c r="S383" s="13">
        <f t="shared" si="39"/>
        <v>0</v>
      </c>
      <c r="T383" s="13">
        <f t="shared" si="40"/>
        <v>0</v>
      </c>
      <c r="U383" s="15" t="str">
        <f t="shared" si="41"/>
        <v/>
      </c>
    </row>
    <row r="384" spans="12:21" x14ac:dyDescent="0.25">
      <c r="L384" s="20">
        <f t="shared" si="36"/>
        <v>0</v>
      </c>
      <c r="M384" s="14" t="e">
        <f>VLOOKUP(G384,Sell!G:L,1,0)</f>
        <v>#N/A</v>
      </c>
      <c r="N384" s="14">
        <f>IFERROR(VLOOKUP(G384,Sell!G:L,2,0),0)</f>
        <v>0</v>
      </c>
      <c r="O384" s="13">
        <f>IFERROR(VLOOKUP(G384,Sell!G:L,6,0),0)</f>
        <v>0</v>
      </c>
      <c r="P384" s="14">
        <f t="shared" si="35"/>
        <v>0</v>
      </c>
      <c r="Q384" s="13">
        <f t="shared" si="37"/>
        <v>0</v>
      </c>
      <c r="R384" s="13">
        <f t="shared" si="38"/>
        <v>0</v>
      </c>
      <c r="S384" s="13">
        <f t="shared" si="39"/>
        <v>0</v>
      </c>
      <c r="T384" s="13">
        <f t="shared" si="40"/>
        <v>0</v>
      </c>
      <c r="U384" s="15" t="str">
        <f t="shared" si="41"/>
        <v/>
      </c>
    </row>
    <row r="385" spans="12:21" x14ac:dyDescent="0.25">
      <c r="L385" s="20">
        <f t="shared" si="36"/>
        <v>0</v>
      </c>
      <c r="M385" s="14" t="e">
        <f>VLOOKUP(G385,Sell!G:L,1,0)</f>
        <v>#N/A</v>
      </c>
      <c r="N385" s="14">
        <f>IFERROR(VLOOKUP(G385,Sell!G:L,2,0),0)</f>
        <v>0</v>
      </c>
      <c r="O385" s="13">
        <f>IFERROR(VLOOKUP(G385,Sell!G:L,6,0),0)</f>
        <v>0</v>
      </c>
      <c r="P385" s="14">
        <f t="shared" si="35"/>
        <v>0</v>
      </c>
      <c r="Q385" s="13">
        <f t="shared" si="37"/>
        <v>0</v>
      </c>
      <c r="R385" s="13">
        <f t="shared" si="38"/>
        <v>0</v>
      </c>
      <c r="S385" s="13">
        <f t="shared" si="39"/>
        <v>0</v>
      </c>
      <c r="T385" s="13">
        <f t="shared" si="40"/>
        <v>0</v>
      </c>
      <c r="U385" s="15" t="str">
        <f t="shared" si="41"/>
        <v/>
      </c>
    </row>
    <row r="386" spans="12:21" x14ac:dyDescent="0.25">
      <c r="L386" s="20">
        <f t="shared" si="36"/>
        <v>0</v>
      </c>
      <c r="M386" s="14" t="e">
        <f>VLOOKUP(G386,Sell!G:L,1,0)</f>
        <v>#N/A</v>
      </c>
      <c r="N386" s="14">
        <f>IFERROR(VLOOKUP(G386,Sell!G:L,2,0),0)</f>
        <v>0</v>
      </c>
      <c r="O386" s="13">
        <f>IFERROR(VLOOKUP(G386,Sell!G:L,6,0),0)</f>
        <v>0</v>
      </c>
      <c r="P386" s="14">
        <f t="shared" si="35"/>
        <v>0</v>
      </c>
      <c r="Q386" s="13">
        <f t="shared" si="37"/>
        <v>0</v>
      </c>
      <c r="R386" s="13">
        <f t="shared" si="38"/>
        <v>0</v>
      </c>
      <c r="S386" s="13">
        <f t="shared" si="39"/>
        <v>0</v>
      </c>
      <c r="T386" s="13">
        <f t="shared" si="40"/>
        <v>0</v>
      </c>
      <c r="U386" s="15" t="str">
        <f t="shared" si="41"/>
        <v/>
      </c>
    </row>
    <row r="387" spans="12:21" x14ac:dyDescent="0.25">
      <c r="L387" s="20">
        <f t="shared" si="36"/>
        <v>0</v>
      </c>
      <c r="M387" s="14" t="e">
        <f>VLOOKUP(G387,Sell!G:L,1,0)</f>
        <v>#N/A</v>
      </c>
      <c r="N387" s="14">
        <f>IFERROR(VLOOKUP(G387,Sell!G:L,2,0),0)</f>
        <v>0</v>
      </c>
      <c r="O387" s="13">
        <f>IFERROR(VLOOKUP(G387,Sell!G:L,6,0),0)</f>
        <v>0</v>
      </c>
      <c r="P387" s="14">
        <f t="shared" si="35"/>
        <v>0</v>
      </c>
      <c r="Q387" s="13">
        <f t="shared" si="37"/>
        <v>0</v>
      </c>
      <c r="R387" s="13">
        <f t="shared" si="38"/>
        <v>0</v>
      </c>
      <c r="S387" s="13">
        <f t="shared" si="39"/>
        <v>0</v>
      </c>
      <c r="T387" s="13">
        <f t="shared" si="40"/>
        <v>0</v>
      </c>
      <c r="U387" s="15" t="str">
        <f t="shared" si="41"/>
        <v/>
      </c>
    </row>
    <row r="388" spans="12:21" x14ac:dyDescent="0.25">
      <c r="L388" s="20">
        <f t="shared" si="36"/>
        <v>0</v>
      </c>
      <c r="M388" s="14" t="e">
        <f>VLOOKUP(G388,Sell!G:L,1,0)</f>
        <v>#N/A</v>
      </c>
      <c r="N388" s="14">
        <f>IFERROR(VLOOKUP(G388,Sell!G:L,2,0),0)</f>
        <v>0</v>
      </c>
      <c r="O388" s="13">
        <f>IFERROR(VLOOKUP(G388,Sell!G:L,6,0),0)</f>
        <v>0</v>
      </c>
      <c r="P388" s="14">
        <f t="shared" si="35"/>
        <v>0</v>
      </c>
      <c r="Q388" s="13">
        <f t="shared" si="37"/>
        <v>0</v>
      </c>
      <c r="R388" s="13">
        <f t="shared" si="38"/>
        <v>0</v>
      </c>
      <c r="S388" s="13">
        <f t="shared" si="39"/>
        <v>0</v>
      </c>
      <c r="T388" s="13">
        <f t="shared" si="40"/>
        <v>0</v>
      </c>
      <c r="U388" s="15" t="str">
        <f t="shared" si="41"/>
        <v/>
      </c>
    </row>
    <row r="389" spans="12:21" x14ac:dyDescent="0.25">
      <c r="L389" s="20">
        <f t="shared" si="36"/>
        <v>0</v>
      </c>
      <c r="M389" s="14" t="e">
        <f>VLOOKUP(G389,Sell!G:L,1,0)</f>
        <v>#N/A</v>
      </c>
      <c r="N389" s="14">
        <f>IFERROR(VLOOKUP(G389,Sell!G:L,2,0),0)</f>
        <v>0</v>
      </c>
      <c r="O389" s="13">
        <f>IFERROR(VLOOKUP(G389,Sell!G:L,6,0),0)</f>
        <v>0</v>
      </c>
      <c r="P389" s="14">
        <f t="shared" si="35"/>
        <v>0</v>
      </c>
      <c r="Q389" s="13">
        <f t="shared" si="37"/>
        <v>0</v>
      </c>
      <c r="R389" s="13">
        <f t="shared" si="38"/>
        <v>0</v>
      </c>
      <c r="S389" s="13">
        <f t="shared" si="39"/>
        <v>0</v>
      </c>
      <c r="T389" s="13">
        <f t="shared" si="40"/>
        <v>0</v>
      </c>
      <c r="U389" s="15" t="str">
        <f t="shared" si="41"/>
        <v/>
      </c>
    </row>
    <row r="390" spans="12:21" x14ac:dyDescent="0.25">
      <c r="L390" s="20">
        <f t="shared" si="36"/>
        <v>0</v>
      </c>
      <c r="M390" s="14" t="e">
        <f>VLOOKUP(G390,Sell!G:L,1,0)</f>
        <v>#N/A</v>
      </c>
      <c r="N390" s="14">
        <f>IFERROR(VLOOKUP(G390,Sell!G:L,2,0),0)</f>
        <v>0</v>
      </c>
      <c r="O390" s="13">
        <f>IFERROR(VLOOKUP(G390,Sell!G:L,6,0),0)</f>
        <v>0</v>
      </c>
      <c r="P390" s="14">
        <f t="shared" si="35"/>
        <v>0</v>
      </c>
      <c r="Q390" s="13">
        <f t="shared" si="37"/>
        <v>0</v>
      </c>
      <c r="R390" s="13">
        <f t="shared" si="38"/>
        <v>0</v>
      </c>
      <c r="S390" s="13">
        <f t="shared" si="39"/>
        <v>0</v>
      </c>
      <c r="T390" s="13">
        <f t="shared" si="40"/>
        <v>0</v>
      </c>
      <c r="U390" s="15" t="str">
        <f t="shared" si="41"/>
        <v/>
      </c>
    </row>
    <row r="391" spans="12:21" x14ac:dyDescent="0.25">
      <c r="L391" s="20">
        <f t="shared" si="36"/>
        <v>0</v>
      </c>
      <c r="M391" s="14" t="e">
        <f>VLOOKUP(G391,Sell!G:L,1,0)</f>
        <v>#N/A</v>
      </c>
      <c r="N391" s="14">
        <f>IFERROR(VLOOKUP(G391,Sell!G:L,2,0),0)</f>
        <v>0</v>
      </c>
      <c r="O391" s="13">
        <f>IFERROR(VLOOKUP(G391,Sell!G:L,6,0),0)</f>
        <v>0</v>
      </c>
      <c r="P391" s="14">
        <f t="shared" si="35"/>
        <v>0</v>
      </c>
      <c r="Q391" s="13">
        <f t="shared" si="37"/>
        <v>0</v>
      </c>
      <c r="R391" s="13">
        <f t="shared" si="38"/>
        <v>0</v>
      </c>
      <c r="S391" s="13">
        <f t="shared" si="39"/>
        <v>0</v>
      </c>
      <c r="T391" s="13">
        <f t="shared" si="40"/>
        <v>0</v>
      </c>
      <c r="U391" s="15" t="str">
        <f t="shared" si="41"/>
        <v/>
      </c>
    </row>
    <row r="392" spans="12:21" x14ac:dyDescent="0.25">
      <c r="L392" s="20">
        <f t="shared" si="36"/>
        <v>0</v>
      </c>
      <c r="M392" s="14" t="e">
        <f>VLOOKUP(G392,Sell!G:L,1,0)</f>
        <v>#N/A</v>
      </c>
      <c r="N392" s="14">
        <f>IFERROR(VLOOKUP(G392,Sell!G:L,2,0),0)</f>
        <v>0</v>
      </c>
      <c r="O392" s="13">
        <f>IFERROR(VLOOKUP(G392,Sell!G:L,6,0),0)</f>
        <v>0</v>
      </c>
      <c r="P392" s="14">
        <f t="shared" si="35"/>
        <v>0</v>
      </c>
      <c r="Q392" s="13">
        <f t="shared" si="37"/>
        <v>0</v>
      </c>
      <c r="R392" s="13">
        <f t="shared" si="38"/>
        <v>0</v>
      </c>
      <c r="S392" s="13">
        <f t="shared" si="39"/>
        <v>0</v>
      </c>
      <c r="T392" s="13">
        <f t="shared" si="40"/>
        <v>0</v>
      </c>
      <c r="U392" s="15" t="str">
        <f t="shared" si="41"/>
        <v/>
      </c>
    </row>
    <row r="393" spans="12:21" x14ac:dyDescent="0.25">
      <c r="L393" s="20">
        <f t="shared" si="36"/>
        <v>0</v>
      </c>
      <c r="M393" s="14" t="e">
        <f>VLOOKUP(G393,Sell!G:L,1,0)</f>
        <v>#N/A</v>
      </c>
      <c r="N393" s="14">
        <f>IFERROR(VLOOKUP(G393,Sell!G:L,2,0),0)</f>
        <v>0</v>
      </c>
      <c r="O393" s="13">
        <f>IFERROR(VLOOKUP(G393,Sell!G:L,6,0),0)</f>
        <v>0</v>
      </c>
      <c r="P393" s="14">
        <f t="shared" si="35"/>
        <v>0</v>
      </c>
      <c r="Q393" s="13">
        <f t="shared" si="37"/>
        <v>0</v>
      </c>
      <c r="R393" s="13">
        <f t="shared" si="38"/>
        <v>0</v>
      </c>
      <c r="S393" s="13">
        <f t="shared" si="39"/>
        <v>0</v>
      </c>
      <c r="T393" s="13">
        <f t="shared" si="40"/>
        <v>0</v>
      </c>
      <c r="U393" s="15" t="str">
        <f t="shared" si="41"/>
        <v/>
      </c>
    </row>
    <row r="394" spans="12:21" x14ac:dyDescent="0.25">
      <c r="L394" s="20">
        <f t="shared" si="36"/>
        <v>0</v>
      </c>
      <c r="M394" s="14" t="e">
        <f>VLOOKUP(G394,Sell!G:L,1,0)</f>
        <v>#N/A</v>
      </c>
      <c r="N394" s="14">
        <f>IFERROR(VLOOKUP(G394,Sell!G:L,2,0),0)</f>
        <v>0</v>
      </c>
      <c r="O394" s="13">
        <f>IFERROR(VLOOKUP(G394,Sell!G:L,6,0),0)</f>
        <v>0</v>
      </c>
      <c r="P394" s="14">
        <f t="shared" ref="P394:P457" si="42">H394-N394</f>
        <v>0</v>
      </c>
      <c r="Q394" s="13">
        <f t="shared" si="37"/>
        <v>0</v>
      </c>
      <c r="R394" s="13">
        <f t="shared" si="38"/>
        <v>0</v>
      </c>
      <c r="S394" s="13">
        <f t="shared" si="39"/>
        <v>0</v>
      </c>
      <c r="T394" s="13">
        <f t="shared" si="40"/>
        <v>0</v>
      </c>
      <c r="U394" s="15" t="str">
        <f t="shared" si="41"/>
        <v/>
      </c>
    </row>
    <row r="395" spans="12:21" x14ac:dyDescent="0.25">
      <c r="L395" s="20">
        <f t="shared" ref="L395:L458" si="43">J395+K395</f>
        <v>0</v>
      </c>
      <c r="M395" s="14" t="e">
        <f>VLOOKUP(G395,Sell!G:L,1,0)</f>
        <v>#N/A</v>
      </c>
      <c r="N395" s="14">
        <f>IFERROR(VLOOKUP(G395,Sell!G:L,2,0),0)</f>
        <v>0</v>
      </c>
      <c r="O395" s="13">
        <f>IFERROR(VLOOKUP(G395,Sell!G:L,6,0),0)</f>
        <v>0</v>
      </c>
      <c r="P395" s="14">
        <f t="shared" si="42"/>
        <v>0</v>
      </c>
      <c r="Q395" s="13">
        <f t="shared" ref="Q395:Q458" si="44">O395-L395</f>
        <v>0</v>
      </c>
      <c r="R395" s="13">
        <f t="shared" ref="R395:R458" si="45">IF(P395=0,Q395,0)</f>
        <v>0</v>
      </c>
      <c r="S395" s="13">
        <f t="shared" ref="S395:S458" si="46">IF(R395&gt;0,R395,0)</f>
        <v>0</v>
      </c>
      <c r="T395" s="13">
        <f t="shared" ref="T395:T458" si="47">IF(R395&gt;0,0,R395)</f>
        <v>0</v>
      </c>
      <c r="U395" s="15" t="str">
        <f t="shared" ref="U395:U458" si="48">IF(AND(LEN(G395)&gt;0,R395=0),"Open","")</f>
        <v/>
      </c>
    </row>
    <row r="396" spans="12:21" x14ac:dyDescent="0.25">
      <c r="L396" s="20">
        <f t="shared" si="43"/>
        <v>0</v>
      </c>
      <c r="M396" s="14" t="e">
        <f>VLOOKUP(G396,Sell!G:L,1,0)</f>
        <v>#N/A</v>
      </c>
      <c r="N396" s="14">
        <f>IFERROR(VLOOKUP(G396,Sell!G:L,2,0),0)</f>
        <v>0</v>
      </c>
      <c r="O396" s="13">
        <f>IFERROR(VLOOKUP(G396,Sell!G:L,6,0),0)</f>
        <v>0</v>
      </c>
      <c r="P396" s="14">
        <f t="shared" si="42"/>
        <v>0</v>
      </c>
      <c r="Q396" s="13">
        <f t="shared" si="44"/>
        <v>0</v>
      </c>
      <c r="R396" s="13">
        <f t="shared" si="45"/>
        <v>0</v>
      </c>
      <c r="S396" s="13">
        <f t="shared" si="46"/>
        <v>0</v>
      </c>
      <c r="T396" s="13">
        <f t="shared" si="47"/>
        <v>0</v>
      </c>
      <c r="U396" s="15" t="str">
        <f t="shared" si="48"/>
        <v/>
      </c>
    </row>
    <row r="397" spans="12:21" x14ac:dyDescent="0.25">
      <c r="L397" s="20">
        <f t="shared" si="43"/>
        <v>0</v>
      </c>
      <c r="M397" s="14" t="e">
        <f>VLOOKUP(G397,Sell!G:L,1,0)</f>
        <v>#N/A</v>
      </c>
      <c r="N397" s="14">
        <f>IFERROR(VLOOKUP(G397,Sell!G:L,2,0),0)</f>
        <v>0</v>
      </c>
      <c r="O397" s="13">
        <f>IFERROR(VLOOKUP(G397,Sell!G:L,6,0),0)</f>
        <v>0</v>
      </c>
      <c r="P397" s="14">
        <f t="shared" si="42"/>
        <v>0</v>
      </c>
      <c r="Q397" s="13">
        <f t="shared" si="44"/>
        <v>0</v>
      </c>
      <c r="R397" s="13">
        <f t="shared" si="45"/>
        <v>0</v>
      </c>
      <c r="S397" s="13">
        <f t="shared" si="46"/>
        <v>0</v>
      </c>
      <c r="T397" s="13">
        <f t="shared" si="47"/>
        <v>0</v>
      </c>
      <c r="U397" s="15" t="str">
        <f t="shared" si="48"/>
        <v/>
      </c>
    </row>
    <row r="398" spans="12:21" x14ac:dyDescent="0.25">
      <c r="L398" s="20">
        <f t="shared" si="43"/>
        <v>0</v>
      </c>
      <c r="M398" s="14" t="e">
        <f>VLOOKUP(G398,Sell!G:L,1,0)</f>
        <v>#N/A</v>
      </c>
      <c r="N398" s="14">
        <f>IFERROR(VLOOKUP(G398,Sell!G:L,2,0),0)</f>
        <v>0</v>
      </c>
      <c r="O398" s="13">
        <f>IFERROR(VLOOKUP(G398,Sell!G:L,6,0),0)</f>
        <v>0</v>
      </c>
      <c r="P398" s="14">
        <f t="shared" si="42"/>
        <v>0</v>
      </c>
      <c r="Q398" s="13">
        <f t="shared" si="44"/>
        <v>0</v>
      </c>
      <c r="R398" s="13">
        <f t="shared" si="45"/>
        <v>0</v>
      </c>
      <c r="S398" s="13">
        <f t="shared" si="46"/>
        <v>0</v>
      </c>
      <c r="T398" s="13">
        <f t="shared" si="47"/>
        <v>0</v>
      </c>
      <c r="U398" s="15" t="str">
        <f t="shared" si="48"/>
        <v/>
      </c>
    </row>
    <row r="399" spans="12:21" x14ac:dyDescent="0.25">
      <c r="L399" s="20">
        <f t="shared" si="43"/>
        <v>0</v>
      </c>
      <c r="M399" s="14" t="e">
        <f>VLOOKUP(G399,Sell!G:L,1,0)</f>
        <v>#N/A</v>
      </c>
      <c r="N399" s="14">
        <f>IFERROR(VLOOKUP(G399,Sell!G:L,2,0),0)</f>
        <v>0</v>
      </c>
      <c r="O399" s="13">
        <f>IFERROR(VLOOKUP(G399,Sell!G:L,6,0),0)</f>
        <v>0</v>
      </c>
      <c r="P399" s="14">
        <f t="shared" si="42"/>
        <v>0</v>
      </c>
      <c r="Q399" s="13">
        <f t="shared" si="44"/>
        <v>0</v>
      </c>
      <c r="R399" s="13">
        <f t="shared" si="45"/>
        <v>0</v>
      </c>
      <c r="S399" s="13">
        <f t="shared" si="46"/>
        <v>0</v>
      </c>
      <c r="T399" s="13">
        <f t="shared" si="47"/>
        <v>0</v>
      </c>
      <c r="U399" s="15" t="str">
        <f t="shared" si="48"/>
        <v/>
      </c>
    </row>
    <row r="400" spans="12:21" x14ac:dyDescent="0.25">
      <c r="L400" s="20">
        <f t="shared" si="43"/>
        <v>0</v>
      </c>
      <c r="M400" s="14" t="e">
        <f>VLOOKUP(G400,Sell!G:L,1,0)</f>
        <v>#N/A</v>
      </c>
      <c r="N400" s="14">
        <f>IFERROR(VLOOKUP(G400,Sell!G:L,2,0),0)</f>
        <v>0</v>
      </c>
      <c r="O400" s="13">
        <f>IFERROR(VLOOKUP(G400,Sell!G:L,6,0),0)</f>
        <v>0</v>
      </c>
      <c r="P400" s="14">
        <f t="shared" si="42"/>
        <v>0</v>
      </c>
      <c r="Q400" s="13">
        <f t="shared" si="44"/>
        <v>0</v>
      </c>
      <c r="R400" s="13">
        <f t="shared" si="45"/>
        <v>0</v>
      </c>
      <c r="S400" s="13">
        <f t="shared" si="46"/>
        <v>0</v>
      </c>
      <c r="T400" s="13">
        <f t="shared" si="47"/>
        <v>0</v>
      </c>
      <c r="U400" s="15" t="str">
        <f t="shared" si="48"/>
        <v/>
      </c>
    </row>
    <row r="401" spans="12:21" x14ac:dyDescent="0.25">
      <c r="L401" s="20">
        <f t="shared" si="43"/>
        <v>0</v>
      </c>
      <c r="M401" s="14" t="e">
        <f>VLOOKUP(G401,Sell!G:L,1,0)</f>
        <v>#N/A</v>
      </c>
      <c r="N401" s="14">
        <f>IFERROR(VLOOKUP(G401,Sell!G:L,2,0),0)</f>
        <v>0</v>
      </c>
      <c r="O401" s="13">
        <f>IFERROR(VLOOKUP(G401,Sell!G:L,6,0),0)</f>
        <v>0</v>
      </c>
      <c r="P401" s="14">
        <f t="shared" si="42"/>
        <v>0</v>
      </c>
      <c r="Q401" s="13">
        <f t="shared" si="44"/>
        <v>0</v>
      </c>
      <c r="R401" s="13">
        <f t="shared" si="45"/>
        <v>0</v>
      </c>
      <c r="S401" s="13">
        <f t="shared" si="46"/>
        <v>0</v>
      </c>
      <c r="T401" s="13">
        <f t="shared" si="47"/>
        <v>0</v>
      </c>
      <c r="U401" s="15" t="str">
        <f t="shared" si="48"/>
        <v/>
      </c>
    </row>
    <row r="402" spans="12:21" x14ac:dyDescent="0.25">
      <c r="L402" s="20">
        <f t="shared" si="43"/>
        <v>0</v>
      </c>
      <c r="M402" s="14" t="e">
        <f>VLOOKUP(G402,Sell!G:L,1,0)</f>
        <v>#N/A</v>
      </c>
      <c r="N402" s="14">
        <f>IFERROR(VLOOKUP(G402,Sell!G:L,2,0),0)</f>
        <v>0</v>
      </c>
      <c r="O402" s="13">
        <f>IFERROR(VLOOKUP(G402,Sell!G:L,6,0),0)</f>
        <v>0</v>
      </c>
      <c r="P402" s="14">
        <f t="shared" si="42"/>
        <v>0</v>
      </c>
      <c r="Q402" s="13">
        <f t="shared" si="44"/>
        <v>0</v>
      </c>
      <c r="R402" s="13">
        <f t="shared" si="45"/>
        <v>0</v>
      </c>
      <c r="S402" s="13">
        <f t="shared" si="46"/>
        <v>0</v>
      </c>
      <c r="T402" s="13">
        <f t="shared" si="47"/>
        <v>0</v>
      </c>
      <c r="U402" s="15" t="str">
        <f t="shared" si="48"/>
        <v/>
      </c>
    </row>
    <row r="403" spans="12:21" x14ac:dyDescent="0.25">
      <c r="L403" s="20">
        <f t="shared" si="43"/>
        <v>0</v>
      </c>
      <c r="M403" s="14" t="e">
        <f>VLOOKUP(G403,Sell!G:L,1,0)</f>
        <v>#N/A</v>
      </c>
      <c r="N403" s="14">
        <f>IFERROR(VLOOKUP(G403,Sell!G:L,2,0),0)</f>
        <v>0</v>
      </c>
      <c r="O403" s="13">
        <f>IFERROR(VLOOKUP(G403,Sell!G:L,6,0),0)</f>
        <v>0</v>
      </c>
      <c r="P403" s="14">
        <f t="shared" si="42"/>
        <v>0</v>
      </c>
      <c r="Q403" s="13">
        <f t="shared" si="44"/>
        <v>0</v>
      </c>
      <c r="R403" s="13">
        <f t="shared" si="45"/>
        <v>0</v>
      </c>
      <c r="S403" s="13">
        <f t="shared" si="46"/>
        <v>0</v>
      </c>
      <c r="T403" s="13">
        <f t="shared" si="47"/>
        <v>0</v>
      </c>
      <c r="U403" s="15" t="str">
        <f t="shared" si="48"/>
        <v/>
      </c>
    </row>
    <row r="404" spans="12:21" x14ac:dyDescent="0.25">
      <c r="L404" s="20">
        <f t="shared" si="43"/>
        <v>0</v>
      </c>
      <c r="M404" s="14" t="e">
        <f>VLOOKUP(G404,Sell!G:L,1,0)</f>
        <v>#N/A</v>
      </c>
      <c r="N404" s="14">
        <f>IFERROR(VLOOKUP(G404,Sell!G:L,2,0),0)</f>
        <v>0</v>
      </c>
      <c r="O404" s="13">
        <f>IFERROR(VLOOKUP(G404,Sell!G:L,6,0),0)</f>
        <v>0</v>
      </c>
      <c r="P404" s="14">
        <f t="shared" si="42"/>
        <v>0</v>
      </c>
      <c r="Q404" s="13">
        <f t="shared" si="44"/>
        <v>0</v>
      </c>
      <c r="R404" s="13">
        <f t="shared" si="45"/>
        <v>0</v>
      </c>
      <c r="S404" s="13">
        <f t="shared" si="46"/>
        <v>0</v>
      </c>
      <c r="T404" s="13">
        <f t="shared" si="47"/>
        <v>0</v>
      </c>
      <c r="U404" s="15" t="str">
        <f t="shared" si="48"/>
        <v/>
      </c>
    </row>
    <row r="405" spans="12:21" x14ac:dyDescent="0.25">
      <c r="L405" s="20">
        <f t="shared" si="43"/>
        <v>0</v>
      </c>
      <c r="M405" s="14" t="e">
        <f>VLOOKUP(G405,Sell!G:L,1,0)</f>
        <v>#N/A</v>
      </c>
      <c r="N405" s="14">
        <f>IFERROR(VLOOKUP(G405,Sell!G:L,2,0),0)</f>
        <v>0</v>
      </c>
      <c r="O405" s="13">
        <f>IFERROR(VLOOKUP(G405,Sell!G:L,6,0),0)</f>
        <v>0</v>
      </c>
      <c r="P405" s="14">
        <f t="shared" si="42"/>
        <v>0</v>
      </c>
      <c r="Q405" s="13">
        <f t="shared" si="44"/>
        <v>0</v>
      </c>
      <c r="R405" s="13">
        <f t="shared" si="45"/>
        <v>0</v>
      </c>
      <c r="S405" s="13">
        <f t="shared" si="46"/>
        <v>0</v>
      </c>
      <c r="T405" s="13">
        <f t="shared" si="47"/>
        <v>0</v>
      </c>
      <c r="U405" s="15" t="str">
        <f t="shared" si="48"/>
        <v/>
      </c>
    </row>
    <row r="406" spans="12:21" x14ac:dyDescent="0.25">
      <c r="L406" s="20">
        <f t="shared" si="43"/>
        <v>0</v>
      </c>
      <c r="M406" s="14" t="e">
        <f>VLOOKUP(G406,Sell!G:L,1,0)</f>
        <v>#N/A</v>
      </c>
      <c r="N406" s="14">
        <f>IFERROR(VLOOKUP(G406,Sell!G:L,2,0),0)</f>
        <v>0</v>
      </c>
      <c r="O406" s="13">
        <f>IFERROR(VLOOKUP(G406,Sell!G:L,6,0),0)</f>
        <v>0</v>
      </c>
      <c r="P406" s="14">
        <f t="shared" si="42"/>
        <v>0</v>
      </c>
      <c r="Q406" s="13">
        <f t="shared" si="44"/>
        <v>0</v>
      </c>
      <c r="R406" s="13">
        <f t="shared" si="45"/>
        <v>0</v>
      </c>
      <c r="S406" s="13">
        <f t="shared" si="46"/>
        <v>0</v>
      </c>
      <c r="T406" s="13">
        <f t="shared" si="47"/>
        <v>0</v>
      </c>
      <c r="U406" s="15" t="str">
        <f t="shared" si="48"/>
        <v/>
      </c>
    </row>
    <row r="407" spans="12:21" x14ac:dyDescent="0.25">
      <c r="L407" s="20">
        <f t="shared" si="43"/>
        <v>0</v>
      </c>
      <c r="M407" s="14" t="e">
        <f>VLOOKUP(G407,Sell!G:L,1,0)</f>
        <v>#N/A</v>
      </c>
      <c r="N407" s="14">
        <f>IFERROR(VLOOKUP(G407,Sell!G:L,2,0),0)</f>
        <v>0</v>
      </c>
      <c r="O407" s="13">
        <f>IFERROR(VLOOKUP(G407,Sell!G:L,6,0),0)</f>
        <v>0</v>
      </c>
      <c r="P407" s="14">
        <f t="shared" si="42"/>
        <v>0</v>
      </c>
      <c r="Q407" s="13">
        <f t="shared" si="44"/>
        <v>0</v>
      </c>
      <c r="R407" s="13">
        <f t="shared" si="45"/>
        <v>0</v>
      </c>
      <c r="S407" s="13">
        <f t="shared" si="46"/>
        <v>0</v>
      </c>
      <c r="T407" s="13">
        <f t="shared" si="47"/>
        <v>0</v>
      </c>
      <c r="U407" s="15" t="str">
        <f t="shared" si="48"/>
        <v/>
      </c>
    </row>
    <row r="408" spans="12:21" x14ac:dyDescent="0.25">
      <c r="L408" s="20">
        <f t="shared" si="43"/>
        <v>0</v>
      </c>
      <c r="M408" s="14" t="e">
        <f>VLOOKUP(G408,Sell!G:L,1,0)</f>
        <v>#N/A</v>
      </c>
      <c r="N408" s="14">
        <f>IFERROR(VLOOKUP(G408,Sell!G:L,2,0),0)</f>
        <v>0</v>
      </c>
      <c r="O408" s="13">
        <f>IFERROR(VLOOKUP(G408,Sell!G:L,6,0),0)</f>
        <v>0</v>
      </c>
      <c r="P408" s="14">
        <f t="shared" si="42"/>
        <v>0</v>
      </c>
      <c r="Q408" s="13">
        <f t="shared" si="44"/>
        <v>0</v>
      </c>
      <c r="R408" s="13">
        <f t="shared" si="45"/>
        <v>0</v>
      </c>
      <c r="S408" s="13">
        <f t="shared" si="46"/>
        <v>0</v>
      </c>
      <c r="T408" s="13">
        <f t="shared" si="47"/>
        <v>0</v>
      </c>
      <c r="U408" s="15" t="str">
        <f t="shared" si="48"/>
        <v/>
      </c>
    </row>
    <row r="409" spans="12:21" x14ac:dyDescent="0.25">
      <c r="L409" s="20">
        <f t="shared" si="43"/>
        <v>0</v>
      </c>
      <c r="M409" s="14" t="e">
        <f>VLOOKUP(G409,Sell!G:L,1,0)</f>
        <v>#N/A</v>
      </c>
      <c r="N409" s="14">
        <f>IFERROR(VLOOKUP(G409,Sell!G:L,2,0),0)</f>
        <v>0</v>
      </c>
      <c r="O409" s="13">
        <f>IFERROR(VLOOKUP(G409,Sell!G:L,6,0),0)</f>
        <v>0</v>
      </c>
      <c r="P409" s="14">
        <f t="shared" si="42"/>
        <v>0</v>
      </c>
      <c r="Q409" s="13">
        <f t="shared" si="44"/>
        <v>0</v>
      </c>
      <c r="R409" s="13">
        <f t="shared" si="45"/>
        <v>0</v>
      </c>
      <c r="S409" s="13">
        <f t="shared" si="46"/>
        <v>0</v>
      </c>
      <c r="T409" s="13">
        <f t="shared" si="47"/>
        <v>0</v>
      </c>
      <c r="U409" s="15" t="str">
        <f t="shared" si="48"/>
        <v/>
      </c>
    </row>
    <row r="410" spans="12:21" x14ac:dyDescent="0.25">
      <c r="L410" s="20">
        <f t="shared" si="43"/>
        <v>0</v>
      </c>
      <c r="M410" s="14" t="e">
        <f>VLOOKUP(G410,Sell!G:L,1,0)</f>
        <v>#N/A</v>
      </c>
      <c r="N410" s="14">
        <f>IFERROR(VLOOKUP(G410,Sell!G:L,2,0),0)</f>
        <v>0</v>
      </c>
      <c r="O410" s="13">
        <f>IFERROR(VLOOKUP(G410,Sell!G:L,6,0),0)</f>
        <v>0</v>
      </c>
      <c r="P410" s="14">
        <f t="shared" si="42"/>
        <v>0</v>
      </c>
      <c r="Q410" s="13">
        <f t="shared" si="44"/>
        <v>0</v>
      </c>
      <c r="R410" s="13">
        <f t="shared" si="45"/>
        <v>0</v>
      </c>
      <c r="S410" s="13">
        <f t="shared" si="46"/>
        <v>0</v>
      </c>
      <c r="T410" s="13">
        <f t="shared" si="47"/>
        <v>0</v>
      </c>
      <c r="U410" s="15" t="str">
        <f t="shared" si="48"/>
        <v/>
      </c>
    </row>
    <row r="411" spans="12:21" x14ac:dyDescent="0.25">
      <c r="L411" s="20">
        <f t="shared" si="43"/>
        <v>0</v>
      </c>
      <c r="M411" s="14" t="e">
        <f>VLOOKUP(G411,Sell!G:L,1,0)</f>
        <v>#N/A</v>
      </c>
      <c r="N411" s="14">
        <f>IFERROR(VLOOKUP(G411,Sell!G:L,2,0),0)</f>
        <v>0</v>
      </c>
      <c r="O411" s="13">
        <f>IFERROR(VLOOKUP(G411,Sell!G:L,6,0),0)</f>
        <v>0</v>
      </c>
      <c r="P411" s="14">
        <f t="shared" si="42"/>
        <v>0</v>
      </c>
      <c r="Q411" s="13">
        <f t="shared" si="44"/>
        <v>0</v>
      </c>
      <c r="R411" s="13">
        <f t="shared" si="45"/>
        <v>0</v>
      </c>
      <c r="S411" s="13">
        <f t="shared" si="46"/>
        <v>0</v>
      </c>
      <c r="T411" s="13">
        <f t="shared" si="47"/>
        <v>0</v>
      </c>
      <c r="U411" s="15" t="str">
        <f t="shared" si="48"/>
        <v/>
      </c>
    </row>
    <row r="412" spans="12:21" x14ac:dyDescent="0.25">
      <c r="L412" s="20">
        <f t="shared" si="43"/>
        <v>0</v>
      </c>
      <c r="M412" s="14" t="e">
        <f>VLOOKUP(G412,Sell!G:L,1,0)</f>
        <v>#N/A</v>
      </c>
      <c r="N412" s="14">
        <f>IFERROR(VLOOKUP(G412,Sell!G:L,2,0),0)</f>
        <v>0</v>
      </c>
      <c r="O412" s="13">
        <f>IFERROR(VLOOKUP(G412,Sell!G:L,6,0),0)</f>
        <v>0</v>
      </c>
      <c r="P412" s="14">
        <f t="shared" si="42"/>
        <v>0</v>
      </c>
      <c r="Q412" s="13">
        <f t="shared" si="44"/>
        <v>0</v>
      </c>
      <c r="R412" s="13">
        <f t="shared" si="45"/>
        <v>0</v>
      </c>
      <c r="S412" s="13">
        <f t="shared" si="46"/>
        <v>0</v>
      </c>
      <c r="T412" s="13">
        <f t="shared" si="47"/>
        <v>0</v>
      </c>
      <c r="U412" s="15" t="str">
        <f t="shared" si="48"/>
        <v/>
      </c>
    </row>
    <row r="413" spans="12:21" x14ac:dyDescent="0.25">
      <c r="L413" s="20">
        <f t="shared" si="43"/>
        <v>0</v>
      </c>
      <c r="M413" s="14" t="e">
        <f>VLOOKUP(G413,Sell!G:L,1,0)</f>
        <v>#N/A</v>
      </c>
      <c r="N413" s="14">
        <f>IFERROR(VLOOKUP(G413,Sell!G:L,2,0),0)</f>
        <v>0</v>
      </c>
      <c r="O413" s="13">
        <f>IFERROR(VLOOKUP(G413,Sell!G:L,6,0),0)</f>
        <v>0</v>
      </c>
      <c r="P413" s="14">
        <f t="shared" si="42"/>
        <v>0</v>
      </c>
      <c r="Q413" s="13">
        <f t="shared" si="44"/>
        <v>0</v>
      </c>
      <c r="R413" s="13">
        <f t="shared" si="45"/>
        <v>0</v>
      </c>
      <c r="S413" s="13">
        <f t="shared" si="46"/>
        <v>0</v>
      </c>
      <c r="T413" s="13">
        <f t="shared" si="47"/>
        <v>0</v>
      </c>
      <c r="U413" s="15" t="str">
        <f t="shared" si="48"/>
        <v/>
      </c>
    </row>
    <row r="414" spans="12:21" x14ac:dyDescent="0.25">
      <c r="L414" s="20">
        <f t="shared" si="43"/>
        <v>0</v>
      </c>
      <c r="M414" s="14" t="e">
        <f>VLOOKUP(G414,Sell!G:L,1,0)</f>
        <v>#N/A</v>
      </c>
      <c r="N414" s="14">
        <f>IFERROR(VLOOKUP(G414,Sell!G:L,2,0),0)</f>
        <v>0</v>
      </c>
      <c r="O414" s="13">
        <f>IFERROR(VLOOKUP(G414,Sell!G:L,6,0),0)</f>
        <v>0</v>
      </c>
      <c r="P414" s="14">
        <f t="shared" si="42"/>
        <v>0</v>
      </c>
      <c r="Q414" s="13">
        <f t="shared" si="44"/>
        <v>0</v>
      </c>
      <c r="R414" s="13">
        <f t="shared" si="45"/>
        <v>0</v>
      </c>
      <c r="S414" s="13">
        <f t="shared" si="46"/>
        <v>0</v>
      </c>
      <c r="T414" s="13">
        <f t="shared" si="47"/>
        <v>0</v>
      </c>
      <c r="U414" s="15" t="str">
        <f t="shared" si="48"/>
        <v/>
      </c>
    </row>
    <row r="415" spans="12:21" x14ac:dyDescent="0.25">
      <c r="L415" s="20">
        <f t="shared" si="43"/>
        <v>0</v>
      </c>
      <c r="M415" s="14" t="e">
        <f>VLOOKUP(G415,Sell!G:L,1,0)</f>
        <v>#N/A</v>
      </c>
      <c r="N415" s="14">
        <f>IFERROR(VLOOKUP(G415,Sell!G:L,2,0),0)</f>
        <v>0</v>
      </c>
      <c r="O415" s="13">
        <f>IFERROR(VLOOKUP(G415,Sell!G:L,6,0),0)</f>
        <v>0</v>
      </c>
      <c r="P415" s="14">
        <f t="shared" si="42"/>
        <v>0</v>
      </c>
      <c r="Q415" s="13">
        <f t="shared" si="44"/>
        <v>0</v>
      </c>
      <c r="R415" s="13">
        <f t="shared" si="45"/>
        <v>0</v>
      </c>
      <c r="S415" s="13">
        <f t="shared" si="46"/>
        <v>0</v>
      </c>
      <c r="T415" s="13">
        <f t="shared" si="47"/>
        <v>0</v>
      </c>
      <c r="U415" s="15" t="str">
        <f t="shared" si="48"/>
        <v/>
      </c>
    </row>
    <row r="416" spans="12:21" x14ac:dyDescent="0.25">
      <c r="L416" s="20">
        <f t="shared" si="43"/>
        <v>0</v>
      </c>
      <c r="M416" s="14" t="e">
        <f>VLOOKUP(G416,Sell!G:L,1,0)</f>
        <v>#N/A</v>
      </c>
      <c r="N416" s="14">
        <f>IFERROR(VLOOKUP(G416,Sell!G:L,2,0),0)</f>
        <v>0</v>
      </c>
      <c r="O416" s="13">
        <f>IFERROR(VLOOKUP(G416,Sell!G:L,6,0),0)</f>
        <v>0</v>
      </c>
      <c r="P416" s="14">
        <f t="shared" si="42"/>
        <v>0</v>
      </c>
      <c r="Q416" s="13">
        <f t="shared" si="44"/>
        <v>0</v>
      </c>
      <c r="R416" s="13">
        <f t="shared" si="45"/>
        <v>0</v>
      </c>
      <c r="S416" s="13">
        <f t="shared" si="46"/>
        <v>0</v>
      </c>
      <c r="T416" s="13">
        <f t="shared" si="47"/>
        <v>0</v>
      </c>
      <c r="U416" s="15" t="str">
        <f t="shared" si="48"/>
        <v/>
      </c>
    </row>
    <row r="417" spans="12:21" x14ac:dyDescent="0.25">
      <c r="L417" s="20">
        <f t="shared" si="43"/>
        <v>0</v>
      </c>
      <c r="M417" s="14" t="e">
        <f>VLOOKUP(G417,Sell!G:L,1,0)</f>
        <v>#N/A</v>
      </c>
      <c r="N417" s="14">
        <f>IFERROR(VLOOKUP(G417,Sell!G:L,2,0),0)</f>
        <v>0</v>
      </c>
      <c r="O417" s="13">
        <f>IFERROR(VLOOKUP(G417,Sell!G:L,6,0),0)</f>
        <v>0</v>
      </c>
      <c r="P417" s="14">
        <f t="shared" si="42"/>
        <v>0</v>
      </c>
      <c r="Q417" s="13">
        <f t="shared" si="44"/>
        <v>0</v>
      </c>
      <c r="R417" s="13">
        <f t="shared" si="45"/>
        <v>0</v>
      </c>
      <c r="S417" s="13">
        <f t="shared" si="46"/>
        <v>0</v>
      </c>
      <c r="T417" s="13">
        <f t="shared" si="47"/>
        <v>0</v>
      </c>
      <c r="U417" s="15" t="str">
        <f t="shared" si="48"/>
        <v/>
      </c>
    </row>
    <row r="418" spans="12:21" x14ac:dyDescent="0.25">
      <c r="L418" s="20">
        <f t="shared" si="43"/>
        <v>0</v>
      </c>
      <c r="M418" s="14" t="e">
        <f>VLOOKUP(G418,Sell!G:L,1,0)</f>
        <v>#N/A</v>
      </c>
      <c r="N418" s="14">
        <f>IFERROR(VLOOKUP(G418,Sell!G:L,2,0),0)</f>
        <v>0</v>
      </c>
      <c r="O418" s="13">
        <f>IFERROR(VLOOKUP(G418,Sell!G:L,6,0),0)</f>
        <v>0</v>
      </c>
      <c r="P418" s="14">
        <f t="shared" si="42"/>
        <v>0</v>
      </c>
      <c r="Q418" s="13">
        <f t="shared" si="44"/>
        <v>0</v>
      </c>
      <c r="R418" s="13">
        <f t="shared" si="45"/>
        <v>0</v>
      </c>
      <c r="S418" s="13">
        <f t="shared" si="46"/>
        <v>0</v>
      </c>
      <c r="T418" s="13">
        <f t="shared" si="47"/>
        <v>0</v>
      </c>
      <c r="U418" s="15" t="str">
        <f t="shared" si="48"/>
        <v/>
      </c>
    </row>
    <row r="419" spans="12:21" x14ac:dyDescent="0.25">
      <c r="L419" s="20">
        <f t="shared" si="43"/>
        <v>0</v>
      </c>
      <c r="M419" s="14" t="e">
        <f>VLOOKUP(G419,Sell!G:L,1,0)</f>
        <v>#N/A</v>
      </c>
      <c r="N419" s="14">
        <f>IFERROR(VLOOKUP(G419,Sell!G:L,2,0),0)</f>
        <v>0</v>
      </c>
      <c r="O419" s="13">
        <f>IFERROR(VLOOKUP(G419,Sell!G:L,6,0),0)</f>
        <v>0</v>
      </c>
      <c r="P419" s="14">
        <f t="shared" si="42"/>
        <v>0</v>
      </c>
      <c r="Q419" s="13">
        <f t="shared" si="44"/>
        <v>0</v>
      </c>
      <c r="R419" s="13">
        <f t="shared" si="45"/>
        <v>0</v>
      </c>
      <c r="S419" s="13">
        <f t="shared" si="46"/>
        <v>0</v>
      </c>
      <c r="T419" s="13">
        <f t="shared" si="47"/>
        <v>0</v>
      </c>
      <c r="U419" s="15" t="str">
        <f t="shared" si="48"/>
        <v/>
      </c>
    </row>
    <row r="420" spans="12:21" x14ac:dyDescent="0.25">
      <c r="L420" s="20">
        <f t="shared" si="43"/>
        <v>0</v>
      </c>
      <c r="M420" s="14" t="e">
        <f>VLOOKUP(G420,Sell!G:L,1,0)</f>
        <v>#N/A</v>
      </c>
      <c r="N420" s="14">
        <f>IFERROR(VLOOKUP(G420,Sell!G:L,2,0),0)</f>
        <v>0</v>
      </c>
      <c r="O420" s="13">
        <f>IFERROR(VLOOKUP(G420,Sell!G:L,6,0),0)</f>
        <v>0</v>
      </c>
      <c r="P420" s="14">
        <f t="shared" si="42"/>
        <v>0</v>
      </c>
      <c r="Q420" s="13">
        <f t="shared" si="44"/>
        <v>0</v>
      </c>
      <c r="R420" s="13">
        <f t="shared" si="45"/>
        <v>0</v>
      </c>
      <c r="S420" s="13">
        <f t="shared" si="46"/>
        <v>0</v>
      </c>
      <c r="T420" s="13">
        <f t="shared" si="47"/>
        <v>0</v>
      </c>
      <c r="U420" s="15" t="str">
        <f t="shared" si="48"/>
        <v/>
      </c>
    </row>
    <row r="421" spans="12:21" x14ac:dyDescent="0.25">
      <c r="L421" s="20">
        <f t="shared" si="43"/>
        <v>0</v>
      </c>
      <c r="M421" s="14" t="e">
        <f>VLOOKUP(G421,Sell!G:L,1,0)</f>
        <v>#N/A</v>
      </c>
      <c r="N421" s="14">
        <f>IFERROR(VLOOKUP(G421,Sell!G:L,2,0),0)</f>
        <v>0</v>
      </c>
      <c r="O421" s="13">
        <f>IFERROR(VLOOKUP(G421,Sell!G:L,6,0),0)</f>
        <v>0</v>
      </c>
      <c r="P421" s="14">
        <f t="shared" si="42"/>
        <v>0</v>
      </c>
      <c r="Q421" s="13">
        <f t="shared" si="44"/>
        <v>0</v>
      </c>
      <c r="R421" s="13">
        <f t="shared" si="45"/>
        <v>0</v>
      </c>
      <c r="S421" s="13">
        <f t="shared" si="46"/>
        <v>0</v>
      </c>
      <c r="T421" s="13">
        <f t="shared" si="47"/>
        <v>0</v>
      </c>
      <c r="U421" s="15" t="str">
        <f t="shared" si="48"/>
        <v/>
      </c>
    </row>
    <row r="422" spans="12:21" x14ac:dyDescent="0.25">
      <c r="L422" s="20">
        <f t="shared" si="43"/>
        <v>0</v>
      </c>
      <c r="M422" s="14" t="e">
        <f>VLOOKUP(G422,Sell!G:L,1,0)</f>
        <v>#N/A</v>
      </c>
      <c r="N422" s="14">
        <f>IFERROR(VLOOKUP(G422,Sell!G:L,2,0),0)</f>
        <v>0</v>
      </c>
      <c r="O422" s="13">
        <f>IFERROR(VLOOKUP(G422,Sell!G:L,6,0),0)</f>
        <v>0</v>
      </c>
      <c r="P422" s="14">
        <f t="shared" si="42"/>
        <v>0</v>
      </c>
      <c r="Q422" s="13">
        <f t="shared" si="44"/>
        <v>0</v>
      </c>
      <c r="R422" s="13">
        <f t="shared" si="45"/>
        <v>0</v>
      </c>
      <c r="S422" s="13">
        <f t="shared" si="46"/>
        <v>0</v>
      </c>
      <c r="T422" s="13">
        <f t="shared" si="47"/>
        <v>0</v>
      </c>
      <c r="U422" s="15" t="str">
        <f t="shared" si="48"/>
        <v/>
      </c>
    </row>
    <row r="423" spans="12:21" x14ac:dyDescent="0.25">
      <c r="L423" s="20">
        <f t="shared" si="43"/>
        <v>0</v>
      </c>
      <c r="M423" s="14" t="e">
        <f>VLOOKUP(G423,Sell!G:L,1,0)</f>
        <v>#N/A</v>
      </c>
      <c r="N423" s="14">
        <f>IFERROR(VLOOKUP(G423,Sell!G:L,2,0),0)</f>
        <v>0</v>
      </c>
      <c r="O423" s="13">
        <f>IFERROR(VLOOKUP(G423,Sell!G:L,6,0),0)</f>
        <v>0</v>
      </c>
      <c r="P423" s="14">
        <f t="shared" si="42"/>
        <v>0</v>
      </c>
      <c r="Q423" s="13">
        <f t="shared" si="44"/>
        <v>0</v>
      </c>
      <c r="R423" s="13">
        <f t="shared" si="45"/>
        <v>0</v>
      </c>
      <c r="S423" s="13">
        <f t="shared" si="46"/>
        <v>0</v>
      </c>
      <c r="T423" s="13">
        <f t="shared" si="47"/>
        <v>0</v>
      </c>
      <c r="U423" s="15" t="str">
        <f t="shared" si="48"/>
        <v/>
      </c>
    </row>
    <row r="424" spans="12:21" x14ac:dyDescent="0.25">
      <c r="L424" s="20">
        <f t="shared" si="43"/>
        <v>0</v>
      </c>
      <c r="M424" s="14" t="e">
        <f>VLOOKUP(G424,Sell!G:L,1,0)</f>
        <v>#N/A</v>
      </c>
      <c r="N424" s="14">
        <f>IFERROR(VLOOKUP(G424,Sell!G:L,2,0),0)</f>
        <v>0</v>
      </c>
      <c r="O424" s="13">
        <f>IFERROR(VLOOKUP(G424,Sell!G:L,6,0),0)</f>
        <v>0</v>
      </c>
      <c r="P424" s="14">
        <f t="shared" si="42"/>
        <v>0</v>
      </c>
      <c r="Q424" s="13">
        <f t="shared" si="44"/>
        <v>0</v>
      </c>
      <c r="R424" s="13">
        <f t="shared" si="45"/>
        <v>0</v>
      </c>
      <c r="S424" s="13">
        <f t="shared" si="46"/>
        <v>0</v>
      </c>
      <c r="T424" s="13">
        <f t="shared" si="47"/>
        <v>0</v>
      </c>
      <c r="U424" s="15" t="str">
        <f t="shared" si="48"/>
        <v/>
      </c>
    </row>
    <row r="425" spans="12:21" x14ac:dyDescent="0.25">
      <c r="L425" s="20">
        <f t="shared" si="43"/>
        <v>0</v>
      </c>
      <c r="M425" s="14" t="e">
        <f>VLOOKUP(G425,Sell!G:L,1,0)</f>
        <v>#N/A</v>
      </c>
      <c r="N425" s="14">
        <f>IFERROR(VLOOKUP(G425,Sell!G:L,2,0),0)</f>
        <v>0</v>
      </c>
      <c r="O425" s="13">
        <f>IFERROR(VLOOKUP(G425,Sell!G:L,6,0),0)</f>
        <v>0</v>
      </c>
      <c r="P425" s="14">
        <f t="shared" si="42"/>
        <v>0</v>
      </c>
      <c r="Q425" s="13">
        <f t="shared" si="44"/>
        <v>0</v>
      </c>
      <c r="R425" s="13">
        <f t="shared" si="45"/>
        <v>0</v>
      </c>
      <c r="S425" s="13">
        <f t="shared" si="46"/>
        <v>0</v>
      </c>
      <c r="T425" s="13">
        <f t="shared" si="47"/>
        <v>0</v>
      </c>
      <c r="U425" s="15" t="str">
        <f t="shared" si="48"/>
        <v/>
      </c>
    </row>
    <row r="426" spans="12:21" x14ac:dyDescent="0.25">
      <c r="L426" s="20">
        <f t="shared" si="43"/>
        <v>0</v>
      </c>
      <c r="M426" s="14" t="e">
        <f>VLOOKUP(G426,Sell!G:L,1,0)</f>
        <v>#N/A</v>
      </c>
      <c r="N426" s="14">
        <f>IFERROR(VLOOKUP(G426,Sell!G:L,2,0),0)</f>
        <v>0</v>
      </c>
      <c r="O426" s="13">
        <f>IFERROR(VLOOKUP(G426,Sell!G:L,6,0),0)</f>
        <v>0</v>
      </c>
      <c r="P426" s="14">
        <f t="shared" si="42"/>
        <v>0</v>
      </c>
      <c r="Q426" s="13">
        <f t="shared" si="44"/>
        <v>0</v>
      </c>
      <c r="R426" s="13">
        <f t="shared" si="45"/>
        <v>0</v>
      </c>
      <c r="S426" s="13">
        <f t="shared" si="46"/>
        <v>0</v>
      </c>
      <c r="T426" s="13">
        <f t="shared" si="47"/>
        <v>0</v>
      </c>
      <c r="U426" s="15" t="str">
        <f t="shared" si="48"/>
        <v/>
      </c>
    </row>
    <row r="427" spans="12:21" x14ac:dyDescent="0.25">
      <c r="L427" s="20">
        <f t="shared" si="43"/>
        <v>0</v>
      </c>
      <c r="M427" s="14" t="e">
        <f>VLOOKUP(G427,Sell!G:L,1,0)</f>
        <v>#N/A</v>
      </c>
      <c r="N427" s="14">
        <f>IFERROR(VLOOKUP(G427,Sell!G:L,2,0),0)</f>
        <v>0</v>
      </c>
      <c r="O427" s="13">
        <f>IFERROR(VLOOKUP(G427,Sell!G:L,6,0),0)</f>
        <v>0</v>
      </c>
      <c r="P427" s="14">
        <f t="shared" si="42"/>
        <v>0</v>
      </c>
      <c r="Q427" s="13">
        <f t="shared" si="44"/>
        <v>0</v>
      </c>
      <c r="R427" s="13">
        <f t="shared" si="45"/>
        <v>0</v>
      </c>
      <c r="S427" s="13">
        <f t="shared" si="46"/>
        <v>0</v>
      </c>
      <c r="T427" s="13">
        <f t="shared" si="47"/>
        <v>0</v>
      </c>
      <c r="U427" s="15" t="str">
        <f t="shared" si="48"/>
        <v/>
      </c>
    </row>
    <row r="428" spans="12:21" x14ac:dyDescent="0.25">
      <c r="L428" s="20">
        <f t="shared" si="43"/>
        <v>0</v>
      </c>
      <c r="M428" s="14" t="e">
        <f>VLOOKUP(G428,Sell!G:L,1,0)</f>
        <v>#N/A</v>
      </c>
      <c r="N428" s="14">
        <f>IFERROR(VLOOKUP(G428,Sell!G:L,2,0),0)</f>
        <v>0</v>
      </c>
      <c r="O428" s="13">
        <f>IFERROR(VLOOKUP(G428,Sell!G:L,6,0),0)</f>
        <v>0</v>
      </c>
      <c r="P428" s="14">
        <f t="shared" si="42"/>
        <v>0</v>
      </c>
      <c r="Q428" s="13">
        <f t="shared" si="44"/>
        <v>0</v>
      </c>
      <c r="R428" s="13">
        <f t="shared" si="45"/>
        <v>0</v>
      </c>
      <c r="S428" s="13">
        <f t="shared" si="46"/>
        <v>0</v>
      </c>
      <c r="T428" s="13">
        <f t="shared" si="47"/>
        <v>0</v>
      </c>
      <c r="U428" s="15" t="str">
        <f t="shared" si="48"/>
        <v/>
      </c>
    </row>
    <row r="429" spans="12:21" x14ac:dyDescent="0.25">
      <c r="L429" s="20">
        <f t="shared" si="43"/>
        <v>0</v>
      </c>
      <c r="M429" s="14" t="e">
        <f>VLOOKUP(G429,Sell!G:L,1,0)</f>
        <v>#N/A</v>
      </c>
      <c r="N429" s="14">
        <f>IFERROR(VLOOKUP(G429,Sell!G:L,2,0),0)</f>
        <v>0</v>
      </c>
      <c r="O429" s="13">
        <f>IFERROR(VLOOKUP(G429,Sell!G:L,6,0),0)</f>
        <v>0</v>
      </c>
      <c r="P429" s="14">
        <f t="shared" si="42"/>
        <v>0</v>
      </c>
      <c r="Q429" s="13">
        <f t="shared" si="44"/>
        <v>0</v>
      </c>
      <c r="R429" s="13">
        <f t="shared" si="45"/>
        <v>0</v>
      </c>
      <c r="S429" s="13">
        <f t="shared" si="46"/>
        <v>0</v>
      </c>
      <c r="T429" s="13">
        <f t="shared" si="47"/>
        <v>0</v>
      </c>
      <c r="U429" s="15" t="str">
        <f t="shared" si="48"/>
        <v/>
      </c>
    </row>
    <row r="430" spans="12:21" x14ac:dyDescent="0.25">
      <c r="L430" s="20">
        <f t="shared" si="43"/>
        <v>0</v>
      </c>
      <c r="M430" s="14" t="e">
        <f>VLOOKUP(G430,Sell!G:L,1,0)</f>
        <v>#N/A</v>
      </c>
      <c r="N430" s="14">
        <f>IFERROR(VLOOKUP(G430,Sell!G:L,2,0),0)</f>
        <v>0</v>
      </c>
      <c r="O430" s="13">
        <f>IFERROR(VLOOKUP(G430,Sell!G:L,6,0),0)</f>
        <v>0</v>
      </c>
      <c r="P430" s="14">
        <f t="shared" si="42"/>
        <v>0</v>
      </c>
      <c r="Q430" s="13">
        <f t="shared" si="44"/>
        <v>0</v>
      </c>
      <c r="R430" s="13">
        <f t="shared" si="45"/>
        <v>0</v>
      </c>
      <c r="S430" s="13">
        <f t="shared" si="46"/>
        <v>0</v>
      </c>
      <c r="T430" s="13">
        <f t="shared" si="47"/>
        <v>0</v>
      </c>
      <c r="U430" s="15" t="str">
        <f t="shared" si="48"/>
        <v/>
      </c>
    </row>
    <row r="431" spans="12:21" x14ac:dyDescent="0.25">
      <c r="L431" s="20">
        <f t="shared" si="43"/>
        <v>0</v>
      </c>
      <c r="M431" s="14" t="e">
        <f>VLOOKUP(G431,Sell!G:L,1,0)</f>
        <v>#N/A</v>
      </c>
      <c r="N431" s="14">
        <f>IFERROR(VLOOKUP(G431,Sell!G:L,2,0),0)</f>
        <v>0</v>
      </c>
      <c r="O431" s="13">
        <f>IFERROR(VLOOKUP(G431,Sell!G:L,6,0),0)</f>
        <v>0</v>
      </c>
      <c r="P431" s="14">
        <f t="shared" si="42"/>
        <v>0</v>
      </c>
      <c r="Q431" s="13">
        <f t="shared" si="44"/>
        <v>0</v>
      </c>
      <c r="R431" s="13">
        <f t="shared" si="45"/>
        <v>0</v>
      </c>
      <c r="S431" s="13">
        <f t="shared" si="46"/>
        <v>0</v>
      </c>
      <c r="T431" s="13">
        <f t="shared" si="47"/>
        <v>0</v>
      </c>
      <c r="U431" s="15" t="str">
        <f t="shared" si="48"/>
        <v/>
      </c>
    </row>
    <row r="432" spans="12:21" x14ac:dyDescent="0.25">
      <c r="L432" s="20">
        <f t="shared" si="43"/>
        <v>0</v>
      </c>
      <c r="M432" s="14" t="e">
        <f>VLOOKUP(G432,Sell!G:L,1,0)</f>
        <v>#N/A</v>
      </c>
      <c r="N432" s="14">
        <f>IFERROR(VLOOKUP(G432,Sell!G:L,2,0),0)</f>
        <v>0</v>
      </c>
      <c r="O432" s="13">
        <f>IFERROR(VLOOKUP(G432,Sell!G:L,6,0),0)</f>
        <v>0</v>
      </c>
      <c r="P432" s="14">
        <f t="shared" si="42"/>
        <v>0</v>
      </c>
      <c r="Q432" s="13">
        <f t="shared" si="44"/>
        <v>0</v>
      </c>
      <c r="R432" s="13">
        <f t="shared" si="45"/>
        <v>0</v>
      </c>
      <c r="S432" s="13">
        <f t="shared" si="46"/>
        <v>0</v>
      </c>
      <c r="T432" s="13">
        <f t="shared" si="47"/>
        <v>0</v>
      </c>
      <c r="U432" s="15" t="str">
        <f t="shared" si="48"/>
        <v/>
      </c>
    </row>
    <row r="433" spans="12:21" x14ac:dyDescent="0.25">
      <c r="L433" s="20">
        <f t="shared" si="43"/>
        <v>0</v>
      </c>
      <c r="M433" s="14" t="e">
        <f>VLOOKUP(G433,Sell!G:L,1,0)</f>
        <v>#N/A</v>
      </c>
      <c r="N433" s="14">
        <f>IFERROR(VLOOKUP(G433,Sell!G:L,2,0),0)</f>
        <v>0</v>
      </c>
      <c r="O433" s="13">
        <f>IFERROR(VLOOKUP(G433,Sell!G:L,6,0),0)</f>
        <v>0</v>
      </c>
      <c r="P433" s="14">
        <f t="shared" si="42"/>
        <v>0</v>
      </c>
      <c r="Q433" s="13">
        <f t="shared" si="44"/>
        <v>0</v>
      </c>
      <c r="R433" s="13">
        <f t="shared" si="45"/>
        <v>0</v>
      </c>
      <c r="S433" s="13">
        <f t="shared" si="46"/>
        <v>0</v>
      </c>
      <c r="T433" s="13">
        <f t="shared" si="47"/>
        <v>0</v>
      </c>
      <c r="U433" s="15" t="str">
        <f t="shared" si="48"/>
        <v/>
      </c>
    </row>
    <row r="434" spans="12:21" x14ac:dyDescent="0.25">
      <c r="L434" s="20">
        <f t="shared" si="43"/>
        <v>0</v>
      </c>
      <c r="M434" s="14" t="e">
        <f>VLOOKUP(G434,Sell!G:L,1,0)</f>
        <v>#N/A</v>
      </c>
      <c r="N434" s="14">
        <f>IFERROR(VLOOKUP(G434,Sell!G:L,2,0),0)</f>
        <v>0</v>
      </c>
      <c r="O434" s="13">
        <f>IFERROR(VLOOKUP(G434,Sell!G:L,6,0),0)</f>
        <v>0</v>
      </c>
      <c r="P434" s="14">
        <f t="shared" si="42"/>
        <v>0</v>
      </c>
      <c r="Q434" s="13">
        <f t="shared" si="44"/>
        <v>0</v>
      </c>
      <c r="R434" s="13">
        <f t="shared" si="45"/>
        <v>0</v>
      </c>
      <c r="S434" s="13">
        <f t="shared" si="46"/>
        <v>0</v>
      </c>
      <c r="T434" s="13">
        <f t="shared" si="47"/>
        <v>0</v>
      </c>
      <c r="U434" s="15" t="str">
        <f t="shared" si="48"/>
        <v/>
      </c>
    </row>
    <row r="435" spans="12:21" x14ac:dyDescent="0.25">
      <c r="L435" s="20">
        <f t="shared" si="43"/>
        <v>0</v>
      </c>
      <c r="M435" s="14" t="e">
        <f>VLOOKUP(G435,Sell!G:L,1,0)</f>
        <v>#N/A</v>
      </c>
      <c r="N435" s="14">
        <f>IFERROR(VLOOKUP(G435,Sell!G:L,2,0),0)</f>
        <v>0</v>
      </c>
      <c r="O435" s="13">
        <f>IFERROR(VLOOKUP(G435,Sell!G:L,6,0),0)</f>
        <v>0</v>
      </c>
      <c r="P435" s="14">
        <f t="shared" si="42"/>
        <v>0</v>
      </c>
      <c r="Q435" s="13">
        <f t="shared" si="44"/>
        <v>0</v>
      </c>
      <c r="R435" s="13">
        <f t="shared" si="45"/>
        <v>0</v>
      </c>
      <c r="S435" s="13">
        <f t="shared" si="46"/>
        <v>0</v>
      </c>
      <c r="T435" s="13">
        <f t="shared" si="47"/>
        <v>0</v>
      </c>
      <c r="U435" s="15" t="str">
        <f t="shared" si="48"/>
        <v/>
      </c>
    </row>
    <row r="436" spans="12:21" x14ac:dyDescent="0.25">
      <c r="L436" s="20">
        <f t="shared" si="43"/>
        <v>0</v>
      </c>
      <c r="M436" s="14" t="e">
        <f>VLOOKUP(G436,Sell!G:L,1,0)</f>
        <v>#N/A</v>
      </c>
      <c r="N436" s="14">
        <f>IFERROR(VLOOKUP(G436,Sell!G:L,2,0),0)</f>
        <v>0</v>
      </c>
      <c r="O436" s="13">
        <f>IFERROR(VLOOKUP(G436,Sell!G:L,6,0),0)</f>
        <v>0</v>
      </c>
      <c r="P436" s="14">
        <f t="shared" si="42"/>
        <v>0</v>
      </c>
      <c r="Q436" s="13">
        <f t="shared" si="44"/>
        <v>0</v>
      </c>
      <c r="R436" s="13">
        <f t="shared" si="45"/>
        <v>0</v>
      </c>
      <c r="S436" s="13">
        <f t="shared" si="46"/>
        <v>0</v>
      </c>
      <c r="T436" s="13">
        <f t="shared" si="47"/>
        <v>0</v>
      </c>
      <c r="U436" s="15" t="str">
        <f t="shared" si="48"/>
        <v/>
      </c>
    </row>
    <row r="437" spans="12:21" x14ac:dyDescent="0.25">
      <c r="L437" s="20">
        <f t="shared" si="43"/>
        <v>0</v>
      </c>
      <c r="M437" s="14" t="e">
        <f>VLOOKUP(G437,Sell!G:L,1,0)</f>
        <v>#N/A</v>
      </c>
      <c r="N437" s="14">
        <f>IFERROR(VLOOKUP(G437,Sell!G:L,2,0),0)</f>
        <v>0</v>
      </c>
      <c r="O437" s="13">
        <f>IFERROR(VLOOKUP(G437,Sell!G:L,6,0),0)</f>
        <v>0</v>
      </c>
      <c r="P437" s="14">
        <f t="shared" si="42"/>
        <v>0</v>
      </c>
      <c r="Q437" s="13">
        <f t="shared" si="44"/>
        <v>0</v>
      </c>
      <c r="R437" s="13">
        <f t="shared" si="45"/>
        <v>0</v>
      </c>
      <c r="S437" s="13">
        <f t="shared" si="46"/>
        <v>0</v>
      </c>
      <c r="T437" s="13">
        <f t="shared" si="47"/>
        <v>0</v>
      </c>
      <c r="U437" s="15" t="str">
        <f t="shared" si="48"/>
        <v/>
      </c>
    </row>
    <row r="438" spans="12:21" x14ac:dyDescent="0.25">
      <c r="L438" s="20">
        <f t="shared" si="43"/>
        <v>0</v>
      </c>
      <c r="M438" s="14" t="e">
        <f>VLOOKUP(G438,Sell!G:L,1,0)</f>
        <v>#N/A</v>
      </c>
      <c r="N438" s="14">
        <f>IFERROR(VLOOKUP(G438,Sell!G:L,2,0),0)</f>
        <v>0</v>
      </c>
      <c r="O438" s="13">
        <f>IFERROR(VLOOKUP(G438,Sell!G:L,6,0),0)</f>
        <v>0</v>
      </c>
      <c r="P438" s="14">
        <f t="shared" si="42"/>
        <v>0</v>
      </c>
      <c r="Q438" s="13">
        <f t="shared" si="44"/>
        <v>0</v>
      </c>
      <c r="R438" s="13">
        <f t="shared" si="45"/>
        <v>0</v>
      </c>
      <c r="S438" s="13">
        <f t="shared" si="46"/>
        <v>0</v>
      </c>
      <c r="T438" s="13">
        <f t="shared" si="47"/>
        <v>0</v>
      </c>
      <c r="U438" s="15" t="str">
        <f t="shared" si="48"/>
        <v/>
      </c>
    </row>
    <row r="439" spans="12:21" x14ac:dyDescent="0.25">
      <c r="L439" s="20">
        <f t="shared" si="43"/>
        <v>0</v>
      </c>
      <c r="M439" s="14" t="e">
        <f>VLOOKUP(G439,Sell!G:L,1,0)</f>
        <v>#N/A</v>
      </c>
      <c r="N439" s="14">
        <f>IFERROR(VLOOKUP(G439,Sell!G:L,2,0),0)</f>
        <v>0</v>
      </c>
      <c r="O439" s="13">
        <f>IFERROR(VLOOKUP(G439,Sell!G:L,6,0),0)</f>
        <v>0</v>
      </c>
      <c r="P439" s="14">
        <f t="shared" si="42"/>
        <v>0</v>
      </c>
      <c r="Q439" s="13">
        <f t="shared" si="44"/>
        <v>0</v>
      </c>
      <c r="R439" s="13">
        <f t="shared" si="45"/>
        <v>0</v>
      </c>
      <c r="S439" s="13">
        <f t="shared" si="46"/>
        <v>0</v>
      </c>
      <c r="T439" s="13">
        <f t="shared" si="47"/>
        <v>0</v>
      </c>
      <c r="U439" s="15" t="str">
        <f t="shared" si="48"/>
        <v/>
      </c>
    </row>
    <row r="440" spans="12:21" x14ac:dyDescent="0.25">
      <c r="L440" s="20">
        <f t="shared" si="43"/>
        <v>0</v>
      </c>
      <c r="M440" s="14" t="e">
        <f>VLOOKUP(G440,Sell!G:L,1,0)</f>
        <v>#N/A</v>
      </c>
      <c r="N440" s="14">
        <f>IFERROR(VLOOKUP(G440,Sell!G:L,2,0),0)</f>
        <v>0</v>
      </c>
      <c r="O440" s="13">
        <f>IFERROR(VLOOKUP(G440,Sell!G:L,6,0),0)</f>
        <v>0</v>
      </c>
      <c r="P440" s="14">
        <f t="shared" si="42"/>
        <v>0</v>
      </c>
      <c r="Q440" s="13">
        <f t="shared" si="44"/>
        <v>0</v>
      </c>
      <c r="R440" s="13">
        <f t="shared" si="45"/>
        <v>0</v>
      </c>
      <c r="S440" s="13">
        <f t="shared" si="46"/>
        <v>0</v>
      </c>
      <c r="T440" s="13">
        <f t="shared" si="47"/>
        <v>0</v>
      </c>
      <c r="U440" s="15" t="str">
        <f t="shared" si="48"/>
        <v/>
      </c>
    </row>
    <row r="441" spans="12:21" x14ac:dyDescent="0.25">
      <c r="L441" s="20">
        <f t="shared" si="43"/>
        <v>0</v>
      </c>
      <c r="M441" s="14" t="e">
        <f>VLOOKUP(G441,Sell!G:L,1,0)</f>
        <v>#N/A</v>
      </c>
      <c r="N441" s="14">
        <f>IFERROR(VLOOKUP(G441,Sell!G:L,2,0),0)</f>
        <v>0</v>
      </c>
      <c r="O441" s="13">
        <f>IFERROR(VLOOKUP(G441,Sell!G:L,6,0),0)</f>
        <v>0</v>
      </c>
      <c r="P441" s="14">
        <f t="shared" si="42"/>
        <v>0</v>
      </c>
      <c r="Q441" s="13">
        <f t="shared" si="44"/>
        <v>0</v>
      </c>
      <c r="R441" s="13">
        <f t="shared" si="45"/>
        <v>0</v>
      </c>
      <c r="S441" s="13">
        <f t="shared" si="46"/>
        <v>0</v>
      </c>
      <c r="T441" s="13">
        <f t="shared" si="47"/>
        <v>0</v>
      </c>
      <c r="U441" s="15" t="str">
        <f t="shared" si="48"/>
        <v/>
      </c>
    </row>
    <row r="442" spans="12:21" x14ac:dyDescent="0.25">
      <c r="L442" s="20">
        <f t="shared" si="43"/>
        <v>0</v>
      </c>
      <c r="M442" s="14" t="e">
        <f>VLOOKUP(G442,Sell!G:L,1,0)</f>
        <v>#N/A</v>
      </c>
      <c r="N442" s="14">
        <f>IFERROR(VLOOKUP(G442,Sell!G:L,2,0),0)</f>
        <v>0</v>
      </c>
      <c r="O442" s="13">
        <f>IFERROR(VLOOKUP(G442,Sell!G:L,6,0),0)</f>
        <v>0</v>
      </c>
      <c r="P442" s="14">
        <f t="shared" si="42"/>
        <v>0</v>
      </c>
      <c r="Q442" s="13">
        <f t="shared" si="44"/>
        <v>0</v>
      </c>
      <c r="R442" s="13">
        <f t="shared" si="45"/>
        <v>0</v>
      </c>
      <c r="S442" s="13">
        <f t="shared" si="46"/>
        <v>0</v>
      </c>
      <c r="T442" s="13">
        <f t="shared" si="47"/>
        <v>0</v>
      </c>
      <c r="U442" s="15" t="str">
        <f t="shared" si="48"/>
        <v/>
      </c>
    </row>
    <row r="443" spans="12:21" x14ac:dyDescent="0.25">
      <c r="L443" s="20">
        <f t="shared" si="43"/>
        <v>0</v>
      </c>
      <c r="M443" s="14" t="e">
        <f>VLOOKUP(G443,Sell!G:L,1,0)</f>
        <v>#N/A</v>
      </c>
      <c r="N443" s="14">
        <f>IFERROR(VLOOKUP(G443,Sell!G:L,2,0),0)</f>
        <v>0</v>
      </c>
      <c r="O443" s="13">
        <f>IFERROR(VLOOKUP(G443,Sell!G:L,6,0),0)</f>
        <v>0</v>
      </c>
      <c r="P443" s="14">
        <f t="shared" si="42"/>
        <v>0</v>
      </c>
      <c r="Q443" s="13">
        <f t="shared" si="44"/>
        <v>0</v>
      </c>
      <c r="R443" s="13">
        <f t="shared" si="45"/>
        <v>0</v>
      </c>
      <c r="S443" s="13">
        <f t="shared" si="46"/>
        <v>0</v>
      </c>
      <c r="T443" s="13">
        <f t="shared" si="47"/>
        <v>0</v>
      </c>
      <c r="U443" s="15" t="str">
        <f t="shared" si="48"/>
        <v/>
      </c>
    </row>
    <row r="444" spans="12:21" x14ac:dyDescent="0.25">
      <c r="L444" s="20">
        <f t="shared" si="43"/>
        <v>0</v>
      </c>
      <c r="M444" s="14" t="e">
        <f>VLOOKUP(G444,Sell!G:L,1,0)</f>
        <v>#N/A</v>
      </c>
      <c r="N444" s="14">
        <f>IFERROR(VLOOKUP(G444,Sell!G:L,2,0),0)</f>
        <v>0</v>
      </c>
      <c r="O444" s="13">
        <f>IFERROR(VLOOKUP(G444,Sell!G:L,6,0),0)</f>
        <v>0</v>
      </c>
      <c r="P444" s="14">
        <f t="shared" si="42"/>
        <v>0</v>
      </c>
      <c r="Q444" s="13">
        <f t="shared" si="44"/>
        <v>0</v>
      </c>
      <c r="R444" s="13">
        <f t="shared" si="45"/>
        <v>0</v>
      </c>
      <c r="S444" s="13">
        <f t="shared" si="46"/>
        <v>0</v>
      </c>
      <c r="T444" s="13">
        <f t="shared" si="47"/>
        <v>0</v>
      </c>
      <c r="U444" s="15" t="str">
        <f t="shared" si="48"/>
        <v/>
      </c>
    </row>
    <row r="445" spans="12:21" x14ac:dyDescent="0.25">
      <c r="L445" s="20">
        <f t="shared" si="43"/>
        <v>0</v>
      </c>
      <c r="M445" s="14" t="e">
        <f>VLOOKUP(G445,Sell!G:L,1,0)</f>
        <v>#N/A</v>
      </c>
      <c r="N445" s="14">
        <f>IFERROR(VLOOKUP(G445,Sell!G:L,2,0),0)</f>
        <v>0</v>
      </c>
      <c r="O445" s="13">
        <f>IFERROR(VLOOKUP(G445,Sell!G:L,6,0),0)</f>
        <v>0</v>
      </c>
      <c r="P445" s="14">
        <f t="shared" si="42"/>
        <v>0</v>
      </c>
      <c r="Q445" s="13">
        <f t="shared" si="44"/>
        <v>0</v>
      </c>
      <c r="R445" s="13">
        <f t="shared" si="45"/>
        <v>0</v>
      </c>
      <c r="S445" s="13">
        <f t="shared" si="46"/>
        <v>0</v>
      </c>
      <c r="T445" s="13">
        <f t="shared" si="47"/>
        <v>0</v>
      </c>
      <c r="U445" s="15" t="str">
        <f t="shared" si="48"/>
        <v/>
      </c>
    </row>
    <row r="446" spans="12:21" x14ac:dyDescent="0.25">
      <c r="L446" s="20">
        <f t="shared" si="43"/>
        <v>0</v>
      </c>
      <c r="M446" s="14" t="e">
        <f>VLOOKUP(G446,Sell!G:L,1,0)</f>
        <v>#N/A</v>
      </c>
      <c r="N446" s="14">
        <f>IFERROR(VLOOKUP(G446,Sell!G:L,2,0),0)</f>
        <v>0</v>
      </c>
      <c r="O446" s="13">
        <f>IFERROR(VLOOKUP(G446,Sell!G:L,6,0),0)</f>
        <v>0</v>
      </c>
      <c r="P446" s="14">
        <f t="shared" si="42"/>
        <v>0</v>
      </c>
      <c r="Q446" s="13">
        <f t="shared" si="44"/>
        <v>0</v>
      </c>
      <c r="R446" s="13">
        <f t="shared" si="45"/>
        <v>0</v>
      </c>
      <c r="S446" s="13">
        <f t="shared" si="46"/>
        <v>0</v>
      </c>
      <c r="T446" s="13">
        <f t="shared" si="47"/>
        <v>0</v>
      </c>
      <c r="U446" s="15" t="str">
        <f t="shared" si="48"/>
        <v/>
      </c>
    </row>
    <row r="447" spans="12:21" x14ac:dyDescent="0.25">
      <c r="L447" s="20">
        <f t="shared" si="43"/>
        <v>0</v>
      </c>
      <c r="M447" s="14" t="e">
        <f>VLOOKUP(G447,Sell!G:L,1,0)</f>
        <v>#N/A</v>
      </c>
      <c r="N447" s="14">
        <f>IFERROR(VLOOKUP(G447,Sell!G:L,2,0),0)</f>
        <v>0</v>
      </c>
      <c r="O447" s="13">
        <f>IFERROR(VLOOKUP(G447,Sell!G:L,6,0),0)</f>
        <v>0</v>
      </c>
      <c r="P447" s="14">
        <f t="shared" si="42"/>
        <v>0</v>
      </c>
      <c r="Q447" s="13">
        <f t="shared" si="44"/>
        <v>0</v>
      </c>
      <c r="R447" s="13">
        <f t="shared" si="45"/>
        <v>0</v>
      </c>
      <c r="S447" s="13">
        <f t="shared" si="46"/>
        <v>0</v>
      </c>
      <c r="T447" s="13">
        <f t="shared" si="47"/>
        <v>0</v>
      </c>
      <c r="U447" s="15" t="str">
        <f t="shared" si="48"/>
        <v/>
      </c>
    </row>
    <row r="448" spans="12:21" x14ac:dyDescent="0.25">
      <c r="L448" s="20">
        <f t="shared" si="43"/>
        <v>0</v>
      </c>
      <c r="M448" s="14" t="e">
        <f>VLOOKUP(G448,Sell!G:L,1,0)</f>
        <v>#N/A</v>
      </c>
      <c r="N448" s="14">
        <f>IFERROR(VLOOKUP(G448,Sell!G:L,2,0),0)</f>
        <v>0</v>
      </c>
      <c r="O448" s="13">
        <f>IFERROR(VLOOKUP(G448,Sell!G:L,6,0),0)</f>
        <v>0</v>
      </c>
      <c r="P448" s="14">
        <f t="shared" si="42"/>
        <v>0</v>
      </c>
      <c r="Q448" s="13">
        <f t="shared" si="44"/>
        <v>0</v>
      </c>
      <c r="R448" s="13">
        <f t="shared" si="45"/>
        <v>0</v>
      </c>
      <c r="S448" s="13">
        <f t="shared" si="46"/>
        <v>0</v>
      </c>
      <c r="T448" s="13">
        <f t="shared" si="47"/>
        <v>0</v>
      </c>
      <c r="U448" s="15" t="str">
        <f t="shared" si="48"/>
        <v/>
      </c>
    </row>
    <row r="449" spans="12:21" x14ac:dyDescent="0.25">
      <c r="L449" s="20">
        <f t="shared" si="43"/>
        <v>0</v>
      </c>
      <c r="M449" s="14" t="e">
        <f>VLOOKUP(G449,Sell!G:L,1,0)</f>
        <v>#N/A</v>
      </c>
      <c r="N449" s="14">
        <f>IFERROR(VLOOKUP(G449,Sell!G:L,2,0),0)</f>
        <v>0</v>
      </c>
      <c r="O449" s="13">
        <f>IFERROR(VLOOKUP(G449,Sell!G:L,6,0),0)</f>
        <v>0</v>
      </c>
      <c r="P449" s="14">
        <f t="shared" si="42"/>
        <v>0</v>
      </c>
      <c r="Q449" s="13">
        <f t="shared" si="44"/>
        <v>0</v>
      </c>
      <c r="R449" s="13">
        <f t="shared" si="45"/>
        <v>0</v>
      </c>
      <c r="S449" s="13">
        <f t="shared" si="46"/>
        <v>0</v>
      </c>
      <c r="T449" s="13">
        <f t="shared" si="47"/>
        <v>0</v>
      </c>
      <c r="U449" s="15" t="str">
        <f t="shared" si="48"/>
        <v/>
      </c>
    </row>
    <row r="450" spans="12:21" x14ac:dyDescent="0.25">
      <c r="L450" s="20">
        <f t="shared" si="43"/>
        <v>0</v>
      </c>
      <c r="M450" s="14" t="e">
        <f>VLOOKUP(G450,Sell!G:L,1,0)</f>
        <v>#N/A</v>
      </c>
      <c r="N450" s="14">
        <f>IFERROR(VLOOKUP(G450,Sell!G:L,2,0),0)</f>
        <v>0</v>
      </c>
      <c r="O450" s="13">
        <f>IFERROR(VLOOKUP(G450,Sell!G:L,6,0),0)</f>
        <v>0</v>
      </c>
      <c r="P450" s="14">
        <f t="shared" si="42"/>
        <v>0</v>
      </c>
      <c r="Q450" s="13">
        <f t="shared" si="44"/>
        <v>0</v>
      </c>
      <c r="R450" s="13">
        <f t="shared" si="45"/>
        <v>0</v>
      </c>
      <c r="S450" s="13">
        <f t="shared" si="46"/>
        <v>0</v>
      </c>
      <c r="T450" s="13">
        <f t="shared" si="47"/>
        <v>0</v>
      </c>
      <c r="U450" s="15" t="str">
        <f t="shared" si="48"/>
        <v/>
      </c>
    </row>
    <row r="451" spans="12:21" x14ac:dyDescent="0.25">
      <c r="L451" s="20">
        <f t="shared" si="43"/>
        <v>0</v>
      </c>
      <c r="M451" s="14" t="e">
        <f>VLOOKUP(G451,Sell!G:L,1,0)</f>
        <v>#N/A</v>
      </c>
      <c r="N451" s="14">
        <f>IFERROR(VLOOKUP(G451,Sell!G:L,2,0),0)</f>
        <v>0</v>
      </c>
      <c r="O451" s="13">
        <f>IFERROR(VLOOKUP(G451,Sell!G:L,6,0),0)</f>
        <v>0</v>
      </c>
      <c r="P451" s="14">
        <f t="shared" si="42"/>
        <v>0</v>
      </c>
      <c r="Q451" s="13">
        <f t="shared" si="44"/>
        <v>0</v>
      </c>
      <c r="R451" s="13">
        <f t="shared" si="45"/>
        <v>0</v>
      </c>
      <c r="S451" s="13">
        <f t="shared" si="46"/>
        <v>0</v>
      </c>
      <c r="T451" s="13">
        <f t="shared" si="47"/>
        <v>0</v>
      </c>
      <c r="U451" s="15" t="str">
        <f t="shared" si="48"/>
        <v/>
      </c>
    </row>
    <row r="452" spans="12:21" x14ac:dyDescent="0.25">
      <c r="L452" s="20">
        <f t="shared" si="43"/>
        <v>0</v>
      </c>
      <c r="M452" s="14" t="e">
        <f>VLOOKUP(G452,Sell!G:L,1,0)</f>
        <v>#N/A</v>
      </c>
      <c r="N452" s="14">
        <f>IFERROR(VLOOKUP(G452,Sell!G:L,2,0),0)</f>
        <v>0</v>
      </c>
      <c r="O452" s="13">
        <f>IFERROR(VLOOKUP(G452,Sell!G:L,6,0),0)</f>
        <v>0</v>
      </c>
      <c r="P452" s="14">
        <f t="shared" si="42"/>
        <v>0</v>
      </c>
      <c r="Q452" s="13">
        <f t="shared" si="44"/>
        <v>0</v>
      </c>
      <c r="R452" s="13">
        <f t="shared" si="45"/>
        <v>0</v>
      </c>
      <c r="S452" s="13">
        <f t="shared" si="46"/>
        <v>0</v>
      </c>
      <c r="T452" s="13">
        <f t="shared" si="47"/>
        <v>0</v>
      </c>
      <c r="U452" s="15" t="str">
        <f t="shared" si="48"/>
        <v/>
      </c>
    </row>
    <row r="453" spans="12:21" x14ac:dyDescent="0.25">
      <c r="L453" s="20">
        <f t="shared" si="43"/>
        <v>0</v>
      </c>
      <c r="M453" s="14" t="e">
        <f>VLOOKUP(G453,Sell!G:L,1,0)</f>
        <v>#N/A</v>
      </c>
      <c r="N453" s="14">
        <f>IFERROR(VLOOKUP(G453,Sell!G:L,2,0),0)</f>
        <v>0</v>
      </c>
      <c r="O453" s="13">
        <f>IFERROR(VLOOKUP(G453,Sell!G:L,6,0),0)</f>
        <v>0</v>
      </c>
      <c r="P453" s="14">
        <f t="shared" si="42"/>
        <v>0</v>
      </c>
      <c r="Q453" s="13">
        <f t="shared" si="44"/>
        <v>0</v>
      </c>
      <c r="R453" s="13">
        <f t="shared" si="45"/>
        <v>0</v>
      </c>
      <c r="S453" s="13">
        <f t="shared" si="46"/>
        <v>0</v>
      </c>
      <c r="T453" s="13">
        <f t="shared" si="47"/>
        <v>0</v>
      </c>
      <c r="U453" s="15" t="str">
        <f t="shared" si="48"/>
        <v/>
      </c>
    </row>
    <row r="454" spans="12:21" x14ac:dyDescent="0.25">
      <c r="L454" s="20">
        <f t="shared" si="43"/>
        <v>0</v>
      </c>
      <c r="M454" s="14" t="e">
        <f>VLOOKUP(G454,Sell!G:L,1,0)</f>
        <v>#N/A</v>
      </c>
      <c r="N454" s="14">
        <f>IFERROR(VLOOKUP(G454,Sell!G:L,2,0),0)</f>
        <v>0</v>
      </c>
      <c r="O454" s="13">
        <f>IFERROR(VLOOKUP(G454,Sell!G:L,6,0),0)</f>
        <v>0</v>
      </c>
      <c r="P454" s="14">
        <f t="shared" si="42"/>
        <v>0</v>
      </c>
      <c r="Q454" s="13">
        <f t="shared" si="44"/>
        <v>0</v>
      </c>
      <c r="R454" s="13">
        <f t="shared" si="45"/>
        <v>0</v>
      </c>
      <c r="S454" s="13">
        <f t="shared" si="46"/>
        <v>0</v>
      </c>
      <c r="T454" s="13">
        <f t="shared" si="47"/>
        <v>0</v>
      </c>
      <c r="U454" s="15" t="str">
        <f t="shared" si="48"/>
        <v/>
      </c>
    </row>
    <row r="455" spans="12:21" x14ac:dyDescent="0.25">
      <c r="L455" s="20">
        <f t="shared" si="43"/>
        <v>0</v>
      </c>
      <c r="M455" s="14" t="e">
        <f>VLOOKUP(G455,Sell!G:L,1,0)</f>
        <v>#N/A</v>
      </c>
      <c r="N455" s="14">
        <f>IFERROR(VLOOKUP(G455,Sell!G:L,2,0),0)</f>
        <v>0</v>
      </c>
      <c r="O455" s="13">
        <f>IFERROR(VLOOKUP(G455,Sell!G:L,6,0),0)</f>
        <v>0</v>
      </c>
      <c r="P455" s="14">
        <f t="shared" si="42"/>
        <v>0</v>
      </c>
      <c r="Q455" s="13">
        <f t="shared" si="44"/>
        <v>0</v>
      </c>
      <c r="R455" s="13">
        <f t="shared" si="45"/>
        <v>0</v>
      </c>
      <c r="S455" s="13">
        <f t="shared" si="46"/>
        <v>0</v>
      </c>
      <c r="T455" s="13">
        <f t="shared" si="47"/>
        <v>0</v>
      </c>
      <c r="U455" s="15" t="str">
        <f t="shared" si="48"/>
        <v/>
      </c>
    </row>
    <row r="456" spans="12:21" x14ac:dyDescent="0.25">
      <c r="L456" s="20">
        <f t="shared" si="43"/>
        <v>0</v>
      </c>
      <c r="M456" s="14" t="e">
        <f>VLOOKUP(G456,Sell!G:L,1,0)</f>
        <v>#N/A</v>
      </c>
      <c r="N456" s="14">
        <f>IFERROR(VLOOKUP(G456,Sell!G:L,2,0),0)</f>
        <v>0</v>
      </c>
      <c r="O456" s="13">
        <f>IFERROR(VLOOKUP(G456,Sell!G:L,6,0),0)</f>
        <v>0</v>
      </c>
      <c r="P456" s="14">
        <f t="shared" si="42"/>
        <v>0</v>
      </c>
      <c r="Q456" s="13">
        <f t="shared" si="44"/>
        <v>0</v>
      </c>
      <c r="R456" s="13">
        <f t="shared" si="45"/>
        <v>0</v>
      </c>
      <c r="S456" s="13">
        <f t="shared" si="46"/>
        <v>0</v>
      </c>
      <c r="T456" s="13">
        <f t="shared" si="47"/>
        <v>0</v>
      </c>
      <c r="U456" s="15" t="str">
        <f t="shared" si="48"/>
        <v/>
      </c>
    </row>
    <row r="457" spans="12:21" x14ac:dyDescent="0.25">
      <c r="L457" s="20">
        <f t="shared" si="43"/>
        <v>0</v>
      </c>
      <c r="M457" s="14" t="e">
        <f>VLOOKUP(G457,Sell!G:L,1,0)</f>
        <v>#N/A</v>
      </c>
      <c r="N457" s="14">
        <f>IFERROR(VLOOKUP(G457,Sell!G:L,2,0),0)</f>
        <v>0</v>
      </c>
      <c r="O457" s="13">
        <f>IFERROR(VLOOKUP(G457,Sell!G:L,6,0),0)</f>
        <v>0</v>
      </c>
      <c r="P457" s="14">
        <f t="shared" si="42"/>
        <v>0</v>
      </c>
      <c r="Q457" s="13">
        <f t="shared" si="44"/>
        <v>0</v>
      </c>
      <c r="R457" s="13">
        <f t="shared" si="45"/>
        <v>0</v>
      </c>
      <c r="S457" s="13">
        <f t="shared" si="46"/>
        <v>0</v>
      </c>
      <c r="T457" s="13">
        <f t="shared" si="47"/>
        <v>0</v>
      </c>
      <c r="U457" s="15" t="str">
        <f t="shared" si="48"/>
        <v/>
      </c>
    </row>
    <row r="458" spans="12:21" x14ac:dyDescent="0.25">
      <c r="L458" s="20">
        <f t="shared" si="43"/>
        <v>0</v>
      </c>
      <c r="M458" s="14" t="e">
        <f>VLOOKUP(G458,Sell!G:L,1,0)</f>
        <v>#N/A</v>
      </c>
      <c r="N458" s="14">
        <f>IFERROR(VLOOKUP(G458,Sell!G:L,2,0),0)</f>
        <v>0</v>
      </c>
      <c r="O458" s="13">
        <f>IFERROR(VLOOKUP(G458,Sell!G:L,6,0),0)</f>
        <v>0</v>
      </c>
      <c r="P458" s="14">
        <f t="shared" ref="P458:P521" si="49">H458-N458</f>
        <v>0</v>
      </c>
      <c r="Q458" s="13">
        <f t="shared" si="44"/>
        <v>0</v>
      </c>
      <c r="R458" s="13">
        <f t="shared" si="45"/>
        <v>0</v>
      </c>
      <c r="S458" s="13">
        <f t="shared" si="46"/>
        <v>0</v>
      </c>
      <c r="T458" s="13">
        <f t="shared" si="47"/>
        <v>0</v>
      </c>
      <c r="U458" s="15" t="str">
        <f t="shared" si="48"/>
        <v/>
      </c>
    </row>
    <row r="459" spans="12:21" x14ac:dyDescent="0.25">
      <c r="L459" s="20">
        <f t="shared" ref="L459:L522" si="50">J459+K459</f>
        <v>0</v>
      </c>
      <c r="M459" s="14" t="e">
        <f>VLOOKUP(G459,Sell!G:L,1,0)</f>
        <v>#N/A</v>
      </c>
      <c r="N459" s="14">
        <f>IFERROR(VLOOKUP(G459,Sell!G:L,2,0),0)</f>
        <v>0</v>
      </c>
      <c r="O459" s="13">
        <f>IFERROR(VLOOKUP(G459,Sell!G:L,6,0),0)</f>
        <v>0</v>
      </c>
      <c r="P459" s="14">
        <f t="shared" si="49"/>
        <v>0</v>
      </c>
      <c r="Q459" s="13">
        <f t="shared" ref="Q459:Q522" si="51">O459-L459</f>
        <v>0</v>
      </c>
      <c r="R459" s="13">
        <f t="shared" ref="R459:R522" si="52">IF(P459=0,Q459,0)</f>
        <v>0</v>
      </c>
      <c r="S459" s="13">
        <f t="shared" ref="S459:S522" si="53">IF(R459&gt;0,R459,0)</f>
        <v>0</v>
      </c>
      <c r="T459" s="13">
        <f t="shared" ref="T459:T522" si="54">IF(R459&gt;0,0,R459)</f>
        <v>0</v>
      </c>
      <c r="U459" s="15" t="str">
        <f t="shared" ref="U459:U522" si="55">IF(AND(LEN(G459)&gt;0,R459=0),"Open","")</f>
        <v/>
      </c>
    </row>
    <row r="460" spans="12:21" x14ac:dyDescent="0.25">
      <c r="L460" s="20">
        <f t="shared" si="50"/>
        <v>0</v>
      </c>
      <c r="M460" s="14" t="e">
        <f>VLOOKUP(G460,Sell!G:L,1,0)</f>
        <v>#N/A</v>
      </c>
      <c r="N460" s="14">
        <f>IFERROR(VLOOKUP(G460,Sell!G:L,2,0),0)</f>
        <v>0</v>
      </c>
      <c r="O460" s="13">
        <f>IFERROR(VLOOKUP(G460,Sell!G:L,6,0),0)</f>
        <v>0</v>
      </c>
      <c r="P460" s="14">
        <f t="shared" si="49"/>
        <v>0</v>
      </c>
      <c r="Q460" s="13">
        <f t="shared" si="51"/>
        <v>0</v>
      </c>
      <c r="R460" s="13">
        <f t="shared" si="52"/>
        <v>0</v>
      </c>
      <c r="S460" s="13">
        <f t="shared" si="53"/>
        <v>0</v>
      </c>
      <c r="T460" s="13">
        <f t="shared" si="54"/>
        <v>0</v>
      </c>
      <c r="U460" s="15" t="str">
        <f t="shared" si="55"/>
        <v/>
      </c>
    </row>
    <row r="461" spans="12:21" x14ac:dyDescent="0.25">
      <c r="L461" s="20">
        <f t="shared" si="50"/>
        <v>0</v>
      </c>
      <c r="M461" s="14" t="e">
        <f>VLOOKUP(G461,Sell!G:L,1,0)</f>
        <v>#N/A</v>
      </c>
      <c r="N461" s="14">
        <f>IFERROR(VLOOKUP(G461,Sell!G:L,2,0),0)</f>
        <v>0</v>
      </c>
      <c r="O461" s="13">
        <f>IFERROR(VLOOKUP(G461,Sell!G:L,6,0),0)</f>
        <v>0</v>
      </c>
      <c r="P461" s="14">
        <f t="shared" si="49"/>
        <v>0</v>
      </c>
      <c r="Q461" s="13">
        <f t="shared" si="51"/>
        <v>0</v>
      </c>
      <c r="R461" s="13">
        <f t="shared" si="52"/>
        <v>0</v>
      </c>
      <c r="S461" s="13">
        <f t="shared" si="53"/>
        <v>0</v>
      </c>
      <c r="T461" s="13">
        <f t="shared" si="54"/>
        <v>0</v>
      </c>
      <c r="U461" s="15" t="str">
        <f t="shared" si="55"/>
        <v/>
      </c>
    </row>
    <row r="462" spans="12:21" x14ac:dyDescent="0.25">
      <c r="L462" s="20">
        <f t="shared" si="50"/>
        <v>0</v>
      </c>
      <c r="M462" s="14" t="e">
        <f>VLOOKUP(G462,Sell!G:L,1,0)</f>
        <v>#N/A</v>
      </c>
      <c r="N462" s="14">
        <f>IFERROR(VLOOKUP(G462,Sell!G:L,2,0),0)</f>
        <v>0</v>
      </c>
      <c r="O462" s="13">
        <f>IFERROR(VLOOKUP(G462,Sell!G:L,6,0),0)</f>
        <v>0</v>
      </c>
      <c r="P462" s="14">
        <f t="shared" si="49"/>
        <v>0</v>
      </c>
      <c r="Q462" s="13">
        <f t="shared" si="51"/>
        <v>0</v>
      </c>
      <c r="R462" s="13">
        <f t="shared" si="52"/>
        <v>0</v>
      </c>
      <c r="S462" s="13">
        <f t="shared" si="53"/>
        <v>0</v>
      </c>
      <c r="T462" s="13">
        <f t="shared" si="54"/>
        <v>0</v>
      </c>
      <c r="U462" s="15" t="str">
        <f t="shared" si="55"/>
        <v/>
      </c>
    </row>
    <row r="463" spans="12:21" x14ac:dyDescent="0.25">
      <c r="L463" s="20">
        <f t="shared" si="50"/>
        <v>0</v>
      </c>
      <c r="M463" s="14" t="e">
        <f>VLOOKUP(G463,Sell!G:L,1,0)</f>
        <v>#N/A</v>
      </c>
      <c r="N463" s="14">
        <f>IFERROR(VLOOKUP(G463,Sell!G:L,2,0),0)</f>
        <v>0</v>
      </c>
      <c r="O463" s="13">
        <f>IFERROR(VLOOKUP(G463,Sell!G:L,6,0),0)</f>
        <v>0</v>
      </c>
      <c r="P463" s="14">
        <f t="shared" si="49"/>
        <v>0</v>
      </c>
      <c r="Q463" s="13">
        <f t="shared" si="51"/>
        <v>0</v>
      </c>
      <c r="R463" s="13">
        <f t="shared" si="52"/>
        <v>0</v>
      </c>
      <c r="S463" s="13">
        <f t="shared" si="53"/>
        <v>0</v>
      </c>
      <c r="T463" s="13">
        <f t="shared" si="54"/>
        <v>0</v>
      </c>
      <c r="U463" s="15" t="str">
        <f t="shared" si="55"/>
        <v/>
      </c>
    </row>
    <row r="464" spans="12:21" x14ac:dyDescent="0.25">
      <c r="L464" s="20">
        <f t="shared" si="50"/>
        <v>0</v>
      </c>
      <c r="M464" s="14" t="e">
        <f>VLOOKUP(G464,Sell!G:L,1,0)</f>
        <v>#N/A</v>
      </c>
      <c r="N464" s="14">
        <f>IFERROR(VLOOKUP(G464,Sell!G:L,2,0),0)</f>
        <v>0</v>
      </c>
      <c r="O464" s="13">
        <f>IFERROR(VLOOKUP(G464,Sell!G:L,6,0),0)</f>
        <v>0</v>
      </c>
      <c r="P464" s="14">
        <f t="shared" si="49"/>
        <v>0</v>
      </c>
      <c r="Q464" s="13">
        <f t="shared" si="51"/>
        <v>0</v>
      </c>
      <c r="R464" s="13">
        <f t="shared" si="52"/>
        <v>0</v>
      </c>
      <c r="S464" s="13">
        <f t="shared" si="53"/>
        <v>0</v>
      </c>
      <c r="T464" s="13">
        <f t="shared" si="54"/>
        <v>0</v>
      </c>
      <c r="U464" s="15" t="str">
        <f t="shared" si="55"/>
        <v/>
      </c>
    </row>
    <row r="465" spans="12:21" x14ac:dyDescent="0.25">
      <c r="L465" s="20">
        <f t="shared" si="50"/>
        <v>0</v>
      </c>
      <c r="M465" s="14" t="e">
        <f>VLOOKUP(G465,Sell!G:L,1,0)</f>
        <v>#N/A</v>
      </c>
      <c r="N465" s="14">
        <f>IFERROR(VLOOKUP(G465,Sell!G:L,2,0),0)</f>
        <v>0</v>
      </c>
      <c r="O465" s="13">
        <f>IFERROR(VLOOKUP(G465,Sell!G:L,6,0),0)</f>
        <v>0</v>
      </c>
      <c r="P465" s="14">
        <f t="shared" si="49"/>
        <v>0</v>
      </c>
      <c r="Q465" s="13">
        <f t="shared" si="51"/>
        <v>0</v>
      </c>
      <c r="R465" s="13">
        <f t="shared" si="52"/>
        <v>0</v>
      </c>
      <c r="S465" s="13">
        <f t="shared" si="53"/>
        <v>0</v>
      </c>
      <c r="T465" s="13">
        <f t="shared" si="54"/>
        <v>0</v>
      </c>
      <c r="U465" s="15" t="str">
        <f t="shared" si="55"/>
        <v/>
      </c>
    </row>
    <row r="466" spans="12:21" x14ac:dyDescent="0.25">
      <c r="L466" s="20">
        <f t="shared" si="50"/>
        <v>0</v>
      </c>
      <c r="M466" s="14" t="e">
        <f>VLOOKUP(G466,Sell!G:L,1,0)</f>
        <v>#N/A</v>
      </c>
      <c r="N466" s="14">
        <f>IFERROR(VLOOKUP(G466,Sell!G:L,2,0),0)</f>
        <v>0</v>
      </c>
      <c r="O466" s="13">
        <f>IFERROR(VLOOKUP(G466,Sell!G:L,6,0),0)</f>
        <v>0</v>
      </c>
      <c r="P466" s="14">
        <f t="shared" si="49"/>
        <v>0</v>
      </c>
      <c r="Q466" s="13">
        <f t="shared" si="51"/>
        <v>0</v>
      </c>
      <c r="R466" s="13">
        <f t="shared" si="52"/>
        <v>0</v>
      </c>
      <c r="S466" s="13">
        <f t="shared" si="53"/>
        <v>0</v>
      </c>
      <c r="T466" s="13">
        <f t="shared" si="54"/>
        <v>0</v>
      </c>
      <c r="U466" s="15" t="str">
        <f t="shared" si="55"/>
        <v/>
      </c>
    </row>
    <row r="467" spans="12:21" x14ac:dyDescent="0.25">
      <c r="L467" s="20">
        <f t="shared" si="50"/>
        <v>0</v>
      </c>
      <c r="M467" s="14" t="e">
        <f>VLOOKUP(G467,Sell!G:L,1,0)</f>
        <v>#N/A</v>
      </c>
      <c r="N467" s="14">
        <f>IFERROR(VLOOKUP(G467,Sell!G:L,2,0),0)</f>
        <v>0</v>
      </c>
      <c r="O467" s="13">
        <f>IFERROR(VLOOKUP(G467,Sell!G:L,6,0),0)</f>
        <v>0</v>
      </c>
      <c r="P467" s="14">
        <f t="shared" si="49"/>
        <v>0</v>
      </c>
      <c r="Q467" s="13">
        <f t="shared" si="51"/>
        <v>0</v>
      </c>
      <c r="R467" s="13">
        <f t="shared" si="52"/>
        <v>0</v>
      </c>
      <c r="S467" s="13">
        <f t="shared" si="53"/>
        <v>0</v>
      </c>
      <c r="T467" s="13">
        <f t="shared" si="54"/>
        <v>0</v>
      </c>
      <c r="U467" s="15" t="str">
        <f t="shared" si="55"/>
        <v/>
      </c>
    </row>
    <row r="468" spans="12:21" x14ac:dyDescent="0.25">
      <c r="L468" s="20">
        <f t="shared" si="50"/>
        <v>0</v>
      </c>
      <c r="M468" s="14" t="e">
        <f>VLOOKUP(G468,Sell!G:L,1,0)</f>
        <v>#N/A</v>
      </c>
      <c r="N468" s="14">
        <f>IFERROR(VLOOKUP(G468,Sell!G:L,2,0),0)</f>
        <v>0</v>
      </c>
      <c r="O468" s="13">
        <f>IFERROR(VLOOKUP(G468,Sell!G:L,6,0),0)</f>
        <v>0</v>
      </c>
      <c r="P468" s="14">
        <f t="shared" si="49"/>
        <v>0</v>
      </c>
      <c r="Q468" s="13">
        <f t="shared" si="51"/>
        <v>0</v>
      </c>
      <c r="R468" s="13">
        <f t="shared" si="52"/>
        <v>0</v>
      </c>
      <c r="S468" s="13">
        <f t="shared" si="53"/>
        <v>0</v>
      </c>
      <c r="T468" s="13">
        <f t="shared" si="54"/>
        <v>0</v>
      </c>
      <c r="U468" s="15" t="str">
        <f t="shared" si="55"/>
        <v/>
      </c>
    </row>
    <row r="469" spans="12:21" x14ac:dyDescent="0.25">
      <c r="L469" s="20">
        <f t="shared" si="50"/>
        <v>0</v>
      </c>
      <c r="M469" s="14" t="e">
        <f>VLOOKUP(G469,Sell!G:L,1,0)</f>
        <v>#N/A</v>
      </c>
      <c r="N469" s="14">
        <f>IFERROR(VLOOKUP(G469,Sell!G:L,2,0),0)</f>
        <v>0</v>
      </c>
      <c r="O469" s="13">
        <f>IFERROR(VLOOKUP(G469,Sell!G:L,6,0),0)</f>
        <v>0</v>
      </c>
      <c r="P469" s="14">
        <f t="shared" si="49"/>
        <v>0</v>
      </c>
      <c r="Q469" s="13">
        <f t="shared" si="51"/>
        <v>0</v>
      </c>
      <c r="R469" s="13">
        <f t="shared" si="52"/>
        <v>0</v>
      </c>
      <c r="S469" s="13">
        <f t="shared" si="53"/>
        <v>0</v>
      </c>
      <c r="T469" s="13">
        <f t="shared" si="54"/>
        <v>0</v>
      </c>
      <c r="U469" s="15" t="str">
        <f t="shared" si="55"/>
        <v/>
      </c>
    </row>
    <row r="470" spans="12:21" x14ac:dyDescent="0.25">
      <c r="L470" s="20">
        <f t="shared" si="50"/>
        <v>0</v>
      </c>
      <c r="M470" s="14" t="e">
        <f>VLOOKUP(G470,Sell!G:L,1,0)</f>
        <v>#N/A</v>
      </c>
      <c r="N470" s="14">
        <f>IFERROR(VLOOKUP(G470,Sell!G:L,2,0),0)</f>
        <v>0</v>
      </c>
      <c r="O470" s="13">
        <f>IFERROR(VLOOKUP(G470,Sell!G:L,6,0),0)</f>
        <v>0</v>
      </c>
      <c r="P470" s="14">
        <f t="shared" si="49"/>
        <v>0</v>
      </c>
      <c r="Q470" s="13">
        <f t="shared" si="51"/>
        <v>0</v>
      </c>
      <c r="R470" s="13">
        <f t="shared" si="52"/>
        <v>0</v>
      </c>
      <c r="S470" s="13">
        <f t="shared" si="53"/>
        <v>0</v>
      </c>
      <c r="T470" s="13">
        <f t="shared" si="54"/>
        <v>0</v>
      </c>
      <c r="U470" s="15" t="str">
        <f t="shared" si="55"/>
        <v/>
      </c>
    </row>
    <row r="471" spans="12:21" x14ac:dyDescent="0.25">
      <c r="L471" s="20">
        <f t="shared" si="50"/>
        <v>0</v>
      </c>
      <c r="M471" s="14" t="e">
        <f>VLOOKUP(G471,Sell!G:L,1,0)</f>
        <v>#N/A</v>
      </c>
      <c r="N471" s="14">
        <f>IFERROR(VLOOKUP(G471,Sell!G:L,2,0),0)</f>
        <v>0</v>
      </c>
      <c r="O471" s="13">
        <f>IFERROR(VLOOKUP(G471,Sell!G:L,6,0),0)</f>
        <v>0</v>
      </c>
      <c r="P471" s="14">
        <f t="shared" si="49"/>
        <v>0</v>
      </c>
      <c r="Q471" s="13">
        <f t="shared" si="51"/>
        <v>0</v>
      </c>
      <c r="R471" s="13">
        <f t="shared" si="52"/>
        <v>0</v>
      </c>
      <c r="S471" s="13">
        <f t="shared" si="53"/>
        <v>0</v>
      </c>
      <c r="T471" s="13">
        <f t="shared" si="54"/>
        <v>0</v>
      </c>
      <c r="U471" s="15" t="str">
        <f t="shared" si="55"/>
        <v/>
      </c>
    </row>
    <row r="472" spans="12:21" x14ac:dyDescent="0.25">
      <c r="L472" s="20">
        <f t="shared" si="50"/>
        <v>0</v>
      </c>
      <c r="M472" s="14" t="e">
        <f>VLOOKUP(G472,Sell!G:L,1,0)</f>
        <v>#N/A</v>
      </c>
      <c r="N472" s="14">
        <f>IFERROR(VLOOKUP(G472,Sell!G:L,2,0),0)</f>
        <v>0</v>
      </c>
      <c r="O472" s="13">
        <f>IFERROR(VLOOKUP(G472,Sell!G:L,6,0),0)</f>
        <v>0</v>
      </c>
      <c r="P472" s="14">
        <f t="shared" si="49"/>
        <v>0</v>
      </c>
      <c r="Q472" s="13">
        <f t="shared" si="51"/>
        <v>0</v>
      </c>
      <c r="R472" s="13">
        <f t="shared" si="52"/>
        <v>0</v>
      </c>
      <c r="S472" s="13">
        <f t="shared" si="53"/>
        <v>0</v>
      </c>
      <c r="T472" s="13">
        <f t="shared" si="54"/>
        <v>0</v>
      </c>
      <c r="U472" s="15" t="str">
        <f t="shared" si="55"/>
        <v/>
      </c>
    </row>
    <row r="473" spans="12:21" x14ac:dyDescent="0.25">
      <c r="L473" s="20">
        <f t="shared" si="50"/>
        <v>0</v>
      </c>
      <c r="M473" s="14" t="e">
        <f>VLOOKUP(G473,Sell!G:L,1,0)</f>
        <v>#N/A</v>
      </c>
      <c r="N473" s="14">
        <f>IFERROR(VLOOKUP(G473,Sell!G:L,2,0),0)</f>
        <v>0</v>
      </c>
      <c r="O473" s="13">
        <f>IFERROR(VLOOKUP(G473,Sell!G:L,6,0),0)</f>
        <v>0</v>
      </c>
      <c r="P473" s="14">
        <f t="shared" si="49"/>
        <v>0</v>
      </c>
      <c r="Q473" s="13">
        <f t="shared" si="51"/>
        <v>0</v>
      </c>
      <c r="R473" s="13">
        <f t="shared" si="52"/>
        <v>0</v>
      </c>
      <c r="S473" s="13">
        <f t="shared" si="53"/>
        <v>0</v>
      </c>
      <c r="T473" s="13">
        <f t="shared" si="54"/>
        <v>0</v>
      </c>
      <c r="U473" s="15" t="str">
        <f t="shared" si="55"/>
        <v/>
      </c>
    </row>
    <row r="474" spans="12:21" x14ac:dyDescent="0.25">
      <c r="L474" s="20">
        <f t="shared" si="50"/>
        <v>0</v>
      </c>
      <c r="M474" s="14" t="e">
        <f>VLOOKUP(G474,Sell!G:L,1,0)</f>
        <v>#N/A</v>
      </c>
      <c r="N474" s="14">
        <f>IFERROR(VLOOKUP(G474,Sell!G:L,2,0),0)</f>
        <v>0</v>
      </c>
      <c r="O474" s="13">
        <f>IFERROR(VLOOKUP(G474,Sell!G:L,6,0),0)</f>
        <v>0</v>
      </c>
      <c r="P474" s="14">
        <f t="shared" si="49"/>
        <v>0</v>
      </c>
      <c r="Q474" s="13">
        <f t="shared" si="51"/>
        <v>0</v>
      </c>
      <c r="R474" s="13">
        <f t="shared" si="52"/>
        <v>0</v>
      </c>
      <c r="S474" s="13">
        <f t="shared" si="53"/>
        <v>0</v>
      </c>
      <c r="T474" s="13">
        <f t="shared" si="54"/>
        <v>0</v>
      </c>
      <c r="U474" s="15" t="str">
        <f t="shared" si="55"/>
        <v/>
      </c>
    </row>
    <row r="475" spans="12:21" x14ac:dyDescent="0.25">
      <c r="L475" s="20">
        <f t="shared" si="50"/>
        <v>0</v>
      </c>
      <c r="M475" s="14" t="e">
        <f>VLOOKUP(G475,Sell!G:L,1,0)</f>
        <v>#N/A</v>
      </c>
      <c r="N475" s="14">
        <f>IFERROR(VLOOKUP(G475,Sell!G:L,2,0),0)</f>
        <v>0</v>
      </c>
      <c r="O475" s="13">
        <f>IFERROR(VLOOKUP(G475,Sell!G:L,6,0),0)</f>
        <v>0</v>
      </c>
      <c r="P475" s="14">
        <f t="shared" si="49"/>
        <v>0</v>
      </c>
      <c r="Q475" s="13">
        <f t="shared" si="51"/>
        <v>0</v>
      </c>
      <c r="R475" s="13">
        <f t="shared" si="52"/>
        <v>0</v>
      </c>
      <c r="S475" s="13">
        <f t="shared" si="53"/>
        <v>0</v>
      </c>
      <c r="T475" s="13">
        <f t="shared" si="54"/>
        <v>0</v>
      </c>
      <c r="U475" s="15" t="str">
        <f t="shared" si="55"/>
        <v/>
      </c>
    </row>
    <row r="476" spans="12:21" x14ac:dyDescent="0.25">
      <c r="L476" s="20">
        <f t="shared" si="50"/>
        <v>0</v>
      </c>
      <c r="M476" s="14" t="e">
        <f>VLOOKUP(G476,Sell!G:L,1,0)</f>
        <v>#N/A</v>
      </c>
      <c r="N476" s="14">
        <f>IFERROR(VLOOKUP(G476,Sell!G:L,2,0),0)</f>
        <v>0</v>
      </c>
      <c r="O476" s="13">
        <f>IFERROR(VLOOKUP(G476,Sell!G:L,6,0),0)</f>
        <v>0</v>
      </c>
      <c r="P476" s="14">
        <f t="shared" si="49"/>
        <v>0</v>
      </c>
      <c r="Q476" s="13">
        <f t="shared" si="51"/>
        <v>0</v>
      </c>
      <c r="R476" s="13">
        <f t="shared" si="52"/>
        <v>0</v>
      </c>
      <c r="S476" s="13">
        <f t="shared" si="53"/>
        <v>0</v>
      </c>
      <c r="T476" s="13">
        <f t="shared" si="54"/>
        <v>0</v>
      </c>
      <c r="U476" s="15" t="str">
        <f t="shared" si="55"/>
        <v/>
      </c>
    </row>
    <row r="477" spans="12:21" x14ac:dyDescent="0.25">
      <c r="L477" s="20">
        <f t="shared" si="50"/>
        <v>0</v>
      </c>
      <c r="M477" s="14" t="e">
        <f>VLOOKUP(G477,Sell!G:L,1,0)</f>
        <v>#N/A</v>
      </c>
      <c r="N477" s="14">
        <f>IFERROR(VLOOKUP(G477,Sell!G:L,2,0),0)</f>
        <v>0</v>
      </c>
      <c r="O477" s="13">
        <f>IFERROR(VLOOKUP(G477,Sell!G:L,6,0),0)</f>
        <v>0</v>
      </c>
      <c r="P477" s="14">
        <f t="shared" si="49"/>
        <v>0</v>
      </c>
      <c r="Q477" s="13">
        <f t="shared" si="51"/>
        <v>0</v>
      </c>
      <c r="R477" s="13">
        <f t="shared" si="52"/>
        <v>0</v>
      </c>
      <c r="S477" s="13">
        <f t="shared" si="53"/>
        <v>0</v>
      </c>
      <c r="T477" s="13">
        <f t="shared" si="54"/>
        <v>0</v>
      </c>
      <c r="U477" s="15" t="str">
        <f t="shared" si="55"/>
        <v/>
      </c>
    </row>
    <row r="478" spans="12:21" x14ac:dyDescent="0.25">
      <c r="L478" s="20">
        <f t="shared" si="50"/>
        <v>0</v>
      </c>
      <c r="M478" s="14" t="e">
        <f>VLOOKUP(G478,Sell!G:L,1,0)</f>
        <v>#N/A</v>
      </c>
      <c r="N478" s="14">
        <f>IFERROR(VLOOKUP(G478,Sell!G:L,2,0),0)</f>
        <v>0</v>
      </c>
      <c r="O478" s="13">
        <f>IFERROR(VLOOKUP(G478,Sell!G:L,6,0),0)</f>
        <v>0</v>
      </c>
      <c r="P478" s="14">
        <f t="shared" si="49"/>
        <v>0</v>
      </c>
      <c r="Q478" s="13">
        <f t="shared" si="51"/>
        <v>0</v>
      </c>
      <c r="R478" s="13">
        <f t="shared" si="52"/>
        <v>0</v>
      </c>
      <c r="S478" s="13">
        <f t="shared" si="53"/>
        <v>0</v>
      </c>
      <c r="T478" s="13">
        <f t="shared" si="54"/>
        <v>0</v>
      </c>
      <c r="U478" s="15" t="str">
        <f t="shared" si="55"/>
        <v/>
      </c>
    </row>
    <row r="479" spans="12:21" x14ac:dyDescent="0.25">
      <c r="L479" s="20">
        <f t="shared" si="50"/>
        <v>0</v>
      </c>
      <c r="M479" s="14" t="e">
        <f>VLOOKUP(G479,Sell!G:L,1,0)</f>
        <v>#N/A</v>
      </c>
      <c r="N479" s="14">
        <f>IFERROR(VLOOKUP(G479,Sell!G:L,2,0),0)</f>
        <v>0</v>
      </c>
      <c r="O479" s="13">
        <f>IFERROR(VLOOKUP(G479,Sell!G:L,6,0),0)</f>
        <v>0</v>
      </c>
      <c r="P479" s="14">
        <f t="shared" si="49"/>
        <v>0</v>
      </c>
      <c r="Q479" s="13">
        <f t="shared" si="51"/>
        <v>0</v>
      </c>
      <c r="R479" s="13">
        <f t="shared" si="52"/>
        <v>0</v>
      </c>
      <c r="S479" s="13">
        <f t="shared" si="53"/>
        <v>0</v>
      </c>
      <c r="T479" s="13">
        <f t="shared" si="54"/>
        <v>0</v>
      </c>
      <c r="U479" s="15" t="str">
        <f t="shared" si="55"/>
        <v/>
      </c>
    </row>
    <row r="480" spans="12:21" x14ac:dyDescent="0.25">
      <c r="L480" s="20">
        <f t="shared" si="50"/>
        <v>0</v>
      </c>
      <c r="M480" s="14" t="e">
        <f>VLOOKUP(G480,Sell!G:L,1,0)</f>
        <v>#N/A</v>
      </c>
      <c r="N480" s="14">
        <f>IFERROR(VLOOKUP(G480,Sell!G:L,2,0),0)</f>
        <v>0</v>
      </c>
      <c r="O480" s="13">
        <f>IFERROR(VLOOKUP(G480,Sell!G:L,6,0),0)</f>
        <v>0</v>
      </c>
      <c r="P480" s="14">
        <f t="shared" si="49"/>
        <v>0</v>
      </c>
      <c r="Q480" s="13">
        <f t="shared" si="51"/>
        <v>0</v>
      </c>
      <c r="R480" s="13">
        <f t="shared" si="52"/>
        <v>0</v>
      </c>
      <c r="S480" s="13">
        <f t="shared" si="53"/>
        <v>0</v>
      </c>
      <c r="T480" s="13">
        <f t="shared" si="54"/>
        <v>0</v>
      </c>
      <c r="U480" s="15" t="str">
        <f t="shared" si="55"/>
        <v/>
      </c>
    </row>
    <row r="481" spans="12:21" x14ac:dyDescent="0.25">
      <c r="L481" s="20">
        <f t="shared" si="50"/>
        <v>0</v>
      </c>
      <c r="M481" s="14" t="e">
        <f>VLOOKUP(G481,Sell!G:L,1,0)</f>
        <v>#N/A</v>
      </c>
      <c r="N481" s="14">
        <f>IFERROR(VLOOKUP(G481,Sell!G:L,2,0),0)</f>
        <v>0</v>
      </c>
      <c r="O481" s="13">
        <f>IFERROR(VLOOKUP(G481,Sell!G:L,6,0),0)</f>
        <v>0</v>
      </c>
      <c r="P481" s="14">
        <f t="shared" si="49"/>
        <v>0</v>
      </c>
      <c r="Q481" s="13">
        <f t="shared" si="51"/>
        <v>0</v>
      </c>
      <c r="R481" s="13">
        <f t="shared" si="52"/>
        <v>0</v>
      </c>
      <c r="S481" s="13">
        <f t="shared" si="53"/>
        <v>0</v>
      </c>
      <c r="T481" s="13">
        <f t="shared" si="54"/>
        <v>0</v>
      </c>
      <c r="U481" s="15" t="str">
        <f t="shared" si="55"/>
        <v/>
      </c>
    </row>
    <row r="482" spans="12:21" x14ac:dyDescent="0.25">
      <c r="L482" s="20">
        <f t="shared" si="50"/>
        <v>0</v>
      </c>
      <c r="M482" s="14" t="e">
        <f>VLOOKUP(G482,Sell!G:L,1,0)</f>
        <v>#N/A</v>
      </c>
      <c r="N482" s="14">
        <f>IFERROR(VLOOKUP(G482,Sell!G:L,2,0),0)</f>
        <v>0</v>
      </c>
      <c r="O482" s="13">
        <f>IFERROR(VLOOKUP(G482,Sell!G:L,6,0),0)</f>
        <v>0</v>
      </c>
      <c r="P482" s="14">
        <f t="shared" si="49"/>
        <v>0</v>
      </c>
      <c r="Q482" s="13">
        <f t="shared" si="51"/>
        <v>0</v>
      </c>
      <c r="R482" s="13">
        <f t="shared" si="52"/>
        <v>0</v>
      </c>
      <c r="S482" s="13">
        <f t="shared" si="53"/>
        <v>0</v>
      </c>
      <c r="T482" s="13">
        <f t="shared" si="54"/>
        <v>0</v>
      </c>
      <c r="U482" s="15" t="str">
        <f t="shared" si="55"/>
        <v/>
      </c>
    </row>
    <row r="483" spans="12:21" x14ac:dyDescent="0.25">
      <c r="L483" s="20">
        <f t="shared" si="50"/>
        <v>0</v>
      </c>
      <c r="M483" s="14" t="e">
        <f>VLOOKUP(G483,Sell!G:L,1,0)</f>
        <v>#N/A</v>
      </c>
      <c r="N483" s="14">
        <f>IFERROR(VLOOKUP(G483,Sell!G:L,2,0),0)</f>
        <v>0</v>
      </c>
      <c r="O483" s="13">
        <f>IFERROR(VLOOKUP(G483,Sell!G:L,6,0),0)</f>
        <v>0</v>
      </c>
      <c r="P483" s="14">
        <f t="shared" si="49"/>
        <v>0</v>
      </c>
      <c r="Q483" s="13">
        <f t="shared" si="51"/>
        <v>0</v>
      </c>
      <c r="R483" s="13">
        <f t="shared" si="52"/>
        <v>0</v>
      </c>
      <c r="S483" s="13">
        <f t="shared" si="53"/>
        <v>0</v>
      </c>
      <c r="T483" s="13">
        <f t="shared" si="54"/>
        <v>0</v>
      </c>
      <c r="U483" s="15" t="str">
        <f t="shared" si="55"/>
        <v/>
      </c>
    </row>
    <row r="484" spans="12:21" x14ac:dyDescent="0.25">
      <c r="L484" s="20">
        <f t="shared" si="50"/>
        <v>0</v>
      </c>
      <c r="M484" s="14" t="e">
        <f>VLOOKUP(G484,Sell!G:L,1,0)</f>
        <v>#N/A</v>
      </c>
      <c r="N484" s="14">
        <f>IFERROR(VLOOKUP(G484,Sell!G:L,2,0),0)</f>
        <v>0</v>
      </c>
      <c r="O484" s="13">
        <f>IFERROR(VLOOKUP(G484,Sell!G:L,6,0),0)</f>
        <v>0</v>
      </c>
      <c r="P484" s="14">
        <f t="shared" si="49"/>
        <v>0</v>
      </c>
      <c r="Q484" s="13">
        <f t="shared" si="51"/>
        <v>0</v>
      </c>
      <c r="R484" s="13">
        <f t="shared" si="52"/>
        <v>0</v>
      </c>
      <c r="S484" s="13">
        <f t="shared" si="53"/>
        <v>0</v>
      </c>
      <c r="T484" s="13">
        <f t="shared" si="54"/>
        <v>0</v>
      </c>
      <c r="U484" s="15" t="str">
        <f t="shared" si="55"/>
        <v/>
      </c>
    </row>
    <row r="485" spans="12:21" x14ac:dyDescent="0.25">
      <c r="L485" s="20">
        <f t="shared" si="50"/>
        <v>0</v>
      </c>
      <c r="M485" s="14" t="e">
        <f>VLOOKUP(G485,Sell!G:L,1,0)</f>
        <v>#N/A</v>
      </c>
      <c r="N485" s="14">
        <f>IFERROR(VLOOKUP(G485,Sell!G:L,2,0),0)</f>
        <v>0</v>
      </c>
      <c r="O485" s="13">
        <f>IFERROR(VLOOKUP(G485,Sell!G:L,6,0),0)</f>
        <v>0</v>
      </c>
      <c r="P485" s="14">
        <f t="shared" si="49"/>
        <v>0</v>
      </c>
      <c r="Q485" s="13">
        <f t="shared" si="51"/>
        <v>0</v>
      </c>
      <c r="R485" s="13">
        <f t="shared" si="52"/>
        <v>0</v>
      </c>
      <c r="S485" s="13">
        <f t="shared" si="53"/>
        <v>0</v>
      </c>
      <c r="T485" s="13">
        <f t="shared" si="54"/>
        <v>0</v>
      </c>
      <c r="U485" s="15" t="str">
        <f t="shared" si="55"/>
        <v/>
      </c>
    </row>
    <row r="486" spans="12:21" x14ac:dyDescent="0.25">
      <c r="L486" s="20">
        <f t="shared" si="50"/>
        <v>0</v>
      </c>
      <c r="M486" s="14" t="e">
        <f>VLOOKUP(G486,Sell!G:L,1,0)</f>
        <v>#N/A</v>
      </c>
      <c r="N486" s="14">
        <f>IFERROR(VLOOKUP(G486,Sell!G:L,2,0),0)</f>
        <v>0</v>
      </c>
      <c r="O486" s="13">
        <f>IFERROR(VLOOKUP(G486,Sell!G:L,6,0),0)</f>
        <v>0</v>
      </c>
      <c r="P486" s="14">
        <f t="shared" si="49"/>
        <v>0</v>
      </c>
      <c r="Q486" s="13">
        <f t="shared" si="51"/>
        <v>0</v>
      </c>
      <c r="R486" s="13">
        <f t="shared" si="52"/>
        <v>0</v>
      </c>
      <c r="S486" s="13">
        <f t="shared" si="53"/>
        <v>0</v>
      </c>
      <c r="T486" s="13">
        <f t="shared" si="54"/>
        <v>0</v>
      </c>
      <c r="U486" s="15" t="str">
        <f t="shared" si="55"/>
        <v/>
      </c>
    </row>
    <row r="487" spans="12:21" x14ac:dyDescent="0.25">
      <c r="L487" s="20">
        <f t="shared" si="50"/>
        <v>0</v>
      </c>
      <c r="M487" s="14" t="e">
        <f>VLOOKUP(G487,Sell!G:L,1,0)</f>
        <v>#N/A</v>
      </c>
      <c r="N487" s="14">
        <f>IFERROR(VLOOKUP(G487,Sell!G:L,2,0),0)</f>
        <v>0</v>
      </c>
      <c r="O487" s="13">
        <f>IFERROR(VLOOKUP(G487,Sell!G:L,6,0),0)</f>
        <v>0</v>
      </c>
      <c r="P487" s="14">
        <f t="shared" si="49"/>
        <v>0</v>
      </c>
      <c r="Q487" s="13">
        <f t="shared" si="51"/>
        <v>0</v>
      </c>
      <c r="R487" s="13">
        <f t="shared" si="52"/>
        <v>0</v>
      </c>
      <c r="S487" s="13">
        <f t="shared" si="53"/>
        <v>0</v>
      </c>
      <c r="T487" s="13">
        <f t="shared" si="54"/>
        <v>0</v>
      </c>
      <c r="U487" s="15" t="str">
        <f t="shared" si="55"/>
        <v/>
      </c>
    </row>
    <row r="488" spans="12:21" x14ac:dyDescent="0.25">
      <c r="L488" s="20">
        <f t="shared" si="50"/>
        <v>0</v>
      </c>
      <c r="M488" s="14" t="e">
        <f>VLOOKUP(G488,Sell!G:L,1,0)</f>
        <v>#N/A</v>
      </c>
      <c r="N488" s="14">
        <f>IFERROR(VLOOKUP(G488,Sell!G:L,2,0),0)</f>
        <v>0</v>
      </c>
      <c r="O488" s="13">
        <f>IFERROR(VLOOKUP(G488,Sell!G:L,6,0),0)</f>
        <v>0</v>
      </c>
      <c r="P488" s="14">
        <f t="shared" si="49"/>
        <v>0</v>
      </c>
      <c r="Q488" s="13">
        <f t="shared" si="51"/>
        <v>0</v>
      </c>
      <c r="R488" s="13">
        <f t="shared" si="52"/>
        <v>0</v>
      </c>
      <c r="S488" s="13">
        <f t="shared" si="53"/>
        <v>0</v>
      </c>
      <c r="T488" s="13">
        <f t="shared" si="54"/>
        <v>0</v>
      </c>
      <c r="U488" s="15" t="str">
        <f t="shared" si="55"/>
        <v/>
      </c>
    </row>
    <row r="489" spans="12:21" x14ac:dyDescent="0.25">
      <c r="L489" s="20">
        <f t="shared" si="50"/>
        <v>0</v>
      </c>
      <c r="M489" s="14" t="e">
        <f>VLOOKUP(G489,Sell!G:L,1,0)</f>
        <v>#N/A</v>
      </c>
      <c r="N489" s="14">
        <f>IFERROR(VLOOKUP(G489,Sell!G:L,2,0),0)</f>
        <v>0</v>
      </c>
      <c r="O489" s="13">
        <f>IFERROR(VLOOKUP(G489,Sell!G:L,6,0),0)</f>
        <v>0</v>
      </c>
      <c r="P489" s="14">
        <f t="shared" si="49"/>
        <v>0</v>
      </c>
      <c r="Q489" s="13">
        <f t="shared" si="51"/>
        <v>0</v>
      </c>
      <c r="R489" s="13">
        <f t="shared" si="52"/>
        <v>0</v>
      </c>
      <c r="S489" s="13">
        <f t="shared" si="53"/>
        <v>0</v>
      </c>
      <c r="T489" s="13">
        <f t="shared" si="54"/>
        <v>0</v>
      </c>
      <c r="U489" s="15" t="str">
        <f t="shared" si="55"/>
        <v/>
      </c>
    </row>
    <row r="490" spans="12:21" x14ac:dyDescent="0.25">
      <c r="L490" s="20">
        <f t="shared" si="50"/>
        <v>0</v>
      </c>
      <c r="M490" s="14" t="e">
        <f>VLOOKUP(G490,Sell!G:L,1,0)</f>
        <v>#N/A</v>
      </c>
      <c r="N490" s="14">
        <f>IFERROR(VLOOKUP(G490,Sell!G:L,2,0),0)</f>
        <v>0</v>
      </c>
      <c r="O490" s="13">
        <f>IFERROR(VLOOKUP(G490,Sell!G:L,6,0),0)</f>
        <v>0</v>
      </c>
      <c r="P490" s="14">
        <f t="shared" si="49"/>
        <v>0</v>
      </c>
      <c r="Q490" s="13">
        <f t="shared" si="51"/>
        <v>0</v>
      </c>
      <c r="R490" s="13">
        <f t="shared" si="52"/>
        <v>0</v>
      </c>
      <c r="S490" s="13">
        <f t="shared" si="53"/>
        <v>0</v>
      </c>
      <c r="T490" s="13">
        <f t="shared" si="54"/>
        <v>0</v>
      </c>
      <c r="U490" s="15" t="str">
        <f t="shared" si="55"/>
        <v/>
      </c>
    </row>
    <row r="491" spans="12:21" x14ac:dyDescent="0.25">
      <c r="L491" s="20">
        <f t="shared" si="50"/>
        <v>0</v>
      </c>
      <c r="M491" s="14" t="e">
        <f>VLOOKUP(G491,Sell!G:L,1,0)</f>
        <v>#N/A</v>
      </c>
      <c r="N491" s="14">
        <f>IFERROR(VLOOKUP(G491,Sell!G:L,2,0),0)</f>
        <v>0</v>
      </c>
      <c r="O491" s="13">
        <f>IFERROR(VLOOKUP(G491,Sell!G:L,6,0),0)</f>
        <v>0</v>
      </c>
      <c r="P491" s="14">
        <f t="shared" si="49"/>
        <v>0</v>
      </c>
      <c r="Q491" s="13">
        <f t="shared" si="51"/>
        <v>0</v>
      </c>
      <c r="R491" s="13">
        <f t="shared" si="52"/>
        <v>0</v>
      </c>
      <c r="S491" s="13">
        <f t="shared" si="53"/>
        <v>0</v>
      </c>
      <c r="T491" s="13">
        <f t="shared" si="54"/>
        <v>0</v>
      </c>
      <c r="U491" s="15" t="str">
        <f t="shared" si="55"/>
        <v/>
      </c>
    </row>
    <row r="492" spans="12:21" x14ac:dyDescent="0.25">
      <c r="L492" s="20">
        <f t="shared" si="50"/>
        <v>0</v>
      </c>
      <c r="M492" s="14" t="e">
        <f>VLOOKUP(G492,Sell!G:L,1,0)</f>
        <v>#N/A</v>
      </c>
      <c r="N492" s="14">
        <f>IFERROR(VLOOKUP(G492,Sell!G:L,2,0),0)</f>
        <v>0</v>
      </c>
      <c r="O492" s="13">
        <f>IFERROR(VLOOKUP(G492,Sell!G:L,6,0),0)</f>
        <v>0</v>
      </c>
      <c r="P492" s="14">
        <f t="shared" si="49"/>
        <v>0</v>
      </c>
      <c r="Q492" s="13">
        <f t="shared" si="51"/>
        <v>0</v>
      </c>
      <c r="R492" s="13">
        <f t="shared" si="52"/>
        <v>0</v>
      </c>
      <c r="S492" s="13">
        <f t="shared" si="53"/>
        <v>0</v>
      </c>
      <c r="T492" s="13">
        <f t="shared" si="54"/>
        <v>0</v>
      </c>
      <c r="U492" s="15" t="str">
        <f t="shared" si="55"/>
        <v/>
      </c>
    </row>
    <row r="493" spans="12:21" x14ac:dyDescent="0.25">
      <c r="L493" s="20">
        <f t="shared" si="50"/>
        <v>0</v>
      </c>
      <c r="M493" s="14" t="e">
        <f>VLOOKUP(G493,Sell!G:L,1,0)</f>
        <v>#N/A</v>
      </c>
      <c r="N493" s="14">
        <f>IFERROR(VLOOKUP(G493,Sell!G:L,2,0),0)</f>
        <v>0</v>
      </c>
      <c r="O493" s="13">
        <f>IFERROR(VLOOKUP(G493,Sell!G:L,6,0),0)</f>
        <v>0</v>
      </c>
      <c r="P493" s="14">
        <f t="shared" si="49"/>
        <v>0</v>
      </c>
      <c r="Q493" s="13">
        <f t="shared" si="51"/>
        <v>0</v>
      </c>
      <c r="R493" s="13">
        <f t="shared" si="52"/>
        <v>0</v>
      </c>
      <c r="S493" s="13">
        <f t="shared" si="53"/>
        <v>0</v>
      </c>
      <c r="T493" s="13">
        <f t="shared" si="54"/>
        <v>0</v>
      </c>
      <c r="U493" s="15" t="str">
        <f t="shared" si="55"/>
        <v/>
      </c>
    </row>
    <row r="494" spans="12:21" x14ac:dyDescent="0.25">
      <c r="L494" s="20">
        <f t="shared" si="50"/>
        <v>0</v>
      </c>
      <c r="M494" s="14" t="e">
        <f>VLOOKUP(G494,Sell!G:L,1,0)</f>
        <v>#N/A</v>
      </c>
      <c r="N494" s="14">
        <f>IFERROR(VLOOKUP(G494,Sell!G:L,2,0),0)</f>
        <v>0</v>
      </c>
      <c r="O494" s="13">
        <f>IFERROR(VLOOKUP(G494,Sell!G:L,6,0),0)</f>
        <v>0</v>
      </c>
      <c r="P494" s="14">
        <f t="shared" si="49"/>
        <v>0</v>
      </c>
      <c r="Q494" s="13">
        <f t="shared" si="51"/>
        <v>0</v>
      </c>
      <c r="R494" s="13">
        <f t="shared" si="52"/>
        <v>0</v>
      </c>
      <c r="S494" s="13">
        <f t="shared" si="53"/>
        <v>0</v>
      </c>
      <c r="T494" s="13">
        <f t="shared" si="54"/>
        <v>0</v>
      </c>
      <c r="U494" s="15" t="str">
        <f t="shared" si="55"/>
        <v/>
      </c>
    </row>
    <row r="495" spans="12:21" x14ac:dyDescent="0.25">
      <c r="L495" s="20">
        <f t="shared" si="50"/>
        <v>0</v>
      </c>
      <c r="M495" s="14" t="e">
        <f>VLOOKUP(G495,Sell!G:L,1,0)</f>
        <v>#N/A</v>
      </c>
      <c r="N495" s="14">
        <f>IFERROR(VLOOKUP(G495,Sell!G:L,2,0),0)</f>
        <v>0</v>
      </c>
      <c r="O495" s="13">
        <f>IFERROR(VLOOKUP(G495,Sell!G:L,6,0),0)</f>
        <v>0</v>
      </c>
      <c r="P495" s="14">
        <f t="shared" si="49"/>
        <v>0</v>
      </c>
      <c r="Q495" s="13">
        <f t="shared" si="51"/>
        <v>0</v>
      </c>
      <c r="R495" s="13">
        <f t="shared" si="52"/>
        <v>0</v>
      </c>
      <c r="S495" s="13">
        <f t="shared" si="53"/>
        <v>0</v>
      </c>
      <c r="T495" s="13">
        <f t="shared" si="54"/>
        <v>0</v>
      </c>
      <c r="U495" s="15" t="str">
        <f t="shared" si="55"/>
        <v/>
      </c>
    </row>
    <row r="496" spans="12:21" x14ac:dyDescent="0.25">
      <c r="L496" s="20">
        <f t="shared" si="50"/>
        <v>0</v>
      </c>
      <c r="M496" s="14" t="e">
        <f>VLOOKUP(G496,Sell!G:L,1,0)</f>
        <v>#N/A</v>
      </c>
      <c r="N496" s="14">
        <f>IFERROR(VLOOKUP(G496,Sell!G:L,2,0),0)</f>
        <v>0</v>
      </c>
      <c r="O496" s="13">
        <f>IFERROR(VLOOKUP(G496,Sell!G:L,6,0),0)</f>
        <v>0</v>
      </c>
      <c r="P496" s="14">
        <f t="shared" si="49"/>
        <v>0</v>
      </c>
      <c r="Q496" s="13">
        <f t="shared" si="51"/>
        <v>0</v>
      </c>
      <c r="R496" s="13">
        <f t="shared" si="52"/>
        <v>0</v>
      </c>
      <c r="S496" s="13">
        <f t="shared" si="53"/>
        <v>0</v>
      </c>
      <c r="T496" s="13">
        <f t="shared" si="54"/>
        <v>0</v>
      </c>
      <c r="U496" s="15" t="str">
        <f t="shared" si="55"/>
        <v/>
      </c>
    </row>
    <row r="497" spans="12:21" x14ac:dyDescent="0.25">
      <c r="L497" s="20">
        <f t="shared" si="50"/>
        <v>0</v>
      </c>
      <c r="M497" s="14" t="e">
        <f>VLOOKUP(G497,Sell!G:L,1,0)</f>
        <v>#N/A</v>
      </c>
      <c r="N497" s="14">
        <f>IFERROR(VLOOKUP(G497,Sell!G:L,2,0),0)</f>
        <v>0</v>
      </c>
      <c r="O497" s="13">
        <f>IFERROR(VLOOKUP(G497,Sell!G:L,6,0),0)</f>
        <v>0</v>
      </c>
      <c r="P497" s="14">
        <f t="shared" si="49"/>
        <v>0</v>
      </c>
      <c r="Q497" s="13">
        <f t="shared" si="51"/>
        <v>0</v>
      </c>
      <c r="R497" s="13">
        <f t="shared" si="52"/>
        <v>0</v>
      </c>
      <c r="S497" s="13">
        <f t="shared" si="53"/>
        <v>0</v>
      </c>
      <c r="T497" s="13">
        <f t="shared" si="54"/>
        <v>0</v>
      </c>
      <c r="U497" s="15" t="str">
        <f t="shared" si="55"/>
        <v/>
      </c>
    </row>
    <row r="498" spans="12:21" x14ac:dyDescent="0.25">
      <c r="L498" s="20">
        <f t="shared" si="50"/>
        <v>0</v>
      </c>
      <c r="M498" s="14" t="e">
        <f>VLOOKUP(G498,Sell!G:L,1,0)</f>
        <v>#N/A</v>
      </c>
      <c r="N498" s="14">
        <f>IFERROR(VLOOKUP(G498,Sell!G:L,2,0),0)</f>
        <v>0</v>
      </c>
      <c r="O498" s="13">
        <f>IFERROR(VLOOKUP(G498,Sell!G:L,6,0),0)</f>
        <v>0</v>
      </c>
      <c r="P498" s="14">
        <f t="shared" si="49"/>
        <v>0</v>
      </c>
      <c r="Q498" s="13">
        <f t="shared" si="51"/>
        <v>0</v>
      </c>
      <c r="R498" s="13">
        <f t="shared" si="52"/>
        <v>0</v>
      </c>
      <c r="S498" s="13">
        <f t="shared" si="53"/>
        <v>0</v>
      </c>
      <c r="T498" s="13">
        <f t="shared" si="54"/>
        <v>0</v>
      </c>
      <c r="U498" s="15" t="str">
        <f t="shared" si="55"/>
        <v/>
      </c>
    </row>
    <row r="499" spans="12:21" x14ac:dyDescent="0.25">
      <c r="L499" s="20">
        <f t="shared" si="50"/>
        <v>0</v>
      </c>
      <c r="M499" s="14" t="e">
        <f>VLOOKUP(G499,Sell!G:L,1,0)</f>
        <v>#N/A</v>
      </c>
      <c r="N499" s="14">
        <f>IFERROR(VLOOKUP(G499,Sell!G:L,2,0),0)</f>
        <v>0</v>
      </c>
      <c r="O499" s="13">
        <f>IFERROR(VLOOKUP(G499,Sell!G:L,6,0),0)</f>
        <v>0</v>
      </c>
      <c r="P499" s="14">
        <f t="shared" si="49"/>
        <v>0</v>
      </c>
      <c r="Q499" s="13">
        <f t="shared" si="51"/>
        <v>0</v>
      </c>
      <c r="R499" s="13">
        <f t="shared" si="52"/>
        <v>0</v>
      </c>
      <c r="S499" s="13">
        <f t="shared" si="53"/>
        <v>0</v>
      </c>
      <c r="T499" s="13">
        <f t="shared" si="54"/>
        <v>0</v>
      </c>
      <c r="U499" s="15" t="str">
        <f t="shared" si="55"/>
        <v/>
      </c>
    </row>
    <row r="500" spans="12:21" x14ac:dyDescent="0.25">
      <c r="L500" s="20">
        <f t="shared" si="50"/>
        <v>0</v>
      </c>
      <c r="M500" s="14" t="e">
        <f>VLOOKUP(G500,Sell!G:L,1,0)</f>
        <v>#N/A</v>
      </c>
      <c r="N500" s="14">
        <f>IFERROR(VLOOKUP(G500,Sell!G:L,2,0),0)</f>
        <v>0</v>
      </c>
      <c r="O500" s="13">
        <f>IFERROR(VLOOKUP(G500,Sell!G:L,6,0),0)</f>
        <v>0</v>
      </c>
      <c r="P500" s="14">
        <f t="shared" si="49"/>
        <v>0</v>
      </c>
      <c r="Q500" s="13">
        <f t="shared" si="51"/>
        <v>0</v>
      </c>
      <c r="R500" s="13">
        <f t="shared" si="52"/>
        <v>0</v>
      </c>
      <c r="S500" s="13">
        <f t="shared" si="53"/>
        <v>0</v>
      </c>
      <c r="T500" s="13">
        <f t="shared" si="54"/>
        <v>0</v>
      </c>
      <c r="U500" s="15" t="str">
        <f t="shared" si="55"/>
        <v/>
      </c>
    </row>
    <row r="501" spans="12:21" x14ac:dyDescent="0.25">
      <c r="L501" s="20">
        <f t="shared" si="50"/>
        <v>0</v>
      </c>
      <c r="M501" s="14" t="e">
        <f>VLOOKUP(G501,Sell!G:L,1,0)</f>
        <v>#N/A</v>
      </c>
      <c r="N501" s="14">
        <f>IFERROR(VLOOKUP(G501,Sell!G:L,2,0),0)</f>
        <v>0</v>
      </c>
      <c r="O501" s="13">
        <f>IFERROR(VLOOKUP(G501,Sell!G:L,6,0),0)</f>
        <v>0</v>
      </c>
      <c r="P501" s="14">
        <f t="shared" si="49"/>
        <v>0</v>
      </c>
      <c r="Q501" s="13">
        <f t="shared" si="51"/>
        <v>0</v>
      </c>
      <c r="R501" s="13">
        <f t="shared" si="52"/>
        <v>0</v>
      </c>
      <c r="S501" s="13">
        <f t="shared" si="53"/>
        <v>0</v>
      </c>
      <c r="T501" s="13">
        <f t="shared" si="54"/>
        <v>0</v>
      </c>
      <c r="U501" s="15" t="str">
        <f t="shared" si="55"/>
        <v/>
      </c>
    </row>
    <row r="502" spans="12:21" x14ac:dyDescent="0.25">
      <c r="L502" s="20">
        <f t="shared" si="50"/>
        <v>0</v>
      </c>
      <c r="M502" s="14" t="e">
        <f>VLOOKUP(G502,Sell!G:L,1,0)</f>
        <v>#N/A</v>
      </c>
      <c r="N502" s="14">
        <f>IFERROR(VLOOKUP(G502,Sell!G:L,2,0),0)</f>
        <v>0</v>
      </c>
      <c r="O502" s="13">
        <f>IFERROR(VLOOKUP(G502,Sell!G:L,6,0),0)</f>
        <v>0</v>
      </c>
      <c r="P502" s="14">
        <f t="shared" si="49"/>
        <v>0</v>
      </c>
      <c r="Q502" s="13">
        <f t="shared" si="51"/>
        <v>0</v>
      </c>
      <c r="R502" s="13">
        <f t="shared" si="52"/>
        <v>0</v>
      </c>
      <c r="S502" s="13">
        <f t="shared" si="53"/>
        <v>0</v>
      </c>
      <c r="T502" s="13">
        <f t="shared" si="54"/>
        <v>0</v>
      </c>
      <c r="U502" s="15" t="str">
        <f t="shared" si="55"/>
        <v/>
      </c>
    </row>
    <row r="503" spans="12:21" x14ac:dyDescent="0.25">
      <c r="L503" s="20">
        <f t="shared" si="50"/>
        <v>0</v>
      </c>
      <c r="M503" s="14" t="e">
        <f>VLOOKUP(G503,Sell!G:L,1,0)</f>
        <v>#N/A</v>
      </c>
      <c r="N503" s="14">
        <f>IFERROR(VLOOKUP(G503,Sell!G:L,2,0),0)</f>
        <v>0</v>
      </c>
      <c r="O503" s="13">
        <f>IFERROR(VLOOKUP(G503,Sell!G:L,6,0),0)</f>
        <v>0</v>
      </c>
      <c r="P503" s="14">
        <f t="shared" si="49"/>
        <v>0</v>
      </c>
      <c r="Q503" s="13">
        <f t="shared" si="51"/>
        <v>0</v>
      </c>
      <c r="R503" s="13">
        <f t="shared" si="52"/>
        <v>0</v>
      </c>
      <c r="S503" s="13">
        <f t="shared" si="53"/>
        <v>0</v>
      </c>
      <c r="T503" s="13">
        <f t="shared" si="54"/>
        <v>0</v>
      </c>
      <c r="U503" s="15" t="str">
        <f t="shared" si="55"/>
        <v/>
      </c>
    </row>
    <row r="504" spans="12:21" x14ac:dyDescent="0.25">
      <c r="L504" s="20">
        <f t="shared" si="50"/>
        <v>0</v>
      </c>
      <c r="M504" s="14" t="e">
        <f>VLOOKUP(G504,Sell!G:L,1,0)</f>
        <v>#N/A</v>
      </c>
      <c r="N504" s="14">
        <f>IFERROR(VLOOKUP(G504,Sell!G:L,2,0),0)</f>
        <v>0</v>
      </c>
      <c r="O504" s="13">
        <f>IFERROR(VLOOKUP(G504,Sell!G:L,6,0),0)</f>
        <v>0</v>
      </c>
      <c r="P504" s="14">
        <f t="shared" si="49"/>
        <v>0</v>
      </c>
      <c r="Q504" s="13">
        <f t="shared" si="51"/>
        <v>0</v>
      </c>
      <c r="R504" s="13">
        <f t="shared" si="52"/>
        <v>0</v>
      </c>
      <c r="S504" s="13">
        <f t="shared" si="53"/>
        <v>0</v>
      </c>
      <c r="T504" s="13">
        <f t="shared" si="54"/>
        <v>0</v>
      </c>
      <c r="U504" s="15" t="str">
        <f t="shared" si="55"/>
        <v/>
      </c>
    </row>
    <row r="505" spans="12:21" x14ac:dyDescent="0.25">
      <c r="L505" s="20">
        <f t="shared" si="50"/>
        <v>0</v>
      </c>
      <c r="M505" s="14" t="e">
        <f>VLOOKUP(G505,Sell!G:L,1,0)</f>
        <v>#N/A</v>
      </c>
      <c r="N505" s="14">
        <f>IFERROR(VLOOKUP(G505,Sell!G:L,2,0),0)</f>
        <v>0</v>
      </c>
      <c r="O505" s="13">
        <f>IFERROR(VLOOKUP(G505,Sell!G:L,6,0),0)</f>
        <v>0</v>
      </c>
      <c r="P505" s="14">
        <f t="shared" si="49"/>
        <v>0</v>
      </c>
      <c r="Q505" s="13">
        <f t="shared" si="51"/>
        <v>0</v>
      </c>
      <c r="R505" s="13">
        <f t="shared" si="52"/>
        <v>0</v>
      </c>
      <c r="S505" s="13">
        <f t="shared" si="53"/>
        <v>0</v>
      </c>
      <c r="T505" s="13">
        <f t="shared" si="54"/>
        <v>0</v>
      </c>
      <c r="U505" s="15" t="str">
        <f t="shared" si="55"/>
        <v/>
      </c>
    </row>
    <row r="506" spans="12:21" x14ac:dyDescent="0.25">
      <c r="L506" s="20">
        <f t="shared" si="50"/>
        <v>0</v>
      </c>
      <c r="M506" s="14" t="e">
        <f>VLOOKUP(G506,Sell!G:L,1,0)</f>
        <v>#N/A</v>
      </c>
      <c r="N506" s="14">
        <f>IFERROR(VLOOKUP(G506,Sell!G:L,2,0),0)</f>
        <v>0</v>
      </c>
      <c r="O506" s="13">
        <f>IFERROR(VLOOKUP(G506,Sell!G:L,6,0),0)</f>
        <v>0</v>
      </c>
      <c r="P506" s="14">
        <f t="shared" si="49"/>
        <v>0</v>
      </c>
      <c r="Q506" s="13">
        <f t="shared" si="51"/>
        <v>0</v>
      </c>
      <c r="R506" s="13">
        <f t="shared" si="52"/>
        <v>0</v>
      </c>
      <c r="S506" s="13">
        <f t="shared" si="53"/>
        <v>0</v>
      </c>
      <c r="T506" s="13">
        <f t="shared" si="54"/>
        <v>0</v>
      </c>
      <c r="U506" s="15" t="str">
        <f t="shared" si="55"/>
        <v/>
      </c>
    </row>
    <row r="507" spans="12:21" x14ac:dyDescent="0.25">
      <c r="L507" s="20">
        <f t="shared" si="50"/>
        <v>0</v>
      </c>
      <c r="M507" s="14" t="e">
        <f>VLOOKUP(G507,Sell!G:L,1,0)</f>
        <v>#N/A</v>
      </c>
      <c r="N507" s="14">
        <f>IFERROR(VLOOKUP(G507,Sell!G:L,2,0),0)</f>
        <v>0</v>
      </c>
      <c r="O507" s="13">
        <f>IFERROR(VLOOKUP(G507,Sell!G:L,6,0),0)</f>
        <v>0</v>
      </c>
      <c r="P507" s="14">
        <f t="shared" si="49"/>
        <v>0</v>
      </c>
      <c r="Q507" s="13">
        <f t="shared" si="51"/>
        <v>0</v>
      </c>
      <c r="R507" s="13">
        <f t="shared" si="52"/>
        <v>0</v>
      </c>
      <c r="S507" s="13">
        <f t="shared" si="53"/>
        <v>0</v>
      </c>
      <c r="T507" s="13">
        <f t="shared" si="54"/>
        <v>0</v>
      </c>
      <c r="U507" s="15" t="str">
        <f t="shared" si="55"/>
        <v/>
      </c>
    </row>
    <row r="508" spans="12:21" x14ac:dyDescent="0.25">
      <c r="L508" s="20">
        <f t="shared" si="50"/>
        <v>0</v>
      </c>
      <c r="M508" s="14" t="e">
        <f>VLOOKUP(G508,Sell!G:L,1,0)</f>
        <v>#N/A</v>
      </c>
      <c r="N508" s="14">
        <f>IFERROR(VLOOKUP(G508,Sell!G:L,2,0),0)</f>
        <v>0</v>
      </c>
      <c r="O508" s="13">
        <f>IFERROR(VLOOKUP(G508,Sell!G:L,6,0),0)</f>
        <v>0</v>
      </c>
      <c r="P508" s="14">
        <f t="shared" si="49"/>
        <v>0</v>
      </c>
      <c r="Q508" s="13">
        <f t="shared" si="51"/>
        <v>0</v>
      </c>
      <c r="R508" s="13">
        <f t="shared" si="52"/>
        <v>0</v>
      </c>
      <c r="S508" s="13">
        <f t="shared" si="53"/>
        <v>0</v>
      </c>
      <c r="T508" s="13">
        <f t="shared" si="54"/>
        <v>0</v>
      </c>
      <c r="U508" s="15" t="str">
        <f t="shared" si="55"/>
        <v/>
      </c>
    </row>
    <row r="509" spans="12:21" x14ac:dyDescent="0.25">
      <c r="L509" s="20">
        <f t="shared" si="50"/>
        <v>0</v>
      </c>
      <c r="M509" s="14" t="e">
        <f>VLOOKUP(G509,Sell!G:L,1,0)</f>
        <v>#N/A</v>
      </c>
      <c r="N509" s="14">
        <f>IFERROR(VLOOKUP(G509,Sell!G:L,2,0),0)</f>
        <v>0</v>
      </c>
      <c r="O509" s="13">
        <f>IFERROR(VLOOKUP(G509,Sell!G:L,6,0),0)</f>
        <v>0</v>
      </c>
      <c r="P509" s="14">
        <f t="shared" si="49"/>
        <v>0</v>
      </c>
      <c r="Q509" s="13">
        <f t="shared" si="51"/>
        <v>0</v>
      </c>
      <c r="R509" s="13">
        <f t="shared" si="52"/>
        <v>0</v>
      </c>
      <c r="S509" s="13">
        <f t="shared" si="53"/>
        <v>0</v>
      </c>
      <c r="T509" s="13">
        <f t="shared" si="54"/>
        <v>0</v>
      </c>
      <c r="U509" s="15" t="str">
        <f t="shared" si="55"/>
        <v/>
      </c>
    </row>
    <row r="510" spans="12:21" x14ac:dyDescent="0.25">
      <c r="L510" s="20">
        <f t="shared" si="50"/>
        <v>0</v>
      </c>
      <c r="M510" s="14" t="e">
        <f>VLOOKUP(G510,Sell!G:L,1,0)</f>
        <v>#N/A</v>
      </c>
      <c r="N510" s="14">
        <f>IFERROR(VLOOKUP(G510,Sell!G:L,2,0),0)</f>
        <v>0</v>
      </c>
      <c r="O510" s="13">
        <f>IFERROR(VLOOKUP(G510,Sell!G:L,6,0),0)</f>
        <v>0</v>
      </c>
      <c r="P510" s="14">
        <f t="shared" si="49"/>
        <v>0</v>
      </c>
      <c r="Q510" s="13">
        <f t="shared" si="51"/>
        <v>0</v>
      </c>
      <c r="R510" s="13">
        <f t="shared" si="52"/>
        <v>0</v>
      </c>
      <c r="S510" s="13">
        <f t="shared" si="53"/>
        <v>0</v>
      </c>
      <c r="T510" s="13">
        <f t="shared" si="54"/>
        <v>0</v>
      </c>
      <c r="U510" s="15" t="str">
        <f t="shared" si="55"/>
        <v/>
      </c>
    </row>
    <row r="511" spans="12:21" x14ac:dyDescent="0.25">
      <c r="L511" s="20">
        <f t="shared" si="50"/>
        <v>0</v>
      </c>
      <c r="M511" s="14" t="e">
        <f>VLOOKUP(G511,Sell!G:L,1,0)</f>
        <v>#N/A</v>
      </c>
      <c r="N511" s="14">
        <f>IFERROR(VLOOKUP(G511,Sell!G:L,2,0),0)</f>
        <v>0</v>
      </c>
      <c r="O511" s="13">
        <f>IFERROR(VLOOKUP(G511,Sell!G:L,6,0),0)</f>
        <v>0</v>
      </c>
      <c r="P511" s="14">
        <f t="shared" si="49"/>
        <v>0</v>
      </c>
      <c r="Q511" s="13">
        <f t="shared" si="51"/>
        <v>0</v>
      </c>
      <c r="R511" s="13">
        <f t="shared" si="52"/>
        <v>0</v>
      </c>
      <c r="S511" s="13">
        <f t="shared" si="53"/>
        <v>0</v>
      </c>
      <c r="T511" s="13">
        <f t="shared" si="54"/>
        <v>0</v>
      </c>
      <c r="U511" s="15" t="str">
        <f t="shared" si="55"/>
        <v/>
      </c>
    </row>
    <row r="512" spans="12:21" x14ac:dyDescent="0.25">
      <c r="L512" s="20">
        <f t="shared" si="50"/>
        <v>0</v>
      </c>
      <c r="M512" s="14" t="e">
        <f>VLOOKUP(G512,Sell!G:L,1,0)</f>
        <v>#N/A</v>
      </c>
      <c r="N512" s="14">
        <f>IFERROR(VLOOKUP(G512,Sell!G:L,2,0),0)</f>
        <v>0</v>
      </c>
      <c r="O512" s="13">
        <f>IFERROR(VLOOKUP(G512,Sell!G:L,6,0),0)</f>
        <v>0</v>
      </c>
      <c r="P512" s="14">
        <f t="shared" si="49"/>
        <v>0</v>
      </c>
      <c r="Q512" s="13">
        <f t="shared" si="51"/>
        <v>0</v>
      </c>
      <c r="R512" s="13">
        <f t="shared" si="52"/>
        <v>0</v>
      </c>
      <c r="S512" s="13">
        <f t="shared" si="53"/>
        <v>0</v>
      </c>
      <c r="T512" s="13">
        <f t="shared" si="54"/>
        <v>0</v>
      </c>
      <c r="U512" s="15" t="str">
        <f t="shared" si="55"/>
        <v/>
      </c>
    </row>
    <row r="513" spans="12:21" x14ac:dyDescent="0.25">
      <c r="L513" s="20">
        <f t="shared" si="50"/>
        <v>0</v>
      </c>
      <c r="M513" s="14" t="e">
        <f>VLOOKUP(G513,Sell!G:L,1,0)</f>
        <v>#N/A</v>
      </c>
      <c r="N513" s="14">
        <f>IFERROR(VLOOKUP(G513,Sell!G:L,2,0),0)</f>
        <v>0</v>
      </c>
      <c r="O513" s="13">
        <f>IFERROR(VLOOKUP(G513,Sell!G:L,6,0),0)</f>
        <v>0</v>
      </c>
      <c r="P513" s="14">
        <f t="shared" si="49"/>
        <v>0</v>
      </c>
      <c r="Q513" s="13">
        <f t="shared" si="51"/>
        <v>0</v>
      </c>
      <c r="R513" s="13">
        <f t="shared" si="52"/>
        <v>0</v>
      </c>
      <c r="S513" s="13">
        <f t="shared" si="53"/>
        <v>0</v>
      </c>
      <c r="T513" s="13">
        <f t="shared" si="54"/>
        <v>0</v>
      </c>
      <c r="U513" s="15" t="str">
        <f t="shared" si="55"/>
        <v/>
      </c>
    </row>
    <row r="514" spans="12:21" x14ac:dyDescent="0.25">
      <c r="L514" s="20">
        <f t="shared" si="50"/>
        <v>0</v>
      </c>
      <c r="M514" s="14" t="e">
        <f>VLOOKUP(G514,Sell!G:L,1,0)</f>
        <v>#N/A</v>
      </c>
      <c r="N514" s="14">
        <f>IFERROR(VLOOKUP(G514,Sell!G:L,2,0),0)</f>
        <v>0</v>
      </c>
      <c r="O514" s="13">
        <f>IFERROR(VLOOKUP(G514,Sell!G:L,6,0),0)</f>
        <v>0</v>
      </c>
      <c r="P514" s="14">
        <f t="shared" si="49"/>
        <v>0</v>
      </c>
      <c r="Q514" s="13">
        <f t="shared" si="51"/>
        <v>0</v>
      </c>
      <c r="R514" s="13">
        <f t="shared" si="52"/>
        <v>0</v>
      </c>
      <c r="S514" s="13">
        <f t="shared" si="53"/>
        <v>0</v>
      </c>
      <c r="T514" s="13">
        <f t="shared" si="54"/>
        <v>0</v>
      </c>
      <c r="U514" s="15" t="str">
        <f t="shared" si="55"/>
        <v/>
      </c>
    </row>
    <row r="515" spans="12:21" x14ac:dyDescent="0.25">
      <c r="L515" s="20">
        <f t="shared" si="50"/>
        <v>0</v>
      </c>
      <c r="M515" s="14" t="e">
        <f>VLOOKUP(G515,Sell!G:L,1,0)</f>
        <v>#N/A</v>
      </c>
      <c r="N515" s="14">
        <f>IFERROR(VLOOKUP(G515,Sell!G:L,2,0),0)</f>
        <v>0</v>
      </c>
      <c r="O515" s="13">
        <f>IFERROR(VLOOKUP(G515,Sell!G:L,6,0),0)</f>
        <v>0</v>
      </c>
      <c r="P515" s="14">
        <f t="shared" si="49"/>
        <v>0</v>
      </c>
      <c r="Q515" s="13">
        <f t="shared" si="51"/>
        <v>0</v>
      </c>
      <c r="R515" s="13">
        <f t="shared" si="52"/>
        <v>0</v>
      </c>
      <c r="S515" s="13">
        <f t="shared" si="53"/>
        <v>0</v>
      </c>
      <c r="T515" s="13">
        <f t="shared" si="54"/>
        <v>0</v>
      </c>
      <c r="U515" s="15" t="str">
        <f t="shared" si="55"/>
        <v/>
      </c>
    </row>
    <row r="516" spans="12:21" x14ac:dyDescent="0.25">
      <c r="L516" s="20">
        <f t="shared" si="50"/>
        <v>0</v>
      </c>
      <c r="M516" s="14" t="e">
        <f>VLOOKUP(G516,Sell!G:L,1,0)</f>
        <v>#N/A</v>
      </c>
      <c r="N516" s="14">
        <f>IFERROR(VLOOKUP(G516,Sell!G:L,2,0),0)</f>
        <v>0</v>
      </c>
      <c r="O516" s="13">
        <f>IFERROR(VLOOKUP(G516,Sell!G:L,6,0),0)</f>
        <v>0</v>
      </c>
      <c r="P516" s="14">
        <f t="shared" si="49"/>
        <v>0</v>
      </c>
      <c r="Q516" s="13">
        <f t="shared" si="51"/>
        <v>0</v>
      </c>
      <c r="R516" s="13">
        <f t="shared" si="52"/>
        <v>0</v>
      </c>
      <c r="S516" s="13">
        <f t="shared" si="53"/>
        <v>0</v>
      </c>
      <c r="T516" s="13">
        <f t="shared" si="54"/>
        <v>0</v>
      </c>
      <c r="U516" s="15" t="str">
        <f t="shared" si="55"/>
        <v/>
      </c>
    </row>
    <row r="517" spans="12:21" x14ac:dyDescent="0.25">
      <c r="L517" s="20">
        <f t="shared" si="50"/>
        <v>0</v>
      </c>
      <c r="M517" s="14" t="e">
        <f>VLOOKUP(G517,Sell!G:L,1,0)</f>
        <v>#N/A</v>
      </c>
      <c r="N517" s="14">
        <f>IFERROR(VLOOKUP(G517,Sell!G:L,2,0),0)</f>
        <v>0</v>
      </c>
      <c r="O517" s="13">
        <f>IFERROR(VLOOKUP(G517,Sell!G:L,6,0),0)</f>
        <v>0</v>
      </c>
      <c r="P517" s="14">
        <f t="shared" si="49"/>
        <v>0</v>
      </c>
      <c r="Q517" s="13">
        <f t="shared" si="51"/>
        <v>0</v>
      </c>
      <c r="R517" s="13">
        <f t="shared" si="52"/>
        <v>0</v>
      </c>
      <c r="S517" s="13">
        <f t="shared" si="53"/>
        <v>0</v>
      </c>
      <c r="T517" s="13">
        <f t="shared" si="54"/>
        <v>0</v>
      </c>
      <c r="U517" s="15" t="str">
        <f t="shared" si="55"/>
        <v/>
      </c>
    </row>
    <row r="518" spans="12:21" x14ac:dyDescent="0.25">
      <c r="L518" s="20">
        <f t="shared" si="50"/>
        <v>0</v>
      </c>
      <c r="M518" s="14" t="e">
        <f>VLOOKUP(G518,Sell!G:L,1,0)</f>
        <v>#N/A</v>
      </c>
      <c r="N518" s="14">
        <f>IFERROR(VLOOKUP(G518,Sell!G:L,2,0),0)</f>
        <v>0</v>
      </c>
      <c r="O518" s="13">
        <f>IFERROR(VLOOKUP(G518,Sell!G:L,6,0),0)</f>
        <v>0</v>
      </c>
      <c r="P518" s="14">
        <f t="shared" si="49"/>
        <v>0</v>
      </c>
      <c r="Q518" s="13">
        <f t="shared" si="51"/>
        <v>0</v>
      </c>
      <c r="R518" s="13">
        <f t="shared" si="52"/>
        <v>0</v>
      </c>
      <c r="S518" s="13">
        <f t="shared" si="53"/>
        <v>0</v>
      </c>
      <c r="T518" s="13">
        <f t="shared" si="54"/>
        <v>0</v>
      </c>
      <c r="U518" s="15" t="str">
        <f t="shared" si="55"/>
        <v/>
      </c>
    </row>
    <row r="519" spans="12:21" x14ac:dyDescent="0.25">
      <c r="L519" s="20">
        <f t="shared" si="50"/>
        <v>0</v>
      </c>
      <c r="M519" s="14" t="e">
        <f>VLOOKUP(G519,Sell!G:L,1,0)</f>
        <v>#N/A</v>
      </c>
      <c r="N519" s="14">
        <f>IFERROR(VLOOKUP(G519,Sell!G:L,2,0),0)</f>
        <v>0</v>
      </c>
      <c r="O519" s="13">
        <f>IFERROR(VLOOKUP(G519,Sell!G:L,6,0),0)</f>
        <v>0</v>
      </c>
      <c r="P519" s="14">
        <f t="shared" si="49"/>
        <v>0</v>
      </c>
      <c r="Q519" s="13">
        <f t="shared" si="51"/>
        <v>0</v>
      </c>
      <c r="R519" s="13">
        <f t="shared" si="52"/>
        <v>0</v>
      </c>
      <c r="S519" s="13">
        <f t="shared" si="53"/>
        <v>0</v>
      </c>
      <c r="T519" s="13">
        <f t="shared" si="54"/>
        <v>0</v>
      </c>
      <c r="U519" s="15" t="str">
        <f t="shared" si="55"/>
        <v/>
      </c>
    </row>
    <row r="520" spans="12:21" x14ac:dyDescent="0.25">
      <c r="L520" s="20">
        <f t="shared" si="50"/>
        <v>0</v>
      </c>
      <c r="M520" s="14" t="e">
        <f>VLOOKUP(G520,Sell!G:L,1,0)</f>
        <v>#N/A</v>
      </c>
      <c r="N520" s="14">
        <f>IFERROR(VLOOKUP(G520,Sell!G:L,2,0),0)</f>
        <v>0</v>
      </c>
      <c r="O520" s="13">
        <f>IFERROR(VLOOKUP(G520,Sell!G:L,6,0),0)</f>
        <v>0</v>
      </c>
      <c r="P520" s="14">
        <f t="shared" si="49"/>
        <v>0</v>
      </c>
      <c r="Q520" s="13">
        <f t="shared" si="51"/>
        <v>0</v>
      </c>
      <c r="R520" s="13">
        <f t="shared" si="52"/>
        <v>0</v>
      </c>
      <c r="S520" s="13">
        <f t="shared" si="53"/>
        <v>0</v>
      </c>
      <c r="T520" s="13">
        <f t="shared" si="54"/>
        <v>0</v>
      </c>
      <c r="U520" s="15" t="str">
        <f t="shared" si="55"/>
        <v/>
      </c>
    </row>
    <row r="521" spans="12:21" x14ac:dyDescent="0.25">
      <c r="L521" s="20">
        <f t="shared" si="50"/>
        <v>0</v>
      </c>
      <c r="M521" s="14" t="e">
        <f>VLOOKUP(G521,Sell!G:L,1,0)</f>
        <v>#N/A</v>
      </c>
      <c r="N521" s="14">
        <f>IFERROR(VLOOKUP(G521,Sell!G:L,2,0),0)</f>
        <v>0</v>
      </c>
      <c r="O521" s="13">
        <f>IFERROR(VLOOKUP(G521,Sell!G:L,6,0),0)</f>
        <v>0</v>
      </c>
      <c r="P521" s="14">
        <f t="shared" si="49"/>
        <v>0</v>
      </c>
      <c r="Q521" s="13">
        <f t="shared" si="51"/>
        <v>0</v>
      </c>
      <c r="R521" s="13">
        <f t="shared" si="52"/>
        <v>0</v>
      </c>
      <c r="S521" s="13">
        <f t="shared" si="53"/>
        <v>0</v>
      </c>
      <c r="T521" s="13">
        <f t="shared" si="54"/>
        <v>0</v>
      </c>
      <c r="U521" s="15" t="str">
        <f t="shared" si="55"/>
        <v/>
      </c>
    </row>
    <row r="522" spans="12:21" x14ac:dyDescent="0.25">
      <c r="L522" s="20">
        <f t="shared" si="50"/>
        <v>0</v>
      </c>
      <c r="M522" s="14" t="e">
        <f>VLOOKUP(G522,Sell!G:L,1,0)</f>
        <v>#N/A</v>
      </c>
      <c r="N522" s="14">
        <f>IFERROR(VLOOKUP(G522,Sell!G:L,2,0),0)</f>
        <v>0</v>
      </c>
      <c r="O522" s="13">
        <f>IFERROR(VLOOKUP(G522,Sell!G:L,6,0),0)</f>
        <v>0</v>
      </c>
      <c r="P522" s="14">
        <f t="shared" ref="P522:P585" si="56">H522-N522</f>
        <v>0</v>
      </c>
      <c r="Q522" s="13">
        <f t="shared" si="51"/>
        <v>0</v>
      </c>
      <c r="R522" s="13">
        <f t="shared" si="52"/>
        <v>0</v>
      </c>
      <c r="S522" s="13">
        <f t="shared" si="53"/>
        <v>0</v>
      </c>
      <c r="T522" s="13">
        <f t="shared" si="54"/>
        <v>0</v>
      </c>
      <c r="U522" s="15" t="str">
        <f t="shared" si="55"/>
        <v/>
      </c>
    </row>
    <row r="523" spans="12:21" x14ac:dyDescent="0.25">
      <c r="L523" s="20">
        <f t="shared" ref="L523:L586" si="57">J523+K523</f>
        <v>0</v>
      </c>
      <c r="M523" s="14" t="e">
        <f>VLOOKUP(G523,Sell!G:L,1,0)</f>
        <v>#N/A</v>
      </c>
      <c r="N523" s="14">
        <f>IFERROR(VLOOKUP(G523,Sell!G:L,2,0),0)</f>
        <v>0</v>
      </c>
      <c r="O523" s="13">
        <f>IFERROR(VLOOKUP(G523,Sell!G:L,6,0),0)</f>
        <v>0</v>
      </c>
      <c r="P523" s="14">
        <f t="shared" si="56"/>
        <v>0</v>
      </c>
      <c r="Q523" s="13">
        <f t="shared" ref="Q523:Q586" si="58">O523-L523</f>
        <v>0</v>
      </c>
      <c r="R523" s="13">
        <f t="shared" ref="R523:R586" si="59">IF(P523=0,Q523,0)</f>
        <v>0</v>
      </c>
      <c r="S523" s="13">
        <f t="shared" ref="S523:S586" si="60">IF(R523&gt;0,R523,0)</f>
        <v>0</v>
      </c>
      <c r="T523" s="13">
        <f t="shared" ref="T523:T586" si="61">IF(R523&gt;0,0,R523)</f>
        <v>0</v>
      </c>
      <c r="U523" s="15" t="str">
        <f t="shared" ref="U523:U586" si="62">IF(AND(LEN(G523)&gt;0,R523=0),"Open","")</f>
        <v/>
      </c>
    </row>
    <row r="524" spans="12:21" x14ac:dyDescent="0.25">
      <c r="L524" s="20">
        <f t="shared" si="57"/>
        <v>0</v>
      </c>
      <c r="M524" s="14" t="e">
        <f>VLOOKUP(G524,Sell!G:L,1,0)</f>
        <v>#N/A</v>
      </c>
      <c r="N524" s="14">
        <f>IFERROR(VLOOKUP(G524,Sell!G:L,2,0),0)</f>
        <v>0</v>
      </c>
      <c r="O524" s="13">
        <f>IFERROR(VLOOKUP(G524,Sell!G:L,6,0),0)</f>
        <v>0</v>
      </c>
      <c r="P524" s="14">
        <f t="shared" si="56"/>
        <v>0</v>
      </c>
      <c r="Q524" s="13">
        <f t="shared" si="58"/>
        <v>0</v>
      </c>
      <c r="R524" s="13">
        <f t="shared" si="59"/>
        <v>0</v>
      </c>
      <c r="S524" s="13">
        <f t="shared" si="60"/>
        <v>0</v>
      </c>
      <c r="T524" s="13">
        <f t="shared" si="61"/>
        <v>0</v>
      </c>
      <c r="U524" s="15" t="str">
        <f t="shared" si="62"/>
        <v/>
      </c>
    </row>
    <row r="525" spans="12:21" x14ac:dyDescent="0.25">
      <c r="L525" s="20">
        <f t="shared" si="57"/>
        <v>0</v>
      </c>
      <c r="M525" s="14" t="e">
        <f>VLOOKUP(G525,Sell!G:L,1,0)</f>
        <v>#N/A</v>
      </c>
      <c r="N525" s="14">
        <f>IFERROR(VLOOKUP(G525,Sell!G:L,2,0),0)</f>
        <v>0</v>
      </c>
      <c r="O525" s="13">
        <f>IFERROR(VLOOKUP(G525,Sell!G:L,6,0),0)</f>
        <v>0</v>
      </c>
      <c r="P525" s="14">
        <f t="shared" si="56"/>
        <v>0</v>
      </c>
      <c r="Q525" s="13">
        <f t="shared" si="58"/>
        <v>0</v>
      </c>
      <c r="R525" s="13">
        <f t="shared" si="59"/>
        <v>0</v>
      </c>
      <c r="S525" s="13">
        <f t="shared" si="60"/>
        <v>0</v>
      </c>
      <c r="T525" s="13">
        <f t="shared" si="61"/>
        <v>0</v>
      </c>
      <c r="U525" s="15" t="str">
        <f t="shared" si="62"/>
        <v/>
      </c>
    </row>
    <row r="526" spans="12:21" x14ac:dyDescent="0.25">
      <c r="L526" s="20">
        <f t="shared" si="57"/>
        <v>0</v>
      </c>
      <c r="M526" s="14" t="e">
        <f>VLOOKUP(G526,Sell!G:L,1,0)</f>
        <v>#N/A</v>
      </c>
      <c r="N526" s="14">
        <f>IFERROR(VLOOKUP(G526,Sell!G:L,2,0),0)</f>
        <v>0</v>
      </c>
      <c r="O526" s="13">
        <f>IFERROR(VLOOKUP(G526,Sell!G:L,6,0),0)</f>
        <v>0</v>
      </c>
      <c r="P526" s="14">
        <f t="shared" si="56"/>
        <v>0</v>
      </c>
      <c r="Q526" s="13">
        <f t="shared" si="58"/>
        <v>0</v>
      </c>
      <c r="R526" s="13">
        <f t="shared" si="59"/>
        <v>0</v>
      </c>
      <c r="S526" s="13">
        <f t="shared" si="60"/>
        <v>0</v>
      </c>
      <c r="T526" s="13">
        <f t="shared" si="61"/>
        <v>0</v>
      </c>
      <c r="U526" s="15" t="str">
        <f t="shared" si="62"/>
        <v/>
      </c>
    </row>
    <row r="527" spans="12:21" x14ac:dyDescent="0.25">
      <c r="L527" s="20">
        <f t="shared" si="57"/>
        <v>0</v>
      </c>
      <c r="M527" s="14" t="e">
        <f>VLOOKUP(G527,Sell!G:L,1,0)</f>
        <v>#N/A</v>
      </c>
      <c r="N527" s="14">
        <f>IFERROR(VLOOKUP(G527,Sell!G:L,2,0),0)</f>
        <v>0</v>
      </c>
      <c r="O527" s="13">
        <f>IFERROR(VLOOKUP(G527,Sell!G:L,6,0),0)</f>
        <v>0</v>
      </c>
      <c r="P527" s="14">
        <f t="shared" si="56"/>
        <v>0</v>
      </c>
      <c r="Q527" s="13">
        <f t="shared" si="58"/>
        <v>0</v>
      </c>
      <c r="R527" s="13">
        <f t="shared" si="59"/>
        <v>0</v>
      </c>
      <c r="S527" s="13">
        <f t="shared" si="60"/>
        <v>0</v>
      </c>
      <c r="T527" s="13">
        <f t="shared" si="61"/>
        <v>0</v>
      </c>
      <c r="U527" s="15" t="str">
        <f t="shared" si="62"/>
        <v/>
      </c>
    </row>
    <row r="528" spans="12:21" x14ac:dyDescent="0.25">
      <c r="L528" s="20">
        <f t="shared" si="57"/>
        <v>0</v>
      </c>
      <c r="M528" s="14" t="e">
        <f>VLOOKUP(G528,Sell!G:L,1,0)</f>
        <v>#N/A</v>
      </c>
      <c r="N528" s="14">
        <f>IFERROR(VLOOKUP(G528,Sell!G:L,2,0),0)</f>
        <v>0</v>
      </c>
      <c r="O528" s="13">
        <f>IFERROR(VLOOKUP(G528,Sell!G:L,6,0),0)</f>
        <v>0</v>
      </c>
      <c r="P528" s="14">
        <f t="shared" si="56"/>
        <v>0</v>
      </c>
      <c r="Q528" s="13">
        <f t="shared" si="58"/>
        <v>0</v>
      </c>
      <c r="R528" s="13">
        <f t="shared" si="59"/>
        <v>0</v>
      </c>
      <c r="S528" s="13">
        <f t="shared" si="60"/>
        <v>0</v>
      </c>
      <c r="T528" s="13">
        <f t="shared" si="61"/>
        <v>0</v>
      </c>
      <c r="U528" s="15" t="str">
        <f t="shared" si="62"/>
        <v/>
      </c>
    </row>
    <row r="529" spans="12:21" x14ac:dyDescent="0.25">
      <c r="L529" s="20">
        <f t="shared" si="57"/>
        <v>0</v>
      </c>
      <c r="M529" s="14" t="e">
        <f>VLOOKUP(G529,Sell!G:L,1,0)</f>
        <v>#N/A</v>
      </c>
      <c r="N529" s="14">
        <f>IFERROR(VLOOKUP(G529,Sell!G:L,2,0),0)</f>
        <v>0</v>
      </c>
      <c r="O529" s="13">
        <f>IFERROR(VLOOKUP(G529,Sell!G:L,6,0),0)</f>
        <v>0</v>
      </c>
      <c r="P529" s="14">
        <f t="shared" si="56"/>
        <v>0</v>
      </c>
      <c r="Q529" s="13">
        <f t="shared" si="58"/>
        <v>0</v>
      </c>
      <c r="R529" s="13">
        <f t="shared" si="59"/>
        <v>0</v>
      </c>
      <c r="S529" s="13">
        <f t="shared" si="60"/>
        <v>0</v>
      </c>
      <c r="T529" s="13">
        <f t="shared" si="61"/>
        <v>0</v>
      </c>
      <c r="U529" s="15" t="str">
        <f t="shared" si="62"/>
        <v/>
      </c>
    </row>
    <row r="530" spans="12:21" x14ac:dyDescent="0.25">
      <c r="L530" s="20">
        <f t="shared" si="57"/>
        <v>0</v>
      </c>
      <c r="M530" s="14" t="e">
        <f>VLOOKUP(G530,Sell!G:L,1,0)</f>
        <v>#N/A</v>
      </c>
      <c r="N530" s="14">
        <f>IFERROR(VLOOKUP(G530,Sell!G:L,2,0),0)</f>
        <v>0</v>
      </c>
      <c r="O530" s="13">
        <f>IFERROR(VLOOKUP(G530,Sell!G:L,6,0),0)</f>
        <v>0</v>
      </c>
      <c r="P530" s="14">
        <f t="shared" si="56"/>
        <v>0</v>
      </c>
      <c r="Q530" s="13">
        <f t="shared" si="58"/>
        <v>0</v>
      </c>
      <c r="R530" s="13">
        <f t="shared" si="59"/>
        <v>0</v>
      </c>
      <c r="S530" s="13">
        <f t="shared" si="60"/>
        <v>0</v>
      </c>
      <c r="T530" s="13">
        <f t="shared" si="61"/>
        <v>0</v>
      </c>
      <c r="U530" s="15" t="str">
        <f t="shared" si="62"/>
        <v/>
      </c>
    </row>
    <row r="531" spans="12:21" x14ac:dyDescent="0.25">
      <c r="L531" s="20">
        <f t="shared" si="57"/>
        <v>0</v>
      </c>
      <c r="M531" s="14" t="e">
        <f>VLOOKUP(G531,Sell!G:L,1,0)</f>
        <v>#N/A</v>
      </c>
      <c r="N531" s="14">
        <f>IFERROR(VLOOKUP(G531,Sell!G:L,2,0),0)</f>
        <v>0</v>
      </c>
      <c r="O531" s="13">
        <f>IFERROR(VLOOKUP(G531,Sell!G:L,6,0),0)</f>
        <v>0</v>
      </c>
      <c r="P531" s="14">
        <f t="shared" si="56"/>
        <v>0</v>
      </c>
      <c r="Q531" s="13">
        <f t="shared" si="58"/>
        <v>0</v>
      </c>
      <c r="R531" s="13">
        <f t="shared" si="59"/>
        <v>0</v>
      </c>
      <c r="S531" s="13">
        <f t="shared" si="60"/>
        <v>0</v>
      </c>
      <c r="T531" s="13">
        <f t="shared" si="61"/>
        <v>0</v>
      </c>
      <c r="U531" s="15" t="str">
        <f t="shared" si="62"/>
        <v/>
      </c>
    </row>
    <row r="532" spans="12:21" x14ac:dyDescent="0.25">
      <c r="L532" s="20">
        <f t="shared" si="57"/>
        <v>0</v>
      </c>
      <c r="M532" s="14" t="e">
        <f>VLOOKUP(G532,Sell!G:L,1,0)</f>
        <v>#N/A</v>
      </c>
      <c r="N532" s="14">
        <f>IFERROR(VLOOKUP(G532,Sell!G:L,2,0),0)</f>
        <v>0</v>
      </c>
      <c r="O532" s="13">
        <f>IFERROR(VLOOKUP(G532,Sell!G:L,6,0),0)</f>
        <v>0</v>
      </c>
      <c r="P532" s="14">
        <f t="shared" si="56"/>
        <v>0</v>
      </c>
      <c r="Q532" s="13">
        <f t="shared" si="58"/>
        <v>0</v>
      </c>
      <c r="R532" s="13">
        <f t="shared" si="59"/>
        <v>0</v>
      </c>
      <c r="S532" s="13">
        <f t="shared" si="60"/>
        <v>0</v>
      </c>
      <c r="T532" s="13">
        <f t="shared" si="61"/>
        <v>0</v>
      </c>
      <c r="U532" s="15" t="str">
        <f t="shared" si="62"/>
        <v/>
      </c>
    </row>
    <row r="533" spans="12:21" x14ac:dyDescent="0.25">
      <c r="L533" s="20">
        <f t="shared" si="57"/>
        <v>0</v>
      </c>
      <c r="M533" s="14" t="e">
        <f>VLOOKUP(G533,Sell!G:L,1,0)</f>
        <v>#N/A</v>
      </c>
      <c r="N533" s="14">
        <f>IFERROR(VLOOKUP(G533,Sell!G:L,2,0),0)</f>
        <v>0</v>
      </c>
      <c r="O533" s="13">
        <f>IFERROR(VLOOKUP(G533,Sell!G:L,6,0),0)</f>
        <v>0</v>
      </c>
      <c r="P533" s="14">
        <f t="shared" si="56"/>
        <v>0</v>
      </c>
      <c r="Q533" s="13">
        <f t="shared" si="58"/>
        <v>0</v>
      </c>
      <c r="R533" s="13">
        <f t="shared" si="59"/>
        <v>0</v>
      </c>
      <c r="S533" s="13">
        <f t="shared" si="60"/>
        <v>0</v>
      </c>
      <c r="T533" s="13">
        <f t="shared" si="61"/>
        <v>0</v>
      </c>
      <c r="U533" s="15" t="str">
        <f t="shared" si="62"/>
        <v/>
      </c>
    </row>
    <row r="534" spans="12:21" x14ac:dyDescent="0.25">
      <c r="L534" s="20">
        <f t="shared" si="57"/>
        <v>0</v>
      </c>
      <c r="M534" s="14" t="e">
        <f>VLOOKUP(G534,Sell!G:L,1,0)</f>
        <v>#N/A</v>
      </c>
      <c r="N534" s="14">
        <f>IFERROR(VLOOKUP(G534,Sell!G:L,2,0),0)</f>
        <v>0</v>
      </c>
      <c r="O534" s="13">
        <f>IFERROR(VLOOKUP(G534,Sell!G:L,6,0),0)</f>
        <v>0</v>
      </c>
      <c r="P534" s="14">
        <f t="shared" si="56"/>
        <v>0</v>
      </c>
      <c r="Q534" s="13">
        <f t="shared" si="58"/>
        <v>0</v>
      </c>
      <c r="R534" s="13">
        <f t="shared" si="59"/>
        <v>0</v>
      </c>
      <c r="S534" s="13">
        <f t="shared" si="60"/>
        <v>0</v>
      </c>
      <c r="T534" s="13">
        <f t="shared" si="61"/>
        <v>0</v>
      </c>
      <c r="U534" s="15" t="str">
        <f t="shared" si="62"/>
        <v/>
      </c>
    </row>
    <row r="535" spans="12:21" x14ac:dyDescent="0.25">
      <c r="L535" s="20">
        <f t="shared" si="57"/>
        <v>0</v>
      </c>
      <c r="M535" s="14" t="e">
        <f>VLOOKUP(G535,Sell!G:L,1,0)</f>
        <v>#N/A</v>
      </c>
      <c r="N535" s="14">
        <f>IFERROR(VLOOKUP(G535,Sell!G:L,2,0),0)</f>
        <v>0</v>
      </c>
      <c r="O535" s="13">
        <f>IFERROR(VLOOKUP(G535,Sell!G:L,6,0),0)</f>
        <v>0</v>
      </c>
      <c r="P535" s="14">
        <f t="shared" si="56"/>
        <v>0</v>
      </c>
      <c r="Q535" s="13">
        <f t="shared" si="58"/>
        <v>0</v>
      </c>
      <c r="R535" s="13">
        <f t="shared" si="59"/>
        <v>0</v>
      </c>
      <c r="S535" s="13">
        <f t="shared" si="60"/>
        <v>0</v>
      </c>
      <c r="T535" s="13">
        <f t="shared" si="61"/>
        <v>0</v>
      </c>
      <c r="U535" s="15" t="str">
        <f t="shared" si="62"/>
        <v/>
      </c>
    </row>
    <row r="536" spans="12:21" x14ac:dyDescent="0.25">
      <c r="L536" s="20">
        <f t="shared" si="57"/>
        <v>0</v>
      </c>
      <c r="M536" s="14" t="e">
        <f>VLOOKUP(G536,Sell!G:L,1,0)</f>
        <v>#N/A</v>
      </c>
      <c r="N536" s="14">
        <f>IFERROR(VLOOKUP(G536,Sell!G:L,2,0),0)</f>
        <v>0</v>
      </c>
      <c r="O536" s="13">
        <f>IFERROR(VLOOKUP(G536,Sell!G:L,6,0),0)</f>
        <v>0</v>
      </c>
      <c r="P536" s="14">
        <f t="shared" si="56"/>
        <v>0</v>
      </c>
      <c r="Q536" s="13">
        <f t="shared" si="58"/>
        <v>0</v>
      </c>
      <c r="R536" s="13">
        <f t="shared" si="59"/>
        <v>0</v>
      </c>
      <c r="S536" s="13">
        <f t="shared" si="60"/>
        <v>0</v>
      </c>
      <c r="T536" s="13">
        <f t="shared" si="61"/>
        <v>0</v>
      </c>
      <c r="U536" s="15" t="str">
        <f t="shared" si="62"/>
        <v/>
      </c>
    </row>
    <row r="537" spans="12:21" x14ac:dyDescent="0.25">
      <c r="L537" s="20">
        <f t="shared" si="57"/>
        <v>0</v>
      </c>
      <c r="M537" s="14" t="e">
        <f>VLOOKUP(G537,Sell!G:L,1,0)</f>
        <v>#N/A</v>
      </c>
      <c r="N537" s="14">
        <f>IFERROR(VLOOKUP(G537,Sell!G:L,2,0),0)</f>
        <v>0</v>
      </c>
      <c r="O537" s="13">
        <f>IFERROR(VLOOKUP(G537,Sell!G:L,6,0),0)</f>
        <v>0</v>
      </c>
      <c r="P537" s="14">
        <f t="shared" si="56"/>
        <v>0</v>
      </c>
      <c r="Q537" s="13">
        <f t="shared" si="58"/>
        <v>0</v>
      </c>
      <c r="R537" s="13">
        <f t="shared" si="59"/>
        <v>0</v>
      </c>
      <c r="S537" s="13">
        <f t="shared" si="60"/>
        <v>0</v>
      </c>
      <c r="T537" s="13">
        <f t="shared" si="61"/>
        <v>0</v>
      </c>
      <c r="U537" s="15" t="str">
        <f t="shared" si="62"/>
        <v/>
      </c>
    </row>
    <row r="538" spans="12:21" x14ac:dyDescent="0.25">
      <c r="L538" s="20">
        <f t="shared" si="57"/>
        <v>0</v>
      </c>
      <c r="M538" s="14" t="e">
        <f>VLOOKUP(G538,Sell!G:L,1,0)</f>
        <v>#N/A</v>
      </c>
      <c r="N538" s="14">
        <f>IFERROR(VLOOKUP(G538,Sell!G:L,2,0),0)</f>
        <v>0</v>
      </c>
      <c r="O538" s="13">
        <f>IFERROR(VLOOKUP(G538,Sell!G:L,6,0),0)</f>
        <v>0</v>
      </c>
      <c r="P538" s="14">
        <f t="shared" si="56"/>
        <v>0</v>
      </c>
      <c r="Q538" s="13">
        <f t="shared" si="58"/>
        <v>0</v>
      </c>
      <c r="R538" s="13">
        <f t="shared" si="59"/>
        <v>0</v>
      </c>
      <c r="S538" s="13">
        <f t="shared" si="60"/>
        <v>0</v>
      </c>
      <c r="T538" s="13">
        <f t="shared" si="61"/>
        <v>0</v>
      </c>
      <c r="U538" s="15" t="str">
        <f t="shared" si="62"/>
        <v/>
      </c>
    </row>
    <row r="539" spans="12:21" x14ac:dyDescent="0.25">
      <c r="L539" s="20">
        <f t="shared" si="57"/>
        <v>0</v>
      </c>
      <c r="M539" s="14" t="e">
        <f>VLOOKUP(G539,Sell!G:L,1,0)</f>
        <v>#N/A</v>
      </c>
      <c r="N539" s="14">
        <f>IFERROR(VLOOKUP(G539,Sell!G:L,2,0),0)</f>
        <v>0</v>
      </c>
      <c r="O539" s="13">
        <f>IFERROR(VLOOKUP(G539,Sell!G:L,6,0),0)</f>
        <v>0</v>
      </c>
      <c r="P539" s="14">
        <f t="shared" si="56"/>
        <v>0</v>
      </c>
      <c r="Q539" s="13">
        <f t="shared" si="58"/>
        <v>0</v>
      </c>
      <c r="R539" s="13">
        <f t="shared" si="59"/>
        <v>0</v>
      </c>
      <c r="S539" s="13">
        <f t="shared" si="60"/>
        <v>0</v>
      </c>
      <c r="T539" s="13">
        <f t="shared" si="61"/>
        <v>0</v>
      </c>
      <c r="U539" s="15" t="str">
        <f t="shared" si="62"/>
        <v/>
      </c>
    </row>
    <row r="540" spans="12:21" x14ac:dyDescent="0.25">
      <c r="L540" s="20">
        <f t="shared" si="57"/>
        <v>0</v>
      </c>
      <c r="M540" s="14" t="e">
        <f>VLOOKUP(G540,Sell!G:L,1,0)</f>
        <v>#N/A</v>
      </c>
      <c r="N540" s="14">
        <f>IFERROR(VLOOKUP(G540,Sell!G:L,2,0),0)</f>
        <v>0</v>
      </c>
      <c r="O540" s="13">
        <f>IFERROR(VLOOKUP(G540,Sell!G:L,6,0),0)</f>
        <v>0</v>
      </c>
      <c r="P540" s="14">
        <f t="shared" si="56"/>
        <v>0</v>
      </c>
      <c r="Q540" s="13">
        <f t="shared" si="58"/>
        <v>0</v>
      </c>
      <c r="R540" s="13">
        <f t="shared" si="59"/>
        <v>0</v>
      </c>
      <c r="S540" s="13">
        <f t="shared" si="60"/>
        <v>0</v>
      </c>
      <c r="T540" s="13">
        <f t="shared" si="61"/>
        <v>0</v>
      </c>
      <c r="U540" s="15" t="str">
        <f t="shared" si="62"/>
        <v/>
      </c>
    </row>
    <row r="541" spans="12:21" x14ac:dyDescent="0.25">
      <c r="L541" s="20">
        <f t="shared" si="57"/>
        <v>0</v>
      </c>
      <c r="M541" s="14" t="e">
        <f>VLOOKUP(G541,Sell!G:L,1,0)</f>
        <v>#N/A</v>
      </c>
      <c r="N541" s="14">
        <f>IFERROR(VLOOKUP(G541,Sell!G:L,2,0),0)</f>
        <v>0</v>
      </c>
      <c r="O541" s="13">
        <f>IFERROR(VLOOKUP(G541,Sell!G:L,6,0),0)</f>
        <v>0</v>
      </c>
      <c r="P541" s="14">
        <f t="shared" si="56"/>
        <v>0</v>
      </c>
      <c r="Q541" s="13">
        <f t="shared" si="58"/>
        <v>0</v>
      </c>
      <c r="R541" s="13">
        <f t="shared" si="59"/>
        <v>0</v>
      </c>
      <c r="S541" s="13">
        <f t="shared" si="60"/>
        <v>0</v>
      </c>
      <c r="T541" s="13">
        <f t="shared" si="61"/>
        <v>0</v>
      </c>
      <c r="U541" s="15" t="str">
        <f t="shared" si="62"/>
        <v/>
      </c>
    </row>
    <row r="542" spans="12:21" x14ac:dyDescent="0.25">
      <c r="L542" s="20">
        <f t="shared" si="57"/>
        <v>0</v>
      </c>
      <c r="M542" s="14" t="e">
        <f>VLOOKUP(G542,Sell!G:L,1,0)</f>
        <v>#N/A</v>
      </c>
      <c r="N542" s="14">
        <f>IFERROR(VLOOKUP(G542,Sell!G:L,2,0),0)</f>
        <v>0</v>
      </c>
      <c r="O542" s="13">
        <f>IFERROR(VLOOKUP(G542,Sell!G:L,6,0),0)</f>
        <v>0</v>
      </c>
      <c r="P542" s="14">
        <f t="shared" si="56"/>
        <v>0</v>
      </c>
      <c r="Q542" s="13">
        <f t="shared" si="58"/>
        <v>0</v>
      </c>
      <c r="R542" s="13">
        <f t="shared" si="59"/>
        <v>0</v>
      </c>
      <c r="S542" s="13">
        <f t="shared" si="60"/>
        <v>0</v>
      </c>
      <c r="T542" s="13">
        <f t="shared" si="61"/>
        <v>0</v>
      </c>
      <c r="U542" s="15" t="str">
        <f t="shared" si="62"/>
        <v/>
      </c>
    </row>
    <row r="543" spans="12:21" x14ac:dyDescent="0.25">
      <c r="L543" s="20">
        <f t="shared" si="57"/>
        <v>0</v>
      </c>
      <c r="M543" s="14" t="e">
        <f>VLOOKUP(G543,Sell!G:L,1,0)</f>
        <v>#N/A</v>
      </c>
      <c r="N543" s="14">
        <f>IFERROR(VLOOKUP(G543,Sell!G:L,2,0),0)</f>
        <v>0</v>
      </c>
      <c r="O543" s="13">
        <f>IFERROR(VLOOKUP(G543,Sell!G:L,6,0),0)</f>
        <v>0</v>
      </c>
      <c r="P543" s="14">
        <f t="shared" si="56"/>
        <v>0</v>
      </c>
      <c r="Q543" s="13">
        <f t="shared" si="58"/>
        <v>0</v>
      </c>
      <c r="R543" s="13">
        <f t="shared" si="59"/>
        <v>0</v>
      </c>
      <c r="S543" s="13">
        <f t="shared" si="60"/>
        <v>0</v>
      </c>
      <c r="T543" s="13">
        <f t="shared" si="61"/>
        <v>0</v>
      </c>
      <c r="U543" s="15" t="str">
        <f t="shared" si="62"/>
        <v/>
      </c>
    </row>
    <row r="544" spans="12:21" x14ac:dyDescent="0.25">
      <c r="L544" s="20">
        <f t="shared" si="57"/>
        <v>0</v>
      </c>
      <c r="M544" s="14" t="e">
        <f>VLOOKUP(G544,Sell!G:L,1,0)</f>
        <v>#N/A</v>
      </c>
      <c r="N544" s="14">
        <f>IFERROR(VLOOKUP(G544,Sell!G:L,2,0),0)</f>
        <v>0</v>
      </c>
      <c r="O544" s="13">
        <f>IFERROR(VLOOKUP(G544,Sell!G:L,6,0),0)</f>
        <v>0</v>
      </c>
      <c r="P544" s="14">
        <f t="shared" si="56"/>
        <v>0</v>
      </c>
      <c r="Q544" s="13">
        <f t="shared" si="58"/>
        <v>0</v>
      </c>
      <c r="R544" s="13">
        <f t="shared" si="59"/>
        <v>0</v>
      </c>
      <c r="S544" s="13">
        <f t="shared" si="60"/>
        <v>0</v>
      </c>
      <c r="T544" s="13">
        <f t="shared" si="61"/>
        <v>0</v>
      </c>
      <c r="U544" s="15" t="str">
        <f t="shared" si="62"/>
        <v/>
      </c>
    </row>
    <row r="545" spans="12:21" x14ac:dyDescent="0.25">
      <c r="L545" s="20">
        <f t="shared" si="57"/>
        <v>0</v>
      </c>
      <c r="M545" s="14" t="e">
        <f>VLOOKUP(G545,Sell!G:L,1,0)</f>
        <v>#N/A</v>
      </c>
      <c r="N545" s="14">
        <f>IFERROR(VLOOKUP(G545,Sell!G:L,2,0),0)</f>
        <v>0</v>
      </c>
      <c r="O545" s="13">
        <f>IFERROR(VLOOKUP(G545,Sell!G:L,6,0),0)</f>
        <v>0</v>
      </c>
      <c r="P545" s="14">
        <f t="shared" si="56"/>
        <v>0</v>
      </c>
      <c r="Q545" s="13">
        <f t="shared" si="58"/>
        <v>0</v>
      </c>
      <c r="R545" s="13">
        <f t="shared" si="59"/>
        <v>0</v>
      </c>
      <c r="S545" s="13">
        <f t="shared" si="60"/>
        <v>0</v>
      </c>
      <c r="T545" s="13">
        <f t="shared" si="61"/>
        <v>0</v>
      </c>
      <c r="U545" s="15" t="str">
        <f t="shared" si="62"/>
        <v/>
      </c>
    </row>
    <row r="546" spans="12:21" x14ac:dyDescent="0.25">
      <c r="L546" s="20">
        <f t="shared" si="57"/>
        <v>0</v>
      </c>
      <c r="M546" s="14" t="e">
        <f>VLOOKUP(G546,Sell!G:L,1,0)</f>
        <v>#N/A</v>
      </c>
      <c r="N546" s="14">
        <f>IFERROR(VLOOKUP(G546,Sell!G:L,2,0),0)</f>
        <v>0</v>
      </c>
      <c r="O546" s="13">
        <f>IFERROR(VLOOKUP(G546,Sell!G:L,6,0),0)</f>
        <v>0</v>
      </c>
      <c r="P546" s="14">
        <f t="shared" si="56"/>
        <v>0</v>
      </c>
      <c r="Q546" s="13">
        <f t="shared" si="58"/>
        <v>0</v>
      </c>
      <c r="R546" s="13">
        <f t="shared" si="59"/>
        <v>0</v>
      </c>
      <c r="S546" s="13">
        <f t="shared" si="60"/>
        <v>0</v>
      </c>
      <c r="T546" s="13">
        <f t="shared" si="61"/>
        <v>0</v>
      </c>
      <c r="U546" s="15" t="str">
        <f t="shared" si="62"/>
        <v/>
      </c>
    </row>
    <row r="547" spans="12:21" x14ac:dyDescent="0.25">
      <c r="L547" s="20">
        <f t="shared" si="57"/>
        <v>0</v>
      </c>
      <c r="M547" s="14" t="e">
        <f>VLOOKUP(G547,Sell!G:L,1,0)</f>
        <v>#N/A</v>
      </c>
      <c r="N547" s="14">
        <f>IFERROR(VLOOKUP(G547,Sell!G:L,2,0),0)</f>
        <v>0</v>
      </c>
      <c r="O547" s="13">
        <f>IFERROR(VLOOKUP(G547,Sell!G:L,6,0),0)</f>
        <v>0</v>
      </c>
      <c r="P547" s="14">
        <f t="shared" si="56"/>
        <v>0</v>
      </c>
      <c r="Q547" s="13">
        <f t="shared" si="58"/>
        <v>0</v>
      </c>
      <c r="R547" s="13">
        <f t="shared" si="59"/>
        <v>0</v>
      </c>
      <c r="S547" s="13">
        <f t="shared" si="60"/>
        <v>0</v>
      </c>
      <c r="T547" s="13">
        <f t="shared" si="61"/>
        <v>0</v>
      </c>
      <c r="U547" s="15" t="str">
        <f t="shared" si="62"/>
        <v/>
      </c>
    </row>
    <row r="548" spans="12:21" x14ac:dyDescent="0.25">
      <c r="L548" s="20">
        <f t="shared" si="57"/>
        <v>0</v>
      </c>
      <c r="M548" s="14" t="e">
        <f>VLOOKUP(G548,Sell!G:L,1,0)</f>
        <v>#N/A</v>
      </c>
      <c r="N548" s="14">
        <f>IFERROR(VLOOKUP(G548,Sell!G:L,2,0),0)</f>
        <v>0</v>
      </c>
      <c r="O548" s="13">
        <f>IFERROR(VLOOKUP(G548,Sell!G:L,6,0),0)</f>
        <v>0</v>
      </c>
      <c r="P548" s="14">
        <f t="shared" si="56"/>
        <v>0</v>
      </c>
      <c r="Q548" s="13">
        <f t="shared" si="58"/>
        <v>0</v>
      </c>
      <c r="R548" s="13">
        <f t="shared" si="59"/>
        <v>0</v>
      </c>
      <c r="S548" s="13">
        <f t="shared" si="60"/>
        <v>0</v>
      </c>
      <c r="T548" s="13">
        <f t="shared" si="61"/>
        <v>0</v>
      </c>
      <c r="U548" s="15" t="str">
        <f t="shared" si="62"/>
        <v/>
      </c>
    </row>
    <row r="549" spans="12:21" x14ac:dyDescent="0.25">
      <c r="L549" s="20">
        <f t="shared" si="57"/>
        <v>0</v>
      </c>
      <c r="M549" s="14" t="e">
        <f>VLOOKUP(G549,Sell!G:L,1,0)</f>
        <v>#N/A</v>
      </c>
      <c r="N549" s="14">
        <f>IFERROR(VLOOKUP(G549,Sell!G:L,2,0),0)</f>
        <v>0</v>
      </c>
      <c r="O549" s="13">
        <f>IFERROR(VLOOKUP(G549,Sell!G:L,6,0),0)</f>
        <v>0</v>
      </c>
      <c r="P549" s="14">
        <f t="shared" si="56"/>
        <v>0</v>
      </c>
      <c r="Q549" s="13">
        <f t="shared" si="58"/>
        <v>0</v>
      </c>
      <c r="R549" s="13">
        <f t="shared" si="59"/>
        <v>0</v>
      </c>
      <c r="S549" s="13">
        <f t="shared" si="60"/>
        <v>0</v>
      </c>
      <c r="T549" s="13">
        <f t="shared" si="61"/>
        <v>0</v>
      </c>
      <c r="U549" s="15" t="str">
        <f t="shared" si="62"/>
        <v/>
      </c>
    </row>
    <row r="550" spans="12:21" x14ac:dyDescent="0.25">
      <c r="L550" s="20">
        <f t="shared" si="57"/>
        <v>0</v>
      </c>
      <c r="M550" s="14" t="e">
        <f>VLOOKUP(G550,Sell!G:L,1,0)</f>
        <v>#N/A</v>
      </c>
      <c r="N550" s="14">
        <f>IFERROR(VLOOKUP(G550,Sell!G:L,2,0),0)</f>
        <v>0</v>
      </c>
      <c r="O550" s="13">
        <f>IFERROR(VLOOKUP(G550,Sell!G:L,6,0),0)</f>
        <v>0</v>
      </c>
      <c r="P550" s="14">
        <f t="shared" si="56"/>
        <v>0</v>
      </c>
      <c r="Q550" s="13">
        <f t="shared" si="58"/>
        <v>0</v>
      </c>
      <c r="R550" s="13">
        <f t="shared" si="59"/>
        <v>0</v>
      </c>
      <c r="S550" s="13">
        <f t="shared" si="60"/>
        <v>0</v>
      </c>
      <c r="T550" s="13">
        <f t="shared" si="61"/>
        <v>0</v>
      </c>
      <c r="U550" s="15" t="str">
        <f t="shared" si="62"/>
        <v/>
      </c>
    </row>
    <row r="551" spans="12:21" x14ac:dyDescent="0.25">
      <c r="L551" s="20">
        <f t="shared" si="57"/>
        <v>0</v>
      </c>
      <c r="M551" s="14" t="e">
        <f>VLOOKUP(G551,Sell!G:L,1,0)</f>
        <v>#N/A</v>
      </c>
      <c r="N551" s="14">
        <f>IFERROR(VLOOKUP(G551,Sell!G:L,2,0),0)</f>
        <v>0</v>
      </c>
      <c r="O551" s="13">
        <f>IFERROR(VLOOKUP(G551,Sell!G:L,6,0),0)</f>
        <v>0</v>
      </c>
      <c r="P551" s="14">
        <f t="shared" si="56"/>
        <v>0</v>
      </c>
      <c r="Q551" s="13">
        <f t="shared" si="58"/>
        <v>0</v>
      </c>
      <c r="R551" s="13">
        <f t="shared" si="59"/>
        <v>0</v>
      </c>
      <c r="S551" s="13">
        <f t="shared" si="60"/>
        <v>0</v>
      </c>
      <c r="T551" s="13">
        <f t="shared" si="61"/>
        <v>0</v>
      </c>
      <c r="U551" s="15" t="str">
        <f t="shared" si="62"/>
        <v/>
      </c>
    </row>
    <row r="552" spans="12:21" x14ac:dyDescent="0.25">
      <c r="L552" s="20">
        <f t="shared" si="57"/>
        <v>0</v>
      </c>
      <c r="M552" s="14" t="e">
        <f>VLOOKUP(G552,Sell!G:L,1,0)</f>
        <v>#N/A</v>
      </c>
      <c r="N552" s="14">
        <f>IFERROR(VLOOKUP(G552,Sell!G:L,2,0),0)</f>
        <v>0</v>
      </c>
      <c r="O552" s="13">
        <f>IFERROR(VLOOKUP(G552,Sell!G:L,6,0),0)</f>
        <v>0</v>
      </c>
      <c r="P552" s="14">
        <f t="shared" si="56"/>
        <v>0</v>
      </c>
      <c r="Q552" s="13">
        <f t="shared" si="58"/>
        <v>0</v>
      </c>
      <c r="R552" s="13">
        <f t="shared" si="59"/>
        <v>0</v>
      </c>
      <c r="S552" s="13">
        <f t="shared" si="60"/>
        <v>0</v>
      </c>
      <c r="T552" s="13">
        <f t="shared" si="61"/>
        <v>0</v>
      </c>
      <c r="U552" s="15" t="str">
        <f t="shared" si="62"/>
        <v/>
      </c>
    </row>
    <row r="553" spans="12:21" x14ac:dyDescent="0.25">
      <c r="L553" s="20">
        <f t="shared" si="57"/>
        <v>0</v>
      </c>
      <c r="M553" s="14" t="e">
        <f>VLOOKUP(G553,Sell!G:L,1,0)</f>
        <v>#N/A</v>
      </c>
      <c r="N553" s="14">
        <f>IFERROR(VLOOKUP(G553,Sell!G:L,2,0),0)</f>
        <v>0</v>
      </c>
      <c r="O553" s="13">
        <f>IFERROR(VLOOKUP(G553,Sell!G:L,6,0),0)</f>
        <v>0</v>
      </c>
      <c r="P553" s="14">
        <f t="shared" si="56"/>
        <v>0</v>
      </c>
      <c r="Q553" s="13">
        <f t="shared" si="58"/>
        <v>0</v>
      </c>
      <c r="R553" s="13">
        <f t="shared" si="59"/>
        <v>0</v>
      </c>
      <c r="S553" s="13">
        <f t="shared" si="60"/>
        <v>0</v>
      </c>
      <c r="T553" s="13">
        <f t="shared" si="61"/>
        <v>0</v>
      </c>
      <c r="U553" s="15" t="str">
        <f t="shared" si="62"/>
        <v/>
      </c>
    </row>
    <row r="554" spans="12:21" x14ac:dyDescent="0.25">
      <c r="L554" s="20">
        <f t="shared" si="57"/>
        <v>0</v>
      </c>
      <c r="M554" s="14" t="e">
        <f>VLOOKUP(G554,Sell!G:L,1,0)</f>
        <v>#N/A</v>
      </c>
      <c r="N554" s="14">
        <f>IFERROR(VLOOKUP(G554,Sell!G:L,2,0),0)</f>
        <v>0</v>
      </c>
      <c r="O554" s="13">
        <f>IFERROR(VLOOKUP(G554,Sell!G:L,6,0),0)</f>
        <v>0</v>
      </c>
      <c r="P554" s="14">
        <f t="shared" si="56"/>
        <v>0</v>
      </c>
      <c r="Q554" s="13">
        <f t="shared" si="58"/>
        <v>0</v>
      </c>
      <c r="R554" s="13">
        <f t="shared" si="59"/>
        <v>0</v>
      </c>
      <c r="S554" s="13">
        <f t="shared" si="60"/>
        <v>0</v>
      </c>
      <c r="T554" s="13">
        <f t="shared" si="61"/>
        <v>0</v>
      </c>
      <c r="U554" s="15" t="str">
        <f t="shared" si="62"/>
        <v/>
      </c>
    </row>
    <row r="555" spans="12:21" x14ac:dyDescent="0.25">
      <c r="L555" s="20">
        <f t="shared" si="57"/>
        <v>0</v>
      </c>
      <c r="M555" s="14" t="e">
        <f>VLOOKUP(G555,Sell!G:L,1,0)</f>
        <v>#N/A</v>
      </c>
      <c r="N555" s="14">
        <f>IFERROR(VLOOKUP(G555,Sell!G:L,2,0),0)</f>
        <v>0</v>
      </c>
      <c r="O555" s="13">
        <f>IFERROR(VLOOKUP(G555,Sell!G:L,6,0),0)</f>
        <v>0</v>
      </c>
      <c r="P555" s="14">
        <f t="shared" si="56"/>
        <v>0</v>
      </c>
      <c r="Q555" s="13">
        <f t="shared" si="58"/>
        <v>0</v>
      </c>
      <c r="R555" s="13">
        <f t="shared" si="59"/>
        <v>0</v>
      </c>
      <c r="S555" s="13">
        <f t="shared" si="60"/>
        <v>0</v>
      </c>
      <c r="T555" s="13">
        <f t="shared" si="61"/>
        <v>0</v>
      </c>
      <c r="U555" s="15" t="str">
        <f t="shared" si="62"/>
        <v/>
      </c>
    </row>
    <row r="556" spans="12:21" x14ac:dyDescent="0.25">
      <c r="L556" s="20">
        <f t="shared" si="57"/>
        <v>0</v>
      </c>
      <c r="M556" s="14" t="e">
        <f>VLOOKUP(G556,Sell!G:L,1,0)</f>
        <v>#N/A</v>
      </c>
      <c r="N556" s="14">
        <f>IFERROR(VLOOKUP(G556,Sell!G:L,2,0),0)</f>
        <v>0</v>
      </c>
      <c r="O556" s="13">
        <f>IFERROR(VLOOKUP(G556,Sell!G:L,6,0),0)</f>
        <v>0</v>
      </c>
      <c r="P556" s="14">
        <f t="shared" si="56"/>
        <v>0</v>
      </c>
      <c r="Q556" s="13">
        <f t="shared" si="58"/>
        <v>0</v>
      </c>
      <c r="R556" s="13">
        <f t="shared" si="59"/>
        <v>0</v>
      </c>
      <c r="S556" s="13">
        <f t="shared" si="60"/>
        <v>0</v>
      </c>
      <c r="T556" s="13">
        <f t="shared" si="61"/>
        <v>0</v>
      </c>
      <c r="U556" s="15" t="str">
        <f t="shared" si="62"/>
        <v/>
      </c>
    </row>
    <row r="557" spans="12:21" x14ac:dyDescent="0.25">
      <c r="L557" s="20">
        <f t="shared" si="57"/>
        <v>0</v>
      </c>
      <c r="M557" s="14" t="e">
        <f>VLOOKUP(G557,Sell!G:L,1,0)</f>
        <v>#N/A</v>
      </c>
      <c r="N557" s="14">
        <f>IFERROR(VLOOKUP(G557,Sell!G:L,2,0),0)</f>
        <v>0</v>
      </c>
      <c r="O557" s="13">
        <f>IFERROR(VLOOKUP(G557,Sell!G:L,6,0),0)</f>
        <v>0</v>
      </c>
      <c r="P557" s="14">
        <f t="shared" si="56"/>
        <v>0</v>
      </c>
      <c r="Q557" s="13">
        <f t="shared" si="58"/>
        <v>0</v>
      </c>
      <c r="R557" s="13">
        <f t="shared" si="59"/>
        <v>0</v>
      </c>
      <c r="S557" s="13">
        <f t="shared" si="60"/>
        <v>0</v>
      </c>
      <c r="T557" s="13">
        <f t="shared" si="61"/>
        <v>0</v>
      </c>
      <c r="U557" s="15" t="str">
        <f t="shared" si="62"/>
        <v/>
      </c>
    </row>
    <row r="558" spans="12:21" x14ac:dyDescent="0.25">
      <c r="L558" s="20">
        <f t="shared" si="57"/>
        <v>0</v>
      </c>
      <c r="M558" s="14" t="e">
        <f>VLOOKUP(G558,Sell!G:L,1,0)</f>
        <v>#N/A</v>
      </c>
      <c r="N558" s="14">
        <f>IFERROR(VLOOKUP(G558,Sell!G:L,2,0),0)</f>
        <v>0</v>
      </c>
      <c r="O558" s="13">
        <f>IFERROR(VLOOKUP(G558,Sell!G:L,6,0),0)</f>
        <v>0</v>
      </c>
      <c r="P558" s="14">
        <f t="shared" si="56"/>
        <v>0</v>
      </c>
      <c r="Q558" s="13">
        <f t="shared" si="58"/>
        <v>0</v>
      </c>
      <c r="R558" s="13">
        <f t="shared" si="59"/>
        <v>0</v>
      </c>
      <c r="S558" s="13">
        <f t="shared" si="60"/>
        <v>0</v>
      </c>
      <c r="T558" s="13">
        <f t="shared" si="61"/>
        <v>0</v>
      </c>
      <c r="U558" s="15" t="str">
        <f t="shared" si="62"/>
        <v/>
      </c>
    </row>
    <row r="559" spans="12:21" x14ac:dyDescent="0.25">
      <c r="L559" s="20">
        <f t="shared" si="57"/>
        <v>0</v>
      </c>
      <c r="M559" s="14" t="e">
        <f>VLOOKUP(G559,Sell!G:L,1,0)</f>
        <v>#N/A</v>
      </c>
      <c r="N559" s="14">
        <f>IFERROR(VLOOKUP(G559,Sell!G:L,2,0),0)</f>
        <v>0</v>
      </c>
      <c r="O559" s="13">
        <f>IFERROR(VLOOKUP(G559,Sell!G:L,6,0),0)</f>
        <v>0</v>
      </c>
      <c r="P559" s="14">
        <f t="shared" si="56"/>
        <v>0</v>
      </c>
      <c r="Q559" s="13">
        <f t="shared" si="58"/>
        <v>0</v>
      </c>
      <c r="R559" s="13">
        <f t="shared" si="59"/>
        <v>0</v>
      </c>
      <c r="S559" s="13">
        <f t="shared" si="60"/>
        <v>0</v>
      </c>
      <c r="T559" s="13">
        <f t="shared" si="61"/>
        <v>0</v>
      </c>
      <c r="U559" s="15" t="str">
        <f t="shared" si="62"/>
        <v/>
      </c>
    </row>
    <row r="560" spans="12:21" x14ac:dyDescent="0.25">
      <c r="L560" s="20">
        <f t="shared" si="57"/>
        <v>0</v>
      </c>
      <c r="M560" s="14" t="e">
        <f>VLOOKUP(G560,Sell!G:L,1,0)</f>
        <v>#N/A</v>
      </c>
      <c r="N560" s="14">
        <f>IFERROR(VLOOKUP(G560,Sell!G:L,2,0),0)</f>
        <v>0</v>
      </c>
      <c r="O560" s="13">
        <f>IFERROR(VLOOKUP(G560,Sell!G:L,6,0),0)</f>
        <v>0</v>
      </c>
      <c r="P560" s="14">
        <f t="shared" si="56"/>
        <v>0</v>
      </c>
      <c r="Q560" s="13">
        <f t="shared" si="58"/>
        <v>0</v>
      </c>
      <c r="R560" s="13">
        <f t="shared" si="59"/>
        <v>0</v>
      </c>
      <c r="S560" s="13">
        <f t="shared" si="60"/>
        <v>0</v>
      </c>
      <c r="T560" s="13">
        <f t="shared" si="61"/>
        <v>0</v>
      </c>
      <c r="U560" s="15" t="str">
        <f t="shared" si="62"/>
        <v/>
      </c>
    </row>
    <row r="561" spans="12:21" x14ac:dyDescent="0.25">
      <c r="L561" s="20">
        <f t="shared" si="57"/>
        <v>0</v>
      </c>
      <c r="M561" s="14" t="e">
        <f>VLOOKUP(G561,Sell!G:L,1,0)</f>
        <v>#N/A</v>
      </c>
      <c r="N561" s="14">
        <f>IFERROR(VLOOKUP(G561,Sell!G:L,2,0),0)</f>
        <v>0</v>
      </c>
      <c r="O561" s="13">
        <f>IFERROR(VLOOKUP(G561,Sell!G:L,6,0),0)</f>
        <v>0</v>
      </c>
      <c r="P561" s="14">
        <f t="shared" si="56"/>
        <v>0</v>
      </c>
      <c r="Q561" s="13">
        <f t="shared" si="58"/>
        <v>0</v>
      </c>
      <c r="R561" s="13">
        <f t="shared" si="59"/>
        <v>0</v>
      </c>
      <c r="S561" s="13">
        <f t="shared" si="60"/>
        <v>0</v>
      </c>
      <c r="T561" s="13">
        <f t="shared" si="61"/>
        <v>0</v>
      </c>
      <c r="U561" s="15" t="str">
        <f t="shared" si="62"/>
        <v/>
      </c>
    </row>
    <row r="562" spans="12:21" x14ac:dyDescent="0.25">
      <c r="L562" s="20">
        <f t="shared" si="57"/>
        <v>0</v>
      </c>
      <c r="M562" s="14" t="e">
        <f>VLOOKUP(G562,Sell!G:L,1,0)</f>
        <v>#N/A</v>
      </c>
      <c r="N562" s="14">
        <f>IFERROR(VLOOKUP(G562,Sell!G:L,2,0),0)</f>
        <v>0</v>
      </c>
      <c r="O562" s="13">
        <f>IFERROR(VLOOKUP(G562,Sell!G:L,6,0),0)</f>
        <v>0</v>
      </c>
      <c r="P562" s="14">
        <f t="shared" si="56"/>
        <v>0</v>
      </c>
      <c r="Q562" s="13">
        <f t="shared" si="58"/>
        <v>0</v>
      </c>
      <c r="R562" s="13">
        <f t="shared" si="59"/>
        <v>0</v>
      </c>
      <c r="S562" s="13">
        <f t="shared" si="60"/>
        <v>0</v>
      </c>
      <c r="T562" s="13">
        <f t="shared" si="61"/>
        <v>0</v>
      </c>
      <c r="U562" s="15" t="str">
        <f t="shared" si="62"/>
        <v/>
      </c>
    </row>
    <row r="563" spans="12:21" x14ac:dyDescent="0.25">
      <c r="L563" s="20">
        <f t="shared" si="57"/>
        <v>0</v>
      </c>
      <c r="M563" s="14" t="e">
        <f>VLOOKUP(G563,Sell!G:L,1,0)</f>
        <v>#N/A</v>
      </c>
      <c r="N563" s="14">
        <f>IFERROR(VLOOKUP(G563,Sell!G:L,2,0),0)</f>
        <v>0</v>
      </c>
      <c r="O563" s="13">
        <f>IFERROR(VLOOKUP(G563,Sell!G:L,6,0),0)</f>
        <v>0</v>
      </c>
      <c r="P563" s="14">
        <f t="shared" si="56"/>
        <v>0</v>
      </c>
      <c r="Q563" s="13">
        <f t="shared" si="58"/>
        <v>0</v>
      </c>
      <c r="R563" s="13">
        <f t="shared" si="59"/>
        <v>0</v>
      </c>
      <c r="S563" s="13">
        <f t="shared" si="60"/>
        <v>0</v>
      </c>
      <c r="T563" s="13">
        <f t="shared" si="61"/>
        <v>0</v>
      </c>
      <c r="U563" s="15" t="str">
        <f t="shared" si="62"/>
        <v/>
      </c>
    </row>
    <row r="564" spans="12:21" x14ac:dyDescent="0.25">
      <c r="L564" s="20">
        <f t="shared" si="57"/>
        <v>0</v>
      </c>
      <c r="M564" s="14" t="e">
        <f>VLOOKUP(G564,Sell!G:L,1,0)</f>
        <v>#N/A</v>
      </c>
      <c r="N564" s="14">
        <f>IFERROR(VLOOKUP(G564,Sell!G:L,2,0),0)</f>
        <v>0</v>
      </c>
      <c r="O564" s="13">
        <f>IFERROR(VLOOKUP(G564,Sell!G:L,6,0),0)</f>
        <v>0</v>
      </c>
      <c r="P564" s="14">
        <f t="shared" si="56"/>
        <v>0</v>
      </c>
      <c r="Q564" s="13">
        <f t="shared" si="58"/>
        <v>0</v>
      </c>
      <c r="R564" s="13">
        <f t="shared" si="59"/>
        <v>0</v>
      </c>
      <c r="S564" s="13">
        <f t="shared" si="60"/>
        <v>0</v>
      </c>
      <c r="T564" s="13">
        <f t="shared" si="61"/>
        <v>0</v>
      </c>
      <c r="U564" s="15" t="str">
        <f t="shared" si="62"/>
        <v/>
      </c>
    </row>
    <row r="565" spans="12:21" x14ac:dyDescent="0.25">
      <c r="L565" s="20">
        <f t="shared" si="57"/>
        <v>0</v>
      </c>
      <c r="M565" s="14" t="e">
        <f>VLOOKUP(G565,Sell!G:L,1,0)</f>
        <v>#N/A</v>
      </c>
      <c r="N565" s="14">
        <f>IFERROR(VLOOKUP(G565,Sell!G:L,2,0),0)</f>
        <v>0</v>
      </c>
      <c r="O565" s="13">
        <f>IFERROR(VLOOKUP(G565,Sell!G:L,6,0),0)</f>
        <v>0</v>
      </c>
      <c r="P565" s="14">
        <f t="shared" si="56"/>
        <v>0</v>
      </c>
      <c r="Q565" s="13">
        <f t="shared" si="58"/>
        <v>0</v>
      </c>
      <c r="R565" s="13">
        <f t="shared" si="59"/>
        <v>0</v>
      </c>
      <c r="S565" s="13">
        <f t="shared" si="60"/>
        <v>0</v>
      </c>
      <c r="T565" s="13">
        <f t="shared" si="61"/>
        <v>0</v>
      </c>
      <c r="U565" s="15" t="str">
        <f t="shared" si="62"/>
        <v/>
      </c>
    </row>
    <row r="566" spans="12:21" x14ac:dyDescent="0.25">
      <c r="L566" s="20">
        <f t="shared" si="57"/>
        <v>0</v>
      </c>
      <c r="M566" s="14" t="e">
        <f>VLOOKUP(G566,Sell!G:L,1,0)</f>
        <v>#N/A</v>
      </c>
      <c r="N566" s="14">
        <f>IFERROR(VLOOKUP(G566,Sell!G:L,2,0),0)</f>
        <v>0</v>
      </c>
      <c r="O566" s="13">
        <f>IFERROR(VLOOKUP(G566,Sell!G:L,6,0),0)</f>
        <v>0</v>
      </c>
      <c r="P566" s="14">
        <f t="shared" si="56"/>
        <v>0</v>
      </c>
      <c r="Q566" s="13">
        <f t="shared" si="58"/>
        <v>0</v>
      </c>
      <c r="R566" s="13">
        <f t="shared" si="59"/>
        <v>0</v>
      </c>
      <c r="S566" s="13">
        <f t="shared" si="60"/>
        <v>0</v>
      </c>
      <c r="T566" s="13">
        <f t="shared" si="61"/>
        <v>0</v>
      </c>
      <c r="U566" s="15" t="str">
        <f t="shared" si="62"/>
        <v/>
      </c>
    </row>
    <row r="567" spans="12:21" x14ac:dyDescent="0.25">
      <c r="L567" s="20">
        <f t="shared" si="57"/>
        <v>0</v>
      </c>
      <c r="M567" s="14" t="e">
        <f>VLOOKUP(G567,Sell!G:L,1,0)</f>
        <v>#N/A</v>
      </c>
      <c r="N567" s="14">
        <f>IFERROR(VLOOKUP(G567,Sell!G:L,2,0),0)</f>
        <v>0</v>
      </c>
      <c r="O567" s="13">
        <f>IFERROR(VLOOKUP(G567,Sell!G:L,6,0),0)</f>
        <v>0</v>
      </c>
      <c r="P567" s="14">
        <f t="shared" si="56"/>
        <v>0</v>
      </c>
      <c r="Q567" s="13">
        <f t="shared" si="58"/>
        <v>0</v>
      </c>
      <c r="R567" s="13">
        <f t="shared" si="59"/>
        <v>0</v>
      </c>
      <c r="S567" s="13">
        <f t="shared" si="60"/>
        <v>0</v>
      </c>
      <c r="T567" s="13">
        <f t="shared" si="61"/>
        <v>0</v>
      </c>
      <c r="U567" s="15" t="str">
        <f t="shared" si="62"/>
        <v/>
      </c>
    </row>
    <row r="568" spans="12:21" x14ac:dyDescent="0.25">
      <c r="L568" s="20">
        <f t="shared" si="57"/>
        <v>0</v>
      </c>
      <c r="M568" s="14" t="e">
        <f>VLOOKUP(G568,Sell!G:L,1,0)</f>
        <v>#N/A</v>
      </c>
      <c r="N568" s="14">
        <f>IFERROR(VLOOKUP(G568,Sell!G:L,2,0),0)</f>
        <v>0</v>
      </c>
      <c r="O568" s="13">
        <f>IFERROR(VLOOKUP(G568,Sell!G:L,6,0),0)</f>
        <v>0</v>
      </c>
      <c r="P568" s="14">
        <f t="shared" si="56"/>
        <v>0</v>
      </c>
      <c r="Q568" s="13">
        <f t="shared" si="58"/>
        <v>0</v>
      </c>
      <c r="R568" s="13">
        <f t="shared" si="59"/>
        <v>0</v>
      </c>
      <c r="S568" s="13">
        <f t="shared" si="60"/>
        <v>0</v>
      </c>
      <c r="T568" s="13">
        <f t="shared" si="61"/>
        <v>0</v>
      </c>
      <c r="U568" s="15" t="str">
        <f t="shared" si="62"/>
        <v/>
      </c>
    </row>
    <row r="569" spans="12:21" x14ac:dyDescent="0.25">
      <c r="L569" s="20">
        <f t="shared" si="57"/>
        <v>0</v>
      </c>
      <c r="M569" s="14" t="e">
        <f>VLOOKUP(G569,Sell!G:L,1,0)</f>
        <v>#N/A</v>
      </c>
      <c r="N569" s="14">
        <f>IFERROR(VLOOKUP(G569,Sell!G:L,2,0),0)</f>
        <v>0</v>
      </c>
      <c r="O569" s="13">
        <f>IFERROR(VLOOKUP(G569,Sell!G:L,6,0),0)</f>
        <v>0</v>
      </c>
      <c r="P569" s="14">
        <f t="shared" si="56"/>
        <v>0</v>
      </c>
      <c r="Q569" s="13">
        <f t="shared" si="58"/>
        <v>0</v>
      </c>
      <c r="R569" s="13">
        <f t="shared" si="59"/>
        <v>0</v>
      </c>
      <c r="S569" s="13">
        <f t="shared" si="60"/>
        <v>0</v>
      </c>
      <c r="T569" s="13">
        <f t="shared" si="61"/>
        <v>0</v>
      </c>
      <c r="U569" s="15" t="str">
        <f t="shared" si="62"/>
        <v/>
      </c>
    </row>
    <row r="570" spans="12:21" x14ac:dyDescent="0.25">
      <c r="L570" s="20">
        <f t="shared" si="57"/>
        <v>0</v>
      </c>
      <c r="M570" s="14" t="e">
        <f>VLOOKUP(G570,Sell!G:L,1,0)</f>
        <v>#N/A</v>
      </c>
      <c r="N570" s="14">
        <f>IFERROR(VLOOKUP(G570,Sell!G:L,2,0),0)</f>
        <v>0</v>
      </c>
      <c r="O570" s="13">
        <f>IFERROR(VLOOKUP(G570,Sell!G:L,6,0),0)</f>
        <v>0</v>
      </c>
      <c r="P570" s="14">
        <f t="shared" si="56"/>
        <v>0</v>
      </c>
      <c r="Q570" s="13">
        <f t="shared" si="58"/>
        <v>0</v>
      </c>
      <c r="R570" s="13">
        <f t="shared" si="59"/>
        <v>0</v>
      </c>
      <c r="S570" s="13">
        <f t="shared" si="60"/>
        <v>0</v>
      </c>
      <c r="T570" s="13">
        <f t="shared" si="61"/>
        <v>0</v>
      </c>
      <c r="U570" s="15" t="str">
        <f t="shared" si="62"/>
        <v/>
      </c>
    </row>
    <row r="571" spans="12:21" x14ac:dyDescent="0.25">
      <c r="L571" s="20">
        <f t="shared" si="57"/>
        <v>0</v>
      </c>
      <c r="M571" s="14" t="e">
        <f>VLOOKUP(G571,Sell!G:L,1,0)</f>
        <v>#N/A</v>
      </c>
      <c r="N571" s="14">
        <f>IFERROR(VLOOKUP(G571,Sell!G:L,2,0),0)</f>
        <v>0</v>
      </c>
      <c r="O571" s="13">
        <f>IFERROR(VLOOKUP(G571,Sell!G:L,6,0),0)</f>
        <v>0</v>
      </c>
      <c r="P571" s="14">
        <f t="shared" si="56"/>
        <v>0</v>
      </c>
      <c r="Q571" s="13">
        <f t="shared" si="58"/>
        <v>0</v>
      </c>
      <c r="R571" s="13">
        <f t="shared" si="59"/>
        <v>0</v>
      </c>
      <c r="S571" s="13">
        <f t="shared" si="60"/>
        <v>0</v>
      </c>
      <c r="T571" s="13">
        <f t="shared" si="61"/>
        <v>0</v>
      </c>
      <c r="U571" s="15" t="str">
        <f t="shared" si="62"/>
        <v/>
      </c>
    </row>
    <row r="572" spans="12:21" x14ac:dyDescent="0.25">
      <c r="L572" s="20">
        <f t="shared" si="57"/>
        <v>0</v>
      </c>
      <c r="M572" s="14" t="e">
        <f>VLOOKUP(G572,Sell!G:L,1,0)</f>
        <v>#N/A</v>
      </c>
      <c r="N572" s="14">
        <f>IFERROR(VLOOKUP(G572,Sell!G:L,2,0),0)</f>
        <v>0</v>
      </c>
      <c r="O572" s="13">
        <f>IFERROR(VLOOKUP(G572,Sell!G:L,6,0),0)</f>
        <v>0</v>
      </c>
      <c r="P572" s="14">
        <f t="shared" si="56"/>
        <v>0</v>
      </c>
      <c r="Q572" s="13">
        <f t="shared" si="58"/>
        <v>0</v>
      </c>
      <c r="R572" s="13">
        <f t="shared" si="59"/>
        <v>0</v>
      </c>
      <c r="S572" s="13">
        <f t="shared" si="60"/>
        <v>0</v>
      </c>
      <c r="T572" s="13">
        <f t="shared" si="61"/>
        <v>0</v>
      </c>
      <c r="U572" s="15" t="str">
        <f t="shared" si="62"/>
        <v/>
      </c>
    </row>
    <row r="573" spans="12:21" x14ac:dyDescent="0.25">
      <c r="L573" s="20">
        <f t="shared" si="57"/>
        <v>0</v>
      </c>
      <c r="M573" s="14" t="e">
        <f>VLOOKUP(G573,Sell!G:L,1,0)</f>
        <v>#N/A</v>
      </c>
      <c r="N573" s="14">
        <f>IFERROR(VLOOKUP(G573,Sell!G:L,2,0),0)</f>
        <v>0</v>
      </c>
      <c r="O573" s="13">
        <f>IFERROR(VLOOKUP(G573,Sell!G:L,6,0),0)</f>
        <v>0</v>
      </c>
      <c r="P573" s="14">
        <f t="shared" si="56"/>
        <v>0</v>
      </c>
      <c r="Q573" s="13">
        <f t="shared" si="58"/>
        <v>0</v>
      </c>
      <c r="R573" s="13">
        <f t="shared" si="59"/>
        <v>0</v>
      </c>
      <c r="S573" s="13">
        <f t="shared" si="60"/>
        <v>0</v>
      </c>
      <c r="T573" s="13">
        <f t="shared" si="61"/>
        <v>0</v>
      </c>
      <c r="U573" s="15" t="str">
        <f t="shared" si="62"/>
        <v/>
      </c>
    </row>
    <row r="574" spans="12:21" x14ac:dyDescent="0.25">
      <c r="L574" s="20">
        <f t="shared" si="57"/>
        <v>0</v>
      </c>
      <c r="M574" s="14" t="e">
        <f>VLOOKUP(G574,Sell!G:L,1,0)</f>
        <v>#N/A</v>
      </c>
      <c r="N574" s="14">
        <f>IFERROR(VLOOKUP(G574,Sell!G:L,2,0),0)</f>
        <v>0</v>
      </c>
      <c r="O574" s="13">
        <f>IFERROR(VLOOKUP(G574,Sell!G:L,6,0),0)</f>
        <v>0</v>
      </c>
      <c r="P574" s="14">
        <f t="shared" si="56"/>
        <v>0</v>
      </c>
      <c r="Q574" s="13">
        <f t="shared" si="58"/>
        <v>0</v>
      </c>
      <c r="R574" s="13">
        <f t="shared" si="59"/>
        <v>0</v>
      </c>
      <c r="S574" s="13">
        <f t="shared" si="60"/>
        <v>0</v>
      </c>
      <c r="T574" s="13">
        <f t="shared" si="61"/>
        <v>0</v>
      </c>
      <c r="U574" s="15" t="str">
        <f t="shared" si="62"/>
        <v/>
      </c>
    </row>
    <row r="575" spans="12:21" x14ac:dyDescent="0.25">
      <c r="L575" s="20">
        <f t="shared" si="57"/>
        <v>0</v>
      </c>
      <c r="M575" s="14" t="e">
        <f>VLOOKUP(G575,Sell!G:L,1,0)</f>
        <v>#N/A</v>
      </c>
      <c r="N575" s="14">
        <f>IFERROR(VLOOKUP(G575,Sell!G:L,2,0),0)</f>
        <v>0</v>
      </c>
      <c r="O575" s="13">
        <f>IFERROR(VLOOKUP(G575,Sell!G:L,6,0),0)</f>
        <v>0</v>
      </c>
      <c r="P575" s="14">
        <f t="shared" si="56"/>
        <v>0</v>
      </c>
      <c r="Q575" s="13">
        <f t="shared" si="58"/>
        <v>0</v>
      </c>
      <c r="R575" s="13">
        <f t="shared" si="59"/>
        <v>0</v>
      </c>
      <c r="S575" s="13">
        <f t="shared" si="60"/>
        <v>0</v>
      </c>
      <c r="T575" s="13">
        <f t="shared" si="61"/>
        <v>0</v>
      </c>
      <c r="U575" s="15" t="str">
        <f t="shared" si="62"/>
        <v/>
      </c>
    </row>
    <row r="576" spans="12:21" x14ac:dyDescent="0.25">
      <c r="L576" s="20">
        <f t="shared" si="57"/>
        <v>0</v>
      </c>
      <c r="M576" s="14" t="e">
        <f>VLOOKUP(G576,Sell!G:L,1,0)</f>
        <v>#N/A</v>
      </c>
      <c r="N576" s="14">
        <f>IFERROR(VLOOKUP(G576,Sell!G:L,2,0),0)</f>
        <v>0</v>
      </c>
      <c r="O576" s="13">
        <f>IFERROR(VLOOKUP(G576,Sell!G:L,6,0),0)</f>
        <v>0</v>
      </c>
      <c r="P576" s="14">
        <f t="shared" si="56"/>
        <v>0</v>
      </c>
      <c r="Q576" s="13">
        <f t="shared" si="58"/>
        <v>0</v>
      </c>
      <c r="R576" s="13">
        <f t="shared" si="59"/>
        <v>0</v>
      </c>
      <c r="S576" s="13">
        <f t="shared" si="60"/>
        <v>0</v>
      </c>
      <c r="T576" s="13">
        <f t="shared" si="61"/>
        <v>0</v>
      </c>
      <c r="U576" s="15" t="str">
        <f t="shared" si="62"/>
        <v/>
      </c>
    </row>
    <row r="577" spans="12:21" x14ac:dyDescent="0.25">
      <c r="L577" s="20">
        <f t="shared" si="57"/>
        <v>0</v>
      </c>
      <c r="M577" s="14" t="e">
        <f>VLOOKUP(G577,Sell!G:L,1,0)</f>
        <v>#N/A</v>
      </c>
      <c r="N577" s="14">
        <f>IFERROR(VLOOKUP(G577,Sell!G:L,2,0),0)</f>
        <v>0</v>
      </c>
      <c r="O577" s="13">
        <f>IFERROR(VLOOKUP(G577,Sell!G:L,6,0),0)</f>
        <v>0</v>
      </c>
      <c r="P577" s="14">
        <f t="shared" si="56"/>
        <v>0</v>
      </c>
      <c r="Q577" s="13">
        <f t="shared" si="58"/>
        <v>0</v>
      </c>
      <c r="R577" s="13">
        <f t="shared" si="59"/>
        <v>0</v>
      </c>
      <c r="S577" s="13">
        <f t="shared" si="60"/>
        <v>0</v>
      </c>
      <c r="T577" s="13">
        <f t="shared" si="61"/>
        <v>0</v>
      </c>
      <c r="U577" s="15" t="str">
        <f t="shared" si="62"/>
        <v/>
      </c>
    </row>
    <row r="578" spans="12:21" x14ac:dyDescent="0.25">
      <c r="L578" s="20">
        <f t="shared" si="57"/>
        <v>0</v>
      </c>
      <c r="M578" s="14" t="e">
        <f>VLOOKUP(G578,Sell!G:L,1,0)</f>
        <v>#N/A</v>
      </c>
      <c r="N578" s="14">
        <f>IFERROR(VLOOKUP(G578,Sell!G:L,2,0),0)</f>
        <v>0</v>
      </c>
      <c r="O578" s="13">
        <f>IFERROR(VLOOKUP(G578,Sell!G:L,6,0),0)</f>
        <v>0</v>
      </c>
      <c r="P578" s="14">
        <f t="shared" si="56"/>
        <v>0</v>
      </c>
      <c r="Q578" s="13">
        <f t="shared" si="58"/>
        <v>0</v>
      </c>
      <c r="R578" s="13">
        <f t="shared" si="59"/>
        <v>0</v>
      </c>
      <c r="S578" s="13">
        <f t="shared" si="60"/>
        <v>0</v>
      </c>
      <c r="T578" s="13">
        <f t="shared" si="61"/>
        <v>0</v>
      </c>
      <c r="U578" s="15" t="str">
        <f t="shared" si="62"/>
        <v/>
      </c>
    </row>
    <row r="579" spans="12:21" x14ac:dyDescent="0.25">
      <c r="L579" s="20">
        <f t="shared" si="57"/>
        <v>0</v>
      </c>
      <c r="M579" s="14" t="e">
        <f>VLOOKUP(G579,Sell!G:L,1,0)</f>
        <v>#N/A</v>
      </c>
      <c r="N579" s="14">
        <f>IFERROR(VLOOKUP(G579,Sell!G:L,2,0),0)</f>
        <v>0</v>
      </c>
      <c r="O579" s="13">
        <f>IFERROR(VLOOKUP(G579,Sell!G:L,6,0),0)</f>
        <v>0</v>
      </c>
      <c r="P579" s="14">
        <f t="shared" si="56"/>
        <v>0</v>
      </c>
      <c r="Q579" s="13">
        <f t="shared" si="58"/>
        <v>0</v>
      </c>
      <c r="R579" s="13">
        <f t="shared" si="59"/>
        <v>0</v>
      </c>
      <c r="S579" s="13">
        <f t="shared" si="60"/>
        <v>0</v>
      </c>
      <c r="T579" s="13">
        <f t="shared" si="61"/>
        <v>0</v>
      </c>
      <c r="U579" s="15" t="str">
        <f t="shared" si="62"/>
        <v/>
      </c>
    </row>
    <row r="580" spans="12:21" x14ac:dyDescent="0.25">
      <c r="L580" s="20">
        <f t="shared" si="57"/>
        <v>0</v>
      </c>
      <c r="M580" s="14" t="e">
        <f>VLOOKUP(G580,Sell!G:L,1,0)</f>
        <v>#N/A</v>
      </c>
      <c r="N580" s="14">
        <f>IFERROR(VLOOKUP(G580,Sell!G:L,2,0),0)</f>
        <v>0</v>
      </c>
      <c r="O580" s="13">
        <f>IFERROR(VLOOKUP(G580,Sell!G:L,6,0),0)</f>
        <v>0</v>
      </c>
      <c r="P580" s="14">
        <f t="shared" si="56"/>
        <v>0</v>
      </c>
      <c r="Q580" s="13">
        <f t="shared" si="58"/>
        <v>0</v>
      </c>
      <c r="R580" s="13">
        <f t="shared" si="59"/>
        <v>0</v>
      </c>
      <c r="S580" s="13">
        <f t="shared" si="60"/>
        <v>0</v>
      </c>
      <c r="T580" s="13">
        <f t="shared" si="61"/>
        <v>0</v>
      </c>
      <c r="U580" s="15" t="str">
        <f t="shared" si="62"/>
        <v/>
      </c>
    </row>
    <row r="581" spans="12:21" x14ac:dyDescent="0.25">
      <c r="L581" s="20">
        <f t="shared" si="57"/>
        <v>0</v>
      </c>
      <c r="M581" s="14" t="e">
        <f>VLOOKUP(G581,Sell!G:L,1,0)</f>
        <v>#N/A</v>
      </c>
      <c r="N581" s="14">
        <f>IFERROR(VLOOKUP(G581,Sell!G:L,2,0),0)</f>
        <v>0</v>
      </c>
      <c r="O581" s="13">
        <f>IFERROR(VLOOKUP(G581,Sell!G:L,6,0),0)</f>
        <v>0</v>
      </c>
      <c r="P581" s="14">
        <f t="shared" si="56"/>
        <v>0</v>
      </c>
      <c r="Q581" s="13">
        <f t="shared" si="58"/>
        <v>0</v>
      </c>
      <c r="R581" s="13">
        <f t="shared" si="59"/>
        <v>0</v>
      </c>
      <c r="S581" s="13">
        <f t="shared" si="60"/>
        <v>0</v>
      </c>
      <c r="T581" s="13">
        <f t="shared" si="61"/>
        <v>0</v>
      </c>
      <c r="U581" s="15" t="str">
        <f t="shared" si="62"/>
        <v/>
      </c>
    </row>
    <row r="582" spans="12:21" x14ac:dyDescent="0.25">
      <c r="L582" s="20">
        <f t="shared" si="57"/>
        <v>0</v>
      </c>
      <c r="M582" s="14" t="e">
        <f>VLOOKUP(G582,Sell!G:L,1,0)</f>
        <v>#N/A</v>
      </c>
      <c r="N582" s="14">
        <f>IFERROR(VLOOKUP(G582,Sell!G:L,2,0),0)</f>
        <v>0</v>
      </c>
      <c r="O582" s="13">
        <f>IFERROR(VLOOKUP(G582,Sell!G:L,6,0),0)</f>
        <v>0</v>
      </c>
      <c r="P582" s="14">
        <f t="shared" si="56"/>
        <v>0</v>
      </c>
      <c r="Q582" s="13">
        <f t="shared" si="58"/>
        <v>0</v>
      </c>
      <c r="R582" s="13">
        <f t="shared" si="59"/>
        <v>0</v>
      </c>
      <c r="S582" s="13">
        <f t="shared" si="60"/>
        <v>0</v>
      </c>
      <c r="T582" s="13">
        <f t="shared" si="61"/>
        <v>0</v>
      </c>
      <c r="U582" s="15" t="str">
        <f t="shared" si="62"/>
        <v/>
      </c>
    </row>
    <row r="583" spans="12:21" x14ac:dyDescent="0.25">
      <c r="L583" s="20">
        <f t="shared" si="57"/>
        <v>0</v>
      </c>
      <c r="M583" s="14" t="e">
        <f>VLOOKUP(G583,Sell!G:L,1,0)</f>
        <v>#N/A</v>
      </c>
      <c r="N583" s="14">
        <f>IFERROR(VLOOKUP(G583,Sell!G:L,2,0),0)</f>
        <v>0</v>
      </c>
      <c r="O583" s="13">
        <f>IFERROR(VLOOKUP(G583,Sell!G:L,6,0),0)</f>
        <v>0</v>
      </c>
      <c r="P583" s="14">
        <f t="shared" si="56"/>
        <v>0</v>
      </c>
      <c r="Q583" s="13">
        <f t="shared" si="58"/>
        <v>0</v>
      </c>
      <c r="R583" s="13">
        <f t="shared" si="59"/>
        <v>0</v>
      </c>
      <c r="S583" s="13">
        <f t="shared" si="60"/>
        <v>0</v>
      </c>
      <c r="T583" s="13">
        <f t="shared" si="61"/>
        <v>0</v>
      </c>
      <c r="U583" s="15" t="str">
        <f t="shared" si="62"/>
        <v/>
      </c>
    </row>
    <row r="584" spans="12:21" x14ac:dyDescent="0.25">
      <c r="L584" s="20">
        <f t="shared" si="57"/>
        <v>0</v>
      </c>
      <c r="M584" s="14" t="e">
        <f>VLOOKUP(G584,Sell!G:L,1,0)</f>
        <v>#N/A</v>
      </c>
      <c r="N584" s="14">
        <f>IFERROR(VLOOKUP(G584,Sell!G:L,2,0),0)</f>
        <v>0</v>
      </c>
      <c r="O584" s="13">
        <f>IFERROR(VLOOKUP(G584,Sell!G:L,6,0),0)</f>
        <v>0</v>
      </c>
      <c r="P584" s="14">
        <f t="shared" si="56"/>
        <v>0</v>
      </c>
      <c r="Q584" s="13">
        <f t="shared" si="58"/>
        <v>0</v>
      </c>
      <c r="R584" s="13">
        <f t="shared" si="59"/>
        <v>0</v>
      </c>
      <c r="S584" s="13">
        <f t="shared" si="60"/>
        <v>0</v>
      </c>
      <c r="T584" s="13">
        <f t="shared" si="61"/>
        <v>0</v>
      </c>
      <c r="U584" s="15" t="str">
        <f t="shared" si="62"/>
        <v/>
      </c>
    </row>
    <row r="585" spans="12:21" x14ac:dyDescent="0.25">
      <c r="L585" s="20">
        <f t="shared" si="57"/>
        <v>0</v>
      </c>
      <c r="M585" s="14" t="e">
        <f>VLOOKUP(G585,Sell!G:L,1,0)</f>
        <v>#N/A</v>
      </c>
      <c r="N585" s="14">
        <f>IFERROR(VLOOKUP(G585,Sell!G:L,2,0),0)</f>
        <v>0</v>
      </c>
      <c r="O585" s="13">
        <f>IFERROR(VLOOKUP(G585,Sell!G:L,6,0),0)</f>
        <v>0</v>
      </c>
      <c r="P585" s="14">
        <f t="shared" si="56"/>
        <v>0</v>
      </c>
      <c r="Q585" s="13">
        <f t="shared" si="58"/>
        <v>0</v>
      </c>
      <c r="R585" s="13">
        <f t="shared" si="59"/>
        <v>0</v>
      </c>
      <c r="S585" s="13">
        <f t="shared" si="60"/>
        <v>0</v>
      </c>
      <c r="T585" s="13">
        <f t="shared" si="61"/>
        <v>0</v>
      </c>
      <c r="U585" s="15" t="str">
        <f t="shared" si="62"/>
        <v/>
      </c>
    </row>
    <row r="586" spans="12:21" x14ac:dyDescent="0.25">
      <c r="L586" s="20">
        <f t="shared" si="57"/>
        <v>0</v>
      </c>
      <c r="M586" s="14" t="e">
        <f>VLOOKUP(G586,Sell!G:L,1,0)</f>
        <v>#N/A</v>
      </c>
      <c r="N586" s="14">
        <f>IFERROR(VLOOKUP(G586,Sell!G:L,2,0),0)</f>
        <v>0</v>
      </c>
      <c r="O586" s="13">
        <f>IFERROR(VLOOKUP(G586,Sell!G:L,6,0),0)</f>
        <v>0</v>
      </c>
      <c r="P586" s="14">
        <f t="shared" ref="P586:P649" si="63">H586-N586</f>
        <v>0</v>
      </c>
      <c r="Q586" s="13">
        <f t="shared" si="58"/>
        <v>0</v>
      </c>
      <c r="R586" s="13">
        <f t="shared" si="59"/>
        <v>0</v>
      </c>
      <c r="S586" s="13">
        <f t="shared" si="60"/>
        <v>0</v>
      </c>
      <c r="T586" s="13">
        <f t="shared" si="61"/>
        <v>0</v>
      </c>
      <c r="U586" s="15" t="str">
        <f t="shared" si="62"/>
        <v/>
      </c>
    </row>
    <row r="587" spans="12:21" x14ac:dyDescent="0.25">
      <c r="L587" s="20">
        <f t="shared" ref="L587:L650" si="64">J587+K587</f>
        <v>0</v>
      </c>
      <c r="M587" s="14" t="e">
        <f>VLOOKUP(G587,Sell!G:L,1,0)</f>
        <v>#N/A</v>
      </c>
      <c r="N587" s="14">
        <f>IFERROR(VLOOKUP(G587,Sell!G:L,2,0),0)</f>
        <v>0</v>
      </c>
      <c r="O587" s="13">
        <f>IFERROR(VLOOKUP(G587,Sell!G:L,6,0),0)</f>
        <v>0</v>
      </c>
      <c r="P587" s="14">
        <f t="shared" si="63"/>
        <v>0</v>
      </c>
      <c r="Q587" s="13">
        <f t="shared" ref="Q587:Q650" si="65">O587-L587</f>
        <v>0</v>
      </c>
      <c r="R587" s="13">
        <f t="shared" ref="R587:R650" si="66">IF(P587=0,Q587,0)</f>
        <v>0</v>
      </c>
      <c r="S587" s="13">
        <f t="shared" ref="S587:S650" si="67">IF(R587&gt;0,R587,0)</f>
        <v>0</v>
      </c>
      <c r="T587" s="13">
        <f t="shared" ref="T587:T650" si="68">IF(R587&gt;0,0,R587)</f>
        <v>0</v>
      </c>
      <c r="U587" s="15" t="str">
        <f t="shared" ref="U587:U650" si="69">IF(AND(LEN(G587)&gt;0,R587=0),"Open","")</f>
        <v/>
      </c>
    </row>
    <row r="588" spans="12:21" x14ac:dyDescent="0.25">
      <c r="L588" s="20">
        <f t="shared" si="64"/>
        <v>0</v>
      </c>
      <c r="M588" s="14" t="e">
        <f>VLOOKUP(G588,Sell!G:L,1,0)</f>
        <v>#N/A</v>
      </c>
      <c r="N588" s="14">
        <f>IFERROR(VLOOKUP(G588,Sell!G:L,2,0),0)</f>
        <v>0</v>
      </c>
      <c r="O588" s="13">
        <f>IFERROR(VLOOKUP(G588,Sell!G:L,6,0),0)</f>
        <v>0</v>
      </c>
      <c r="P588" s="14">
        <f t="shared" si="63"/>
        <v>0</v>
      </c>
      <c r="Q588" s="13">
        <f t="shared" si="65"/>
        <v>0</v>
      </c>
      <c r="R588" s="13">
        <f t="shared" si="66"/>
        <v>0</v>
      </c>
      <c r="S588" s="13">
        <f t="shared" si="67"/>
        <v>0</v>
      </c>
      <c r="T588" s="13">
        <f t="shared" si="68"/>
        <v>0</v>
      </c>
      <c r="U588" s="15" t="str">
        <f t="shared" si="69"/>
        <v/>
      </c>
    </row>
    <row r="589" spans="12:21" x14ac:dyDescent="0.25">
      <c r="L589" s="20">
        <f t="shared" si="64"/>
        <v>0</v>
      </c>
      <c r="M589" s="14" t="e">
        <f>VLOOKUP(G589,Sell!G:L,1,0)</f>
        <v>#N/A</v>
      </c>
      <c r="N589" s="14">
        <f>IFERROR(VLOOKUP(G589,Sell!G:L,2,0),0)</f>
        <v>0</v>
      </c>
      <c r="O589" s="13">
        <f>IFERROR(VLOOKUP(G589,Sell!G:L,6,0),0)</f>
        <v>0</v>
      </c>
      <c r="P589" s="14">
        <f t="shared" si="63"/>
        <v>0</v>
      </c>
      <c r="Q589" s="13">
        <f t="shared" si="65"/>
        <v>0</v>
      </c>
      <c r="R589" s="13">
        <f t="shared" si="66"/>
        <v>0</v>
      </c>
      <c r="S589" s="13">
        <f t="shared" si="67"/>
        <v>0</v>
      </c>
      <c r="T589" s="13">
        <f t="shared" si="68"/>
        <v>0</v>
      </c>
      <c r="U589" s="15" t="str">
        <f t="shared" si="69"/>
        <v/>
      </c>
    </row>
    <row r="590" spans="12:21" x14ac:dyDescent="0.25">
      <c r="L590" s="20">
        <f t="shared" si="64"/>
        <v>0</v>
      </c>
      <c r="M590" s="14" t="e">
        <f>VLOOKUP(G590,Sell!G:L,1,0)</f>
        <v>#N/A</v>
      </c>
      <c r="N590" s="14">
        <f>IFERROR(VLOOKUP(G590,Sell!G:L,2,0),0)</f>
        <v>0</v>
      </c>
      <c r="O590" s="13">
        <f>IFERROR(VLOOKUP(G590,Sell!G:L,6,0),0)</f>
        <v>0</v>
      </c>
      <c r="P590" s="14">
        <f t="shared" si="63"/>
        <v>0</v>
      </c>
      <c r="Q590" s="13">
        <f t="shared" si="65"/>
        <v>0</v>
      </c>
      <c r="R590" s="13">
        <f t="shared" si="66"/>
        <v>0</v>
      </c>
      <c r="S590" s="13">
        <f t="shared" si="67"/>
        <v>0</v>
      </c>
      <c r="T590" s="13">
        <f t="shared" si="68"/>
        <v>0</v>
      </c>
      <c r="U590" s="15" t="str">
        <f t="shared" si="69"/>
        <v/>
      </c>
    </row>
    <row r="591" spans="12:21" x14ac:dyDescent="0.25">
      <c r="L591" s="20">
        <f t="shared" si="64"/>
        <v>0</v>
      </c>
      <c r="M591" s="14" t="e">
        <f>VLOOKUP(G591,Sell!G:L,1,0)</f>
        <v>#N/A</v>
      </c>
      <c r="N591" s="14">
        <f>IFERROR(VLOOKUP(G591,Sell!G:L,2,0),0)</f>
        <v>0</v>
      </c>
      <c r="O591" s="13">
        <f>IFERROR(VLOOKUP(G591,Sell!G:L,6,0),0)</f>
        <v>0</v>
      </c>
      <c r="P591" s="14">
        <f t="shared" si="63"/>
        <v>0</v>
      </c>
      <c r="Q591" s="13">
        <f t="shared" si="65"/>
        <v>0</v>
      </c>
      <c r="R591" s="13">
        <f t="shared" si="66"/>
        <v>0</v>
      </c>
      <c r="S591" s="13">
        <f t="shared" si="67"/>
        <v>0</v>
      </c>
      <c r="T591" s="13">
        <f t="shared" si="68"/>
        <v>0</v>
      </c>
      <c r="U591" s="15" t="str">
        <f t="shared" si="69"/>
        <v/>
      </c>
    </row>
    <row r="592" spans="12:21" x14ac:dyDescent="0.25">
      <c r="L592" s="20">
        <f t="shared" si="64"/>
        <v>0</v>
      </c>
      <c r="M592" s="14" t="e">
        <f>VLOOKUP(G592,Sell!G:L,1,0)</f>
        <v>#N/A</v>
      </c>
      <c r="N592" s="14">
        <f>IFERROR(VLOOKUP(G592,Sell!G:L,2,0),0)</f>
        <v>0</v>
      </c>
      <c r="O592" s="13">
        <f>IFERROR(VLOOKUP(G592,Sell!G:L,6,0),0)</f>
        <v>0</v>
      </c>
      <c r="P592" s="14">
        <f t="shared" si="63"/>
        <v>0</v>
      </c>
      <c r="Q592" s="13">
        <f t="shared" si="65"/>
        <v>0</v>
      </c>
      <c r="R592" s="13">
        <f t="shared" si="66"/>
        <v>0</v>
      </c>
      <c r="S592" s="13">
        <f t="shared" si="67"/>
        <v>0</v>
      </c>
      <c r="T592" s="13">
        <f t="shared" si="68"/>
        <v>0</v>
      </c>
      <c r="U592" s="15" t="str">
        <f t="shared" si="69"/>
        <v/>
      </c>
    </row>
    <row r="593" spans="12:21" x14ac:dyDescent="0.25">
      <c r="L593" s="20">
        <f t="shared" si="64"/>
        <v>0</v>
      </c>
      <c r="M593" s="14" t="e">
        <f>VLOOKUP(G593,Sell!G:L,1,0)</f>
        <v>#N/A</v>
      </c>
      <c r="N593" s="14">
        <f>IFERROR(VLOOKUP(G593,Sell!G:L,2,0),0)</f>
        <v>0</v>
      </c>
      <c r="O593" s="13">
        <f>IFERROR(VLOOKUP(G593,Sell!G:L,6,0),0)</f>
        <v>0</v>
      </c>
      <c r="P593" s="14">
        <f t="shared" si="63"/>
        <v>0</v>
      </c>
      <c r="Q593" s="13">
        <f t="shared" si="65"/>
        <v>0</v>
      </c>
      <c r="R593" s="13">
        <f t="shared" si="66"/>
        <v>0</v>
      </c>
      <c r="S593" s="13">
        <f t="shared" si="67"/>
        <v>0</v>
      </c>
      <c r="T593" s="13">
        <f t="shared" si="68"/>
        <v>0</v>
      </c>
      <c r="U593" s="15" t="str">
        <f t="shared" si="69"/>
        <v/>
      </c>
    </row>
    <row r="594" spans="12:21" x14ac:dyDescent="0.25">
      <c r="L594" s="20">
        <f t="shared" si="64"/>
        <v>0</v>
      </c>
      <c r="M594" s="14" t="e">
        <f>VLOOKUP(G594,Sell!G:L,1,0)</f>
        <v>#N/A</v>
      </c>
      <c r="N594" s="14">
        <f>IFERROR(VLOOKUP(G594,Sell!G:L,2,0),0)</f>
        <v>0</v>
      </c>
      <c r="O594" s="13">
        <f>IFERROR(VLOOKUP(G594,Sell!G:L,6,0),0)</f>
        <v>0</v>
      </c>
      <c r="P594" s="14">
        <f t="shared" si="63"/>
        <v>0</v>
      </c>
      <c r="Q594" s="13">
        <f t="shared" si="65"/>
        <v>0</v>
      </c>
      <c r="R594" s="13">
        <f t="shared" si="66"/>
        <v>0</v>
      </c>
      <c r="S594" s="13">
        <f t="shared" si="67"/>
        <v>0</v>
      </c>
      <c r="T594" s="13">
        <f t="shared" si="68"/>
        <v>0</v>
      </c>
      <c r="U594" s="15" t="str">
        <f t="shared" si="69"/>
        <v/>
      </c>
    </row>
    <row r="595" spans="12:21" x14ac:dyDescent="0.25">
      <c r="L595" s="20">
        <f t="shared" si="64"/>
        <v>0</v>
      </c>
      <c r="M595" s="14" t="e">
        <f>VLOOKUP(G595,Sell!G:L,1,0)</f>
        <v>#N/A</v>
      </c>
      <c r="N595" s="14">
        <f>IFERROR(VLOOKUP(G595,Sell!G:L,2,0),0)</f>
        <v>0</v>
      </c>
      <c r="O595" s="13">
        <f>IFERROR(VLOOKUP(G595,Sell!G:L,6,0),0)</f>
        <v>0</v>
      </c>
      <c r="P595" s="14">
        <f t="shared" si="63"/>
        <v>0</v>
      </c>
      <c r="Q595" s="13">
        <f t="shared" si="65"/>
        <v>0</v>
      </c>
      <c r="R595" s="13">
        <f t="shared" si="66"/>
        <v>0</v>
      </c>
      <c r="S595" s="13">
        <f t="shared" si="67"/>
        <v>0</v>
      </c>
      <c r="T595" s="13">
        <f t="shared" si="68"/>
        <v>0</v>
      </c>
      <c r="U595" s="15" t="str">
        <f t="shared" si="69"/>
        <v/>
      </c>
    </row>
    <row r="596" spans="12:21" x14ac:dyDescent="0.25">
      <c r="L596" s="20">
        <f t="shared" si="64"/>
        <v>0</v>
      </c>
      <c r="M596" s="14" t="e">
        <f>VLOOKUP(G596,Sell!G:L,1,0)</f>
        <v>#N/A</v>
      </c>
      <c r="N596" s="14">
        <f>IFERROR(VLOOKUP(G596,Sell!G:L,2,0),0)</f>
        <v>0</v>
      </c>
      <c r="O596" s="13">
        <f>IFERROR(VLOOKUP(G596,Sell!G:L,6,0),0)</f>
        <v>0</v>
      </c>
      <c r="P596" s="14">
        <f t="shared" si="63"/>
        <v>0</v>
      </c>
      <c r="Q596" s="13">
        <f t="shared" si="65"/>
        <v>0</v>
      </c>
      <c r="R596" s="13">
        <f t="shared" si="66"/>
        <v>0</v>
      </c>
      <c r="S596" s="13">
        <f t="shared" si="67"/>
        <v>0</v>
      </c>
      <c r="T596" s="13">
        <f t="shared" si="68"/>
        <v>0</v>
      </c>
      <c r="U596" s="15" t="str">
        <f t="shared" si="69"/>
        <v/>
      </c>
    </row>
    <row r="597" spans="12:21" x14ac:dyDescent="0.25">
      <c r="L597" s="20">
        <f t="shared" si="64"/>
        <v>0</v>
      </c>
      <c r="M597" s="14" t="e">
        <f>VLOOKUP(G597,Sell!G:L,1,0)</f>
        <v>#N/A</v>
      </c>
      <c r="N597" s="14">
        <f>IFERROR(VLOOKUP(G597,Sell!G:L,2,0),0)</f>
        <v>0</v>
      </c>
      <c r="O597" s="13">
        <f>IFERROR(VLOOKUP(G597,Sell!G:L,6,0),0)</f>
        <v>0</v>
      </c>
      <c r="P597" s="14">
        <f t="shared" si="63"/>
        <v>0</v>
      </c>
      <c r="Q597" s="13">
        <f t="shared" si="65"/>
        <v>0</v>
      </c>
      <c r="R597" s="13">
        <f t="shared" si="66"/>
        <v>0</v>
      </c>
      <c r="S597" s="13">
        <f t="shared" si="67"/>
        <v>0</v>
      </c>
      <c r="T597" s="13">
        <f t="shared" si="68"/>
        <v>0</v>
      </c>
      <c r="U597" s="15" t="str">
        <f t="shared" si="69"/>
        <v/>
      </c>
    </row>
    <row r="598" spans="12:21" x14ac:dyDescent="0.25">
      <c r="L598" s="20">
        <f t="shared" si="64"/>
        <v>0</v>
      </c>
      <c r="M598" s="14" t="e">
        <f>VLOOKUP(G598,Sell!G:L,1,0)</f>
        <v>#N/A</v>
      </c>
      <c r="N598" s="14">
        <f>IFERROR(VLOOKUP(G598,Sell!G:L,2,0),0)</f>
        <v>0</v>
      </c>
      <c r="O598" s="13">
        <f>IFERROR(VLOOKUP(G598,Sell!G:L,6,0),0)</f>
        <v>0</v>
      </c>
      <c r="P598" s="14">
        <f t="shared" si="63"/>
        <v>0</v>
      </c>
      <c r="Q598" s="13">
        <f t="shared" si="65"/>
        <v>0</v>
      </c>
      <c r="R598" s="13">
        <f t="shared" si="66"/>
        <v>0</v>
      </c>
      <c r="S598" s="13">
        <f t="shared" si="67"/>
        <v>0</v>
      </c>
      <c r="T598" s="13">
        <f t="shared" si="68"/>
        <v>0</v>
      </c>
      <c r="U598" s="15" t="str">
        <f t="shared" si="69"/>
        <v/>
      </c>
    </row>
    <row r="599" spans="12:21" x14ac:dyDescent="0.25">
      <c r="L599" s="20">
        <f t="shared" si="64"/>
        <v>0</v>
      </c>
      <c r="M599" s="14" t="e">
        <f>VLOOKUP(G599,Sell!G:L,1,0)</f>
        <v>#N/A</v>
      </c>
      <c r="N599" s="14">
        <f>IFERROR(VLOOKUP(G599,Sell!G:L,2,0),0)</f>
        <v>0</v>
      </c>
      <c r="O599" s="13">
        <f>IFERROR(VLOOKUP(G599,Sell!G:L,6,0),0)</f>
        <v>0</v>
      </c>
      <c r="P599" s="14">
        <f t="shared" si="63"/>
        <v>0</v>
      </c>
      <c r="Q599" s="13">
        <f t="shared" si="65"/>
        <v>0</v>
      </c>
      <c r="R599" s="13">
        <f t="shared" si="66"/>
        <v>0</v>
      </c>
      <c r="S599" s="13">
        <f t="shared" si="67"/>
        <v>0</v>
      </c>
      <c r="T599" s="13">
        <f t="shared" si="68"/>
        <v>0</v>
      </c>
      <c r="U599" s="15" t="str">
        <f t="shared" si="69"/>
        <v/>
      </c>
    </row>
    <row r="600" spans="12:21" x14ac:dyDescent="0.25">
      <c r="L600" s="20">
        <f t="shared" si="64"/>
        <v>0</v>
      </c>
      <c r="M600" s="14" t="e">
        <f>VLOOKUP(G600,Sell!G:L,1,0)</f>
        <v>#N/A</v>
      </c>
      <c r="N600" s="14">
        <f>IFERROR(VLOOKUP(G600,Sell!G:L,2,0),0)</f>
        <v>0</v>
      </c>
      <c r="O600" s="13">
        <f>IFERROR(VLOOKUP(G600,Sell!G:L,6,0),0)</f>
        <v>0</v>
      </c>
      <c r="P600" s="14">
        <f t="shared" si="63"/>
        <v>0</v>
      </c>
      <c r="Q600" s="13">
        <f t="shared" si="65"/>
        <v>0</v>
      </c>
      <c r="R600" s="13">
        <f t="shared" si="66"/>
        <v>0</v>
      </c>
      <c r="S600" s="13">
        <f t="shared" si="67"/>
        <v>0</v>
      </c>
      <c r="T600" s="13">
        <f t="shared" si="68"/>
        <v>0</v>
      </c>
      <c r="U600" s="15" t="str">
        <f t="shared" si="69"/>
        <v/>
      </c>
    </row>
    <row r="601" spans="12:21" x14ac:dyDescent="0.25">
      <c r="L601" s="20">
        <f t="shared" si="64"/>
        <v>0</v>
      </c>
      <c r="M601" s="14" t="e">
        <f>VLOOKUP(G601,Sell!G:L,1,0)</f>
        <v>#N/A</v>
      </c>
      <c r="N601" s="14">
        <f>IFERROR(VLOOKUP(G601,Sell!G:L,2,0),0)</f>
        <v>0</v>
      </c>
      <c r="O601" s="13">
        <f>IFERROR(VLOOKUP(G601,Sell!G:L,6,0),0)</f>
        <v>0</v>
      </c>
      <c r="P601" s="14">
        <f t="shared" si="63"/>
        <v>0</v>
      </c>
      <c r="Q601" s="13">
        <f t="shared" si="65"/>
        <v>0</v>
      </c>
      <c r="R601" s="13">
        <f t="shared" si="66"/>
        <v>0</v>
      </c>
      <c r="S601" s="13">
        <f t="shared" si="67"/>
        <v>0</v>
      </c>
      <c r="T601" s="13">
        <f t="shared" si="68"/>
        <v>0</v>
      </c>
      <c r="U601" s="15" t="str">
        <f t="shared" si="69"/>
        <v/>
      </c>
    </row>
    <row r="602" spans="12:21" x14ac:dyDescent="0.25">
      <c r="L602" s="20">
        <f t="shared" si="64"/>
        <v>0</v>
      </c>
      <c r="M602" s="14" t="e">
        <f>VLOOKUP(G602,Sell!G:L,1,0)</f>
        <v>#N/A</v>
      </c>
      <c r="N602" s="14">
        <f>IFERROR(VLOOKUP(G602,Sell!G:L,2,0),0)</f>
        <v>0</v>
      </c>
      <c r="O602" s="13">
        <f>IFERROR(VLOOKUP(G602,Sell!G:L,6,0),0)</f>
        <v>0</v>
      </c>
      <c r="P602" s="14">
        <f t="shared" si="63"/>
        <v>0</v>
      </c>
      <c r="Q602" s="13">
        <f t="shared" si="65"/>
        <v>0</v>
      </c>
      <c r="R602" s="13">
        <f t="shared" si="66"/>
        <v>0</v>
      </c>
      <c r="S602" s="13">
        <f t="shared" si="67"/>
        <v>0</v>
      </c>
      <c r="T602" s="13">
        <f t="shared" si="68"/>
        <v>0</v>
      </c>
      <c r="U602" s="15" t="str">
        <f t="shared" si="69"/>
        <v/>
      </c>
    </row>
    <row r="603" spans="12:21" x14ac:dyDescent="0.25">
      <c r="L603" s="20">
        <f t="shared" si="64"/>
        <v>0</v>
      </c>
      <c r="M603" s="14" t="e">
        <f>VLOOKUP(G603,Sell!G:L,1,0)</f>
        <v>#N/A</v>
      </c>
      <c r="N603" s="14">
        <f>IFERROR(VLOOKUP(G603,Sell!G:L,2,0),0)</f>
        <v>0</v>
      </c>
      <c r="O603" s="13">
        <f>IFERROR(VLOOKUP(G603,Sell!G:L,6,0),0)</f>
        <v>0</v>
      </c>
      <c r="P603" s="14">
        <f t="shared" si="63"/>
        <v>0</v>
      </c>
      <c r="Q603" s="13">
        <f t="shared" si="65"/>
        <v>0</v>
      </c>
      <c r="R603" s="13">
        <f t="shared" si="66"/>
        <v>0</v>
      </c>
      <c r="S603" s="13">
        <f t="shared" si="67"/>
        <v>0</v>
      </c>
      <c r="T603" s="13">
        <f t="shared" si="68"/>
        <v>0</v>
      </c>
      <c r="U603" s="15" t="str">
        <f t="shared" si="69"/>
        <v/>
      </c>
    </row>
    <row r="604" spans="12:21" x14ac:dyDescent="0.25">
      <c r="L604" s="20">
        <f t="shared" si="64"/>
        <v>0</v>
      </c>
      <c r="M604" s="14" t="e">
        <f>VLOOKUP(G604,Sell!G:L,1,0)</f>
        <v>#N/A</v>
      </c>
      <c r="N604" s="14">
        <f>IFERROR(VLOOKUP(G604,Sell!G:L,2,0),0)</f>
        <v>0</v>
      </c>
      <c r="O604" s="13">
        <f>IFERROR(VLOOKUP(G604,Sell!G:L,6,0),0)</f>
        <v>0</v>
      </c>
      <c r="P604" s="14">
        <f t="shared" si="63"/>
        <v>0</v>
      </c>
      <c r="Q604" s="13">
        <f t="shared" si="65"/>
        <v>0</v>
      </c>
      <c r="R604" s="13">
        <f t="shared" si="66"/>
        <v>0</v>
      </c>
      <c r="S604" s="13">
        <f t="shared" si="67"/>
        <v>0</v>
      </c>
      <c r="T604" s="13">
        <f t="shared" si="68"/>
        <v>0</v>
      </c>
      <c r="U604" s="15" t="str">
        <f t="shared" si="69"/>
        <v/>
      </c>
    </row>
    <row r="605" spans="12:21" x14ac:dyDescent="0.25">
      <c r="L605" s="20">
        <f t="shared" si="64"/>
        <v>0</v>
      </c>
      <c r="M605" s="14" t="e">
        <f>VLOOKUP(G605,Sell!G:L,1,0)</f>
        <v>#N/A</v>
      </c>
      <c r="N605" s="14">
        <f>IFERROR(VLOOKUP(G605,Sell!G:L,2,0),0)</f>
        <v>0</v>
      </c>
      <c r="O605" s="13">
        <f>IFERROR(VLOOKUP(G605,Sell!G:L,6,0),0)</f>
        <v>0</v>
      </c>
      <c r="P605" s="14">
        <f t="shared" si="63"/>
        <v>0</v>
      </c>
      <c r="Q605" s="13">
        <f t="shared" si="65"/>
        <v>0</v>
      </c>
      <c r="R605" s="13">
        <f t="shared" si="66"/>
        <v>0</v>
      </c>
      <c r="S605" s="13">
        <f t="shared" si="67"/>
        <v>0</v>
      </c>
      <c r="T605" s="13">
        <f t="shared" si="68"/>
        <v>0</v>
      </c>
      <c r="U605" s="15" t="str">
        <f t="shared" si="69"/>
        <v/>
      </c>
    </row>
    <row r="606" spans="12:21" x14ac:dyDescent="0.25">
      <c r="L606" s="20">
        <f t="shared" si="64"/>
        <v>0</v>
      </c>
      <c r="M606" s="14" t="e">
        <f>VLOOKUP(G606,Sell!G:L,1,0)</f>
        <v>#N/A</v>
      </c>
      <c r="N606" s="14">
        <f>IFERROR(VLOOKUP(G606,Sell!G:L,2,0),0)</f>
        <v>0</v>
      </c>
      <c r="O606" s="13">
        <f>IFERROR(VLOOKUP(G606,Sell!G:L,6,0),0)</f>
        <v>0</v>
      </c>
      <c r="P606" s="14">
        <f t="shared" si="63"/>
        <v>0</v>
      </c>
      <c r="Q606" s="13">
        <f t="shared" si="65"/>
        <v>0</v>
      </c>
      <c r="R606" s="13">
        <f t="shared" si="66"/>
        <v>0</v>
      </c>
      <c r="S606" s="13">
        <f t="shared" si="67"/>
        <v>0</v>
      </c>
      <c r="T606" s="13">
        <f t="shared" si="68"/>
        <v>0</v>
      </c>
      <c r="U606" s="15" t="str">
        <f t="shared" si="69"/>
        <v/>
      </c>
    </row>
    <row r="607" spans="12:21" x14ac:dyDescent="0.25">
      <c r="L607" s="20">
        <f t="shared" si="64"/>
        <v>0</v>
      </c>
      <c r="M607" s="14" t="e">
        <f>VLOOKUP(G607,Sell!G:L,1,0)</f>
        <v>#N/A</v>
      </c>
      <c r="N607" s="14">
        <f>IFERROR(VLOOKUP(G607,Sell!G:L,2,0),0)</f>
        <v>0</v>
      </c>
      <c r="O607" s="13">
        <f>IFERROR(VLOOKUP(G607,Sell!G:L,6,0),0)</f>
        <v>0</v>
      </c>
      <c r="P607" s="14">
        <f t="shared" si="63"/>
        <v>0</v>
      </c>
      <c r="Q607" s="13">
        <f t="shared" si="65"/>
        <v>0</v>
      </c>
      <c r="R607" s="13">
        <f t="shared" si="66"/>
        <v>0</v>
      </c>
      <c r="S607" s="13">
        <f t="shared" si="67"/>
        <v>0</v>
      </c>
      <c r="T607" s="13">
        <f t="shared" si="68"/>
        <v>0</v>
      </c>
      <c r="U607" s="15" t="str">
        <f t="shared" si="69"/>
        <v/>
      </c>
    </row>
    <row r="608" spans="12:21" x14ac:dyDescent="0.25">
      <c r="L608" s="20">
        <f t="shared" si="64"/>
        <v>0</v>
      </c>
      <c r="M608" s="14" t="e">
        <f>VLOOKUP(G608,Sell!G:L,1,0)</f>
        <v>#N/A</v>
      </c>
      <c r="N608" s="14">
        <f>IFERROR(VLOOKUP(G608,Sell!G:L,2,0),0)</f>
        <v>0</v>
      </c>
      <c r="O608" s="13">
        <f>IFERROR(VLOOKUP(G608,Sell!G:L,6,0),0)</f>
        <v>0</v>
      </c>
      <c r="P608" s="14">
        <f t="shared" si="63"/>
        <v>0</v>
      </c>
      <c r="Q608" s="13">
        <f t="shared" si="65"/>
        <v>0</v>
      </c>
      <c r="R608" s="13">
        <f t="shared" si="66"/>
        <v>0</v>
      </c>
      <c r="S608" s="13">
        <f t="shared" si="67"/>
        <v>0</v>
      </c>
      <c r="T608" s="13">
        <f t="shared" si="68"/>
        <v>0</v>
      </c>
      <c r="U608" s="15" t="str">
        <f t="shared" si="69"/>
        <v/>
      </c>
    </row>
    <row r="609" spans="12:21" x14ac:dyDescent="0.25">
      <c r="L609" s="20">
        <f t="shared" si="64"/>
        <v>0</v>
      </c>
      <c r="M609" s="14" t="e">
        <f>VLOOKUP(G609,Sell!G:L,1,0)</f>
        <v>#N/A</v>
      </c>
      <c r="N609" s="14">
        <f>IFERROR(VLOOKUP(G609,Sell!G:L,2,0),0)</f>
        <v>0</v>
      </c>
      <c r="O609" s="13">
        <f>IFERROR(VLOOKUP(G609,Sell!G:L,6,0),0)</f>
        <v>0</v>
      </c>
      <c r="P609" s="14">
        <f t="shared" si="63"/>
        <v>0</v>
      </c>
      <c r="Q609" s="13">
        <f t="shared" si="65"/>
        <v>0</v>
      </c>
      <c r="R609" s="13">
        <f t="shared" si="66"/>
        <v>0</v>
      </c>
      <c r="S609" s="13">
        <f t="shared" si="67"/>
        <v>0</v>
      </c>
      <c r="T609" s="13">
        <f t="shared" si="68"/>
        <v>0</v>
      </c>
      <c r="U609" s="15" t="str">
        <f t="shared" si="69"/>
        <v/>
      </c>
    </row>
    <row r="610" spans="12:21" x14ac:dyDescent="0.25">
      <c r="L610" s="20">
        <f t="shared" si="64"/>
        <v>0</v>
      </c>
      <c r="M610" s="14" t="e">
        <f>VLOOKUP(G610,Sell!G:L,1,0)</f>
        <v>#N/A</v>
      </c>
      <c r="N610" s="14">
        <f>IFERROR(VLOOKUP(G610,Sell!G:L,2,0),0)</f>
        <v>0</v>
      </c>
      <c r="O610" s="13">
        <f>IFERROR(VLOOKUP(G610,Sell!G:L,6,0),0)</f>
        <v>0</v>
      </c>
      <c r="P610" s="14">
        <f t="shared" si="63"/>
        <v>0</v>
      </c>
      <c r="Q610" s="13">
        <f t="shared" si="65"/>
        <v>0</v>
      </c>
      <c r="R610" s="13">
        <f t="shared" si="66"/>
        <v>0</v>
      </c>
      <c r="S610" s="13">
        <f t="shared" si="67"/>
        <v>0</v>
      </c>
      <c r="T610" s="13">
        <f t="shared" si="68"/>
        <v>0</v>
      </c>
      <c r="U610" s="15" t="str">
        <f t="shared" si="69"/>
        <v/>
      </c>
    </row>
    <row r="611" spans="12:21" x14ac:dyDescent="0.25">
      <c r="L611" s="20">
        <f t="shared" si="64"/>
        <v>0</v>
      </c>
      <c r="M611" s="14" t="e">
        <f>VLOOKUP(G611,Sell!G:L,1,0)</f>
        <v>#N/A</v>
      </c>
      <c r="N611" s="14">
        <f>IFERROR(VLOOKUP(G611,Sell!G:L,2,0),0)</f>
        <v>0</v>
      </c>
      <c r="O611" s="13">
        <f>IFERROR(VLOOKUP(G611,Sell!G:L,6,0),0)</f>
        <v>0</v>
      </c>
      <c r="P611" s="14">
        <f t="shared" si="63"/>
        <v>0</v>
      </c>
      <c r="Q611" s="13">
        <f t="shared" si="65"/>
        <v>0</v>
      </c>
      <c r="R611" s="13">
        <f t="shared" si="66"/>
        <v>0</v>
      </c>
      <c r="S611" s="13">
        <f t="shared" si="67"/>
        <v>0</v>
      </c>
      <c r="T611" s="13">
        <f t="shared" si="68"/>
        <v>0</v>
      </c>
      <c r="U611" s="15" t="str">
        <f t="shared" si="69"/>
        <v/>
      </c>
    </row>
    <row r="612" spans="12:21" x14ac:dyDescent="0.25">
      <c r="L612" s="20">
        <f t="shared" si="64"/>
        <v>0</v>
      </c>
      <c r="M612" s="14" t="e">
        <f>VLOOKUP(G612,Sell!G:L,1,0)</f>
        <v>#N/A</v>
      </c>
      <c r="N612" s="14">
        <f>IFERROR(VLOOKUP(G612,Sell!G:L,2,0),0)</f>
        <v>0</v>
      </c>
      <c r="O612" s="13">
        <f>IFERROR(VLOOKUP(G612,Sell!G:L,6,0),0)</f>
        <v>0</v>
      </c>
      <c r="P612" s="14">
        <f t="shared" si="63"/>
        <v>0</v>
      </c>
      <c r="Q612" s="13">
        <f t="shared" si="65"/>
        <v>0</v>
      </c>
      <c r="R612" s="13">
        <f t="shared" si="66"/>
        <v>0</v>
      </c>
      <c r="S612" s="13">
        <f t="shared" si="67"/>
        <v>0</v>
      </c>
      <c r="T612" s="13">
        <f t="shared" si="68"/>
        <v>0</v>
      </c>
      <c r="U612" s="15" t="str">
        <f t="shared" si="69"/>
        <v/>
      </c>
    </row>
    <row r="613" spans="12:21" x14ac:dyDescent="0.25">
      <c r="L613" s="20">
        <f t="shared" si="64"/>
        <v>0</v>
      </c>
      <c r="M613" s="14" t="e">
        <f>VLOOKUP(G613,Sell!G:L,1,0)</f>
        <v>#N/A</v>
      </c>
      <c r="N613" s="14">
        <f>IFERROR(VLOOKUP(G613,Sell!G:L,2,0),0)</f>
        <v>0</v>
      </c>
      <c r="O613" s="13">
        <f>IFERROR(VLOOKUP(G613,Sell!G:L,6,0),0)</f>
        <v>0</v>
      </c>
      <c r="P613" s="14">
        <f t="shared" si="63"/>
        <v>0</v>
      </c>
      <c r="Q613" s="13">
        <f t="shared" si="65"/>
        <v>0</v>
      </c>
      <c r="R613" s="13">
        <f t="shared" si="66"/>
        <v>0</v>
      </c>
      <c r="S613" s="13">
        <f t="shared" si="67"/>
        <v>0</v>
      </c>
      <c r="T613" s="13">
        <f t="shared" si="68"/>
        <v>0</v>
      </c>
      <c r="U613" s="15" t="str">
        <f t="shared" si="69"/>
        <v/>
      </c>
    </row>
    <row r="614" spans="12:21" x14ac:dyDescent="0.25">
      <c r="L614" s="20">
        <f t="shared" si="64"/>
        <v>0</v>
      </c>
      <c r="M614" s="14" t="e">
        <f>VLOOKUP(G614,Sell!G:L,1,0)</f>
        <v>#N/A</v>
      </c>
      <c r="N614" s="14">
        <f>IFERROR(VLOOKUP(G614,Sell!G:L,2,0),0)</f>
        <v>0</v>
      </c>
      <c r="O614" s="13">
        <f>IFERROR(VLOOKUP(G614,Sell!G:L,6,0),0)</f>
        <v>0</v>
      </c>
      <c r="P614" s="14">
        <f t="shared" si="63"/>
        <v>0</v>
      </c>
      <c r="Q614" s="13">
        <f t="shared" si="65"/>
        <v>0</v>
      </c>
      <c r="R614" s="13">
        <f t="shared" si="66"/>
        <v>0</v>
      </c>
      <c r="S614" s="13">
        <f t="shared" si="67"/>
        <v>0</v>
      </c>
      <c r="T614" s="13">
        <f t="shared" si="68"/>
        <v>0</v>
      </c>
      <c r="U614" s="15" t="str">
        <f t="shared" si="69"/>
        <v/>
      </c>
    </row>
    <row r="615" spans="12:21" x14ac:dyDescent="0.25">
      <c r="L615" s="20">
        <f t="shared" si="64"/>
        <v>0</v>
      </c>
      <c r="M615" s="14" t="e">
        <f>VLOOKUP(G615,Sell!G:L,1,0)</f>
        <v>#N/A</v>
      </c>
      <c r="N615" s="14">
        <f>IFERROR(VLOOKUP(G615,Sell!G:L,2,0),0)</f>
        <v>0</v>
      </c>
      <c r="O615" s="13">
        <f>IFERROR(VLOOKUP(G615,Sell!G:L,6,0),0)</f>
        <v>0</v>
      </c>
      <c r="P615" s="14">
        <f t="shared" si="63"/>
        <v>0</v>
      </c>
      <c r="Q615" s="13">
        <f t="shared" si="65"/>
        <v>0</v>
      </c>
      <c r="R615" s="13">
        <f t="shared" si="66"/>
        <v>0</v>
      </c>
      <c r="S615" s="13">
        <f t="shared" si="67"/>
        <v>0</v>
      </c>
      <c r="T615" s="13">
        <f t="shared" si="68"/>
        <v>0</v>
      </c>
      <c r="U615" s="15" t="str">
        <f t="shared" si="69"/>
        <v/>
      </c>
    </row>
    <row r="616" spans="12:21" x14ac:dyDescent="0.25">
      <c r="L616" s="20">
        <f t="shared" si="64"/>
        <v>0</v>
      </c>
      <c r="M616" s="14" t="e">
        <f>VLOOKUP(G616,Sell!G:L,1,0)</f>
        <v>#N/A</v>
      </c>
      <c r="N616" s="14">
        <f>IFERROR(VLOOKUP(G616,Sell!G:L,2,0),0)</f>
        <v>0</v>
      </c>
      <c r="O616" s="13">
        <f>IFERROR(VLOOKUP(G616,Sell!G:L,6,0),0)</f>
        <v>0</v>
      </c>
      <c r="P616" s="14">
        <f t="shared" si="63"/>
        <v>0</v>
      </c>
      <c r="Q616" s="13">
        <f t="shared" si="65"/>
        <v>0</v>
      </c>
      <c r="R616" s="13">
        <f t="shared" si="66"/>
        <v>0</v>
      </c>
      <c r="S616" s="13">
        <f t="shared" si="67"/>
        <v>0</v>
      </c>
      <c r="T616" s="13">
        <f t="shared" si="68"/>
        <v>0</v>
      </c>
      <c r="U616" s="15" t="str">
        <f t="shared" si="69"/>
        <v/>
      </c>
    </row>
    <row r="617" spans="12:21" x14ac:dyDescent="0.25">
      <c r="L617" s="20">
        <f t="shared" si="64"/>
        <v>0</v>
      </c>
      <c r="M617" s="14" t="e">
        <f>VLOOKUP(G617,Sell!G:L,1,0)</f>
        <v>#N/A</v>
      </c>
      <c r="N617" s="14">
        <f>IFERROR(VLOOKUP(G617,Sell!G:L,2,0),0)</f>
        <v>0</v>
      </c>
      <c r="O617" s="13">
        <f>IFERROR(VLOOKUP(G617,Sell!G:L,6,0),0)</f>
        <v>0</v>
      </c>
      <c r="P617" s="14">
        <f t="shared" si="63"/>
        <v>0</v>
      </c>
      <c r="Q617" s="13">
        <f t="shared" si="65"/>
        <v>0</v>
      </c>
      <c r="R617" s="13">
        <f t="shared" si="66"/>
        <v>0</v>
      </c>
      <c r="S617" s="13">
        <f t="shared" si="67"/>
        <v>0</v>
      </c>
      <c r="T617" s="13">
        <f t="shared" si="68"/>
        <v>0</v>
      </c>
      <c r="U617" s="15" t="str">
        <f t="shared" si="69"/>
        <v/>
      </c>
    </row>
    <row r="618" spans="12:21" x14ac:dyDescent="0.25">
      <c r="L618" s="20">
        <f t="shared" si="64"/>
        <v>0</v>
      </c>
      <c r="M618" s="14" t="e">
        <f>VLOOKUP(G618,Sell!G:L,1,0)</f>
        <v>#N/A</v>
      </c>
      <c r="N618" s="14">
        <f>IFERROR(VLOOKUP(G618,Sell!G:L,2,0),0)</f>
        <v>0</v>
      </c>
      <c r="O618" s="13">
        <f>IFERROR(VLOOKUP(G618,Sell!G:L,6,0),0)</f>
        <v>0</v>
      </c>
      <c r="P618" s="14">
        <f t="shared" si="63"/>
        <v>0</v>
      </c>
      <c r="Q618" s="13">
        <f t="shared" si="65"/>
        <v>0</v>
      </c>
      <c r="R618" s="13">
        <f t="shared" si="66"/>
        <v>0</v>
      </c>
      <c r="S618" s="13">
        <f t="shared" si="67"/>
        <v>0</v>
      </c>
      <c r="T618" s="13">
        <f t="shared" si="68"/>
        <v>0</v>
      </c>
      <c r="U618" s="15" t="str">
        <f t="shared" si="69"/>
        <v/>
      </c>
    </row>
    <row r="619" spans="12:21" x14ac:dyDescent="0.25">
      <c r="L619" s="20">
        <f t="shared" si="64"/>
        <v>0</v>
      </c>
      <c r="M619" s="14" t="e">
        <f>VLOOKUP(G619,Sell!G:L,1,0)</f>
        <v>#N/A</v>
      </c>
      <c r="N619" s="14">
        <f>IFERROR(VLOOKUP(G619,Sell!G:L,2,0),0)</f>
        <v>0</v>
      </c>
      <c r="O619" s="13">
        <f>IFERROR(VLOOKUP(G619,Sell!G:L,6,0),0)</f>
        <v>0</v>
      </c>
      <c r="P619" s="14">
        <f t="shared" si="63"/>
        <v>0</v>
      </c>
      <c r="Q619" s="13">
        <f t="shared" si="65"/>
        <v>0</v>
      </c>
      <c r="R619" s="13">
        <f t="shared" si="66"/>
        <v>0</v>
      </c>
      <c r="S619" s="13">
        <f t="shared" si="67"/>
        <v>0</v>
      </c>
      <c r="T619" s="13">
        <f t="shared" si="68"/>
        <v>0</v>
      </c>
      <c r="U619" s="15" t="str">
        <f t="shared" si="69"/>
        <v/>
      </c>
    </row>
    <row r="620" spans="12:21" x14ac:dyDescent="0.25">
      <c r="L620" s="20">
        <f t="shared" si="64"/>
        <v>0</v>
      </c>
      <c r="M620" s="14" t="e">
        <f>VLOOKUP(G620,Sell!G:L,1,0)</f>
        <v>#N/A</v>
      </c>
      <c r="N620" s="14">
        <f>IFERROR(VLOOKUP(G620,Sell!G:L,2,0),0)</f>
        <v>0</v>
      </c>
      <c r="O620" s="13">
        <f>IFERROR(VLOOKUP(G620,Sell!G:L,6,0),0)</f>
        <v>0</v>
      </c>
      <c r="P620" s="14">
        <f t="shared" si="63"/>
        <v>0</v>
      </c>
      <c r="Q620" s="13">
        <f t="shared" si="65"/>
        <v>0</v>
      </c>
      <c r="R620" s="13">
        <f t="shared" si="66"/>
        <v>0</v>
      </c>
      <c r="S620" s="13">
        <f t="shared" si="67"/>
        <v>0</v>
      </c>
      <c r="T620" s="13">
        <f t="shared" si="68"/>
        <v>0</v>
      </c>
      <c r="U620" s="15" t="str">
        <f t="shared" si="69"/>
        <v/>
      </c>
    </row>
    <row r="621" spans="12:21" x14ac:dyDescent="0.25">
      <c r="L621" s="20">
        <f t="shared" si="64"/>
        <v>0</v>
      </c>
      <c r="M621" s="14" t="e">
        <f>VLOOKUP(G621,Sell!G:L,1,0)</f>
        <v>#N/A</v>
      </c>
      <c r="N621" s="14">
        <f>IFERROR(VLOOKUP(G621,Sell!G:L,2,0),0)</f>
        <v>0</v>
      </c>
      <c r="O621" s="13">
        <f>IFERROR(VLOOKUP(G621,Sell!G:L,6,0),0)</f>
        <v>0</v>
      </c>
      <c r="P621" s="14">
        <f t="shared" si="63"/>
        <v>0</v>
      </c>
      <c r="Q621" s="13">
        <f t="shared" si="65"/>
        <v>0</v>
      </c>
      <c r="R621" s="13">
        <f t="shared" si="66"/>
        <v>0</v>
      </c>
      <c r="S621" s="13">
        <f t="shared" si="67"/>
        <v>0</v>
      </c>
      <c r="T621" s="13">
        <f t="shared" si="68"/>
        <v>0</v>
      </c>
      <c r="U621" s="15" t="str">
        <f t="shared" si="69"/>
        <v/>
      </c>
    </row>
    <row r="622" spans="12:21" x14ac:dyDescent="0.25">
      <c r="L622" s="20">
        <f t="shared" si="64"/>
        <v>0</v>
      </c>
      <c r="M622" s="14" t="e">
        <f>VLOOKUP(G622,Sell!G:L,1,0)</f>
        <v>#N/A</v>
      </c>
      <c r="N622" s="14">
        <f>IFERROR(VLOOKUP(G622,Sell!G:L,2,0),0)</f>
        <v>0</v>
      </c>
      <c r="O622" s="13">
        <f>IFERROR(VLOOKUP(G622,Sell!G:L,6,0),0)</f>
        <v>0</v>
      </c>
      <c r="P622" s="14">
        <f t="shared" si="63"/>
        <v>0</v>
      </c>
      <c r="Q622" s="13">
        <f t="shared" si="65"/>
        <v>0</v>
      </c>
      <c r="R622" s="13">
        <f t="shared" si="66"/>
        <v>0</v>
      </c>
      <c r="S622" s="13">
        <f t="shared" si="67"/>
        <v>0</v>
      </c>
      <c r="T622" s="13">
        <f t="shared" si="68"/>
        <v>0</v>
      </c>
      <c r="U622" s="15" t="str">
        <f t="shared" si="69"/>
        <v/>
      </c>
    </row>
    <row r="623" spans="12:21" x14ac:dyDescent="0.25">
      <c r="L623" s="20">
        <f t="shared" si="64"/>
        <v>0</v>
      </c>
      <c r="M623" s="14" t="e">
        <f>VLOOKUP(G623,Sell!G:L,1,0)</f>
        <v>#N/A</v>
      </c>
      <c r="N623" s="14">
        <f>IFERROR(VLOOKUP(G623,Sell!G:L,2,0),0)</f>
        <v>0</v>
      </c>
      <c r="O623" s="13">
        <f>IFERROR(VLOOKUP(G623,Sell!G:L,6,0),0)</f>
        <v>0</v>
      </c>
      <c r="P623" s="14">
        <f t="shared" si="63"/>
        <v>0</v>
      </c>
      <c r="Q623" s="13">
        <f t="shared" si="65"/>
        <v>0</v>
      </c>
      <c r="R623" s="13">
        <f t="shared" si="66"/>
        <v>0</v>
      </c>
      <c r="S623" s="13">
        <f t="shared" si="67"/>
        <v>0</v>
      </c>
      <c r="T623" s="13">
        <f t="shared" si="68"/>
        <v>0</v>
      </c>
      <c r="U623" s="15" t="str">
        <f t="shared" si="69"/>
        <v/>
      </c>
    </row>
    <row r="624" spans="12:21" x14ac:dyDescent="0.25">
      <c r="L624" s="20">
        <f t="shared" si="64"/>
        <v>0</v>
      </c>
      <c r="M624" s="14" t="e">
        <f>VLOOKUP(G624,Sell!G:L,1,0)</f>
        <v>#N/A</v>
      </c>
      <c r="N624" s="14">
        <f>IFERROR(VLOOKUP(G624,Sell!G:L,2,0),0)</f>
        <v>0</v>
      </c>
      <c r="O624" s="13">
        <f>IFERROR(VLOOKUP(G624,Sell!G:L,6,0),0)</f>
        <v>0</v>
      </c>
      <c r="P624" s="14">
        <f t="shared" si="63"/>
        <v>0</v>
      </c>
      <c r="Q624" s="13">
        <f t="shared" si="65"/>
        <v>0</v>
      </c>
      <c r="R624" s="13">
        <f t="shared" si="66"/>
        <v>0</v>
      </c>
      <c r="S624" s="13">
        <f t="shared" si="67"/>
        <v>0</v>
      </c>
      <c r="T624" s="13">
        <f t="shared" si="68"/>
        <v>0</v>
      </c>
      <c r="U624" s="15" t="str">
        <f t="shared" si="69"/>
        <v/>
      </c>
    </row>
    <row r="625" spans="12:21" x14ac:dyDescent="0.25">
      <c r="L625" s="20">
        <f t="shared" si="64"/>
        <v>0</v>
      </c>
      <c r="M625" s="14" t="e">
        <f>VLOOKUP(G625,Sell!G:L,1,0)</f>
        <v>#N/A</v>
      </c>
      <c r="N625" s="14">
        <f>IFERROR(VLOOKUP(G625,Sell!G:L,2,0),0)</f>
        <v>0</v>
      </c>
      <c r="O625" s="13">
        <f>IFERROR(VLOOKUP(G625,Sell!G:L,6,0),0)</f>
        <v>0</v>
      </c>
      <c r="P625" s="14">
        <f t="shared" si="63"/>
        <v>0</v>
      </c>
      <c r="Q625" s="13">
        <f t="shared" si="65"/>
        <v>0</v>
      </c>
      <c r="R625" s="13">
        <f t="shared" si="66"/>
        <v>0</v>
      </c>
      <c r="S625" s="13">
        <f t="shared" si="67"/>
        <v>0</v>
      </c>
      <c r="T625" s="13">
        <f t="shared" si="68"/>
        <v>0</v>
      </c>
      <c r="U625" s="15" t="str">
        <f t="shared" si="69"/>
        <v/>
      </c>
    </row>
    <row r="626" spans="12:21" x14ac:dyDescent="0.25">
      <c r="L626" s="20">
        <f t="shared" si="64"/>
        <v>0</v>
      </c>
      <c r="M626" s="14" t="e">
        <f>VLOOKUP(G626,Sell!G:L,1,0)</f>
        <v>#N/A</v>
      </c>
      <c r="N626" s="14">
        <f>IFERROR(VLOOKUP(G626,Sell!G:L,2,0),0)</f>
        <v>0</v>
      </c>
      <c r="O626" s="13">
        <f>IFERROR(VLOOKUP(G626,Sell!G:L,6,0),0)</f>
        <v>0</v>
      </c>
      <c r="P626" s="14">
        <f t="shared" si="63"/>
        <v>0</v>
      </c>
      <c r="Q626" s="13">
        <f t="shared" si="65"/>
        <v>0</v>
      </c>
      <c r="R626" s="13">
        <f t="shared" si="66"/>
        <v>0</v>
      </c>
      <c r="S626" s="13">
        <f t="shared" si="67"/>
        <v>0</v>
      </c>
      <c r="T626" s="13">
        <f t="shared" si="68"/>
        <v>0</v>
      </c>
      <c r="U626" s="15" t="str">
        <f t="shared" si="69"/>
        <v/>
      </c>
    </row>
    <row r="627" spans="12:21" x14ac:dyDescent="0.25">
      <c r="L627" s="20">
        <f t="shared" si="64"/>
        <v>0</v>
      </c>
      <c r="M627" s="14" t="e">
        <f>VLOOKUP(G627,Sell!G:L,1,0)</f>
        <v>#N/A</v>
      </c>
      <c r="N627" s="14">
        <f>IFERROR(VLOOKUP(G627,Sell!G:L,2,0),0)</f>
        <v>0</v>
      </c>
      <c r="O627" s="13">
        <f>IFERROR(VLOOKUP(G627,Sell!G:L,6,0),0)</f>
        <v>0</v>
      </c>
      <c r="P627" s="14">
        <f t="shared" si="63"/>
        <v>0</v>
      </c>
      <c r="Q627" s="13">
        <f t="shared" si="65"/>
        <v>0</v>
      </c>
      <c r="R627" s="13">
        <f t="shared" si="66"/>
        <v>0</v>
      </c>
      <c r="S627" s="13">
        <f t="shared" si="67"/>
        <v>0</v>
      </c>
      <c r="T627" s="13">
        <f t="shared" si="68"/>
        <v>0</v>
      </c>
      <c r="U627" s="15" t="str">
        <f t="shared" si="69"/>
        <v/>
      </c>
    </row>
    <row r="628" spans="12:21" x14ac:dyDescent="0.25">
      <c r="L628" s="20">
        <f t="shared" si="64"/>
        <v>0</v>
      </c>
      <c r="M628" s="14" t="e">
        <f>VLOOKUP(G628,Sell!G:L,1,0)</f>
        <v>#N/A</v>
      </c>
      <c r="N628" s="14">
        <f>IFERROR(VLOOKUP(G628,Sell!G:L,2,0),0)</f>
        <v>0</v>
      </c>
      <c r="O628" s="13">
        <f>IFERROR(VLOOKUP(G628,Sell!G:L,6,0),0)</f>
        <v>0</v>
      </c>
      <c r="P628" s="14">
        <f t="shared" si="63"/>
        <v>0</v>
      </c>
      <c r="Q628" s="13">
        <f t="shared" si="65"/>
        <v>0</v>
      </c>
      <c r="R628" s="13">
        <f t="shared" si="66"/>
        <v>0</v>
      </c>
      <c r="S628" s="13">
        <f t="shared" si="67"/>
        <v>0</v>
      </c>
      <c r="T628" s="13">
        <f t="shared" si="68"/>
        <v>0</v>
      </c>
      <c r="U628" s="15" t="str">
        <f t="shared" si="69"/>
        <v/>
      </c>
    </row>
    <row r="629" spans="12:21" x14ac:dyDescent="0.25">
      <c r="L629" s="20">
        <f t="shared" si="64"/>
        <v>0</v>
      </c>
      <c r="M629" s="14" t="e">
        <f>VLOOKUP(G629,Sell!G:L,1,0)</f>
        <v>#N/A</v>
      </c>
      <c r="N629" s="14">
        <f>IFERROR(VLOOKUP(G629,Sell!G:L,2,0),0)</f>
        <v>0</v>
      </c>
      <c r="O629" s="13">
        <f>IFERROR(VLOOKUP(G629,Sell!G:L,6,0),0)</f>
        <v>0</v>
      </c>
      <c r="P629" s="14">
        <f t="shared" si="63"/>
        <v>0</v>
      </c>
      <c r="Q629" s="13">
        <f t="shared" si="65"/>
        <v>0</v>
      </c>
      <c r="R629" s="13">
        <f t="shared" si="66"/>
        <v>0</v>
      </c>
      <c r="S629" s="13">
        <f t="shared" si="67"/>
        <v>0</v>
      </c>
      <c r="T629" s="13">
        <f t="shared" si="68"/>
        <v>0</v>
      </c>
      <c r="U629" s="15" t="str">
        <f t="shared" si="69"/>
        <v/>
      </c>
    </row>
    <row r="630" spans="12:21" x14ac:dyDescent="0.25">
      <c r="L630" s="20">
        <f t="shared" si="64"/>
        <v>0</v>
      </c>
      <c r="M630" s="14" t="e">
        <f>VLOOKUP(G630,Sell!G:L,1,0)</f>
        <v>#N/A</v>
      </c>
      <c r="N630" s="14">
        <f>IFERROR(VLOOKUP(G630,Sell!G:L,2,0),0)</f>
        <v>0</v>
      </c>
      <c r="O630" s="13">
        <f>IFERROR(VLOOKUP(G630,Sell!G:L,6,0),0)</f>
        <v>0</v>
      </c>
      <c r="P630" s="14">
        <f t="shared" si="63"/>
        <v>0</v>
      </c>
      <c r="Q630" s="13">
        <f t="shared" si="65"/>
        <v>0</v>
      </c>
      <c r="R630" s="13">
        <f t="shared" si="66"/>
        <v>0</v>
      </c>
      <c r="S630" s="13">
        <f t="shared" si="67"/>
        <v>0</v>
      </c>
      <c r="T630" s="13">
        <f t="shared" si="68"/>
        <v>0</v>
      </c>
      <c r="U630" s="15" t="str">
        <f t="shared" si="69"/>
        <v/>
      </c>
    </row>
    <row r="631" spans="12:21" x14ac:dyDescent="0.25">
      <c r="L631" s="20">
        <f t="shared" si="64"/>
        <v>0</v>
      </c>
      <c r="M631" s="14" t="e">
        <f>VLOOKUP(G631,Sell!G:L,1,0)</f>
        <v>#N/A</v>
      </c>
      <c r="N631" s="14">
        <f>IFERROR(VLOOKUP(G631,Sell!G:L,2,0),0)</f>
        <v>0</v>
      </c>
      <c r="O631" s="13">
        <f>IFERROR(VLOOKUP(G631,Sell!G:L,6,0),0)</f>
        <v>0</v>
      </c>
      <c r="P631" s="14">
        <f t="shared" si="63"/>
        <v>0</v>
      </c>
      <c r="Q631" s="13">
        <f t="shared" si="65"/>
        <v>0</v>
      </c>
      <c r="R631" s="13">
        <f t="shared" si="66"/>
        <v>0</v>
      </c>
      <c r="S631" s="13">
        <f t="shared" si="67"/>
        <v>0</v>
      </c>
      <c r="T631" s="13">
        <f t="shared" si="68"/>
        <v>0</v>
      </c>
      <c r="U631" s="15" t="str">
        <f t="shared" si="69"/>
        <v/>
      </c>
    </row>
    <row r="632" spans="12:21" x14ac:dyDescent="0.25">
      <c r="L632" s="20">
        <f t="shared" si="64"/>
        <v>0</v>
      </c>
      <c r="M632" s="14" t="e">
        <f>VLOOKUP(G632,Sell!G:L,1,0)</f>
        <v>#N/A</v>
      </c>
      <c r="N632" s="14">
        <f>IFERROR(VLOOKUP(G632,Sell!G:L,2,0),0)</f>
        <v>0</v>
      </c>
      <c r="O632" s="13">
        <f>IFERROR(VLOOKUP(G632,Sell!G:L,6,0),0)</f>
        <v>0</v>
      </c>
      <c r="P632" s="14">
        <f t="shared" si="63"/>
        <v>0</v>
      </c>
      <c r="Q632" s="13">
        <f t="shared" si="65"/>
        <v>0</v>
      </c>
      <c r="R632" s="13">
        <f t="shared" si="66"/>
        <v>0</v>
      </c>
      <c r="S632" s="13">
        <f t="shared" si="67"/>
        <v>0</v>
      </c>
      <c r="T632" s="13">
        <f t="shared" si="68"/>
        <v>0</v>
      </c>
      <c r="U632" s="15" t="str">
        <f t="shared" si="69"/>
        <v/>
      </c>
    </row>
    <row r="633" spans="12:21" x14ac:dyDescent="0.25">
      <c r="L633" s="20">
        <f t="shared" si="64"/>
        <v>0</v>
      </c>
      <c r="M633" s="14" t="e">
        <f>VLOOKUP(G633,Sell!G:L,1,0)</f>
        <v>#N/A</v>
      </c>
      <c r="N633" s="14">
        <f>IFERROR(VLOOKUP(G633,Sell!G:L,2,0),0)</f>
        <v>0</v>
      </c>
      <c r="O633" s="13">
        <f>IFERROR(VLOOKUP(G633,Sell!G:L,6,0),0)</f>
        <v>0</v>
      </c>
      <c r="P633" s="14">
        <f t="shared" si="63"/>
        <v>0</v>
      </c>
      <c r="Q633" s="13">
        <f t="shared" si="65"/>
        <v>0</v>
      </c>
      <c r="R633" s="13">
        <f t="shared" si="66"/>
        <v>0</v>
      </c>
      <c r="S633" s="13">
        <f t="shared" si="67"/>
        <v>0</v>
      </c>
      <c r="T633" s="13">
        <f t="shared" si="68"/>
        <v>0</v>
      </c>
      <c r="U633" s="15" t="str">
        <f t="shared" si="69"/>
        <v/>
      </c>
    </row>
    <row r="634" spans="12:21" x14ac:dyDescent="0.25">
      <c r="L634" s="20">
        <f t="shared" si="64"/>
        <v>0</v>
      </c>
      <c r="M634" s="14" t="e">
        <f>VLOOKUP(G634,Sell!G:L,1,0)</f>
        <v>#N/A</v>
      </c>
      <c r="N634" s="14">
        <f>IFERROR(VLOOKUP(G634,Sell!G:L,2,0),0)</f>
        <v>0</v>
      </c>
      <c r="O634" s="13">
        <f>IFERROR(VLOOKUP(G634,Sell!G:L,6,0),0)</f>
        <v>0</v>
      </c>
      <c r="P634" s="14">
        <f t="shared" si="63"/>
        <v>0</v>
      </c>
      <c r="Q634" s="13">
        <f t="shared" si="65"/>
        <v>0</v>
      </c>
      <c r="R634" s="13">
        <f t="shared" si="66"/>
        <v>0</v>
      </c>
      <c r="S634" s="13">
        <f t="shared" si="67"/>
        <v>0</v>
      </c>
      <c r="T634" s="13">
        <f t="shared" si="68"/>
        <v>0</v>
      </c>
      <c r="U634" s="15" t="str">
        <f t="shared" si="69"/>
        <v/>
      </c>
    </row>
    <row r="635" spans="12:21" x14ac:dyDescent="0.25">
      <c r="L635" s="20">
        <f t="shared" si="64"/>
        <v>0</v>
      </c>
      <c r="M635" s="14" t="e">
        <f>VLOOKUP(G635,Sell!G:L,1,0)</f>
        <v>#N/A</v>
      </c>
      <c r="N635" s="14">
        <f>IFERROR(VLOOKUP(G635,Sell!G:L,2,0),0)</f>
        <v>0</v>
      </c>
      <c r="O635" s="13">
        <f>IFERROR(VLOOKUP(G635,Sell!G:L,6,0),0)</f>
        <v>0</v>
      </c>
      <c r="P635" s="14">
        <f t="shared" si="63"/>
        <v>0</v>
      </c>
      <c r="Q635" s="13">
        <f t="shared" si="65"/>
        <v>0</v>
      </c>
      <c r="R635" s="13">
        <f t="shared" si="66"/>
        <v>0</v>
      </c>
      <c r="S635" s="13">
        <f t="shared" si="67"/>
        <v>0</v>
      </c>
      <c r="T635" s="13">
        <f t="shared" si="68"/>
        <v>0</v>
      </c>
      <c r="U635" s="15" t="str">
        <f t="shared" si="69"/>
        <v/>
      </c>
    </row>
    <row r="636" spans="12:21" x14ac:dyDescent="0.25">
      <c r="L636" s="20">
        <f t="shared" si="64"/>
        <v>0</v>
      </c>
      <c r="M636" s="14" t="e">
        <f>VLOOKUP(G636,Sell!G:L,1,0)</f>
        <v>#N/A</v>
      </c>
      <c r="N636" s="14">
        <f>IFERROR(VLOOKUP(G636,Sell!G:L,2,0),0)</f>
        <v>0</v>
      </c>
      <c r="O636" s="13">
        <f>IFERROR(VLOOKUP(G636,Sell!G:L,6,0),0)</f>
        <v>0</v>
      </c>
      <c r="P636" s="14">
        <f t="shared" si="63"/>
        <v>0</v>
      </c>
      <c r="Q636" s="13">
        <f t="shared" si="65"/>
        <v>0</v>
      </c>
      <c r="R636" s="13">
        <f t="shared" si="66"/>
        <v>0</v>
      </c>
      <c r="S636" s="13">
        <f t="shared" si="67"/>
        <v>0</v>
      </c>
      <c r="T636" s="13">
        <f t="shared" si="68"/>
        <v>0</v>
      </c>
      <c r="U636" s="15" t="str">
        <f t="shared" si="69"/>
        <v/>
      </c>
    </row>
    <row r="637" spans="12:21" x14ac:dyDescent="0.25">
      <c r="L637" s="20">
        <f t="shared" si="64"/>
        <v>0</v>
      </c>
      <c r="M637" s="14" t="e">
        <f>VLOOKUP(G637,Sell!G:L,1,0)</f>
        <v>#N/A</v>
      </c>
      <c r="N637" s="14">
        <f>IFERROR(VLOOKUP(G637,Sell!G:L,2,0),0)</f>
        <v>0</v>
      </c>
      <c r="O637" s="13">
        <f>IFERROR(VLOOKUP(G637,Sell!G:L,6,0),0)</f>
        <v>0</v>
      </c>
      <c r="P637" s="14">
        <f t="shared" si="63"/>
        <v>0</v>
      </c>
      <c r="Q637" s="13">
        <f t="shared" si="65"/>
        <v>0</v>
      </c>
      <c r="R637" s="13">
        <f t="shared" si="66"/>
        <v>0</v>
      </c>
      <c r="S637" s="13">
        <f t="shared" si="67"/>
        <v>0</v>
      </c>
      <c r="T637" s="13">
        <f t="shared" si="68"/>
        <v>0</v>
      </c>
      <c r="U637" s="15" t="str">
        <f t="shared" si="69"/>
        <v/>
      </c>
    </row>
    <row r="638" spans="12:21" x14ac:dyDescent="0.25">
      <c r="L638" s="20">
        <f t="shared" si="64"/>
        <v>0</v>
      </c>
      <c r="M638" s="14" t="e">
        <f>VLOOKUP(G638,Sell!G:L,1,0)</f>
        <v>#N/A</v>
      </c>
      <c r="N638" s="14">
        <f>IFERROR(VLOOKUP(G638,Sell!G:L,2,0),0)</f>
        <v>0</v>
      </c>
      <c r="O638" s="13">
        <f>IFERROR(VLOOKUP(G638,Sell!G:L,6,0),0)</f>
        <v>0</v>
      </c>
      <c r="P638" s="14">
        <f t="shared" si="63"/>
        <v>0</v>
      </c>
      <c r="Q638" s="13">
        <f t="shared" si="65"/>
        <v>0</v>
      </c>
      <c r="R638" s="13">
        <f t="shared" si="66"/>
        <v>0</v>
      </c>
      <c r="S638" s="13">
        <f t="shared" si="67"/>
        <v>0</v>
      </c>
      <c r="T638" s="13">
        <f t="shared" si="68"/>
        <v>0</v>
      </c>
      <c r="U638" s="15" t="str">
        <f t="shared" si="69"/>
        <v/>
      </c>
    </row>
    <row r="639" spans="12:21" x14ac:dyDescent="0.25">
      <c r="L639" s="20">
        <f t="shared" si="64"/>
        <v>0</v>
      </c>
      <c r="M639" s="14" t="e">
        <f>VLOOKUP(G639,Sell!G:L,1,0)</f>
        <v>#N/A</v>
      </c>
      <c r="N639" s="14">
        <f>IFERROR(VLOOKUP(G639,Sell!G:L,2,0),0)</f>
        <v>0</v>
      </c>
      <c r="O639" s="13">
        <f>IFERROR(VLOOKUP(G639,Sell!G:L,6,0),0)</f>
        <v>0</v>
      </c>
      <c r="P639" s="14">
        <f t="shared" si="63"/>
        <v>0</v>
      </c>
      <c r="Q639" s="13">
        <f t="shared" si="65"/>
        <v>0</v>
      </c>
      <c r="R639" s="13">
        <f t="shared" si="66"/>
        <v>0</v>
      </c>
      <c r="S639" s="13">
        <f t="shared" si="67"/>
        <v>0</v>
      </c>
      <c r="T639" s="13">
        <f t="shared" si="68"/>
        <v>0</v>
      </c>
      <c r="U639" s="15" t="str">
        <f t="shared" si="69"/>
        <v/>
      </c>
    </row>
    <row r="640" spans="12:21" x14ac:dyDescent="0.25">
      <c r="L640" s="20">
        <f t="shared" si="64"/>
        <v>0</v>
      </c>
      <c r="M640" s="14" t="e">
        <f>VLOOKUP(G640,Sell!G:L,1,0)</f>
        <v>#N/A</v>
      </c>
      <c r="N640" s="14">
        <f>IFERROR(VLOOKUP(G640,Sell!G:L,2,0),0)</f>
        <v>0</v>
      </c>
      <c r="O640" s="13">
        <f>IFERROR(VLOOKUP(G640,Sell!G:L,6,0),0)</f>
        <v>0</v>
      </c>
      <c r="P640" s="14">
        <f t="shared" si="63"/>
        <v>0</v>
      </c>
      <c r="Q640" s="13">
        <f t="shared" si="65"/>
        <v>0</v>
      </c>
      <c r="R640" s="13">
        <f t="shared" si="66"/>
        <v>0</v>
      </c>
      <c r="S640" s="13">
        <f t="shared" si="67"/>
        <v>0</v>
      </c>
      <c r="T640" s="13">
        <f t="shared" si="68"/>
        <v>0</v>
      </c>
      <c r="U640" s="15" t="str">
        <f t="shared" si="69"/>
        <v/>
      </c>
    </row>
    <row r="641" spans="12:21" x14ac:dyDescent="0.25">
      <c r="L641" s="20">
        <f t="shared" si="64"/>
        <v>0</v>
      </c>
      <c r="M641" s="14" t="e">
        <f>VLOOKUP(G641,Sell!G:L,1,0)</f>
        <v>#N/A</v>
      </c>
      <c r="N641" s="14">
        <f>IFERROR(VLOOKUP(G641,Sell!G:L,2,0),0)</f>
        <v>0</v>
      </c>
      <c r="O641" s="13">
        <f>IFERROR(VLOOKUP(G641,Sell!G:L,6,0),0)</f>
        <v>0</v>
      </c>
      <c r="P641" s="14">
        <f t="shared" si="63"/>
        <v>0</v>
      </c>
      <c r="Q641" s="13">
        <f t="shared" si="65"/>
        <v>0</v>
      </c>
      <c r="R641" s="13">
        <f t="shared" si="66"/>
        <v>0</v>
      </c>
      <c r="S641" s="13">
        <f t="shared" si="67"/>
        <v>0</v>
      </c>
      <c r="T641" s="13">
        <f t="shared" si="68"/>
        <v>0</v>
      </c>
      <c r="U641" s="15" t="str">
        <f t="shared" si="69"/>
        <v/>
      </c>
    </row>
    <row r="642" spans="12:21" x14ac:dyDescent="0.25">
      <c r="L642" s="20">
        <f t="shared" si="64"/>
        <v>0</v>
      </c>
      <c r="M642" s="14" t="e">
        <f>VLOOKUP(G642,Sell!G:L,1,0)</f>
        <v>#N/A</v>
      </c>
      <c r="N642" s="14">
        <f>IFERROR(VLOOKUP(G642,Sell!G:L,2,0),0)</f>
        <v>0</v>
      </c>
      <c r="O642" s="13">
        <f>IFERROR(VLOOKUP(G642,Sell!G:L,6,0),0)</f>
        <v>0</v>
      </c>
      <c r="P642" s="14">
        <f t="shared" si="63"/>
        <v>0</v>
      </c>
      <c r="Q642" s="13">
        <f t="shared" si="65"/>
        <v>0</v>
      </c>
      <c r="R642" s="13">
        <f t="shared" si="66"/>
        <v>0</v>
      </c>
      <c r="S642" s="13">
        <f t="shared" si="67"/>
        <v>0</v>
      </c>
      <c r="T642" s="13">
        <f t="shared" si="68"/>
        <v>0</v>
      </c>
      <c r="U642" s="15" t="str">
        <f t="shared" si="69"/>
        <v/>
      </c>
    </row>
    <row r="643" spans="12:21" x14ac:dyDescent="0.25">
      <c r="L643" s="20">
        <f t="shared" si="64"/>
        <v>0</v>
      </c>
      <c r="M643" s="14" t="e">
        <f>VLOOKUP(G643,Sell!G:L,1,0)</f>
        <v>#N/A</v>
      </c>
      <c r="N643" s="14">
        <f>IFERROR(VLOOKUP(G643,Sell!G:L,2,0),0)</f>
        <v>0</v>
      </c>
      <c r="O643" s="13">
        <f>IFERROR(VLOOKUP(G643,Sell!G:L,6,0),0)</f>
        <v>0</v>
      </c>
      <c r="P643" s="14">
        <f t="shared" si="63"/>
        <v>0</v>
      </c>
      <c r="Q643" s="13">
        <f t="shared" si="65"/>
        <v>0</v>
      </c>
      <c r="R643" s="13">
        <f t="shared" si="66"/>
        <v>0</v>
      </c>
      <c r="S643" s="13">
        <f t="shared" si="67"/>
        <v>0</v>
      </c>
      <c r="T643" s="13">
        <f t="shared" si="68"/>
        <v>0</v>
      </c>
      <c r="U643" s="15" t="str">
        <f t="shared" si="69"/>
        <v/>
      </c>
    </row>
    <row r="644" spans="12:21" x14ac:dyDescent="0.25">
      <c r="L644" s="20">
        <f t="shared" si="64"/>
        <v>0</v>
      </c>
      <c r="M644" s="14" t="e">
        <f>VLOOKUP(G644,Sell!G:L,1,0)</f>
        <v>#N/A</v>
      </c>
      <c r="N644" s="14">
        <f>IFERROR(VLOOKUP(G644,Sell!G:L,2,0),0)</f>
        <v>0</v>
      </c>
      <c r="O644" s="13">
        <f>IFERROR(VLOOKUP(G644,Sell!G:L,6,0),0)</f>
        <v>0</v>
      </c>
      <c r="P644" s="14">
        <f t="shared" si="63"/>
        <v>0</v>
      </c>
      <c r="Q644" s="13">
        <f t="shared" si="65"/>
        <v>0</v>
      </c>
      <c r="R644" s="13">
        <f t="shared" si="66"/>
        <v>0</v>
      </c>
      <c r="S644" s="13">
        <f t="shared" si="67"/>
        <v>0</v>
      </c>
      <c r="T644" s="13">
        <f t="shared" si="68"/>
        <v>0</v>
      </c>
      <c r="U644" s="15" t="str">
        <f t="shared" si="69"/>
        <v/>
      </c>
    </row>
    <row r="645" spans="12:21" x14ac:dyDescent="0.25">
      <c r="L645" s="20">
        <f t="shared" si="64"/>
        <v>0</v>
      </c>
      <c r="M645" s="14" t="e">
        <f>VLOOKUP(G645,Sell!G:L,1,0)</f>
        <v>#N/A</v>
      </c>
      <c r="N645" s="14">
        <f>IFERROR(VLOOKUP(G645,Sell!G:L,2,0),0)</f>
        <v>0</v>
      </c>
      <c r="O645" s="13">
        <f>IFERROR(VLOOKUP(G645,Sell!G:L,6,0),0)</f>
        <v>0</v>
      </c>
      <c r="P645" s="14">
        <f t="shared" si="63"/>
        <v>0</v>
      </c>
      <c r="Q645" s="13">
        <f t="shared" si="65"/>
        <v>0</v>
      </c>
      <c r="R645" s="13">
        <f t="shared" si="66"/>
        <v>0</v>
      </c>
      <c r="S645" s="13">
        <f t="shared" si="67"/>
        <v>0</v>
      </c>
      <c r="T645" s="13">
        <f t="shared" si="68"/>
        <v>0</v>
      </c>
      <c r="U645" s="15" t="str">
        <f t="shared" si="69"/>
        <v/>
      </c>
    </row>
    <row r="646" spans="12:21" x14ac:dyDescent="0.25">
      <c r="L646" s="20">
        <f t="shared" si="64"/>
        <v>0</v>
      </c>
      <c r="M646" s="14" t="e">
        <f>VLOOKUP(G646,Sell!G:L,1,0)</f>
        <v>#N/A</v>
      </c>
      <c r="N646" s="14">
        <f>IFERROR(VLOOKUP(G646,Sell!G:L,2,0),0)</f>
        <v>0</v>
      </c>
      <c r="O646" s="13">
        <f>IFERROR(VLOOKUP(G646,Sell!G:L,6,0),0)</f>
        <v>0</v>
      </c>
      <c r="P646" s="14">
        <f t="shared" si="63"/>
        <v>0</v>
      </c>
      <c r="Q646" s="13">
        <f t="shared" si="65"/>
        <v>0</v>
      </c>
      <c r="R646" s="13">
        <f t="shared" si="66"/>
        <v>0</v>
      </c>
      <c r="S646" s="13">
        <f t="shared" si="67"/>
        <v>0</v>
      </c>
      <c r="T646" s="13">
        <f t="shared" si="68"/>
        <v>0</v>
      </c>
      <c r="U646" s="15" t="str">
        <f t="shared" si="69"/>
        <v/>
      </c>
    </row>
    <row r="647" spans="12:21" x14ac:dyDescent="0.25">
      <c r="L647" s="20">
        <f t="shared" si="64"/>
        <v>0</v>
      </c>
      <c r="M647" s="14" t="e">
        <f>VLOOKUP(G647,Sell!G:L,1,0)</f>
        <v>#N/A</v>
      </c>
      <c r="N647" s="14">
        <f>IFERROR(VLOOKUP(G647,Sell!G:L,2,0),0)</f>
        <v>0</v>
      </c>
      <c r="O647" s="13">
        <f>IFERROR(VLOOKUP(G647,Sell!G:L,6,0),0)</f>
        <v>0</v>
      </c>
      <c r="P647" s="14">
        <f t="shared" si="63"/>
        <v>0</v>
      </c>
      <c r="Q647" s="13">
        <f t="shared" si="65"/>
        <v>0</v>
      </c>
      <c r="R647" s="13">
        <f t="shared" si="66"/>
        <v>0</v>
      </c>
      <c r="S647" s="13">
        <f t="shared" si="67"/>
        <v>0</v>
      </c>
      <c r="T647" s="13">
        <f t="shared" si="68"/>
        <v>0</v>
      </c>
      <c r="U647" s="15" t="str">
        <f t="shared" si="69"/>
        <v/>
      </c>
    </row>
    <row r="648" spans="12:21" x14ac:dyDescent="0.25">
      <c r="L648" s="20">
        <f t="shared" si="64"/>
        <v>0</v>
      </c>
      <c r="M648" s="14" t="e">
        <f>VLOOKUP(G648,Sell!G:L,1,0)</f>
        <v>#N/A</v>
      </c>
      <c r="N648" s="14">
        <f>IFERROR(VLOOKUP(G648,Sell!G:L,2,0),0)</f>
        <v>0</v>
      </c>
      <c r="O648" s="13">
        <f>IFERROR(VLOOKUP(G648,Sell!G:L,6,0),0)</f>
        <v>0</v>
      </c>
      <c r="P648" s="14">
        <f t="shared" si="63"/>
        <v>0</v>
      </c>
      <c r="Q648" s="13">
        <f t="shared" si="65"/>
        <v>0</v>
      </c>
      <c r="R648" s="13">
        <f t="shared" si="66"/>
        <v>0</v>
      </c>
      <c r="S648" s="13">
        <f t="shared" si="67"/>
        <v>0</v>
      </c>
      <c r="T648" s="13">
        <f t="shared" si="68"/>
        <v>0</v>
      </c>
      <c r="U648" s="15" t="str">
        <f t="shared" si="69"/>
        <v/>
      </c>
    </row>
    <row r="649" spans="12:21" x14ac:dyDescent="0.25">
      <c r="L649" s="20">
        <f t="shared" si="64"/>
        <v>0</v>
      </c>
      <c r="M649" s="14" t="e">
        <f>VLOOKUP(G649,Sell!G:L,1,0)</f>
        <v>#N/A</v>
      </c>
      <c r="N649" s="14">
        <f>IFERROR(VLOOKUP(G649,Sell!G:L,2,0),0)</f>
        <v>0</v>
      </c>
      <c r="O649" s="13">
        <f>IFERROR(VLOOKUP(G649,Sell!G:L,6,0),0)</f>
        <v>0</v>
      </c>
      <c r="P649" s="14">
        <f t="shared" si="63"/>
        <v>0</v>
      </c>
      <c r="Q649" s="13">
        <f t="shared" si="65"/>
        <v>0</v>
      </c>
      <c r="R649" s="13">
        <f t="shared" si="66"/>
        <v>0</v>
      </c>
      <c r="S649" s="13">
        <f t="shared" si="67"/>
        <v>0</v>
      </c>
      <c r="T649" s="13">
        <f t="shared" si="68"/>
        <v>0</v>
      </c>
      <c r="U649" s="15" t="str">
        <f t="shared" si="69"/>
        <v/>
      </c>
    </row>
    <row r="650" spans="12:21" x14ac:dyDescent="0.25">
      <c r="L650" s="20">
        <f t="shared" si="64"/>
        <v>0</v>
      </c>
      <c r="M650" s="14" t="e">
        <f>VLOOKUP(G650,Sell!G:L,1,0)</f>
        <v>#N/A</v>
      </c>
      <c r="N650" s="14">
        <f>IFERROR(VLOOKUP(G650,Sell!G:L,2,0),0)</f>
        <v>0</v>
      </c>
      <c r="O650" s="13">
        <f>IFERROR(VLOOKUP(G650,Sell!G:L,6,0),0)</f>
        <v>0</v>
      </c>
      <c r="P650" s="14">
        <f t="shared" ref="P650:P713" si="70">H650-N650</f>
        <v>0</v>
      </c>
      <c r="Q650" s="13">
        <f t="shared" si="65"/>
        <v>0</v>
      </c>
      <c r="R650" s="13">
        <f t="shared" si="66"/>
        <v>0</v>
      </c>
      <c r="S650" s="13">
        <f t="shared" si="67"/>
        <v>0</v>
      </c>
      <c r="T650" s="13">
        <f t="shared" si="68"/>
        <v>0</v>
      </c>
      <c r="U650" s="15" t="str">
        <f t="shared" si="69"/>
        <v/>
      </c>
    </row>
    <row r="651" spans="12:21" x14ac:dyDescent="0.25">
      <c r="L651" s="20">
        <f t="shared" ref="L651:L714" si="71">J651+K651</f>
        <v>0</v>
      </c>
      <c r="M651" s="14" t="e">
        <f>VLOOKUP(G651,Sell!G:L,1,0)</f>
        <v>#N/A</v>
      </c>
      <c r="N651" s="14">
        <f>IFERROR(VLOOKUP(G651,Sell!G:L,2,0),0)</f>
        <v>0</v>
      </c>
      <c r="O651" s="13">
        <f>IFERROR(VLOOKUP(G651,Sell!G:L,6,0),0)</f>
        <v>0</v>
      </c>
      <c r="P651" s="14">
        <f t="shared" si="70"/>
        <v>0</v>
      </c>
      <c r="Q651" s="13">
        <f t="shared" ref="Q651:Q714" si="72">O651-L651</f>
        <v>0</v>
      </c>
      <c r="R651" s="13">
        <f t="shared" ref="R651:R714" si="73">IF(P651=0,Q651,0)</f>
        <v>0</v>
      </c>
      <c r="S651" s="13">
        <f t="shared" ref="S651:S714" si="74">IF(R651&gt;0,R651,0)</f>
        <v>0</v>
      </c>
      <c r="T651" s="13">
        <f t="shared" ref="T651:T714" si="75">IF(R651&gt;0,0,R651)</f>
        <v>0</v>
      </c>
      <c r="U651" s="15" t="str">
        <f t="shared" ref="U651:U714" si="76">IF(AND(LEN(G651)&gt;0,R651=0),"Open","")</f>
        <v/>
      </c>
    </row>
    <row r="652" spans="12:21" x14ac:dyDescent="0.25">
      <c r="L652" s="20">
        <f t="shared" si="71"/>
        <v>0</v>
      </c>
      <c r="M652" s="14" t="e">
        <f>VLOOKUP(G652,Sell!G:L,1,0)</f>
        <v>#N/A</v>
      </c>
      <c r="N652" s="14">
        <f>IFERROR(VLOOKUP(G652,Sell!G:L,2,0),0)</f>
        <v>0</v>
      </c>
      <c r="O652" s="13">
        <f>IFERROR(VLOOKUP(G652,Sell!G:L,6,0),0)</f>
        <v>0</v>
      </c>
      <c r="P652" s="14">
        <f t="shared" si="70"/>
        <v>0</v>
      </c>
      <c r="Q652" s="13">
        <f t="shared" si="72"/>
        <v>0</v>
      </c>
      <c r="R652" s="13">
        <f t="shared" si="73"/>
        <v>0</v>
      </c>
      <c r="S652" s="13">
        <f t="shared" si="74"/>
        <v>0</v>
      </c>
      <c r="T652" s="13">
        <f t="shared" si="75"/>
        <v>0</v>
      </c>
      <c r="U652" s="15" t="str">
        <f t="shared" si="76"/>
        <v/>
      </c>
    </row>
    <row r="653" spans="12:21" x14ac:dyDescent="0.25">
      <c r="L653" s="20">
        <f t="shared" si="71"/>
        <v>0</v>
      </c>
      <c r="M653" s="14" t="e">
        <f>VLOOKUP(G653,Sell!G:L,1,0)</f>
        <v>#N/A</v>
      </c>
      <c r="N653" s="14">
        <f>IFERROR(VLOOKUP(G653,Sell!G:L,2,0),0)</f>
        <v>0</v>
      </c>
      <c r="O653" s="13">
        <f>IFERROR(VLOOKUP(G653,Sell!G:L,6,0),0)</f>
        <v>0</v>
      </c>
      <c r="P653" s="14">
        <f t="shared" si="70"/>
        <v>0</v>
      </c>
      <c r="Q653" s="13">
        <f t="shared" si="72"/>
        <v>0</v>
      </c>
      <c r="R653" s="13">
        <f t="shared" si="73"/>
        <v>0</v>
      </c>
      <c r="S653" s="13">
        <f t="shared" si="74"/>
        <v>0</v>
      </c>
      <c r="T653" s="13">
        <f t="shared" si="75"/>
        <v>0</v>
      </c>
      <c r="U653" s="15" t="str">
        <f t="shared" si="76"/>
        <v/>
      </c>
    </row>
    <row r="654" spans="12:21" x14ac:dyDescent="0.25">
      <c r="L654" s="20">
        <f t="shared" si="71"/>
        <v>0</v>
      </c>
      <c r="M654" s="14" t="e">
        <f>VLOOKUP(G654,Sell!G:L,1,0)</f>
        <v>#N/A</v>
      </c>
      <c r="N654" s="14">
        <f>IFERROR(VLOOKUP(G654,Sell!G:L,2,0),0)</f>
        <v>0</v>
      </c>
      <c r="O654" s="13">
        <f>IFERROR(VLOOKUP(G654,Sell!G:L,6,0),0)</f>
        <v>0</v>
      </c>
      <c r="P654" s="14">
        <f t="shared" si="70"/>
        <v>0</v>
      </c>
      <c r="Q654" s="13">
        <f t="shared" si="72"/>
        <v>0</v>
      </c>
      <c r="R654" s="13">
        <f t="shared" si="73"/>
        <v>0</v>
      </c>
      <c r="S654" s="13">
        <f t="shared" si="74"/>
        <v>0</v>
      </c>
      <c r="T654" s="13">
        <f t="shared" si="75"/>
        <v>0</v>
      </c>
      <c r="U654" s="15" t="str">
        <f t="shared" si="76"/>
        <v/>
      </c>
    </row>
    <row r="655" spans="12:21" x14ac:dyDescent="0.25">
      <c r="L655" s="20">
        <f t="shared" si="71"/>
        <v>0</v>
      </c>
      <c r="M655" s="14" t="e">
        <f>VLOOKUP(G655,Sell!G:L,1,0)</f>
        <v>#N/A</v>
      </c>
      <c r="N655" s="14">
        <f>IFERROR(VLOOKUP(G655,Sell!G:L,2,0),0)</f>
        <v>0</v>
      </c>
      <c r="O655" s="13">
        <f>IFERROR(VLOOKUP(G655,Sell!G:L,6,0),0)</f>
        <v>0</v>
      </c>
      <c r="P655" s="14">
        <f t="shared" si="70"/>
        <v>0</v>
      </c>
      <c r="Q655" s="13">
        <f t="shared" si="72"/>
        <v>0</v>
      </c>
      <c r="R655" s="13">
        <f t="shared" si="73"/>
        <v>0</v>
      </c>
      <c r="S655" s="13">
        <f t="shared" si="74"/>
        <v>0</v>
      </c>
      <c r="T655" s="13">
        <f t="shared" si="75"/>
        <v>0</v>
      </c>
      <c r="U655" s="15" t="str">
        <f t="shared" si="76"/>
        <v/>
      </c>
    </row>
    <row r="656" spans="12:21" x14ac:dyDescent="0.25">
      <c r="L656" s="20">
        <f t="shared" si="71"/>
        <v>0</v>
      </c>
      <c r="M656" s="14" t="e">
        <f>VLOOKUP(G656,Sell!G:L,1,0)</f>
        <v>#N/A</v>
      </c>
      <c r="N656" s="14">
        <f>IFERROR(VLOOKUP(G656,Sell!G:L,2,0),0)</f>
        <v>0</v>
      </c>
      <c r="O656" s="13">
        <f>IFERROR(VLOOKUP(G656,Sell!G:L,6,0),0)</f>
        <v>0</v>
      </c>
      <c r="P656" s="14">
        <f t="shared" si="70"/>
        <v>0</v>
      </c>
      <c r="Q656" s="13">
        <f t="shared" si="72"/>
        <v>0</v>
      </c>
      <c r="R656" s="13">
        <f t="shared" si="73"/>
        <v>0</v>
      </c>
      <c r="S656" s="13">
        <f t="shared" si="74"/>
        <v>0</v>
      </c>
      <c r="T656" s="13">
        <f t="shared" si="75"/>
        <v>0</v>
      </c>
      <c r="U656" s="15" t="str">
        <f t="shared" si="76"/>
        <v/>
      </c>
    </row>
    <row r="657" spans="12:21" x14ac:dyDescent="0.25">
      <c r="L657" s="20">
        <f t="shared" si="71"/>
        <v>0</v>
      </c>
      <c r="M657" s="14" t="e">
        <f>VLOOKUP(G657,Sell!G:L,1,0)</f>
        <v>#N/A</v>
      </c>
      <c r="N657" s="14">
        <f>IFERROR(VLOOKUP(G657,Sell!G:L,2,0),0)</f>
        <v>0</v>
      </c>
      <c r="O657" s="13">
        <f>IFERROR(VLOOKUP(G657,Sell!G:L,6,0),0)</f>
        <v>0</v>
      </c>
      <c r="P657" s="14">
        <f t="shared" si="70"/>
        <v>0</v>
      </c>
      <c r="Q657" s="13">
        <f t="shared" si="72"/>
        <v>0</v>
      </c>
      <c r="R657" s="13">
        <f t="shared" si="73"/>
        <v>0</v>
      </c>
      <c r="S657" s="13">
        <f t="shared" si="74"/>
        <v>0</v>
      </c>
      <c r="T657" s="13">
        <f t="shared" si="75"/>
        <v>0</v>
      </c>
      <c r="U657" s="15" t="str">
        <f t="shared" si="76"/>
        <v/>
      </c>
    </row>
    <row r="658" spans="12:21" x14ac:dyDescent="0.25">
      <c r="L658" s="20">
        <f t="shared" si="71"/>
        <v>0</v>
      </c>
      <c r="M658" s="14" t="e">
        <f>VLOOKUP(G658,Sell!G:L,1,0)</f>
        <v>#N/A</v>
      </c>
      <c r="N658" s="14">
        <f>IFERROR(VLOOKUP(G658,Sell!G:L,2,0),0)</f>
        <v>0</v>
      </c>
      <c r="O658" s="13">
        <f>IFERROR(VLOOKUP(G658,Sell!G:L,6,0),0)</f>
        <v>0</v>
      </c>
      <c r="P658" s="14">
        <f t="shared" si="70"/>
        <v>0</v>
      </c>
      <c r="Q658" s="13">
        <f t="shared" si="72"/>
        <v>0</v>
      </c>
      <c r="R658" s="13">
        <f t="shared" si="73"/>
        <v>0</v>
      </c>
      <c r="S658" s="13">
        <f t="shared" si="74"/>
        <v>0</v>
      </c>
      <c r="T658" s="13">
        <f t="shared" si="75"/>
        <v>0</v>
      </c>
      <c r="U658" s="15" t="str">
        <f t="shared" si="76"/>
        <v/>
      </c>
    </row>
    <row r="659" spans="12:21" x14ac:dyDescent="0.25">
      <c r="L659" s="20">
        <f t="shared" si="71"/>
        <v>0</v>
      </c>
      <c r="M659" s="14" t="e">
        <f>VLOOKUP(G659,Sell!G:L,1,0)</f>
        <v>#N/A</v>
      </c>
      <c r="N659" s="14">
        <f>IFERROR(VLOOKUP(G659,Sell!G:L,2,0),0)</f>
        <v>0</v>
      </c>
      <c r="O659" s="13">
        <f>IFERROR(VLOOKUP(G659,Sell!G:L,6,0),0)</f>
        <v>0</v>
      </c>
      <c r="P659" s="14">
        <f t="shared" si="70"/>
        <v>0</v>
      </c>
      <c r="Q659" s="13">
        <f t="shared" si="72"/>
        <v>0</v>
      </c>
      <c r="R659" s="13">
        <f t="shared" si="73"/>
        <v>0</v>
      </c>
      <c r="S659" s="13">
        <f t="shared" si="74"/>
        <v>0</v>
      </c>
      <c r="T659" s="13">
        <f t="shared" si="75"/>
        <v>0</v>
      </c>
      <c r="U659" s="15" t="str">
        <f t="shared" si="76"/>
        <v/>
      </c>
    </row>
    <row r="660" spans="12:21" x14ac:dyDescent="0.25">
      <c r="L660" s="20">
        <f t="shared" si="71"/>
        <v>0</v>
      </c>
      <c r="M660" s="14" t="e">
        <f>VLOOKUP(G660,Sell!G:L,1,0)</f>
        <v>#N/A</v>
      </c>
      <c r="N660" s="14">
        <f>IFERROR(VLOOKUP(G660,Sell!G:L,2,0),0)</f>
        <v>0</v>
      </c>
      <c r="O660" s="13">
        <f>IFERROR(VLOOKUP(G660,Sell!G:L,6,0),0)</f>
        <v>0</v>
      </c>
      <c r="P660" s="14">
        <f t="shared" si="70"/>
        <v>0</v>
      </c>
      <c r="Q660" s="13">
        <f t="shared" si="72"/>
        <v>0</v>
      </c>
      <c r="R660" s="13">
        <f t="shared" si="73"/>
        <v>0</v>
      </c>
      <c r="S660" s="13">
        <f t="shared" si="74"/>
        <v>0</v>
      </c>
      <c r="T660" s="13">
        <f t="shared" si="75"/>
        <v>0</v>
      </c>
      <c r="U660" s="15" t="str">
        <f t="shared" si="76"/>
        <v/>
      </c>
    </row>
    <row r="661" spans="12:21" x14ac:dyDescent="0.25">
      <c r="L661" s="20">
        <f t="shared" si="71"/>
        <v>0</v>
      </c>
      <c r="M661" s="14" t="e">
        <f>VLOOKUP(G661,Sell!G:L,1,0)</f>
        <v>#N/A</v>
      </c>
      <c r="N661" s="14">
        <f>IFERROR(VLOOKUP(G661,Sell!G:L,2,0),0)</f>
        <v>0</v>
      </c>
      <c r="O661" s="13">
        <f>IFERROR(VLOOKUP(G661,Sell!G:L,6,0),0)</f>
        <v>0</v>
      </c>
      <c r="P661" s="14">
        <f t="shared" si="70"/>
        <v>0</v>
      </c>
      <c r="Q661" s="13">
        <f t="shared" si="72"/>
        <v>0</v>
      </c>
      <c r="R661" s="13">
        <f t="shared" si="73"/>
        <v>0</v>
      </c>
      <c r="S661" s="13">
        <f t="shared" si="74"/>
        <v>0</v>
      </c>
      <c r="T661" s="13">
        <f t="shared" si="75"/>
        <v>0</v>
      </c>
      <c r="U661" s="15" t="str">
        <f t="shared" si="76"/>
        <v/>
      </c>
    </row>
    <row r="662" spans="12:21" x14ac:dyDescent="0.25">
      <c r="L662" s="20">
        <f t="shared" si="71"/>
        <v>0</v>
      </c>
      <c r="M662" s="14" t="e">
        <f>VLOOKUP(G662,Sell!G:L,1,0)</f>
        <v>#N/A</v>
      </c>
      <c r="N662" s="14">
        <f>IFERROR(VLOOKUP(G662,Sell!G:L,2,0),0)</f>
        <v>0</v>
      </c>
      <c r="O662" s="13">
        <f>IFERROR(VLOOKUP(G662,Sell!G:L,6,0),0)</f>
        <v>0</v>
      </c>
      <c r="P662" s="14">
        <f t="shared" si="70"/>
        <v>0</v>
      </c>
      <c r="Q662" s="13">
        <f t="shared" si="72"/>
        <v>0</v>
      </c>
      <c r="R662" s="13">
        <f t="shared" si="73"/>
        <v>0</v>
      </c>
      <c r="S662" s="13">
        <f t="shared" si="74"/>
        <v>0</v>
      </c>
      <c r="T662" s="13">
        <f t="shared" si="75"/>
        <v>0</v>
      </c>
      <c r="U662" s="15" t="str">
        <f t="shared" si="76"/>
        <v/>
      </c>
    </row>
    <row r="663" spans="12:21" x14ac:dyDescent="0.25">
      <c r="L663" s="20">
        <f t="shared" si="71"/>
        <v>0</v>
      </c>
      <c r="M663" s="14" t="e">
        <f>VLOOKUP(G663,Sell!G:L,1,0)</f>
        <v>#N/A</v>
      </c>
      <c r="N663" s="14">
        <f>IFERROR(VLOOKUP(G663,Sell!G:L,2,0),0)</f>
        <v>0</v>
      </c>
      <c r="O663" s="13">
        <f>IFERROR(VLOOKUP(G663,Sell!G:L,6,0),0)</f>
        <v>0</v>
      </c>
      <c r="P663" s="14">
        <f t="shared" si="70"/>
        <v>0</v>
      </c>
      <c r="Q663" s="13">
        <f t="shared" si="72"/>
        <v>0</v>
      </c>
      <c r="R663" s="13">
        <f t="shared" si="73"/>
        <v>0</v>
      </c>
      <c r="S663" s="13">
        <f t="shared" si="74"/>
        <v>0</v>
      </c>
      <c r="T663" s="13">
        <f t="shared" si="75"/>
        <v>0</v>
      </c>
      <c r="U663" s="15" t="str">
        <f t="shared" si="76"/>
        <v/>
      </c>
    </row>
    <row r="664" spans="12:21" x14ac:dyDescent="0.25">
      <c r="L664" s="20">
        <f t="shared" si="71"/>
        <v>0</v>
      </c>
      <c r="M664" s="14" t="e">
        <f>VLOOKUP(G664,Sell!G:L,1,0)</f>
        <v>#N/A</v>
      </c>
      <c r="N664" s="14">
        <f>IFERROR(VLOOKUP(G664,Sell!G:L,2,0),0)</f>
        <v>0</v>
      </c>
      <c r="O664" s="13">
        <f>IFERROR(VLOOKUP(G664,Sell!G:L,6,0),0)</f>
        <v>0</v>
      </c>
      <c r="P664" s="14">
        <f t="shared" si="70"/>
        <v>0</v>
      </c>
      <c r="Q664" s="13">
        <f t="shared" si="72"/>
        <v>0</v>
      </c>
      <c r="R664" s="13">
        <f t="shared" si="73"/>
        <v>0</v>
      </c>
      <c r="S664" s="13">
        <f t="shared" si="74"/>
        <v>0</v>
      </c>
      <c r="T664" s="13">
        <f t="shared" si="75"/>
        <v>0</v>
      </c>
      <c r="U664" s="15" t="str">
        <f t="shared" si="76"/>
        <v/>
      </c>
    </row>
    <row r="665" spans="12:21" x14ac:dyDescent="0.25">
      <c r="L665" s="20">
        <f t="shared" si="71"/>
        <v>0</v>
      </c>
      <c r="M665" s="14" t="e">
        <f>VLOOKUP(G665,Sell!G:L,1,0)</f>
        <v>#N/A</v>
      </c>
      <c r="N665" s="14">
        <f>IFERROR(VLOOKUP(G665,Sell!G:L,2,0),0)</f>
        <v>0</v>
      </c>
      <c r="O665" s="13">
        <f>IFERROR(VLOOKUP(G665,Sell!G:L,6,0),0)</f>
        <v>0</v>
      </c>
      <c r="P665" s="14">
        <f t="shared" si="70"/>
        <v>0</v>
      </c>
      <c r="Q665" s="13">
        <f t="shared" si="72"/>
        <v>0</v>
      </c>
      <c r="R665" s="13">
        <f t="shared" si="73"/>
        <v>0</v>
      </c>
      <c r="S665" s="13">
        <f t="shared" si="74"/>
        <v>0</v>
      </c>
      <c r="T665" s="13">
        <f t="shared" si="75"/>
        <v>0</v>
      </c>
      <c r="U665" s="15" t="str">
        <f t="shared" si="76"/>
        <v/>
      </c>
    </row>
    <row r="666" spans="12:21" x14ac:dyDescent="0.25">
      <c r="L666" s="20">
        <f t="shared" si="71"/>
        <v>0</v>
      </c>
      <c r="M666" s="14" t="e">
        <f>VLOOKUP(G666,Sell!G:L,1,0)</f>
        <v>#N/A</v>
      </c>
      <c r="N666" s="14">
        <f>IFERROR(VLOOKUP(G666,Sell!G:L,2,0),0)</f>
        <v>0</v>
      </c>
      <c r="O666" s="13">
        <f>IFERROR(VLOOKUP(G666,Sell!G:L,6,0),0)</f>
        <v>0</v>
      </c>
      <c r="P666" s="14">
        <f t="shared" si="70"/>
        <v>0</v>
      </c>
      <c r="Q666" s="13">
        <f t="shared" si="72"/>
        <v>0</v>
      </c>
      <c r="R666" s="13">
        <f t="shared" si="73"/>
        <v>0</v>
      </c>
      <c r="S666" s="13">
        <f t="shared" si="74"/>
        <v>0</v>
      </c>
      <c r="T666" s="13">
        <f t="shared" si="75"/>
        <v>0</v>
      </c>
      <c r="U666" s="15" t="str">
        <f t="shared" si="76"/>
        <v/>
      </c>
    </row>
    <row r="667" spans="12:21" x14ac:dyDescent="0.25">
      <c r="L667" s="20">
        <f t="shared" si="71"/>
        <v>0</v>
      </c>
      <c r="M667" s="14" t="e">
        <f>VLOOKUP(G667,Sell!G:L,1,0)</f>
        <v>#N/A</v>
      </c>
      <c r="N667" s="14">
        <f>IFERROR(VLOOKUP(G667,Sell!G:L,2,0),0)</f>
        <v>0</v>
      </c>
      <c r="O667" s="13">
        <f>IFERROR(VLOOKUP(G667,Sell!G:L,6,0),0)</f>
        <v>0</v>
      </c>
      <c r="P667" s="14">
        <f t="shared" si="70"/>
        <v>0</v>
      </c>
      <c r="Q667" s="13">
        <f t="shared" si="72"/>
        <v>0</v>
      </c>
      <c r="R667" s="13">
        <f t="shared" si="73"/>
        <v>0</v>
      </c>
      <c r="S667" s="13">
        <f t="shared" si="74"/>
        <v>0</v>
      </c>
      <c r="T667" s="13">
        <f t="shared" si="75"/>
        <v>0</v>
      </c>
      <c r="U667" s="15" t="str">
        <f t="shared" si="76"/>
        <v/>
      </c>
    </row>
    <row r="668" spans="12:21" x14ac:dyDescent="0.25">
      <c r="L668" s="20">
        <f t="shared" si="71"/>
        <v>0</v>
      </c>
      <c r="M668" s="14" t="e">
        <f>VLOOKUP(G668,Sell!G:L,1,0)</f>
        <v>#N/A</v>
      </c>
      <c r="N668" s="14">
        <f>IFERROR(VLOOKUP(G668,Sell!G:L,2,0),0)</f>
        <v>0</v>
      </c>
      <c r="O668" s="13">
        <f>IFERROR(VLOOKUP(G668,Sell!G:L,6,0),0)</f>
        <v>0</v>
      </c>
      <c r="P668" s="14">
        <f t="shared" si="70"/>
        <v>0</v>
      </c>
      <c r="Q668" s="13">
        <f t="shared" si="72"/>
        <v>0</v>
      </c>
      <c r="R668" s="13">
        <f t="shared" si="73"/>
        <v>0</v>
      </c>
      <c r="S668" s="13">
        <f t="shared" si="74"/>
        <v>0</v>
      </c>
      <c r="T668" s="13">
        <f t="shared" si="75"/>
        <v>0</v>
      </c>
      <c r="U668" s="15" t="str">
        <f t="shared" si="76"/>
        <v/>
      </c>
    </row>
    <row r="669" spans="12:21" x14ac:dyDescent="0.25">
      <c r="L669" s="20">
        <f t="shared" si="71"/>
        <v>0</v>
      </c>
      <c r="M669" s="14" t="e">
        <f>VLOOKUP(G669,Sell!G:L,1,0)</f>
        <v>#N/A</v>
      </c>
      <c r="N669" s="14">
        <f>IFERROR(VLOOKUP(G669,Sell!G:L,2,0),0)</f>
        <v>0</v>
      </c>
      <c r="O669" s="13">
        <f>IFERROR(VLOOKUP(G669,Sell!G:L,6,0),0)</f>
        <v>0</v>
      </c>
      <c r="P669" s="14">
        <f t="shared" si="70"/>
        <v>0</v>
      </c>
      <c r="Q669" s="13">
        <f t="shared" si="72"/>
        <v>0</v>
      </c>
      <c r="R669" s="13">
        <f t="shared" si="73"/>
        <v>0</v>
      </c>
      <c r="S669" s="13">
        <f t="shared" si="74"/>
        <v>0</v>
      </c>
      <c r="T669" s="13">
        <f t="shared" si="75"/>
        <v>0</v>
      </c>
      <c r="U669" s="15" t="str">
        <f t="shared" si="76"/>
        <v/>
      </c>
    </row>
    <row r="670" spans="12:21" x14ac:dyDescent="0.25">
      <c r="L670" s="20">
        <f t="shared" si="71"/>
        <v>0</v>
      </c>
      <c r="M670" s="14" t="e">
        <f>VLOOKUP(G670,Sell!G:L,1,0)</f>
        <v>#N/A</v>
      </c>
      <c r="N670" s="14">
        <f>IFERROR(VLOOKUP(G670,Sell!G:L,2,0),0)</f>
        <v>0</v>
      </c>
      <c r="O670" s="13">
        <f>IFERROR(VLOOKUP(G670,Sell!G:L,6,0),0)</f>
        <v>0</v>
      </c>
      <c r="P670" s="14">
        <f t="shared" si="70"/>
        <v>0</v>
      </c>
      <c r="Q670" s="13">
        <f t="shared" si="72"/>
        <v>0</v>
      </c>
      <c r="R670" s="13">
        <f t="shared" si="73"/>
        <v>0</v>
      </c>
      <c r="S670" s="13">
        <f t="shared" si="74"/>
        <v>0</v>
      </c>
      <c r="T670" s="13">
        <f t="shared" si="75"/>
        <v>0</v>
      </c>
      <c r="U670" s="15" t="str">
        <f t="shared" si="76"/>
        <v/>
      </c>
    </row>
    <row r="671" spans="12:21" x14ac:dyDescent="0.25">
      <c r="L671" s="20">
        <f t="shared" si="71"/>
        <v>0</v>
      </c>
      <c r="M671" s="14" t="e">
        <f>VLOOKUP(G671,Sell!G:L,1,0)</f>
        <v>#N/A</v>
      </c>
      <c r="N671" s="14">
        <f>IFERROR(VLOOKUP(G671,Sell!G:L,2,0),0)</f>
        <v>0</v>
      </c>
      <c r="O671" s="13">
        <f>IFERROR(VLOOKUP(G671,Sell!G:L,6,0),0)</f>
        <v>0</v>
      </c>
      <c r="P671" s="14">
        <f t="shared" si="70"/>
        <v>0</v>
      </c>
      <c r="Q671" s="13">
        <f t="shared" si="72"/>
        <v>0</v>
      </c>
      <c r="R671" s="13">
        <f t="shared" si="73"/>
        <v>0</v>
      </c>
      <c r="S671" s="13">
        <f t="shared" si="74"/>
        <v>0</v>
      </c>
      <c r="T671" s="13">
        <f t="shared" si="75"/>
        <v>0</v>
      </c>
      <c r="U671" s="15" t="str">
        <f t="shared" si="76"/>
        <v/>
      </c>
    </row>
    <row r="672" spans="12:21" x14ac:dyDescent="0.25">
      <c r="L672" s="20">
        <f t="shared" si="71"/>
        <v>0</v>
      </c>
      <c r="M672" s="14" t="e">
        <f>VLOOKUP(G672,Sell!G:L,1,0)</f>
        <v>#N/A</v>
      </c>
      <c r="N672" s="14">
        <f>IFERROR(VLOOKUP(G672,Sell!G:L,2,0),0)</f>
        <v>0</v>
      </c>
      <c r="O672" s="13">
        <f>IFERROR(VLOOKUP(G672,Sell!G:L,6,0),0)</f>
        <v>0</v>
      </c>
      <c r="P672" s="14">
        <f t="shared" si="70"/>
        <v>0</v>
      </c>
      <c r="Q672" s="13">
        <f t="shared" si="72"/>
        <v>0</v>
      </c>
      <c r="R672" s="13">
        <f t="shared" si="73"/>
        <v>0</v>
      </c>
      <c r="S672" s="13">
        <f t="shared" si="74"/>
        <v>0</v>
      </c>
      <c r="T672" s="13">
        <f t="shared" si="75"/>
        <v>0</v>
      </c>
      <c r="U672" s="15" t="str">
        <f t="shared" si="76"/>
        <v/>
      </c>
    </row>
    <row r="673" spans="12:21" x14ac:dyDescent="0.25">
      <c r="L673" s="20">
        <f t="shared" si="71"/>
        <v>0</v>
      </c>
      <c r="M673" s="14" t="e">
        <f>VLOOKUP(G673,Sell!G:L,1,0)</f>
        <v>#N/A</v>
      </c>
      <c r="N673" s="14">
        <f>IFERROR(VLOOKUP(G673,Sell!G:L,2,0),0)</f>
        <v>0</v>
      </c>
      <c r="O673" s="13">
        <f>IFERROR(VLOOKUP(G673,Sell!G:L,6,0),0)</f>
        <v>0</v>
      </c>
      <c r="P673" s="14">
        <f t="shared" si="70"/>
        <v>0</v>
      </c>
      <c r="Q673" s="13">
        <f t="shared" si="72"/>
        <v>0</v>
      </c>
      <c r="R673" s="13">
        <f t="shared" si="73"/>
        <v>0</v>
      </c>
      <c r="S673" s="13">
        <f t="shared" si="74"/>
        <v>0</v>
      </c>
      <c r="T673" s="13">
        <f t="shared" si="75"/>
        <v>0</v>
      </c>
      <c r="U673" s="15" t="str">
        <f t="shared" si="76"/>
        <v/>
      </c>
    </row>
    <row r="674" spans="12:21" x14ac:dyDescent="0.25">
      <c r="L674" s="20">
        <f t="shared" si="71"/>
        <v>0</v>
      </c>
      <c r="M674" s="14" t="e">
        <f>VLOOKUP(G674,Sell!G:L,1,0)</f>
        <v>#N/A</v>
      </c>
      <c r="N674" s="14">
        <f>IFERROR(VLOOKUP(G674,Sell!G:L,2,0),0)</f>
        <v>0</v>
      </c>
      <c r="O674" s="13">
        <f>IFERROR(VLOOKUP(G674,Sell!G:L,6,0),0)</f>
        <v>0</v>
      </c>
      <c r="P674" s="14">
        <f t="shared" si="70"/>
        <v>0</v>
      </c>
      <c r="Q674" s="13">
        <f t="shared" si="72"/>
        <v>0</v>
      </c>
      <c r="R674" s="13">
        <f t="shared" si="73"/>
        <v>0</v>
      </c>
      <c r="S674" s="13">
        <f t="shared" si="74"/>
        <v>0</v>
      </c>
      <c r="T674" s="13">
        <f t="shared" si="75"/>
        <v>0</v>
      </c>
      <c r="U674" s="15" t="str">
        <f t="shared" si="76"/>
        <v/>
      </c>
    </row>
    <row r="675" spans="12:21" x14ac:dyDescent="0.25">
      <c r="L675" s="20">
        <f t="shared" si="71"/>
        <v>0</v>
      </c>
      <c r="M675" s="14" t="e">
        <f>VLOOKUP(G675,Sell!G:L,1,0)</f>
        <v>#N/A</v>
      </c>
      <c r="N675" s="14">
        <f>IFERROR(VLOOKUP(G675,Sell!G:L,2,0),0)</f>
        <v>0</v>
      </c>
      <c r="O675" s="13">
        <f>IFERROR(VLOOKUP(G675,Sell!G:L,6,0),0)</f>
        <v>0</v>
      </c>
      <c r="P675" s="14">
        <f t="shared" si="70"/>
        <v>0</v>
      </c>
      <c r="Q675" s="13">
        <f t="shared" si="72"/>
        <v>0</v>
      </c>
      <c r="R675" s="13">
        <f t="shared" si="73"/>
        <v>0</v>
      </c>
      <c r="S675" s="13">
        <f t="shared" si="74"/>
        <v>0</v>
      </c>
      <c r="T675" s="13">
        <f t="shared" si="75"/>
        <v>0</v>
      </c>
      <c r="U675" s="15" t="str">
        <f t="shared" si="76"/>
        <v/>
      </c>
    </row>
    <row r="676" spans="12:21" x14ac:dyDescent="0.25">
      <c r="L676" s="20">
        <f t="shared" si="71"/>
        <v>0</v>
      </c>
      <c r="M676" s="14" t="e">
        <f>VLOOKUP(G676,Sell!G:L,1,0)</f>
        <v>#N/A</v>
      </c>
      <c r="N676" s="14">
        <f>IFERROR(VLOOKUP(G676,Sell!G:L,2,0),0)</f>
        <v>0</v>
      </c>
      <c r="O676" s="13">
        <f>IFERROR(VLOOKUP(G676,Sell!G:L,6,0),0)</f>
        <v>0</v>
      </c>
      <c r="P676" s="14">
        <f t="shared" si="70"/>
        <v>0</v>
      </c>
      <c r="Q676" s="13">
        <f t="shared" si="72"/>
        <v>0</v>
      </c>
      <c r="R676" s="13">
        <f t="shared" si="73"/>
        <v>0</v>
      </c>
      <c r="S676" s="13">
        <f t="shared" si="74"/>
        <v>0</v>
      </c>
      <c r="T676" s="13">
        <f t="shared" si="75"/>
        <v>0</v>
      </c>
      <c r="U676" s="15" t="str">
        <f t="shared" si="76"/>
        <v/>
      </c>
    </row>
    <row r="677" spans="12:21" x14ac:dyDescent="0.25">
      <c r="L677" s="20">
        <f t="shared" si="71"/>
        <v>0</v>
      </c>
      <c r="M677" s="14" t="e">
        <f>VLOOKUP(G677,Sell!G:L,1,0)</f>
        <v>#N/A</v>
      </c>
      <c r="N677" s="14">
        <f>IFERROR(VLOOKUP(G677,Sell!G:L,2,0),0)</f>
        <v>0</v>
      </c>
      <c r="O677" s="13">
        <f>IFERROR(VLOOKUP(G677,Sell!G:L,6,0),0)</f>
        <v>0</v>
      </c>
      <c r="P677" s="14">
        <f t="shared" si="70"/>
        <v>0</v>
      </c>
      <c r="Q677" s="13">
        <f t="shared" si="72"/>
        <v>0</v>
      </c>
      <c r="R677" s="13">
        <f t="shared" si="73"/>
        <v>0</v>
      </c>
      <c r="S677" s="13">
        <f t="shared" si="74"/>
        <v>0</v>
      </c>
      <c r="T677" s="13">
        <f t="shared" si="75"/>
        <v>0</v>
      </c>
      <c r="U677" s="15" t="str">
        <f t="shared" si="76"/>
        <v/>
      </c>
    </row>
    <row r="678" spans="12:21" x14ac:dyDescent="0.25">
      <c r="L678" s="20">
        <f t="shared" si="71"/>
        <v>0</v>
      </c>
      <c r="M678" s="14" t="e">
        <f>VLOOKUP(G678,Sell!G:L,1,0)</f>
        <v>#N/A</v>
      </c>
      <c r="N678" s="14">
        <f>IFERROR(VLOOKUP(G678,Sell!G:L,2,0),0)</f>
        <v>0</v>
      </c>
      <c r="O678" s="13">
        <f>IFERROR(VLOOKUP(G678,Sell!G:L,6,0),0)</f>
        <v>0</v>
      </c>
      <c r="P678" s="14">
        <f t="shared" si="70"/>
        <v>0</v>
      </c>
      <c r="Q678" s="13">
        <f t="shared" si="72"/>
        <v>0</v>
      </c>
      <c r="R678" s="13">
        <f t="shared" si="73"/>
        <v>0</v>
      </c>
      <c r="S678" s="13">
        <f t="shared" si="74"/>
        <v>0</v>
      </c>
      <c r="T678" s="13">
        <f t="shared" si="75"/>
        <v>0</v>
      </c>
      <c r="U678" s="15" t="str">
        <f t="shared" si="76"/>
        <v/>
      </c>
    </row>
    <row r="679" spans="12:21" x14ac:dyDescent="0.25">
      <c r="L679" s="20">
        <f t="shared" si="71"/>
        <v>0</v>
      </c>
      <c r="M679" s="14" t="e">
        <f>VLOOKUP(G679,Sell!G:L,1,0)</f>
        <v>#N/A</v>
      </c>
      <c r="N679" s="14">
        <f>IFERROR(VLOOKUP(G679,Sell!G:L,2,0),0)</f>
        <v>0</v>
      </c>
      <c r="O679" s="13">
        <f>IFERROR(VLOOKUP(G679,Sell!G:L,6,0),0)</f>
        <v>0</v>
      </c>
      <c r="P679" s="14">
        <f t="shared" si="70"/>
        <v>0</v>
      </c>
      <c r="Q679" s="13">
        <f t="shared" si="72"/>
        <v>0</v>
      </c>
      <c r="R679" s="13">
        <f t="shared" si="73"/>
        <v>0</v>
      </c>
      <c r="S679" s="13">
        <f t="shared" si="74"/>
        <v>0</v>
      </c>
      <c r="T679" s="13">
        <f t="shared" si="75"/>
        <v>0</v>
      </c>
      <c r="U679" s="15" t="str">
        <f t="shared" si="76"/>
        <v/>
      </c>
    </row>
    <row r="680" spans="12:21" x14ac:dyDescent="0.25">
      <c r="L680" s="20">
        <f t="shared" si="71"/>
        <v>0</v>
      </c>
      <c r="M680" s="14" t="e">
        <f>VLOOKUP(G680,Sell!G:L,1,0)</f>
        <v>#N/A</v>
      </c>
      <c r="N680" s="14">
        <f>IFERROR(VLOOKUP(G680,Sell!G:L,2,0),0)</f>
        <v>0</v>
      </c>
      <c r="O680" s="13">
        <f>IFERROR(VLOOKUP(G680,Sell!G:L,6,0),0)</f>
        <v>0</v>
      </c>
      <c r="P680" s="14">
        <f t="shared" si="70"/>
        <v>0</v>
      </c>
      <c r="Q680" s="13">
        <f t="shared" si="72"/>
        <v>0</v>
      </c>
      <c r="R680" s="13">
        <f t="shared" si="73"/>
        <v>0</v>
      </c>
      <c r="S680" s="13">
        <f t="shared" si="74"/>
        <v>0</v>
      </c>
      <c r="T680" s="13">
        <f t="shared" si="75"/>
        <v>0</v>
      </c>
      <c r="U680" s="15" t="str">
        <f t="shared" si="76"/>
        <v/>
      </c>
    </row>
    <row r="681" spans="12:21" x14ac:dyDescent="0.25">
      <c r="L681" s="20">
        <f t="shared" si="71"/>
        <v>0</v>
      </c>
      <c r="M681" s="14" t="e">
        <f>VLOOKUP(G681,Sell!G:L,1,0)</f>
        <v>#N/A</v>
      </c>
      <c r="N681" s="14">
        <f>IFERROR(VLOOKUP(G681,Sell!G:L,2,0),0)</f>
        <v>0</v>
      </c>
      <c r="O681" s="13">
        <f>IFERROR(VLOOKUP(G681,Sell!G:L,6,0),0)</f>
        <v>0</v>
      </c>
      <c r="P681" s="14">
        <f t="shared" si="70"/>
        <v>0</v>
      </c>
      <c r="Q681" s="13">
        <f t="shared" si="72"/>
        <v>0</v>
      </c>
      <c r="R681" s="13">
        <f t="shared" si="73"/>
        <v>0</v>
      </c>
      <c r="S681" s="13">
        <f t="shared" si="74"/>
        <v>0</v>
      </c>
      <c r="T681" s="13">
        <f t="shared" si="75"/>
        <v>0</v>
      </c>
      <c r="U681" s="15" t="str">
        <f t="shared" si="76"/>
        <v/>
      </c>
    </row>
    <row r="682" spans="12:21" x14ac:dyDescent="0.25">
      <c r="L682" s="20">
        <f t="shared" si="71"/>
        <v>0</v>
      </c>
      <c r="M682" s="14" t="e">
        <f>VLOOKUP(G682,Sell!G:L,1,0)</f>
        <v>#N/A</v>
      </c>
      <c r="N682" s="14">
        <f>IFERROR(VLOOKUP(G682,Sell!G:L,2,0),0)</f>
        <v>0</v>
      </c>
      <c r="O682" s="13">
        <f>IFERROR(VLOOKUP(G682,Sell!G:L,6,0),0)</f>
        <v>0</v>
      </c>
      <c r="P682" s="14">
        <f t="shared" si="70"/>
        <v>0</v>
      </c>
      <c r="Q682" s="13">
        <f t="shared" si="72"/>
        <v>0</v>
      </c>
      <c r="R682" s="13">
        <f t="shared" si="73"/>
        <v>0</v>
      </c>
      <c r="S682" s="13">
        <f t="shared" si="74"/>
        <v>0</v>
      </c>
      <c r="T682" s="13">
        <f t="shared" si="75"/>
        <v>0</v>
      </c>
      <c r="U682" s="15" t="str">
        <f t="shared" si="76"/>
        <v/>
      </c>
    </row>
    <row r="683" spans="12:21" x14ac:dyDescent="0.25">
      <c r="L683" s="20">
        <f t="shared" si="71"/>
        <v>0</v>
      </c>
      <c r="M683" s="14" t="e">
        <f>VLOOKUP(G683,Sell!G:L,1,0)</f>
        <v>#N/A</v>
      </c>
      <c r="N683" s="14">
        <f>IFERROR(VLOOKUP(G683,Sell!G:L,2,0),0)</f>
        <v>0</v>
      </c>
      <c r="O683" s="13">
        <f>IFERROR(VLOOKUP(G683,Sell!G:L,6,0),0)</f>
        <v>0</v>
      </c>
      <c r="P683" s="14">
        <f t="shared" si="70"/>
        <v>0</v>
      </c>
      <c r="Q683" s="13">
        <f t="shared" si="72"/>
        <v>0</v>
      </c>
      <c r="R683" s="13">
        <f t="shared" si="73"/>
        <v>0</v>
      </c>
      <c r="S683" s="13">
        <f t="shared" si="74"/>
        <v>0</v>
      </c>
      <c r="T683" s="13">
        <f t="shared" si="75"/>
        <v>0</v>
      </c>
      <c r="U683" s="15" t="str">
        <f t="shared" si="76"/>
        <v/>
      </c>
    </row>
    <row r="684" spans="12:21" x14ac:dyDescent="0.25">
      <c r="L684" s="20">
        <f t="shared" si="71"/>
        <v>0</v>
      </c>
      <c r="M684" s="14" t="e">
        <f>VLOOKUP(G684,Sell!G:L,1,0)</f>
        <v>#N/A</v>
      </c>
      <c r="N684" s="14">
        <f>IFERROR(VLOOKUP(G684,Sell!G:L,2,0),0)</f>
        <v>0</v>
      </c>
      <c r="O684" s="13">
        <f>IFERROR(VLOOKUP(G684,Sell!G:L,6,0),0)</f>
        <v>0</v>
      </c>
      <c r="P684" s="14">
        <f t="shared" si="70"/>
        <v>0</v>
      </c>
      <c r="Q684" s="13">
        <f t="shared" si="72"/>
        <v>0</v>
      </c>
      <c r="R684" s="13">
        <f t="shared" si="73"/>
        <v>0</v>
      </c>
      <c r="S684" s="13">
        <f t="shared" si="74"/>
        <v>0</v>
      </c>
      <c r="T684" s="13">
        <f t="shared" si="75"/>
        <v>0</v>
      </c>
      <c r="U684" s="15" t="str">
        <f t="shared" si="76"/>
        <v/>
      </c>
    </row>
    <row r="685" spans="12:21" x14ac:dyDescent="0.25">
      <c r="L685" s="20">
        <f t="shared" si="71"/>
        <v>0</v>
      </c>
      <c r="M685" s="14" t="e">
        <f>VLOOKUP(G685,Sell!G:L,1,0)</f>
        <v>#N/A</v>
      </c>
      <c r="N685" s="14">
        <f>IFERROR(VLOOKUP(G685,Sell!G:L,2,0),0)</f>
        <v>0</v>
      </c>
      <c r="O685" s="13">
        <f>IFERROR(VLOOKUP(G685,Sell!G:L,6,0),0)</f>
        <v>0</v>
      </c>
      <c r="P685" s="14">
        <f t="shared" si="70"/>
        <v>0</v>
      </c>
      <c r="Q685" s="13">
        <f t="shared" si="72"/>
        <v>0</v>
      </c>
      <c r="R685" s="13">
        <f t="shared" si="73"/>
        <v>0</v>
      </c>
      <c r="S685" s="13">
        <f t="shared" si="74"/>
        <v>0</v>
      </c>
      <c r="T685" s="13">
        <f t="shared" si="75"/>
        <v>0</v>
      </c>
      <c r="U685" s="15" t="str">
        <f t="shared" si="76"/>
        <v/>
      </c>
    </row>
    <row r="686" spans="12:21" x14ac:dyDescent="0.25">
      <c r="L686" s="20">
        <f t="shared" si="71"/>
        <v>0</v>
      </c>
      <c r="M686" s="14" t="e">
        <f>VLOOKUP(G686,Sell!G:L,1,0)</f>
        <v>#N/A</v>
      </c>
      <c r="N686" s="14">
        <f>IFERROR(VLOOKUP(G686,Sell!G:L,2,0),0)</f>
        <v>0</v>
      </c>
      <c r="O686" s="13">
        <f>IFERROR(VLOOKUP(G686,Sell!G:L,6,0),0)</f>
        <v>0</v>
      </c>
      <c r="P686" s="14">
        <f t="shared" si="70"/>
        <v>0</v>
      </c>
      <c r="Q686" s="13">
        <f t="shared" si="72"/>
        <v>0</v>
      </c>
      <c r="R686" s="13">
        <f t="shared" si="73"/>
        <v>0</v>
      </c>
      <c r="S686" s="13">
        <f t="shared" si="74"/>
        <v>0</v>
      </c>
      <c r="T686" s="13">
        <f t="shared" si="75"/>
        <v>0</v>
      </c>
      <c r="U686" s="15" t="str">
        <f t="shared" si="76"/>
        <v/>
      </c>
    </row>
    <row r="687" spans="12:21" x14ac:dyDescent="0.25">
      <c r="L687" s="20">
        <f t="shared" si="71"/>
        <v>0</v>
      </c>
      <c r="M687" s="14" t="e">
        <f>VLOOKUP(G687,Sell!G:L,1,0)</f>
        <v>#N/A</v>
      </c>
      <c r="N687" s="14">
        <f>IFERROR(VLOOKUP(G687,Sell!G:L,2,0),0)</f>
        <v>0</v>
      </c>
      <c r="O687" s="13">
        <f>IFERROR(VLOOKUP(G687,Sell!G:L,6,0),0)</f>
        <v>0</v>
      </c>
      <c r="P687" s="14">
        <f t="shared" si="70"/>
        <v>0</v>
      </c>
      <c r="Q687" s="13">
        <f t="shared" si="72"/>
        <v>0</v>
      </c>
      <c r="R687" s="13">
        <f t="shared" si="73"/>
        <v>0</v>
      </c>
      <c r="S687" s="13">
        <f t="shared" si="74"/>
        <v>0</v>
      </c>
      <c r="T687" s="13">
        <f t="shared" si="75"/>
        <v>0</v>
      </c>
      <c r="U687" s="15" t="str">
        <f t="shared" si="76"/>
        <v/>
      </c>
    </row>
    <row r="688" spans="12:21" x14ac:dyDescent="0.25">
      <c r="L688" s="20">
        <f t="shared" si="71"/>
        <v>0</v>
      </c>
      <c r="M688" s="14" t="e">
        <f>VLOOKUP(G688,Sell!G:L,1,0)</f>
        <v>#N/A</v>
      </c>
      <c r="N688" s="14">
        <f>IFERROR(VLOOKUP(G688,Sell!G:L,2,0),0)</f>
        <v>0</v>
      </c>
      <c r="O688" s="13">
        <f>IFERROR(VLOOKUP(G688,Sell!G:L,6,0),0)</f>
        <v>0</v>
      </c>
      <c r="P688" s="14">
        <f t="shared" si="70"/>
        <v>0</v>
      </c>
      <c r="Q688" s="13">
        <f t="shared" si="72"/>
        <v>0</v>
      </c>
      <c r="R688" s="13">
        <f t="shared" si="73"/>
        <v>0</v>
      </c>
      <c r="S688" s="13">
        <f t="shared" si="74"/>
        <v>0</v>
      </c>
      <c r="T688" s="13">
        <f t="shared" si="75"/>
        <v>0</v>
      </c>
      <c r="U688" s="15" t="str">
        <f t="shared" si="76"/>
        <v/>
      </c>
    </row>
    <row r="689" spans="12:21" x14ac:dyDescent="0.25">
      <c r="L689" s="20">
        <f t="shared" si="71"/>
        <v>0</v>
      </c>
      <c r="M689" s="14" t="e">
        <f>VLOOKUP(G689,Sell!G:L,1,0)</f>
        <v>#N/A</v>
      </c>
      <c r="N689" s="14">
        <f>IFERROR(VLOOKUP(G689,Sell!G:L,2,0),0)</f>
        <v>0</v>
      </c>
      <c r="O689" s="13">
        <f>IFERROR(VLOOKUP(G689,Sell!G:L,6,0),0)</f>
        <v>0</v>
      </c>
      <c r="P689" s="14">
        <f t="shared" si="70"/>
        <v>0</v>
      </c>
      <c r="Q689" s="13">
        <f t="shared" si="72"/>
        <v>0</v>
      </c>
      <c r="R689" s="13">
        <f t="shared" si="73"/>
        <v>0</v>
      </c>
      <c r="S689" s="13">
        <f t="shared" si="74"/>
        <v>0</v>
      </c>
      <c r="T689" s="13">
        <f t="shared" si="75"/>
        <v>0</v>
      </c>
      <c r="U689" s="15" t="str">
        <f t="shared" si="76"/>
        <v/>
      </c>
    </row>
    <row r="690" spans="12:21" x14ac:dyDescent="0.25">
      <c r="L690" s="20">
        <f t="shared" si="71"/>
        <v>0</v>
      </c>
      <c r="M690" s="14" t="e">
        <f>VLOOKUP(G690,Sell!G:L,1,0)</f>
        <v>#N/A</v>
      </c>
      <c r="N690" s="14">
        <f>IFERROR(VLOOKUP(G690,Sell!G:L,2,0),0)</f>
        <v>0</v>
      </c>
      <c r="O690" s="13">
        <f>IFERROR(VLOOKUP(G690,Sell!G:L,6,0),0)</f>
        <v>0</v>
      </c>
      <c r="P690" s="14">
        <f t="shared" si="70"/>
        <v>0</v>
      </c>
      <c r="Q690" s="13">
        <f t="shared" si="72"/>
        <v>0</v>
      </c>
      <c r="R690" s="13">
        <f t="shared" si="73"/>
        <v>0</v>
      </c>
      <c r="S690" s="13">
        <f t="shared" si="74"/>
        <v>0</v>
      </c>
      <c r="T690" s="13">
        <f t="shared" si="75"/>
        <v>0</v>
      </c>
      <c r="U690" s="15" t="str">
        <f t="shared" si="76"/>
        <v/>
      </c>
    </row>
    <row r="691" spans="12:21" x14ac:dyDescent="0.25">
      <c r="L691" s="20">
        <f t="shared" si="71"/>
        <v>0</v>
      </c>
      <c r="M691" s="14" t="e">
        <f>VLOOKUP(G691,Sell!G:L,1,0)</f>
        <v>#N/A</v>
      </c>
      <c r="N691" s="14">
        <f>IFERROR(VLOOKUP(G691,Sell!G:L,2,0),0)</f>
        <v>0</v>
      </c>
      <c r="O691" s="13">
        <f>IFERROR(VLOOKUP(G691,Sell!G:L,6,0),0)</f>
        <v>0</v>
      </c>
      <c r="P691" s="14">
        <f t="shared" si="70"/>
        <v>0</v>
      </c>
      <c r="Q691" s="13">
        <f t="shared" si="72"/>
        <v>0</v>
      </c>
      <c r="R691" s="13">
        <f t="shared" si="73"/>
        <v>0</v>
      </c>
      <c r="S691" s="13">
        <f t="shared" si="74"/>
        <v>0</v>
      </c>
      <c r="T691" s="13">
        <f t="shared" si="75"/>
        <v>0</v>
      </c>
      <c r="U691" s="15" t="str">
        <f t="shared" si="76"/>
        <v/>
      </c>
    </row>
    <row r="692" spans="12:21" x14ac:dyDescent="0.25">
      <c r="L692" s="20">
        <f t="shared" si="71"/>
        <v>0</v>
      </c>
      <c r="M692" s="14" t="e">
        <f>VLOOKUP(G692,Sell!G:L,1,0)</f>
        <v>#N/A</v>
      </c>
      <c r="N692" s="14">
        <f>IFERROR(VLOOKUP(G692,Sell!G:L,2,0),0)</f>
        <v>0</v>
      </c>
      <c r="O692" s="13">
        <f>IFERROR(VLOOKUP(G692,Sell!G:L,6,0),0)</f>
        <v>0</v>
      </c>
      <c r="P692" s="14">
        <f t="shared" si="70"/>
        <v>0</v>
      </c>
      <c r="Q692" s="13">
        <f t="shared" si="72"/>
        <v>0</v>
      </c>
      <c r="R692" s="13">
        <f t="shared" si="73"/>
        <v>0</v>
      </c>
      <c r="S692" s="13">
        <f t="shared" si="74"/>
        <v>0</v>
      </c>
      <c r="T692" s="13">
        <f t="shared" si="75"/>
        <v>0</v>
      </c>
      <c r="U692" s="15" t="str">
        <f t="shared" si="76"/>
        <v/>
      </c>
    </row>
    <row r="693" spans="12:21" x14ac:dyDescent="0.25">
      <c r="L693" s="20">
        <f t="shared" si="71"/>
        <v>0</v>
      </c>
      <c r="M693" s="14" t="e">
        <f>VLOOKUP(G693,Sell!G:L,1,0)</f>
        <v>#N/A</v>
      </c>
      <c r="N693" s="14">
        <f>IFERROR(VLOOKUP(G693,Sell!G:L,2,0),0)</f>
        <v>0</v>
      </c>
      <c r="O693" s="13">
        <f>IFERROR(VLOOKUP(G693,Sell!G:L,6,0),0)</f>
        <v>0</v>
      </c>
      <c r="P693" s="14">
        <f t="shared" si="70"/>
        <v>0</v>
      </c>
      <c r="Q693" s="13">
        <f t="shared" si="72"/>
        <v>0</v>
      </c>
      <c r="R693" s="13">
        <f t="shared" si="73"/>
        <v>0</v>
      </c>
      <c r="S693" s="13">
        <f t="shared" si="74"/>
        <v>0</v>
      </c>
      <c r="T693" s="13">
        <f t="shared" si="75"/>
        <v>0</v>
      </c>
      <c r="U693" s="15" t="str">
        <f t="shared" si="76"/>
        <v/>
      </c>
    </row>
    <row r="694" spans="12:21" x14ac:dyDescent="0.25">
      <c r="L694" s="20">
        <f t="shared" si="71"/>
        <v>0</v>
      </c>
      <c r="M694" s="14" t="e">
        <f>VLOOKUP(G694,Sell!G:L,1,0)</f>
        <v>#N/A</v>
      </c>
      <c r="N694" s="14">
        <f>IFERROR(VLOOKUP(G694,Sell!G:L,2,0),0)</f>
        <v>0</v>
      </c>
      <c r="O694" s="13">
        <f>IFERROR(VLOOKUP(G694,Sell!G:L,6,0),0)</f>
        <v>0</v>
      </c>
      <c r="P694" s="14">
        <f t="shared" si="70"/>
        <v>0</v>
      </c>
      <c r="Q694" s="13">
        <f t="shared" si="72"/>
        <v>0</v>
      </c>
      <c r="R694" s="13">
        <f t="shared" si="73"/>
        <v>0</v>
      </c>
      <c r="S694" s="13">
        <f t="shared" si="74"/>
        <v>0</v>
      </c>
      <c r="T694" s="13">
        <f t="shared" si="75"/>
        <v>0</v>
      </c>
      <c r="U694" s="15" t="str">
        <f t="shared" si="76"/>
        <v/>
      </c>
    </row>
    <row r="695" spans="12:21" x14ac:dyDescent="0.25">
      <c r="L695" s="20">
        <f t="shared" si="71"/>
        <v>0</v>
      </c>
      <c r="M695" s="14" t="e">
        <f>VLOOKUP(G695,Sell!G:L,1,0)</f>
        <v>#N/A</v>
      </c>
      <c r="N695" s="14">
        <f>IFERROR(VLOOKUP(G695,Sell!G:L,2,0),0)</f>
        <v>0</v>
      </c>
      <c r="O695" s="13">
        <f>IFERROR(VLOOKUP(G695,Sell!G:L,6,0),0)</f>
        <v>0</v>
      </c>
      <c r="P695" s="14">
        <f t="shared" si="70"/>
        <v>0</v>
      </c>
      <c r="Q695" s="13">
        <f t="shared" si="72"/>
        <v>0</v>
      </c>
      <c r="R695" s="13">
        <f t="shared" si="73"/>
        <v>0</v>
      </c>
      <c r="S695" s="13">
        <f t="shared" si="74"/>
        <v>0</v>
      </c>
      <c r="T695" s="13">
        <f t="shared" si="75"/>
        <v>0</v>
      </c>
      <c r="U695" s="15" t="str">
        <f t="shared" si="76"/>
        <v/>
      </c>
    </row>
    <row r="696" spans="12:21" x14ac:dyDescent="0.25">
      <c r="L696" s="20">
        <f t="shared" si="71"/>
        <v>0</v>
      </c>
      <c r="M696" s="14" t="e">
        <f>VLOOKUP(G696,Sell!G:L,1,0)</f>
        <v>#N/A</v>
      </c>
      <c r="N696" s="14">
        <f>IFERROR(VLOOKUP(G696,Sell!G:L,2,0),0)</f>
        <v>0</v>
      </c>
      <c r="O696" s="13">
        <f>IFERROR(VLOOKUP(G696,Sell!G:L,6,0),0)</f>
        <v>0</v>
      </c>
      <c r="P696" s="14">
        <f t="shared" si="70"/>
        <v>0</v>
      </c>
      <c r="Q696" s="13">
        <f t="shared" si="72"/>
        <v>0</v>
      </c>
      <c r="R696" s="13">
        <f t="shared" si="73"/>
        <v>0</v>
      </c>
      <c r="S696" s="13">
        <f t="shared" si="74"/>
        <v>0</v>
      </c>
      <c r="T696" s="13">
        <f t="shared" si="75"/>
        <v>0</v>
      </c>
      <c r="U696" s="15" t="str">
        <f t="shared" si="76"/>
        <v/>
      </c>
    </row>
    <row r="697" spans="12:21" x14ac:dyDescent="0.25">
      <c r="L697" s="20">
        <f t="shared" si="71"/>
        <v>0</v>
      </c>
      <c r="M697" s="14" t="e">
        <f>VLOOKUP(G697,Sell!G:L,1,0)</f>
        <v>#N/A</v>
      </c>
      <c r="N697" s="14">
        <f>IFERROR(VLOOKUP(G697,Sell!G:L,2,0),0)</f>
        <v>0</v>
      </c>
      <c r="O697" s="13">
        <f>IFERROR(VLOOKUP(G697,Sell!G:L,6,0),0)</f>
        <v>0</v>
      </c>
      <c r="P697" s="14">
        <f t="shared" si="70"/>
        <v>0</v>
      </c>
      <c r="Q697" s="13">
        <f t="shared" si="72"/>
        <v>0</v>
      </c>
      <c r="R697" s="13">
        <f t="shared" si="73"/>
        <v>0</v>
      </c>
      <c r="S697" s="13">
        <f t="shared" si="74"/>
        <v>0</v>
      </c>
      <c r="T697" s="13">
        <f t="shared" si="75"/>
        <v>0</v>
      </c>
      <c r="U697" s="15" t="str">
        <f t="shared" si="76"/>
        <v/>
      </c>
    </row>
    <row r="698" spans="12:21" x14ac:dyDescent="0.25">
      <c r="L698" s="20">
        <f t="shared" si="71"/>
        <v>0</v>
      </c>
      <c r="M698" s="14" t="e">
        <f>VLOOKUP(G698,Sell!G:L,1,0)</f>
        <v>#N/A</v>
      </c>
      <c r="N698" s="14">
        <f>IFERROR(VLOOKUP(G698,Sell!G:L,2,0),0)</f>
        <v>0</v>
      </c>
      <c r="O698" s="13">
        <f>IFERROR(VLOOKUP(G698,Sell!G:L,6,0),0)</f>
        <v>0</v>
      </c>
      <c r="P698" s="14">
        <f t="shared" si="70"/>
        <v>0</v>
      </c>
      <c r="Q698" s="13">
        <f t="shared" si="72"/>
        <v>0</v>
      </c>
      <c r="R698" s="13">
        <f t="shared" si="73"/>
        <v>0</v>
      </c>
      <c r="S698" s="13">
        <f t="shared" si="74"/>
        <v>0</v>
      </c>
      <c r="T698" s="13">
        <f t="shared" si="75"/>
        <v>0</v>
      </c>
      <c r="U698" s="15" t="str">
        <f t="shared" si="76"/>
        <v/>
      </c>
    </row>
    <row r="699" spans="12:21" x14ac:dyDescent="0.25">
      <c r="L699" s="20">
        <f t="shared" si="71"/>
        <v>0</v>
      </c>
      <c r="M699" s="14" t="e">
        <f>VLOOKUP(G699,Sell!G:L,1,0)</f>
        <v>#N/A</v>
      </c>
      <c r="N699" s="14">
        <f>IFERROR(VLOOKUP(G699,Sell!G:L,2,0),0)</f>
        <v>0</v>
      </c>
      <c r="O699" s="13">
        <f>IFERROR(VLOOKUP(G699,Sell!G:L,6,0),0)</f>
        <v>0</v>
      </c>
      <c r="P699" s="14">
        <f t="shared" si="70"/>
        <v>0</v>
      </c>
      <c r="Q699" s="13">
        <f t="shared" si="72"/>
        <v>0</v>
      </c>
      <c r="R699" s="13">
        <f t="shared" si="73"/>
        <v>0</v>
      </c>
      <c r="S699" s="13">
        <f t="shared" si="74"/>
        <v>0</v>
      </c>
      <c r="T699" s="13">
        <f t="shared" si="75"/>
        <v>0</v>
      </c>
      <c r="U699" s="15" t="str">
        <f t="shared" si="76"/>
        <v/>
      </c>
    </row>
    <row r="700" spans="12:21" x14ac:dyDescent="0.25">
      <c r="L700" s="20">
        <f t="shared" si="71"/>
        <v>0</v>
      </c>
      <c r="M700" s="14" t="e">
        <f>VLOOKUP(G700,Sell!G:L,1,0)</f>
        <v>#N/A</v>
      </c>
      <c r="N700" s="14">
        <f>IFERROR(VLOOKUP(G700,Sell!G:L,2,0),0)</f>
        <v>0</v>
      </c>
      <c r="O700" s="13">
        <f>IFERROR(VLOOKUP(G700,Sell!G:L,6,0),0)</f>
        <v>0</v>
      </c>
      <c r="P700" s="14">
        <f t="shared" si="70"/>
        <v>0</v>
      </c>
      <c r="Q700" s="13">
        <f t="shared" si="72"/>
        <v>0</v>
      </c>
      <c r="R700" s="13">
        <f t="shared" si="73"/>
        <v>0</v>
      </c>
      <c r="S700" s="13">
        <f t="shared" si="74"/>
        <v>0</v>
      </c>
      <c r="T700" s="13">
        <f t="shared" si="75"/>
        <v>0</v>
      </c>
      <c r="U700" s="15" t="str">
        <f t="shared" si="76"/>
        <v/>
      </c>
    </row>
    <row r="701" spans="12:21" x14ac:dyDescent="0.25">
      <c r="L701" s="20">
        <f t="shared" si="71"/>
        <v>0</v>
      </c>
      <c r="M701" s="14" t="e">
        <f>VLOOKUP(G701,Sell!G:L,1,0)</f>
        <v>#N/A</v>
      </c>
      <c r="N701" s="14">
        <f>IFERROR(VLOOKUP(G701,Sell!G:L,2,0),0)</f>
        <v>0</v>
      </c>
      <c r="O701" s="13">
        <f>IFERROR(VLOOKUP(G701,Sell!G:L,6,0),0)</f>
        <v>0</v>
      </c>
      <c r="P701" s="14">
        <f t="shared" si="70"/>
        <v>0</v>
      </c>
      <c r="Q701" s="13">
        <f t="shared" si="72"/>
        <v>0</v>
      </c>
      <c r="R701" s="13">
        <f t="shared" si="73"/>
        <v>0</v>
      </c>
      <c r="S701" s="13">
        <f t="shared" si="74"/>
        <v>0</v>
      </c>
      <c r="T701" s="13">
        <f t="shared" si="75"/>
        <v>0</v>
      </c>
      <c r="U701" s="15" t="str">
        <f t="shared" si="76"/>
        <v/>
      </c>
    </row>
    <row r="702" spans="12:21" x14ac:dyDescent="0.25">
      <c r="L702" s="20">
        <f t="shared" si="71"/>
        <v>0</v>
      </c>
      <c r="M702" s="14" t="e">
        <f>VLOOKUP(G702,Sell!G:L,1,0)</f>
        <v>#N/A</v>
      </c>
      <c r="N702" s="14">
        <f>IFERROR(VLOOKUP(G702,Sell!G:L,2,0),0)</f>
        <v>0</v>
      </c>
      <c r="O702" s="13">
        <f>IFERROR(VLOOKUP(G702,Sell!G:L,6,0),0)</f>
        <v>0</v>
      </c>
      <c r="P702" s="14">
        <f t="shared" si="70"/>
        <v>0</v>
      </c>
      <c r="Q702" s="13">
        <f t="shared" si="72"/>
        <v>0</v>
      </c>
      <c r="R702" s="13">
        <f t="shared" si="73"/>
        <v>0</v>
      </c>
      <c r="S702" s="13">
        <f t="shared" si="74"/>
        <v>0</v>
      </c>
      <c r="T702" s="13">
        <f t="shared" si="75"/>
        <v>0</v>
      </c>
      <c r="U702" s="15" t="str">
        <f t="shared" si="76"/>
        <v/>
      </c>
    </row>
    <row r="703" spans="12:21" x14ac:dyDescent="0.25">
      <c r="L703" s="20">
        <f t="shared" si="71"/>
        <v>0</v>
      </c>
      <c r="M703" s="14" t="e">
        <f>VLOOKUP(G703,Sell!G:L,1,0)</f>
        <v>#N/A</v>
      </c>
      <c r="N703" s="14">
        <f>IFERROR(VLOOKUP(G703,Sell!G:L,2,0),0)</f>
        <v>0</v>
      </c>
      <c r="O703" s="13">
        <f>IFERROR(VLOOKUP(G703,Sell!G:L,6,0),0)</f>
        <v>0</v>
      </c>
      <c r="P703" s="14">
        <f t="shared" si="70"/>
        <v>0</v>
      </c>
      <c r="Q703" s="13">
        <f t="shared" si="72"/>
        <v>0</v>
      </c>
      <c r="R703" s="13">
        <f t="shared" si="73"/>
        <v>0</v>
      </c>
      <c r="S703" s="13">
        <f t="shared" si="74"/>
        <v>0</v>
      </c>
      <c r="T703" s="13">
        <f t="shared" si="75"/>
        <v>0</v>
      </c>
      <c r="U703" s="15" t="str">
        <f t="shared" si="76"/>
        <v/>
      </c>
    </row>
    <row r="704" spans="12:21" x14ac:dyDescent="0.25">
      <c r="L704" s="20">
        <f t="shared" si="71"/>
        <v>0</v>
      </c>
      <c r="M704" s="14" t="e">
        <f>VLOOKUP(G704,Sell!G:L,1,0)</f>
        <v>#N/A</v>
      </c>
      <c r="N704" s="14">
        <f>IFERROR(VLOOKUP(G704,Sell!G:L,2,0),0)</f>
        <v>0</v>
      </c>
      <c r="O704" s="13">
        <f>IFERROR(VLOOKUP(G704,Sell!G:L,6,0),0)</f>
        <v>0</v>
      </c>
      <c r="P704" s="14">
        <f t="shared" si="70"/>
        <v>0</v>
      </c>
      <c r="Q704" s="13">
        <f t="shared" si="72"/>
        <v>0</v>
      </c>
      <c r="R704" s="13">
        <f t="shared" si="73"/>
        <v>0</v>
      </c>
      <c r="S704" s="13">
        <f t="shared" si="74"/>
        <v>0</v>
      </c>
      <c r="T704" s="13">
        <f t="shared" si="75"/>
        <v>0</v>
      </c>
      <c r="U704" s="15" t="str">
        <f t="shared" si="76"/>
        <v/>
      </c>
    </row>
    <row r="705" spans="12:21" x14ac:dyDescent="0.25">
      <c r="L705" s="20">
        <f t="shared" si="71"/>
        <v>0</v>
      </c>
      <c r="M705" s="14" t="e">
        <f>VLOOKUP(G705,Sell!G:L,1,0)</f>
        <v>#N/A</v>
      </c>
      <c r="N705" s="14">
        <f>IFERROR(VLOOKUP(G705,Sell!G:L,2,0),0)</f>
        <v>0</v>
      </c>
      <c r="O705" s="13">
        <f>IFERROR(VLOOKUP(G705,Sell!G:L,6,0),0)</f>
        <v>0</v>
      </c>
      <c r="P705" s="14">
        <f t="shared" si="70"/>
        <v>0</v>
      </c>
      <c r="Q705" s="13">
        <f t="shared" si="72"/>
        <v>0</v>
      </c>
      <c r="R705" s="13">
        <f t="shared" si="73"/>
        <v>0</v>
      </c>
      <c r="S705" s="13">
        <f t="shared" si="74"/>
        <v>0</v>
      </c>
      <c r="T705" s="13">
        <f t="shared" si="75"/>
        <v>0</v>
      </c>
      <c r="U705" s="15" t="str">
        <f t="shared" si="76"/>
        <v/>
      </c>
    </row>
    <row r="706" spans="12:21" x14ac:dyDescent="0.25">
      <c r="L706" s="20">
        <f t="shared" si="71"/>
        <v>0</v>
      </c>
      <c r="M706" s="14" t="e">
        <f>VLOOKUP(G706,Sell!G:L,1,0)</f>
        <v>#N/A</v>
      </c>
      <c r="N706" s="14">
        <f>IFERROR(VLOOKUP(G706,Sell!G:L,2,0),0)</f>
        <v>0</v>
      </c>
      <c r="O706" s="13">
        <f>IFERROR(VLOOKUP(G706,Sell!G:L,6,0),0)</f>
        <v>0</v>
      </c>
      <c r="P706" s="14">
        <f t="shared" si="70"/>
        <v>0</v>
      </c>
      <c r="Q706" s="13">
        <f t="shared" si="72"/>
        <v>0</v>
      </c>
      <c r="R706" s="13">
        <f t="shared" si="73"/>
        <v>0</v>
      </c>
      <c r="S706" s="13">
        <f t="shared" si="74"/>
        <v>0</v>
      </c>
      <c r="T706" s="13">
        <f t="shared" si="75"/>
        <v>0</v>
      </c>
      <c r="U706" s="15" t="str">
        <f t="shared" si="76"/>
        <v/>
      </c>
    </row>
    <row r="707" spans="12:21" x14ac:dyDescent="0.25">
      <c r="L707" s="20">
        <f t="shared" si="71"/>
        <v>0</v>
      </c>
      <c r="M707" s="14" t="e">
        <f>VLOOKUP(G707,Sell!G:L,1,0)</f>
        <v>#N/A</v>
      </c>
      <c r="N707" s="14">
        <f>IFERROR(VLOOKUP(G707,Sell!G:L,2,0),0)</f>
        <v>0</v>
      </c>
      <c r="O707" s="13">
        <f>IFERROR(VLOOKUP(G707,Sell!G:L,6,0),0)</f>
        <v>0</v>
      </c>
      <c r="P707" s="14">
        <f t="shared" si="70"/>
        <v>0</v>
      </c>
      <c r="Q707" s="13">
        <f t="shared" si="72"/>
        <v>0</v>
      </c>
      <c r="R707" s="13">
        <f t="shared" si="73"/>
        <v>0</v>
      </c>
      <c r="S707" s="13">
        <f t="shared" si="74"/>
        <v>0</v>
      </c>
      <c r="T707" s="13">
        <f t="shared" si="75"/>
        <v>0</v>
      </c>
      <c r="U707" s="15" t="str">
        <f t="shared" si="76"/>
        <v/>
      </c>
    </row>
    <row r="708" spans="12:21" x14ac:dyDescent="0.25">
      <c r="L708" s="20">
        <f t="shared" si="71"/>
        <v>0</v>
      </c>
      <c r="M708" s="14" t="e">
        <f>VLOOKUP(G708,Sell!G:L,1,0)</f>
        <v>#N/A</v>
      </c>
      <c r="N708" s="14">
        <f>IFERROR(VLOOKUP(G708,Sell!G:L,2,0),0)</f>
        <v>0</v>
      </c>
      <c r="O708" s="13">
        <f>IFERROR(VLOOKUP(G708,Sell!G:L,6,0),0)</f>
        <v>0</v>
      </c>
      <c r="P708" s="14">
        <f t="shared" si="70"/>
        <v>0</v>
      </c>
      <c r="Q708" s="13">
        <f t="shared" si="72"/>
        <v>0</v>
      </c>
      <c r="R708" s="13">
        <f t="shared" si="73"/>
        <v>0</v>
      </c>
      <c r="S708" s="13">
        <f t="shared" si="74"/>
        <v>0</v>
      </c>
      <c r="T708" s="13">
        <f t="shared" si="75"/>
        <v>0</v>
      </c>
      <c r="U708" s="15" t="str">
        <f t="shared" si="76"/>
        <v/>
      </c>
    </row>
    <row r="709" spans="12:21" x14ac:dyDescent="0.25">
      <c r="L709" s="20">
        <f t="shared" si="71"/>
        <v>0</v>
      </c>
      <c r="M709" s="14" t="e">
        <f>VLOOKUP(G709,Sell!G:L,1,0)</f>
        <v>#N/A</v>
      </c>
      <c r="N709" s="14">
        <f>IFERROR(VLOOKUP(G709,Sell!G:L,2,0),0)</f>
        <v>0</v>
      </c>
      <c r="O709" s="13">
        <f>IFERROR(VLOOKUP(G709,Sell!G:L,6,0),0)</f>
        <v>0</v>
      </c>
      <c r="P709" s="14">
        <f t="shared" si="70"/>
        <v>0</v>
      </c>
      <c r="Q709" s="13">
        <f t="shared" si="72"/>
        <v>0</v>
      </c>
      <c r="R709" s="13">
        <f t="shared" si="73"/>
        <v>0</v>
      </c>
      <c r="S709" s="13">
        <f t="shared" si="74"/>
        <v>0</v>
      </c>
      <c r="T709" s="13">
        <f t="shared" si="75"/>
        <v>0</v>
      </c>
      <c r="U709" s="15" t="str">
        <f t="shared" si="76"/>
        <v/>
      </c>
    </row>
    <row r="710" spans="12:21" x14ac:dyDescent="0.25">
      <c r="L710" s="20">
        <f t="shared" si="71"/>
        <v>0</v>
      </c>
      <c r="M710" s="14" t="e">
        <f>VLOOKUP(G710,Sell!G:L,1,0)</f>
        <v>#N/A</v>
      </c>
      <c r="N710" s="14">
        <f>IFERROR(VLOOKUP(G710,Sell!G:L,2,0),0)</f>
        <v>0</v>
      </c>
      <c r="O710" s="13">
        <f>IFERROR(VLOOKUP(G710,Sell!G:L,6,0),0)</f>
        <v>0</v>
      </c>
      <c r="P710" s="14">
        <f t="shared" si="70"/>
        <v>0</v>
      </c>
      <c r="Q710" s="13">
        <f t="shared" si="72"/>
        <v>0</v>
      </c>
      <c r="R710" s="13">
        <f t="shared" si="73"/>
        <v>0</v>
      </c>
      <c r="S710" s="13">
        <f t="shared" si="74"/>
        <v>0</v>
      </c>
      <c r="T710" s="13">
        <f t="shared" si="75"/>
        <v>0</v>
      </c>
      <c r="U710" s="15" t="str">
        <f t="shared" si="76"/>
        <v/>
      </c>
    </row>
    <row r="711" spans="12:21" x14ac:dyDescent="0.25">
      <c r="L711" s="20">
        <f t="shared" si="71"/>
        <v>0</v>
      </c>
      <c r="M711" s="14" t="e">
        <f>VLOOKUP(G711,Sell!G:L,1,0)</f>
        <v>#N/A</v>
      </c>
      <c r="N711" s="14">
        <f>IFERROR(VLOOKUP(G711,Sell!G:L,2,0),0)</f>
        <v>0</v>
      </c>
      <c r="O711" s="13">
        <f>IFERROR(VLOOKUP(G711,Sell!G:L,6,0),0)</f>
        <v>0</v>
      </c>
      <c r="P711" s="14">
        <f t="shared" si="70"/>
        <v>0</v>
      </c>
      <c r="Q711" s="13">
        <f t="shared" si="72"/>
        <v>0</v>
      </c>
      <c r="R711" s="13">
        <f t="shared" si="73"/>
        <v>0</v>
      </c>
      <c r="S711" s="13">
        <f t="shared" si="74"/>
        <v>0</v>
      </c>
      <c r="T711" s="13">
        <f t="shared" si="75"/>
        <v>0</v>
      </c>
      <c r="U711" s="15" t="str">
        <f t="shared" si="76"/>
        <v/>
      </c>
    </row>
    <row r="712" spans="12:21" x14ac:dyDescent="0.25">
      <c r="L712" s="20">
        <f t="shared" si="71"/>
        <v>0</v>
      </c>
      <c r="M712" s="14" t="e">
        <f>VLOOKUP(G712,Sell!G:L,1,0)</f>
        <v>#N/A</v>
      </c>
      <c r="N712" s="14">
        <f>IFERROR(VLOOKUP(G712,Sell!G:L,2,0),0)</f>
        <v>0</v>
      </c>
      <c r="O712" s="13">
        <f>IFERROR(VLOOKUP(G712,Sell!G:L,6,0),0)</f>
        <v>0</v>
      </c>
      <c r="P712" s="14">
        <f t="shared" si="70"/>
        <v>0</v>
      </c>
      <c r="Q712" s="13">
        <f t="shared" si="72"/>
        <v>0</v>
      </c>
      <c r="R712" s="13">
        <f t="shared" si="73"/>
        <v>0</v>
      </c>
      <c r="S712" s="13">
        <f t="shared" si="74"/>
        <v>0</v>
      </c>
      <c r="T712" s="13">
        <f t="shared" si="75"/>
        <v>0</v>
      </c>
      <c r="U712" s="15" t="str">
        <f t="shared" si="76"/>
        <v/>
      </c>
    </row>
    <row r="713" spans="12:21" x14ac:dyDescent="0.25">
      <c r="L713" s="20">
        <f t="shared" si="71"/>
        <v>0</v>
      </c>
      <c r="M713" s="14" t="e">
        <f>VLOOKUP(G713,Sell!G:L,1,0)</f>
        <v>#N/A</v>
      </c>
      <c r="N713" s="14">
        <f>IFERROR(VLOOKUP(G713,Sell!G:L,2,0),0)</f>
        <v>0</v>
      </c>
      <c r="O713" s="13">
        <f>IFERROR(VLOOKUP(G713,Sell!G:L,6,0),0)</f>
        <v>0</v>
      </c>
      <c r="P713" s="14">
        <f t="shared" si="70"/>
        <v>0</v>
      </c>
      <c r="Q713" s="13">
        <f t="shared" si="72"/>
        <v>0</v>
      </c>
      <c r="R713" s="13">
        <f t="shared" si="73"/>
        <v>0</v>
      </c>
      <c r="S713" s="13">
        <f t="shared" si="74"/>
        <v>0</v>
      </c>
      <c r="T713" s="13">
        <f t="shared" si="75"/>
        <v>0</v>
      </c>
      <c r="U713" s="15" t="str">
        <f t="shared" si="76"/>
        <v/>
      </c>
    </row>
    <row r="714" spans="12:21" x14ac:dyDescent="0.25">
      <c r="L714" s="20">
        <f t="shared" si="71"/>
        <v>0</v>
      </c>
      <c r="M714" s="14" t="e">
        <f>VLOOKUP(G714,Sell!G:L,1,0)</f>
        <v>#N/A</v>
      </c>
      <c r="N714" s="14">
        <f>IFERROR(VLOOKUP(G714,Sell!G:L,2,0),0)</f>
        <v>0</v>
      </c>
      <c r="O714" s="13">
        <f>IFERROR(VLOOKUP(G714,Sell!G:L,6,0),0)</f>
        <v>0</v>
      </c>
      <c r="P714" s="14">
        <f t="shared" ref="P714:P777" si="77">H714-N714</f>
        <v>0</v>
      </c>
      <c r="Q714" s="13">
        <f t="shared" si="72"/>
        <v>0</v>
      </c>
      <c r="R714" s="13">
        <f t="shared" si="73"/>
        <v>0</v>
      </c>
      <c r="S714" s="13">
        <f t="shared" si="74"/>
        <v>0</v>
      </c>
      <c r="T714" s="13">
        <f t="shared" si="75"/>
        <v>0</v>
      </c>
      <c r="U714" s="15" t="str">
        <f t="shared" si="76"/>
        <v/>
      </c>
    </row>
    <row r="715" spans="12:21" x14ac:dyDescent="0.25">
      <c r="L715" s="20">
        <f t="shared" ref="L715:L778" si="78">J715+K715</f>
        <v>0</v>
      </c>
      <c r="M715" s="14" t="e">
        <f>VLOOKUP(G715,Sell!G:L,1,0)</f>
        <v>#N/A</v>
      </c>
      <c r="N715" s="14">
        <f>IFERROR(VLOOKUP(G715,Sell!G:L,2,0),0)</f>
        <v>0</v>
      </c>
      <c r="O715" s="13">
        <f>IFERROR(VLOOKUP(G715,Sell!G:L,6,0),0)</f>
        <v>0</v>
      </c>
      <c r="P715" s="14">
        <f t="shared" si="77"/>
        <v>0</v>
      </c>
      <c r="Q715" s="13">
        <f t="shared" ref="Q715:Q778" si="79">O715-L715</f>
        <v>0</v>
      </c>
      <c r="R715" s="13">
        <f t="shared" ref="R715:R778" si="80">IF(P715=0,Q715,0)</f>
        <v>0</v>
      </c>
      <c r="S715" s="13">
        <f t="shared" ref="S715:S778" si="81">IF(R715&gt;0,R715,0)</f>
        <v>0</v>
      </c>
      <c r="T715" s="13">
        <f t="shared" ref="T715:T778" si="82">IF(R715&gt;0,0,R715)</f>
        <v>0</v>
      </c>
      <c r="U715" s="15" t="str">
        <f t="shared" ref="U715:U778" si="83">IF(AND(LEN(G715)&gt;0,R715=0),"Open","")</f>
        <v/>
      </c>
    </row>
    <row r="716" spans="12:21" x14ac:dyDescent="0.25">
      <c r="L716" s="20">
        <f t="shared" si="78"/>
        <v>0</v>
      </c>
      <c r="M716" s="14" t="e">
        <f>VLOOKUP(G716,Sell!G:L,1,0)</f>
        <v>#N/A</v>
      </c>
      <c r="N716" s="14">
        <f>IFERROR(VLOOKUP(G716,Sell!G:L,2,0),0)</f>
        <v>0</v>
      </c>
      <c r="O716" s="13">
        <f>IFERROR(VLOOKUP(G716,Sell!G:L,6,0),0)</f>
        <v>0</v>
      </c>
      <c r="P716" s="14">
        <f t="shared" si="77"/>
        <v>0</v>
      </c>
      <c r="Q716" s="13">
        <f t="shared" si="79"/>
        <v>0</v>
      </c>
      <c r="R716" s="13">
        <f t="shared" si="80"/>
        <v>0</v>
      </c>
      <c r="S716" s="13">
        <f t="shared" si="81"/>
        <v>0</v>
      </c>
      <c r="T716" s="13">
        <f t="shared" si="82"/>
        <v>0</v>
      </c>
      <c r="U716" s="15" t="str">
        <f t="shared" si="83"/>
        <v/>
      </c>
    </row>
    <row r="717" spans="12:21" x14ac:dyDescent="0.25">
      <c r="L717" s="20">
        <f t="shared" si="78"/>
        <v>0</v>
      </c>
      <c r="M717" s="14" t="e">
        <f>VLOOKUP(G717,Sell!G:L,1,0)</f>
        <v>#N/A</v>
      </c>
      <c r="N717" s="14">
        <f>IFERROR(VLOOKUP(G717,Sell!G:L,2,0),0)</f>
        <v>0</v>
      </c>
      <c r="O717" s="13">
        <f>IFERROR(VLOOKUP(G717,Sell!G:L,6,0),0)</f>
        <v>0</v>
      </c>
      <c r="P717" s="14">
        <f t="shared" si="77"/>
        <v>0</v>
      </c>
      <c r="Q717" s="13">
        <f t="shared" si="79"/>
        <v>0</v>
      </c>
      <c r="R717" s="13">
        <f t="shared" si="80"/>
        <v>0</v>
      </c>
      <c r="S717" s="13">
        <f t="shared" si="81"/>
        <v>0</v>
      </c>
      <c r="T717" s="13">
        <f t="shared" si="82"/>
        <v>0</v>
      </c>
      <c r="U717" s="15" t="str">
        <f t="shared" si="83"/>
        <v/>
      </c>
    </row>
    <row r="718" spans="12:21" x14ac:dyDescent="0.25">
      <c r="L718" s="20">
        <f t="shared" si="78"/>
        <v>0</v>
      </c>
      <c r="M718" s="14" t="e">
        <f>VLOOKUP(G718,Sell!G:L,1,0)</f>
        <v>#N/A</v>
      </c>
      <c r="N718" s="14">
        <f>IFERROR(VLOOKUP(G718,Sell!G:L,2,0),0)</f>
        <v>0</v>
      </c>
      <c r="O718" s="13">
        <f>IFERROR(VLOOKUP(G718,Sell!G:L,6,0),0)</f>
        <v>0</v>
      </c>
      <c r="P718" s="14">
        <f t="shared" si="77"/>
        <v>0</v>
      </c>
      <c r="Q718" s="13">
        <f t="shared" si="79"/>
        <v>0</v>
      </c>
      <c r="R718" s="13">
        <f t="shared" si="80"/>
        <v>0</v>
      </c>
      <c r="S718" s="13">
        <f t="shared" si="81"/>
        <v>0</v>
      </c>
      <c r="T718" s="13">
        <f t="shared" si="82"/>
        <v>0</v>
      </c>
      <c r="U718" s="15" t="str">
        <f t="shared" si="83"/>
        <v/>
      </c>
    </row>
    <row r="719" spans="12:21" x14ac:dyDescent="0.25">
      <c r="L719" s="20">
        <f t="shared" si="78"/>
        <v>0</v>
      </c>
      <c r="M719" s="14" t="e">
        <f>VLOOKUP(G719,Sell!G:L,1,0)</f>
        <v>#N/A</v>
      </c>
      <c r="N719" s="14">
        <f>IFERROR(VLOOKUP(G719,Sell!G:L,2,0),0)</f>
        <v>0</v>
      </c>
      <c r="O719" s="13">
        <f>IFERROR(VLOOKUP(G719,Sell!G:L,6,0),0)</f>
        <v>0</v>
      </c>
      <c r="P719" s="14">
        <f t="shared" si="77"/>
        <v>0</v>
      </c>
      <c r="Q719" s="13">
        <f t="shared" si="79"/>
        <v>0</v>
      </c>
      <c r="R719" s="13">
        <f t="shared" si="80"/>
        <v>0</v>
      </c>
      <c r="S719" s="13">
        <f t="shared" si="81"/>
        <v>0</v>
      </c>
      <c r="T719" s="13">
        <f t="shared" si="82"/>
        <v>0</v>
      </c>
      <c r="U719" s="15" t="str">
        <f t="shared" si="83"/>
        <v/>
      </c>
    </row>
    <row r="720" spans="12:21" x14ac:dyDescent="0.25">
      <c r="L720" s="20">
        <f t="shared" si="78"/>
        <v>0</v>
      </c>
      <c r="M720" s="14" t="e">
        <f>VLOOKUP(G720,Sell!G:L,1,0)</f>
        <v>#N/A</v>
      </c>
      <c r="N720" s="14">
        <f>IFERROR(VLOOKUP(G720,Sell!G:L,2,0),0)</f>
        <v>0</v>
      </c>
      <c r="O720" s="13">
        <f>IFERROR(VLOOKUP(G720,Sell!G:L,6,0),0)</f>
        <v>0</v>
      </c>
      <c r="P720" s="14">
        <f t="shared" si="77"/>
        <v>0</v>
      </c>
      <c r="Q720" s="13">
        <f t="shared" si="79"/>
        <v>0</v>
      </c>
      <c r="R720" s="13">
        <f t="shared" si="80"/>
        <v>0</v>
      </c>
      <c r="S720" s="13">
        <f t="shared" si="81"/>
        <v>0</v>
      </c>
      <c r="T720" s="13">
        <f t="shared" si="82"/>
        <v>0</v>
      </c>
      <c r="U720" s="15" t="str">
        <f t="shared" si="83"/>
        <v/>
      </c>
    </row>
    <row r="721" spans="12:21" x14ac:dyDescent="0.25">
      <c r="L721" s="20">
        <f t="shared" si="78"/>
        <v>0</v>
      </c>
      <c r="M721" s="14" t="e">
        <f>VLOOKUP(G721,Sell!G:L,1,0)</f>
        <v>#N/A</v>
      </c>
      <c r="N721" s="14">
        <f>IFERROR(VLOOKUP(G721,Sell!G:L,2,0),0)</f>
        <v>0</v>
      </c>
      <c r="O721" s="13">
        <f>IFERROR(VLOOKUP(G721,Sell!G:L,6,0),0)</f>
        <v>0</v>
      </c>
      <c r="P721" s="14">
        <f t="shared" si="77"/>
        <v>0</v>
      </c>
      <c r="Q721" s="13">
        <f t="shared" si="79"/>
        <v>0</v>
      </c>
      <c r="R721" s="13">
        <f t="shared" si="80"/>
        <v>0</v>
      </c>
      <c r="S721" s="13">
        <f t="shared" si="81"/>
        <v>0</v>
      </c>
      <c r="T721" s="13">
        <f t="shared" si="82"/>
        <v>0</v>
      </c>
      <c r="U721" s="15" t="str">
        <f t="shared" si="83"/>
        <v/>
      </c>
    </row>
    <row r="722" spans="12:21" x14ac:dyDescent="0.25">
      <c r="L722" s="20">
        <f t="shared" si="78"/>
        <v>0</v>
      </c>
      <c r="M722" s="14" t="e">
        <f>VLOOKUP(G722,Sell!G:L,1,0)</f>
        <v>#N/A</v>
      </c>
      <c r="N722" s="14">
        <f>IFERROR(VLOOKUP(G722,Sell!G:L,2,0),0)</f>
        <v>0</v>
      </c>
      <c r="O722" s="13">
        <f>IFERROR(VLOOKUP(G722,Sell!G:L,6,0),0)</f>
        <v>0</v>
      </c>
      <c r="P722" s="14">
        <f t="shared" si="77"/>
        <v>0</v>
      </c>
      <c r="Q722" s="13">
        <f t="shared" si="79"/>
        <v>0</v>
      </c>
      <c r="R722" s="13">
        <f t="shared" si="80"/>
        <v>0</v>
      </c>
      <c r="S722" s="13">
        <f t="shared" si="81"/>
        <v>0</v>
      </c>
      <c r="T722" s="13">
        <f t="shared" si="82"/>
        <v>0</v>
      </c>
      <c r="U722" s="15" t="str">
        <f t="shared" si="83"/>
        <v/>
      </c>
    </row>
    <row r="723" spans="12:21" x14ac:dyDescent="0.25">
      <c r="L723" s="20">
        <f t="shared" si="78"/>
        <v>0</v>
      </c>
      <c r="M723" s="14" t="e">
        <f>VLOOKUP(G723,Sell!G:L,1,0)</f>
        <v>#N/A</v>
      </c>
      <c r="N723" s="14">
        <f>IFERROR(VLOOKUP(G723,Sell!G:L,2,0),0)</f>
        <v>0</v>
      </c>
      <c r="O723" s="13">
        <f>IFERROR(VLOOKUP(G723,Sell!G:L,6,0),0)</f>
        <v>0</v>
      </c>
      <c r="P723" s="14">
        <f t="shared" si="77"/>
        <v>0</v>
      </c>
      <c r="Q723" s="13">
        <f t="shared" si="79"/>
        <v>0</v>
      </c>
      <c r="R723" s="13">
        <f t="shared" si="80"/>
        <v>0</v>
      </c>
      <c r="S723" s="13">
        <f t="shared" si="81"/>
        <v>0</v>
      </c>
      <c r="T723" s="13">
        <f t="shared" si="82"/>
        <v>0</v>
      </c>
      <c r="U723" s="15" t="str">
        <f t="shared" si="83"/>
        <v/>
      </c>
    </row>
    <row r="724" spans="12:21" x14ac:dyDescent="0.25">
      <c r="L724" s="20">
        <f t="shared" si="78"/>
        <v>0</v>
      </c>
      <c r="M724" s="14" t="e">
        <f>VLOOKUP(G724,Sell!G:L,1,0)</f>
        <v>#N/A</v>
      </c>
      <c r="N724" s="14">
        <f>IFERROR(VLOOKUP(G724,Sell!G:L,2,0),0)</f>
        <v>0</v>
      </c>
      <c r="O724" s="13">
        <f>IFERROR(VLOOKUP(G724,Sell!G:L,6,0),0)</f>
        <v>0</v>
      </c>
      <c r="P724" s="14">
        <f t="shared" si="77"/>
        <v>0</v>
      </c>
      <c r="Q724" s="13">
        <f t="shared" si="79"/>
        <v>0</v>
      </c>
      <c r="R724" s="13">
        <f t="shared" si="80"/>
        <v>0</v>
      </c>
      <c r="S724" s="13">
        <f t="shared" si="81"/>
        <v>0</v>
      </c>
      <c r="T724" s="13">
        <f t="shared" si="82"/>
        <v>0</v>
      </c>
      <c r="U724" s="15" t="str">
        <f t="shared" si="83"/>
        <v/>
      </c>
    </row>
    <row r="725" spans="12:21" x14ac:dyDescent="0.25">
      <c r="L725" s="20">
        <f t="shared" si="78"/>
        <v>0</v>
      </c>
      <c r="M725" s="14" t="e">
        <f>VLOOKUP(G725,Sell!G:L,1,0)</f>
        <v>#N/A</v>
      </c>
      <c r="N725" s="14">
        <f>IFERROR(VLOOKUP(G725,Sell!G:L,2,0),0)</f>
        <v>0</v>
      </c>
      <c r="O725" s="13">
        <f>IFERROR(VLOOKUP(G725,Sell!G:L,6,0),0)</f>
        <v>0</v>
      </c>
      <c r="P725" s="14">
        <f t="shared" si="77"/>
        <v>0</v>
      </c>
      <c r="Q725" s="13">
        <f t="shared" si="79"/>
        <v>0</v>
      </c>
      <c r="R725" s="13">
        <f t="shared" si="80"/>
        <v>0</v>
      </c>
      <c r="S725" s="13">
        <f t="shared" si="81"/>
        <v>0</v>
      </c>
      <c r="T725" s="13">
        <f t="shared" si="82"/>
        <v>0</v>
      </c>
      <c r="U725" s="15" t="str">
        <f t="shared" si="83"/>
        <v/>
      </c>
    </row>
    <row r="726" spans="12:21" x14ac:dyDescent="0.25">
      <c r="L726" s="20">
        <f t="shared" si="78"/>
        <v>0</v>
      </c>
      <c r="M726" s="14" t="e">
        <f>VLOOKUP(G726,Sell!G:L,1,0)</f>
        <v>#N/A</v>
      </c>
      <c r="N726" s="14">
        <f>IFERROR(VLOOKUP(G726,Sell!G:L,2,0),0)</f>
        <v>0</v>
      </c>
      <c r="O726" s="13">
        <f>IFERROR(VLOOKUP(G726,Sell!G:L,6,0),0)</f>
        <v>0</v>
      </c>
      <c r="P726" s="14">
        <f t="shared" si="77"/>
        <v>0</v>
      </c>
      <c r="Q726" s="13">
        <f t="shared" si="79"/>
        <v>0</v>
      </c>
      <c r="R726" s="13">
        <f t="shared" si="80"/>
        <v>0</v>
      </c>
      <c r="S726" s="13">
        <f t="shared" si="81"/>
        <v>0</v>
      </c>
      <c r="T726" s="13">
        <f t="shared" si="82"/>
        <v>0</v>
      </c>
      <c r="U726" s="15" t="str">
        <f t="shared" si="83"/>
        <v/>
      </c>
    </row>
    <row r="727" spans="12:21" x14ac:dyDescent="0.25">
      <c r="L727" s="20">
        <f t="shared" si="78"/>
        <v>0</v>
      </c>
      <c r="M727" s="14" t="e">
        <f>VLOOKUP(G727,Sell!G:L,1,0)</f>
        <v>#N/A</v>
      </c>
      <c r="N727" s="14">
        <f>IFERROR(VLOOKUP(G727,Sell!G:L,2,0),0)</f>
        <v>0</v>
      </c>
      <c r="O727" s="13">
        <f>IFERROR(VLOOKUP(G727,Sell!G:L,6,0),0)</f>
        <v>0</v>
      </c>
      <c r="P727" s="14">
        <f t="shared" si="77"/>
        <v>0</v>
      </c>
      <c r="Q727" s="13">
        <f t="shared" si="79"/>
        <v>0</v>
      </c>
      <c r="R727" s="13">
        <f t="shared" si="80"/>
        <v>0</v>
      </c>
      <c r="S727" s="13">
        <f t="shared" si="81"/>
        <v>0</v>
      </c>
      <c r="T727" s="13">
        <f t="shared" si="82"/>
        <v>0</v>
      </c>
      <c r="U727" s="15" t="str">
        <f t="shared" si="83"/>
        <v/>
      </c>
    </row>
    <row r="728" spans="12:21" x14ac:dyDescent="0.25">
      <c r="L728" s="20">
        <f t="shared" si="78"/>
        <v>0</v>
      </c>
      <c r="M728" s="14" t="e">
        <f>VLOOKUP(G728,Sell!G:L,1,0)</f>
        <v>#N/A</v>
      </c>
      <c r="N728" s="14">
        <f>IFERROR(VLOOKUP(G728,Sell!G:L,2,0),0)</f>
        <v>0</v>
      </c>
      <c r="O728" s="13">
        <f>IFERROR(VLOOKUP(G728,Sell!G:L,6,0),0)</f>
        <v>0</v>
      </c>
      <c r="P728" s="14">
        <f t="shared" si="77"/>
        <v>0</v>
      </c>
      <c r="Q728" s="13">
        <f t="shared" si="79"/>
        <v>0</v>
      </c>
      <c r="R728" s="13">
        <f t="shared" si="80"/>
        <v>0</v>
      </c>
      <c r="S728" s="13">
        <f t="shared" si="81"/>
        <v>0</v>
      </c>
      <c r="T728" s="13">
        <f t="shared" si="82"/>
        <v>0</v>
      </c>
      <c r="U728" s="15" t="str">
        <f t="shared" si="83"/>
        <v/>
      </c>
    </row>
    <row r="729" spans="12:21" x14ac:dyDescent="0.25">
      <c r="L729" s="20">
        <f t="shared" si="78"/>
        <v>0</v>
      </c>
      <c r="M729" s="14" t="e">
        <f>VLOOKUP(G729,Sell!G:L,1,0)</f>
        <v>#N/A</v>
      </c>
      <c r="N729" s="14">
        <f>IFERROR(VLOOKUP(G729,Sell!G:L,2,0),0)</f>
        <v>0</v>
      </c>
      <c r="O729" s="13">
        <f>IFERROR(VLOOKUP(G729,Sell!G:L,6,0),0)</f>
        <v>0</v>
      </c>
      <c r="P729" s="14">
        <f t="shared" si="77"/>
        <v>0</v>
      </c>
      <c r="Q729" s="13">
        <f t="shared" si="79"/>
        <v>0</v>
      </c>
      <c r="R729" s="13">
        <f t="shared" si="80"/>
        <v>0</v>
      </c>
      <c r="S729" s="13">
        <f t="shared" si="81"/>
        <v>0</v>
      </c>
      <c r="T729" s="13">
        <f t="shared" si="82"/>
        <v>0</v>
      </c>
      <c r="U729" s="15" t="str">
        <f t="shared" si="83"/>
        <v/>
      </c>
    </row>
    <row r="730" spans="12:21" x14ac:dyDescent="0.25">
      <c r="L730" s="20">
        <f t="shared" si="78"/>
        <v>0</v>
      </c>
      <c r="M730" s="14" t="e">
        <f>VLOOKUP(G730,Sell!G:L,1,0)</f>
        <v>#N/A</v>
      </c>
      <c r="N730" s="14">
        <f>IFERROR(VLOOKUP(G730,Sell!G:L,2,0),0)</f>
        <v>0</v>
      </c>
      <c r="O730" s="13">
        <f>IFERROR(VLOOKUP(G730,Sell!G:L,6,0),0)</f>
        <v>0</v>
      </c>
      <c r="P730" s="14">
        <f t="shared" si="77"/>
        <v>0</v>
      </c>
      <c r="Q730" s="13">
        <f t="shared" si="79"/>
        <v>0</v>
      </c>
      <c r="R730" s="13">
        <f t="shared" si="80"/>
        <v>0</v>
      </c>
      <c r="S730" s="13">
        <f t="shared" si="81"/>
        <v>0</v>
      </c>
      <c r="T730" s="13">
        <f t="shared" si="82"/>
        <v>0</v>
      </c>
      <c r="U730" s="15" t="str">
        <f t="shared" si="83"/>
        <v/>
      </c>
    </row>
    <row r="731" spans="12:21" x14ac:dyDescent="0.25">
      <c r="L731" s="20">
        <f t="shared" si="78"/>
        <v>0</v>
      </c>
      <c r="M731" s="14" t="e">
        <f>VLOOKUP(G731,Sell!G:L,1,0)</f>
        <v>#N/A</v>
      </c>
      <c r="N731" s="14">
        <f>IFERROR(VLOOKUP(G731,Sell!G:L,2,0),0)</f>
        <v>0</v>
      </c>
      <c r="O731" s="13">
        <f>IFERROR(VLOOKUP(G731,Sell!G:L,6,0),0)</f>
        <v>0</v>
      </c>
      <c r="P731" s="14">
        <f t="shared" si="77"/>
        <v>0</v>
      </c>
      <c r="Q731" s="13">
        <f t="shared" si="79"/>
        <v>0</v>
      </c>
      <c r="R731" s="13">
        <f t="shared" si="80"/>
        <v>0</v>
      </c>
      <c r="S731" s="13">
        <f t="shared" si="81"/>
        <v>0</v>
      </c>
      <c r="T731" s="13">
        <f t="shared" si="82"/>
        <v>0</v>
      </c>
      <c r="U731" s="15" t="str">
        <f t="shared" si="83"/>
        <v/>
      </c>
    </row>
    <row r="732" spans="12:21" x14ac:dyDescent="0.25">
      <c r="L732" s="20">
        <f t="shared" si="78"/>
        <v>0</v>
      </c>
      <c r="M732" s="14" t="e">
        <f>VLOOKUP(G732,Sell!G:L,1,0)</f>
        <v>#N/A</v>
      </c>
      <c r="N732" s="14">
        <f>IFERROR(VLOOKUP(G732,Sell!G:L,2,0),0)</f>
        <v>0</v>
      </c>
      <c r="O732" s="13">
        <f>IFERROR(VLOOKUP(G732,Sell!G:L,6,0),0)</f>
        <v>0</v>
      </c>
      <c r="P732" s="14">
        <f t="shared" si="77"/>
        <v>0</v>
      </c>
      <c r="Q732" s="13">
        <f t="shared" si="79"/>
        <v>0</v>
      </c>
      <c r="R732" s="13">
        <f t="shared" si="80"/>
        <v>0</v>
      </c>
      <c r="S732" s="13">
        <f t="shared" si="81"/>
        <v>0</v>
      </c>
      <c r="T732" s="13">
        <f t="shared" si="82"/>
        <v>0</v>
      </c>
      <c r="U732" s="15" t="str">
        <f t="shared" si="83"/>
        <v/>
      </c>
    </row>
    <row r="733" spans="12:21" x14ac:dyDescent="0.25">
      <c r="L733" s="20">
        <f t="shared" si="78"/>
        <v>0</v>
      </c>
      <c r="M733" s="14" t="e">
        <f>VLOOKUP(G733,Sell!G:L,1,0)</f>
        <v>#N/A</v>
      </c>
      <c r="N733" s="14">
        <f>IFERROR(VLOOKUP(G733,Sell!G:L,2,0),0)</f>
        <v>0</v>
      </c>
      <c r="O733" s="13">
        <f>IFERROR(VLOOKUP(G733,Sell!G:L,6,0),0)</f>
        <v>0</v>
      </c>
      <c r="P733" s="14">
        <f t="shared" si="77"/>
        <v>0</v>
      </c>
      <c r="Q733" s="13">
        <f t="shared" si="79"/>
        <v>0</v>
      </c>
      <c r="R733" s="13">
        <f t="shared" si="80"/>
        <v>0</v>
      </c>
      <c r="S733" s="13">
        <f t="shared" si="81"/>
        <v>0</v>
      </c>
      <c r="T733" s="13">
        <f t="shared" si="82"/>
        <v>0</v>
      </c>
      <c r="U733" s="15" t="str">
        <f t="shared" si="83"/>
        <v/>
      </c>
    </row>
    <row r="734" spans="12:21" x14ac:dyDescent="0.25">
      <c r="L734" s="20">
        <f t="shared" si="78"/>
        <v>0</v>
      </c>
      <c r="M734" s="14" t="e">
        <f>VLOOKUP(G734,Sell!G:L,1,0)</f>
        <v>#N/A</v>
      </c>
      <c r="N734" s="14">
        <f>IFERROR(VLOOKUP(G734,Sell!G:L,2,0),0)</f>
        <v>0</v>
      </c>
      <c r="O734" s="13">
        <f>IFERROR(VLOOKUP(G734,Sell!G:L,6,0),0)</f>
        <v>0</v>
      </c>
      <c r="P734" s="14">
        <f t="shared" si="77"/>
        <v>0</v>
      </c>
      <c r="Q734" s="13">
        <f t="shared" si="79"/>
        <v>0</v>
      </c>
      <c r="R734" s="13">
        <f t="shared" si="80"/>
        <v>0</v>
      </c>
      <c r="S734" s="13">
        <f t="shared" si="81"/>
        <v>0</v>
      </c>
      <c r="T734" s="13">
        <f t="shared" si="82"/>
        <v>0</v>
      </c>
      <c r="U734" s="15" t="str">
        <f t="shared" si="83"/>
        <v/>
      </c>
    </row>
    <row r="735" spans="12:21" x14ac:dyDescent="0.25">
      <c r="L735" s="20">
        <f t="shared" si="78"/>
        <v>0</v>
      </c>
      <c r="M735" s="14" t="e">
        <f>VLOOKUP(G735,Sell!G:L,1,0)</f>
        <v>#N/A</v>
      </c>
      <c r="N735" s="14">
        <f>IFERROR(VLOOKUP(G735,Sell!G:L,2,0),0)</f>
        <v>0</v>
      </c>
      <c r="O735" s="13">
        <f>IFERROR(VLOOKUP(G735,Sell!G:L,6,0),0)</f>
        <v>0</v>
      </c>
      <c r="P735" s="14">
        <f t="shared" si="77"/>
        <v>0</v>
      </c>
      <c r="Q735" s="13">
        <f t="shared" si="79"/>
        <v>0</v>
      </c>
      <c r="R735" s="13">
        <f t="shared" si="80"/>
        <v>0</v>
      </c>
      <c r="S735" s="13">
        <f t="shared" si="81"/>
        <v>0</v>
      </c>
      <c r="T735" s="13">
        <f t="shared" si="82"/>
        <v>0</v>
      </c>
      <c r="U735" s="15" t="str">
        <f t="shared" si="83"/>
        <v/>
      </c>
    </row>
    <row r="736" spans="12:21" x14ac:dyDescent="0.25">
      <c r="L736" s="20">
        <f t="shared" si="78"/>
        <v>0</v>
      </c>
      <c r="M736" s="14" t="e">
        <f>VLOOKUP(G736,Sell!G:L,1,0)</f>
        <v>#N/A</v>
      </c>
      <c r="N736" s="14">
        <f>IFERROR(VLOOKUP(G736,Sell!G:L,2,0),0)</f>
        <v>0</v>
      </c>
      <c r="O736" s="13">
        <f>IFERROR(VLOOKUP(G736,Sell!G:L,6,0),0)</f>
        <v>0</v>
      </c>
      <c r="P736" s="14">
        <f t="shared" si="77"/>
        <v>0</v>
      </c>
      <c r="Q736" s="13">
        <f t="shared" si="79"/>
        <v>0</v>
      </c>
      <c r="R736" s="13">
        <f t="shared" si="80"/>
        <v>0</v>
      </c>
      <c r="S736" s="13">
        <f t="shared" si="81"/>
        <v>0</v>
      </c>
      <c r="T736" s="13">
        <f t="shared" si="82"/>
        <v>0</v>
      </c>
      <c r="U736" s="15" t="str">
        <f t="shared" si="83"/>
        <v/>
      </c>
    </row>
    <row r="737" spans="12:21" x14ac:dyDescent="0.25">
      <c r="L737" s="20">
        <f t="shared" si="78"/>
        <v>0</v>
      </c>
      <c r="M737" s="14" t="e">
        <f>VLOOKUP(G737,Sell!G:L,1,0)</f>
        <v>#N/A</v>
      </c>
      <c r="N737" s="14">
        <f>IFERROR(VLOOKUP(G737,Sell!G:L,2,0),0)</f>
        <v>0</v>
      </c>
      <c r="O737" s="13">
        <f>IFERROR(VLOOKUP(G737,Sell!G:L,6,0),0)</f>
        <v>0</v>
      </c>
      <c r="P737" s="14">
        <f t="shared" si="77"/>
        <v>0</v>
      </c>
      <c r="Q737" s="13">
        <f t="shared" si="79"/>
        <v>0</v>
      </c>
      <c r="R737" s="13">
        <f t="shared" si="80"/>
        <v>0</v>
      </c>
      <c r="S737" s="13">
        <f t="shared" si="81"/>
        <v>0</v>
      </c>
      <c r="T737" s="13">
        <f t="shared" si="82"/>
        <v>0</v>
      </c>
      <c r="U737" s="15" t="str">
        <f t="shared" si="83"/>
        <v/>
      </c>
    </row>
    <row r="738" spans="12:21" x14ac:dyDescent="0.25">
      <c r="L738" s="20">
        <f t="shared" si="78"/>
        <v>0</v>
      </c>
      <c r="M738" s="14" t="e">
        <f>VLOOKUP(G738,Sell!G:L,1,0)</f>
        <v>#N/A</v>
      </c>
      <c r="N738" s="14">
        <f>IFERROR(VLOOKUP(G738,Sell!G:L,2,0),0)</f>
        <v>0</v>
      </c>
      <c r="O738" s="13">
        <f>IFERROR(VLOOKUP(G738,Sell!G:L,6,0),0)</f>
        <v>0</v>
      </c>
      <c r="P738" s="14">
        <f t="shared" si="77"/>
        <v>0</v>
      </c>
      <c r="Q738" s="13">
        <f t="shared" si="79"/>
        <v>0</v>
      </c>
      <c r="R738" s="13">
        <f t="shared" si="80"/>
        <v>0</v>
      </c>
      <c r="S738" s="13">
        <f t="shared" si="81"/>
        <v>0</v>
      </c>
      <c r="T738" s="13">
        <f t="shared" si="82"/>
        <v>0</v>
      </c>
      <c r="U738" s="15" t="str">
        <f t="shared" si="83"/>
        <v/>
      </c>
    </row>
    <row r="739" spans="12:21" x14ac:dyDescent="0.25">
      <c r="L739" s="20">
        <f t="shared" si="78"/>
        <v>0</v>
      </c>
      <c r="M739" s="14" t="e">
        <f>VLOOKUP(G739,Sell!G:L,1,0)</f>
        <v>#N/A</v>
      </c>
      <c r="N739" s="14">
        <f>IFERROR(VLOOKUP(G739,Sell!G:L,2,0),0)</f>
        <v>0</v>
      </c>
      <c r="O739" s="13">
        <f>IFERROR(VLOOKUP(G739,Sell!G:L,6,0),0)</f>
        <v>0</v>
      </c>
      <c r="P739" s="14">
        <f t="shared" si="77"/>
        <v>0</v>
      </c>
      <c r="Q739" s="13">
        <f t="shared" si="79"/>
        <v>0</v>
      </c>
      <c r="R739" s="13">
        <f t="shared" si="80"/>
        <v>0</v>
      </c>
      <c r="S739" s="13">
        <f t="shared" si="81"/>
        <v>0</v>
      </c>
      <c r="T739" s="13">
        <f t="shared" si="82"/>
        <v>0</v>
      </c>
      <c r="U739" s="15" t="str">
        <f t="shared" si="83"/>
        <v/>
      </c>
    </row>
    <row r="740" spans="12:21" x14ac:dyDescent="0.25">
      <c r="L740" s="20">
        <f t="shared" si="78"/>
        <v>0</v>
      </c>
      <c r="M740" s="14" t="e">
        <f>VLOOKUP(G740,Sell!G:L,1,0)</f>
        <v>#N/A</v>
      </c>
      <c r="N740" s="14">
        <f>IFERROR(VLOOKUP(G740,Sell!G:L,2,0),0)</f>
        <v>0</v>
      </c>
      <c r="O740" s="13">
        <f>IFERROR(VLOOKUP(G740,Sell!G:L,6,0),0)</f>
        <v>0</v>
      </c>
      <c r="P740" s="14">
        <f t="shared" si="77"/>
        <v>0</v>
      </c>
      <c r="Q740" s="13">
        <f t="shared" si="79"/>
        <v>0</v>
      </c>
      <c r="R740" s="13">
        <f t="shared" si="80"/>
        <v>0</v>
      </c>
      <c r="S740" s="13">
        <f t="shared" si="81"/>
        <v>0</v>
      </c>
      <c r="T740" s="13">
        <f t="shared" si="82"/>
        <v>0</v>
      </c>
      <c r="U740" s="15" t="str">
        <f t="shared" si="83"/>
        <v/>
      </c>
    </row>
    <row r="741" spans="12:21" x14ac:dyDescent="0.25">
      <c r="L741" s="20">
        <f t="shared" si="78"/>
        <v>0</v>
      </c>
      <c r="M741" s="14" t="e">
        <f>VLOOKUP(G741,Sell!G:L,1,0)</f>
        <v>#N/A</v>
      </c>
      <c r="N741" s="14">
        <f>IFERROR(VLOOKUP(G741,Sell!G:L,2,0),0)</f>
        <v>0</v>
      </c>
      <c r="O741" s="13">
        <f>IFERROR(VLOOKUP(G741,Sell!G:L,6,0),0)</f>
        <v>0</v>
      </c>
      <c r="P741" s="14">
        <f t="shared" si="77"/>
        <v>0</v>
      </c>
      <c r="Q741" s="13">
        <f t="shared" si="79"/>
        <v>0</v>
      </c>
      <c r="R741" s="13">
        <f t="shared" si="80"/>
        <v>0</v>
      </c>
      <c r="S741" s="13">
        <f t="shared" si="81"/>
        <v>0</v>
      </c>
      <c r="T741" s="13">
        <f t="shared" si="82"/>
        <v>0</v>
      </c>
      <c r="U741" s="15" t="str">
        <f t="shared" si="83"/>
        <v/>
      </c>
    </row>
    <row r="742" spans="12:21" x14ac:dyDescent="0.25">
      <c r="L742" s="20">
        <f t="shared" si="78"/>
        <v>0</v>
      </c>
      <c r="M742" s="14" t="e">
        <f>VLOOKUP(G742,Sell!G:L,1,0)</f>
        <v>#N/A</v>
      </c>
      <c r="N742" s="14">
        <f>IFERROR(VLOOKUP(G742,Sell!G:L,2,0),0)</f>
        <v>0</v>
      </c>
      <c r="O742" s="13">
        <f>IFERROR(VLOOKUP(G742,Sell!G:L,6,0),0)</f>
        <v>0</v>
      </c>
      <c r="P742" s="14">
        <f t="shared" si="77"/>
        <v>0</v>
      </c>
      <c r="Q742" s="13">
        <f t="shared" si="79"/>
        <v>0</v>
      </c>
      <c r="R742" s="13">
        <f t="shared" si="80"/>
        <v>0</v>
      </c>
      <c r="S742" s="13">
        <f t="shared" si="81"/>
        <v>0</v>
      </c>
      <c r="T742" s="13">
        <f t="shared" si="82"/>
        <v>0</v>
      </c>
      <c r="U742" s="15" t="str">
        <f t="shared" si="83"/>
        <v/>
      </c>
    </row>
    <row r="743" spans="12:21" x14ac:dyDescent="0.25">
      <c r="L743" s="20">
        <f t="shared" si="78"/>
        <v>0</v>
      </c>
      <c r="M743" s="14" t="e">
        <f>VLOOKUP(G743,Sell!G:L,1,0)</f>
        <v>#N/A</v>
      </c>
      <c r="N743" s="14">
        <f>IFERROR(VLOOKUP(G743,Sell!G:L,2,0),0)</f>
        <v>0</v>
      </c>
      <c r="O743" s="13">
        <f>IFERROR(VLOOKUP(G743,Sell!G:L,6,0),0)</f>
        <v>0</v>
      </c>
      <c r="P743" s="14">
        <f t="shared" si="77"/>
        <v>0</v>
      </c>
      <c r="Q743" s="13">
        <f t="shared" si="79"/>
        <v>0</v>
      </c>
      <c r="R743" s="13">
        <f t="shared" si="80"/>
        <v>0</v>
      </c>
      <c r="S743" s="13">
        <f t="shared" si="81"/>
        <v>0</v>
      </c>
      <c r="T743" s="13">
        <f t="shared" si="82"/>
        <v>0</v>
      </c>
      <c r="U743" s="15" t="str">
        <f t="shared" si="83"/>
        <v/>
      </c>
    </row>
    <row r="744" spans="12:21" x14ac:dyDescent="0.25">
      <c r="L744" s="20">
        <f t="shared" si="78"/>
        <v>0</v>
      </c>
      <c r="M744" s="14" t="e">
        <f>VLOOKUP(G744,Sell!G:L,1,0)</f>
        <v>#N/A</v>
      </c>
      <c r="N744" s="14">
        <f>IFERROR(VLOOKUP(G744,Sell!G:L,2,0),0)</f>
        <v>0</v>
      </c>
      <c r="O744" s="13">
        <f>IFERROR(VLOOKUP(G744,Sell!G:L,6,0),0)</f>
        <v>0</v>
      </c>
      <c r="P744" s="14">
        <f t="shared" si="77"/>
        <v>0</v>
      </c>
      <c r="Q744" s="13">
        <f t="shared" si="79"/>
        <v>0</v>
      </c>
      <c r="R744" s="13">
        <f t="shared" si="80"/>
        <v>0</v>
      </c>
      <c r="S744" s="13">
        <f t="shared" si="81"/>
        <v>0</v>
      </c>
      <c r="T744" s="13">
        <f t="shared" si="82"/>
        <v>0</v>
      </c>
      <c r="U744" s="15" t="str">
        <f t="shared" si="83"/>
        <v/>
      </c>
    </row>
    <row r="745" spans="12:21" x14ac:dyDescent="0.25">
      <c r="L745" s="20">
        <f t="shared" si="78"/>
        <v>0</v>
      </c>
      <c r="M745" s="14" t="e">
        <f>VLOOKUP(G745,Sell!G:L,1,0)</f>
        <v>#N/A</v>
      </c>
      <c r="N745" s="14">
        <f>IFERROR(VLOOKUP(G745,Sell!G:L,2,0),0)</f>
        <v>0</v>
      </c>
      <c r="O745" s="13">
        <f>IFERROR(VLOOKUP(G745,Sell!G:L,6,0),0)</f>
        <v>0</v>
      </c>
      <c r="P745" s="14">
        <f t="shared" si="77"/>
        <v>0</v>
      </c>
      <c r="Q745" s="13">
        <f t="shared" si="79"/>
        <v>0</v>
      </c>
      <c r="R745" s="13">
        <f t="shared" si="80"/>
        <v>0</v>
      </c>
      <c r="S745" s="13">
        <f t="shared" si="81"/>
        <v>0</v>
      </c>
      <c r="T745" s="13">
        <f t="shared" si="82"/>
        <v>0</v>
      </c>
      <c r="U745" s="15" t="str">
        <f t="shared" si="83"/>
        <v/>
      </c>
    </row>
    <row r="746" spans="12:21" x14ac:dyDescent="0.25">
      <c r="L746" s="20">
        <f t="shared" si="78"/>
        <v>0</v>
      </c>
      <c r="M746" s="14" t="e">
        <f>VLOOKUP(G746,Sell!G:L,1,0)</f>
        <v>#N/A</v>
      </c>
      <c r="N746" s="14">
        <f>IFERROR(VLOOKUP(G746,Sell!G:L,2,0),0)</f>
        <v>0</v>
      </c>
      <c r="O746" s="13">
        <f>IFERROR(VLOOKUP(G746,Sell!G:L,6,0),0)</f>
        <v>0</v>
      </c>
      <c r="P746" s="14">
        <f t="shared" si="77"/>
        <v>0</v>
      </c>
      <c r="Q746" s="13">
        <f t="shared" si="79"/>
        <v>0</v>
      </c>
      <c r="R746" s="13">
        <f t="shared" si="80"/>
        <v>0</v>
      </c>
      <c r="S746" s="13">
        <f t="shared" si="81"/>
        <v>0</v>
      </c>
      <c r="T746" s="13">
        <f t="shared" si="82"/>
        <v>0</v>
      </c>
      <c r="U746" s="15" t="str">
        <f t="shared" si="83"/>
        <v/>
      </c>
    </row>
    <row r="747" spans="12:21" x14ac:dyDescent="0.25">
      <c r="L747" s="20">
        <f t="shared" si="78"/>
        <v>0</v>
      </c>
      <c r="M747" s="14" t="e">
        <f>VLOOKUP(G747,Sell!G:L,1,0)</f>
        <v>#N/A</v>
      </c>
      <c r="N747" s="14">
        <f>IFERROR(VLOOKUP(G747,Sell!G:L,2,0),0)</f>
        <v>0</v>
      </c>
      <c r="O747" s="13">
        <f>IFERROR(VLOOKUP(G747,Sell!G:L,6,0),0)</f>
        <v>0</v>
      </c>
      <c r="P747" s="14">
        <f t="shared" si="77"/>
        <v>0</v>
      </c>
      <c r="Q747" s="13">
        <f t="shared" si="79"/>
        <v>0</v>
      </c>
      <c r="R747" s="13">
        <f t="shared" si="80"/>
        <v>0</v>
      </c>
      <c r="S747" s="13">
        <f t="shared" si="81"/>
        <v>0</v>
      </c>
      <c r="T747" s="13">
        <f t="shared" si="82"/>
        <v>0</v>
      </c>
      <c r="U747" s="15" t="str">
        <f t="shared" si="83"/>
        <v/>
      </c>
    </row>
    <row r="748" spans="12:21" x14ac:dyDescent="0.25">
      <c r="L748" s="20">
        <f t="shared" si="78"/>
        <v>0</v>
      </c>
      <c r="M748" s="14" t="e">
        <f>VLOOKUP(G748,Sell!G:L,1,0)</f>
        <v>#N/A</v>
      </c>
      <c r="N748" s="14">
        <f>IFERROR(VLOOKUP(G748,Sell!G:L,2,0),0)</f>
        <v>0</v>
      </c>
      <c r="O748" s="13">
        <f>IFERROR(VLOOKUP(G748,Sell!G:L,6,0),0)</f>
        <v>0</v>
      </c>
      <c r="P748" s="14">
        <f t="shared" si="77"/>
        <v>0</v>
      </c>
      <c r="Q748" s="13">
        <f t="shared" si="79"/>
        <v>0</v>
      </c>
      <c r="R748" s="13">
        <f t="shared" si="80"/>
        <v>0</v>
      </c>
      <c r="S748" s="13">
        <f t="shared" si="81"/>
        <v>0</v>
      </c>
      <c r="T748" s="13">
        <f t="shared" si="82"/>
        <v>0</v>
      </c>
      <c r="U748" s="15" t="str">
        <f t="shared" si="83"/>
        <v/>
      </c>
    </row>
    <row r="749" spans="12:21" x14ac:dyDescent="0.25">
      <c r="L749" s="20">
        <f t="shared" si="78"/>
        <v>0</v>
      </c>
      <c r="M749" s="14" t="e">
        <f>VLOOKUP(G749,Sell!G:L,1,0)</f>
        <v>#N/A</v>
      </c>
      <c r="N749" s="14">
        <f>IFERROR(VLOOKUP(G749,Sell!G:L,2,0),0)</f>
        <v>0</v>
      </c>
      <c r="O749" s="13">
        <f>IFERROR(VLOOKUP(G749,Sell!G:L,6,0),0)</f>
        <v>0</v>
      </c>
      <c r="P749" s="14">
        <f t="shared" si="77"/>
        <v>0</v>
      </c>
      <c r="Q749" s="13">
        <f t="shared" si="79"/>
        <v>0</v>
      </c>
      <c r="R749" s="13">
        <f t="shared" si="80"/>
        <v>0</v>
      </c>
      <c r="S749" s="13">
        <f t="shared" si="81"/>
        <v>0</v>
      </c>
      <c r="T749" s="13">
        <f t="shared" si="82"/>
        <v>0</v>
      </c>
      <c r="U749" s="15" t="str">
        <f t="shared" si="83"/>
        <v/>
      </c>
    </row>
    <row r="750" spans="12:21" x14ac:dyDescent="0.25">
      <c r="L750" s="20">
        <f t="shared" si="78"/>
        <v>0</v>
      </c>
      <c r="M750" s="14" t="e">
        <f>VLOOKUP(G750,Sell!G:L,1,0)</f>
        <v>#N/A</v>
      </c>
      <c r="N750" s="14">
        <f>IFERROR(VLOOKUP(G750,Sell!G:L,2,0),0)</f>
        <v>0</v>
      </c>
      <c r="O750" s="13">
        <f>IFERROR(VLOOKUP(G750,Sell!G:L,6,0),0)</f>
        <v>0</v>
      </c>
      <c r="P750" s="14">
        <f t="shared" si="77"/>
        <v>0</v>
      </c>
      <c r="Q750" s="13">
        <f t="shared" si="79"/>
        <v>0</v>
      </c>
      <c r="R750" s="13">
        <f t="shared" si="80"/>
        <v>0</v>
      </c>
      <c r="S750" s="13">
        <f t="shared" si="81"/>
        <v>0</v>
      </c>
      <c r="T750" s="13">
        <f t="shared" si="82"/>
        <v>0</v>
      </c>
      <c r="U750" s="15" t="str">
        <f t="shared" si="83"/>
        <v/>
      </c>
    </row>
    <row r="751" spans="12:21" x14ac:dyDescent="0.25">
      <c r="L751" s="20">
        <f t="shared" si="78"/>
        <v>0</v>
      </c>
      <c r="M751" s="14" t="e">
        <f>VLOOKUP(G751,Sell!G:L,1,0)</f>
        <v>#N/A</v>
      </c>
      <c r="N751" s="14">
        <f>IFERROR(VLOOKUP(G751,Sell!G:L,2,0),0)</f>
        <v>0</v>
      </c>
      <c r="O751" s="13">
        <f>IFERROR(VLOOKUP(G751,Sell!G:L,6,0),0)</f>
        <v>0</v>
      </c>
      <c r="P751" s="14">
        <f t="shared" si="77"/>
        <v>0</v>
      </c>
      <c r="Q751" s="13">
        <f t="shared" si="79"/>
        <v>0</v>
      </c>
      <c r="R751" s="13">
        <f t="shared" si="80"/>
        <v>0</v>
      </c>
      <c r="S751" s="13">
        <f t="shared" si="81"/>
        <v>0</v>
      </c>
      <c r="T751" s="13">
        <f t="shared" si="82"/>
        <v>0</v>
      </c>
      <c r="U751" s="15" t="str">
        <f t="shared" si="83"/>
        <v/>
      </c>
    </row>
    <row r="752" spans="12:21" x14ac:dyDescent="0.25">
      <c r="L752" s="20">
        <f t="shared" si="78"/>
        <v>0</v>
      </c>
      <c r="M752" s="14" t="e">
        <f>VLOOKUP(G752,Sell!G:L,1,0)</f>
        <v>#N/A</v>
      </c>
      <c r="N752" s="14">
        <f>IFERROR(VLOOKUP(G752,Sell!G:L,2,0),0)</f>
        <v>0</v>
      </c>
      <c r="O752" s="13">
        <f>IFERROR(VLOOKUP(G752,Sell!G:L,6,0),0)</f>
        <v>0</v>
      </c>
      <c r="P752" s="14">
        <f t="shared" si="77"/>
        <v>0</v>
      </c>
      <c r="Q752" s="13">
        <f t="shared" si="79"/>
        <v>0</v>
      </c>
      <c r="R752" s="13">
        <f t="shared" si="80"/>
        <v>0</v>
      </c>
      <c r="S752" s="13">
        <f t="shared" si="81"/>
        <v>0</v>
      </c>
      <c r="T752" s="13">
        <f t="shared" si="82"/>
        <v>0</v>
      </c>
      <c r="U752" s="15" t="str">
        <f t="shared" si="83"/>
        <v/>
      </c>
    </row>
    <row r="753" spans="12:21" x14ac:dyDescent="0.25">
      <c r="L753" s="20">
        <f t="shared" si="78"/>
        <v>0</v>
      </c>
      <c r="M753" s="14" t="e">
        <f>VLOOKUP(G753,Sell!G:L,1,0)</f>
        <v>#N/A</v>
      </c>
      <c r="N753" s="14">
        <f>IFERROR(VLOOKUP(G753,Sell!G:L,2,0),0)</f>
        <v>0</v>
      </c>
      <c r="O753" s="13">
        <f>IFERROR(VLOOKUP(G753,Sell!G:L,6,0),0)</f>
        <v>0</v>
      </c>
      <c r="P753" s="14">
        <f t="shared" si="77"/>
        <v>0</v>
      </c>
      <c r="Q753" s="13">
        <f t="shared" si="79"/>
        <v>0</v>
      </c>
      <c r="R753" s="13">
        <f t="shared" si="80"/>
        <v>0</v>
      </c>
      <c r="S753" s="13">
        <f t="shared" si="81"/>
        <v>0</v>
      </c>
      <c r="T753" s="13">
        <f t="shared" si="82"/>
        <v>0</v>
      </c>
      <c r="U753" s="15" t="str">
        <f t="shared" si="83"/>
        <v/>
      </c>
    </row>
    <row r="754" spans="12:21" x14ac:dyDescent="0.25">
      <c r="L754" s="20">
        <f t="shared" si="78"/>
        <v>0</v>
      </c>
      <c r="M754" s="14" t="e">
        <f>VLOOKUP(G754,Sell!G:L,1,0)</f>
        <v>#N/A</v>
      </c>
      <c r="N754" s="14">
        <f>IFERROR(VLOOKUP(G754,Sell!G:L,2,0),0)</f>
        <v>0</v>
      </c>
      <c r="O754" s="13">
        <f>IFERROR(VLOOKUP(G754,Sell!G:L,6,0),0)</f>
        <v>0</v>
      </c>
      <c r="P754" s="14">
        <f t="shared" si="77"/>
        <v>0</v>
      </c>
      <c r="Q754" s="13">
        <f t="shared" si="79"/>
        <v>0</v>
      </c>
      <c r="R754" s="13">
        <f t="shared" si="80"/>
        <v>0</v>
      </c>
      <c r="S754" s="13">
        <f t="shared" si="81"/>
        <v>0</v>
      </c>
      <c r="T754" s="13">
        <f t="shared" si="82"/>
        <v>0</v>
      </c>
      <c r="U754" s="15" t="str">
        <f t="shared" si="83"/>
        <v/>
      </c>
    </row>
    <row r="755" spans="12:21" x14ac:dyDescent="0.25">
      <c r="L755" s="20">
        <f t="shared" si="78"/>
        <v>0</v>
      </c>
      <c r="M755" s="14" t="e">
        <f>VLOOKUP(G755,Sell!G:L,1,0)</f>
        <v>#N/A</v>
      </c>
      <c r="N755" s="14">
        <f>IFERROR(VLOOKUP(G755,Sell!G:L,2,0),0)</f>
        <v>0</v>
      </c>
      <c r="O755" s="13">
        <f>IFERROR(VLOOKUP(G755,Sell!G:L,6,0),0)</f>
        <v>0</v>
      </c>
      <c r="P755" s="14">
        <f t="shared" si="77"/>
        <v>0</v>
      </c>
      <c r="Q755" s="13">
        <f t="shared" si="79"/>
        <v>0</v>
      </c>
      <c r="R755" s="13">
        <f t="shared" si="80"/>
        <v>0</v>
      </c>
      <c r="S755" s="13">
        <f t="shared" si="81"/>
        <v>0</v>
      </c>
      <c r="T755" s="13">
        <f t="shared" si="82"/>
        <v>0</v>
      </c>
      <c r="U755" s="15" t="str">
        <f t="shared" si="83"/>
        <v/>
      </c>
    </row>
    <row r="756" spans="12:21" x14ac:dyDescent="0.25">
      <c r="L756" s="20">
        <f t="shared" si="78"/>
        <v>0</v>
      </c>
      <c r="M756" s="14" t="e">
        <f>VLOOKUP(G756,Sell!G:L,1,0)</f>
        <v>#N/A</v>
      </c>
      <c r="N756" s="14">
        <f>IFERROR(VLOOKUP(G756,Sell!G:L,2,0),0)</f>
        <v>0</v>
      </c>
      <c r="O756" s="13">
        <f>IFERROR(VLOOKUP(G756,Sell!G:L,6,0),0)</f>
        <v>0</v>
      </c>
      <c r="P756" s="14">
        <f t="shared" si="77"/>
        <v>0</v>
      </c>
      <c r="Q756" s="13">
        <f t="shared" si="79"/>
        <v>0</v>
      </c>
      <c r="R756" s="13">
        <f t="shared" si="80"/>
        <v>0</v>
      </c>
      <c r="S756" s="13">
        <f t="shared" si="81"/>
        <v>0</v>
      </c>
      <c r="T756" s="13">
        <f t="shared" si="82"/>
        <v>0</v>
      </c>
      <c r="U756" s="15" t="str">
        <f t="shared" si="83"/>
        <v/>
      </c>
    </row>
    <row r="757" spans="12:21" x14ac:dyDescent="0.25">
      <c r="L757" s="20">
        <f t="shared" si="78"/>
        <v>0</v>
      </c>
      <c r="M757" s="14" t="e">
        <f>VLOOKUP(G757,Sell!G:L,1,0)</f>
        <v>#N/A</v>
      </c>
      <c r="N757" s="14">
        <f>IFERROR(VLOOKUP(G757,Sell!G:L,2,0),0)</f>
        <v>0</v>
      </c>
      <c r="O757" s="13">
        <f>IFERROR(VLOOKUP(G757,Sell!G:L,6,0),0)</f>
        <v>0</v>
      </c>
      <c r="P757" s="14">
        <f t="shared" si="77"/>
        <v>0</v>
      </c>
      <c r="Q757" s="13">
        <f t="shared" si="79"/>
        <v>0</v>
      </c>
      <c r="R757" s="13">
        <f t="shared" si="80"/>
        <v>0</v>
      </c>
      <c r="S757" s="13">
        <f t="shared" si="81"/>
        <v>0</v>
      </c>
      <c r="T757" s="13">
        <f t="shared" si="82"/>
        <v>0</v>
      </c>
      <c r="U757" s="15" t="str">
        <f t="shared" si="83"/>
        <v/>
      </c>
    </row>
    <row r="758" spans="12:21" x14ac:dyDescent="0.25">
      <c r="L758" s="20">
        <f t="shared" si="78"/>
        <v>0</v>
      </c>
      <c r="M758" s="14" t="e">
        <f>VLOOKUP(G758,Sell!G:L,1,0)</f>
        <v>#N/A</v>
      </c>
      <c r="N758" s="14">
        <f>IFERROR(VLOOKUP(G758,Sell!G:L,2,0),0)</f>
        <v>0</v>
      </c>
      <c r="O758" s="13">
        <f>IFERROR(VLOOKUP(G758,Sell!G:L,6,0),0)</f>
        <v>0</v>
      </c>
      <c r="P758" s="14">
        <f t="shared" si="77"/>
        <v>0</v>
      </c>
      <c r="Q758" s="13">
        <f t="shared" si="79"/>
        <v>0</v>
      </c>
      <c r="R758" s="13">
        <f t="shared" si="80"/>
        <v>0</v>
      </c>
      <c r="S758" s="13">
        <f t="shared" si="81"/>
        <v>0</v>
      </c>
      <c r="T758" s="13">
        <f t="shared" si="82"/>
        <v>0</v>
      </c>
      <c r="U758" s="15" t="str">
        <f t="shared" si="83"/>
        <v/>
      </c>
    </row>
    <row r="759" spans="12:21" x14ac:dyDescent="0.25">
      <c r="L759" s="20">
        <f t="shared" si="78"/>
        <v>0</v>
      </c>
      <c r="M759" s="14" t="e">
        <f>VLOOKUP(G759,Sell!G:L,1,0)</f>
        <v>#N/A</v>
      </c>
      <c r="N759" s="14">
        <f>IFERROR(VLOOKUP(G759,Sell!G:L,2,0),0)</f>
        <v>0</v>
      </c>
      <c r="O759" s="13">
        <f>IFERROR(VLOOKUP(G759,Sell!G:L,6,0),0)</f>
        <v>0</v>
      </c>
      <c r="P759" s="14">
        <f t="shared" si="77"/>
        <v>0</v>
      </c>
      <c r="Q759" s="13">
        <f t="shared" si="79"/>
        <v>0</v>
      </c>
      <c r="R759" s="13">
        <f t="shared" si="80"/>
        <v>0</v>
      </c>
      <c r="S759" s="13">
        <f t="shared" si="81"/>
        <v>0</v>
      </c>
      <c r="T759" s="13">
        <f t="shared" si="82"/>
        <v>0</v>
      </c>
      <c r="U759" s="15" t="str">
        <f t="shared" si="83"/>
        <v/>
      </c>
    </row>
    <row r="760" spans="12:21" x14ac:dyDescent="0.25">
      <c r="L760" s="20">
        <f t="shared" si="78"/>
        <v>0</v>
      </c>
      <c r="M760" s="14" t="e">
        <f>VLOOKUP(G760,Sell!G:L,1,0)</f>
        <v>#N/A</v>
      </c>
      <c r="N760" s="14">
        <f>IFERROR(VLOOKUP(G760,Sell!G:L,2,0),0)</f>
        <v>0</v>
      </c>
      <c r="O760" s="13">
        <f>IFERROR(VLOOKUP(G760,Sell!G:L,6,0),0)</f>
        <v>0</v>
      </c>
      <c r="P760" s="14">
        <f t="shared" si="77"/>
        <v>0</v>
      </c>
      <c r="Q760" s="13">
        <f t="shared" si="79"/>
        <v>0</v>
      </c>
      <c r="R760" s="13">
        <f t="shared" si="80"/>
        <v>0</v>
      </c>
      <c r="S760" s="13">
        <f t="shared" si="81"/>
        <v>0</v>
      </c>
      <c r="T760" s="13">
        <f t="shared" si="82"/>
        <v>0</v>
      </c>
      <c r="U760" s="15" t="str">
        <f t="shared" si="83"/>
        <v/>
      </c>
    </row>
    <row r="761" spans="12:21" x14ac:dyDescent="0.25">
      <c r="L761" s="20">
        <f t="shared" si="78"/>
        <v>0</v>
      </c>
      <c r="M761" s="14" t="e">
        <f>VLOOKUP(G761,Sell!G:L,1,0)</f>
        <v>#N/A</v>
      </c>
      <c r="N761" s="14">
        <f>IFERROR(VLOOKUP(G761,Sell!G:L,2,0),0)</f>
        <v>0</v>
      </c>
      <c r="O761" s="13">
        <f>IFERROR(VLOOKUP(G761,Sell!G:L,6,0),0)</f>
        <v>0</v>
      </c>
      <c r="P761" s="14">
        <f t="shared" si="77"/>
        <v>0</v>
      </c>
      <c r="Q761" s="13">
        <f t="shared" si="79"/>
        <v>0</v>
      </c>
      <c r="R761" s="13">
        <f t="shared" si="80"/>
        <v>0</v>
      </c>
      <c r="S761" s="13">
        <f t="shared" si="81"/>
        <v>0</v>
      </c>
      <c r="T761" s="13">
        <f t="shared" si="82"/>
        <v>0</v>
      </c>
      <c r="U761" s="15" t="str">
        <f t="shared" si="83"/>
        <v/>
      </c>
    </row>
    <row r="762" spans="12:21" x14ac:dyDescent="0.25">
      <c r="L762" s="20">
        <f t="shared" si="78"/>
        <v>0</v>
      </c>
      <c r="M762" s="14" t="e">
        <f>VLOOKUP(G762,Sell!G:L,1,0)</f>
        <v>#N/A</v>
      </c>
      <c r="N762" s="14">
        <f>IFERROR(VLOOKUP(G762,Sell!G:L,2,0),0)</f>
        <v>0</v>
      </c>
      <c r="O762" s="13">
        <f>IFERROR(VLOOKUP(G762,Sell!G:L,6,0),0)</f>
        <v>0</v>
      </c>
      <c r="P762" s="14">
        <f t="shared" si="77"/>
        <v>0</v>
      </c>
      <c r="Q762" s="13">
        <f t="shared" si="79"/>
        <v>0</v>
      </c>
      <c r="R762" s="13">
        <f t="shared" si="80"/>
        <v>0</v>
      </c>
      <c r="S762" s="13">
        <f t="shared" si="81"/>
        <v>0</v>
      </c>
      <c r="T762" s="13">
        <f t="shared" si="82"/>
        <v>0</v>
      </c>
      <c r="U762" s="15" t="str">
        <f t="shared" si="83"/>
        <v/>
      </c>
    </row>
    <row r="763" spans="12:21" x14ac:dyDescent="0.25">
      <c r="L763" s="20">
        <f t="shared" si="78"/>
        <v>0</v>
      </c>
      <c r="M763" s="14" t="e">
        <f>VLOOKUP(G763,Sell!G:L,1,0)</f>
        <v>#N/A</v>
      </c>
      <c r="N763" s="14">
        <f>IFERROR(VLOOKUP(G763,Sell!G:L,2,0),0)</f>
        <v>0</v>
      </c>
      <c r="O763" s="13">
        <f>IFERROR(VLOOKUP(G763,Sell!G:L,6,0),0)</f>
        <v>0</v>
      </c>
      <c r="P763" s="14">
        <f t="shared" si="77"/>
        <v>0</v>
      </c>
      <c r="Q763" s="13">
        <f t="shared" si="79"/>
        <v>0</v>
      </c>
      <c r="R763" s="13">
        <f t="shared" si="80"/>
        <v>0</v>
      </c>
      <c r="S763" s="13">
        <f t="shared" si="81"/>
        <v>0</v>
      </c>
      <c r="T763" s="13">
        <f t="shared" si="82"/>
        <v>0</v>
      </c>
      <c r="U763" s="15" t="str">
        <f t="shared" si="83"/>
        <v/>
      </c>
    </row>
    <row r="764" spans="12:21" x14ac:dyDescent="0.25">
      <c r="L764" s="20">
        <f t="shared" si="78"/>
        <v>0</v>
      </c>
      <c r="M764" s="14" t="e">
        <f>VLOOKUP(G764,Sell!G:L,1,0)</f>
        <v>#N/A</v>
      </c>
      <c r="N764" s="14">
        <f>IFERROR(VLOOKUP(G764,Sell!G:L,2,0),0)</f>
        <v>0</v>
      </c>
      <c r="O764" s="13">
        <f>IFERROR(VLOOKUP(G764,Sell!G:L,6,0),0)</f>
        <v>0</v>
      </c>
      <c r="P764" s="14">
        <f t="shared" si="77"/>
        <v>0</v>
      </c>
      <c r="Q764" s="13">
        <f t="shared" si="79"/>
        <v>0</v>
      </c>
      <c r="R764" s="13">
        <f t="shared" si="80"/>
        <v>0</v>
      </c>
      <c r="S764" s="13">
        <f t="shared" si="81"/>
        <v>0</v>
      </c>
      <c r="T764" s="13">
        <f t="shared" si="82"/>
        <v>0</v>
      </c>
      <c r="U764" s="15" t="str">
        <f t="shared" si="83"/>
        <v/>
      </c>
    </row>
    <row r="765" spans="12:21" x14ac:dyDescent="0.25">
      <c r="L765" s="20">
        <f t="shared" si="78"/>
        <v>0</v>
      </c>
      <c r="M765" s="14" t="e">
        <f>VLOOKUP(G765,Sell!G:L,1,0)</f>
        <v>#N/A</v>
      </c>
      <c r="N765" s="14">
        <f>IFERROR(VLOOKUP(G765,Sell!G:L,2,0),0)</f>
        <v>0</v>
      </c>
      <c r="O765" s="13">
        <f>IFERROR(VLOOKUP(G765,Sell!G:L,6,0),0)</f>
        <v>0</v>
      </c>
      <c r="P765" s="14">
        <f t="shared" si="77"/>
        <v>0</v>
      </c>
      <c r="Q765" s="13">
        <f t="shared" si="79"/>
        <v>0</v>
      </c>
      <c r="R765" s="13">
        <f t="shared" si="80"/>
        <v>0</v>
      </c>
      <c r="S765" s="13">
        <f t="shared" si="81"/>
        <v>0</v>
      </c>
      <c r="T765" s="13">
        <f t="shared" si="82"/>
        <v>0</v>
      </c>
      <c r="U765" s="15" t="str">
        <f t="shared" si="83"/>
        <v/>
      </c>
    </row>
    <row r="766" spans="12:21" x14ac:dyDescent="0.25">
      <c r="L766" s="20">
        <f t="shared" si="78"/>
        <v>0</v>
      </c>
      <c r="M766" s="14" t="e">
        <f>VLOOKUP(G766,Sell!G:L,1,0)</f>
        <v>#N/A</v>
      </c>
      <c r="N766" s="14">
        <f>IFERROR(VLOOKUP(G766,Sell!G:L,2,0),0)</f>
        <v>0</v>
      </c>
      <c r="O766" s="13">
        <f>IFERROR(VLOOKUP(G766,Sell!G:L,6,0),0)</f>
        <v>0</v>
      </c>
      <c r="P766" s="14">
        <f t="shared" si="77"/>
        <v>0</v>
      </c>
      <c r="Q766" s="13">
        <f t="shared" si="79"/>
        <v>0</v>
      </c>
      <c r="R766" s="13">
        <f t="shared" si="80"/>
        <v>0</v>
      </c>
      <c r="S766" s="13">
        <f t="shared" si="81"/>
        <v>0</v>
      </c>
      <c r="T766" s="13">
        <f t="shared" si="82"/>
        <v>0</v>
      </c>
      <c r="U766" s="15" t="str">
        <f t="shared" si="83"/>
        <v/>
      </c>
    </row>
    <row r="767" spans="12:21" x14ac:dyDescent="0.25">
      <c r="L767" s="20">
        <f t="shared" si="78"/>
        <v>0</v>
      </c>
      <c r="M767" s="14" t="e">
        <f>VLOOKUP(G767,Sell!G:L,1,0)</f>
        <v>#N/A</v>
      </c>
      <c r="N767" s="14">
        <f>IFERROR(VLOOKUP(G767,Sell!G:L,2,0),0)</f>
        <v>0</v>
      </c>
      <c r="O767" s="13">
        <f>IFERROR(VLOOKUP(G767,Sell!G:L,6,0),0)</f>
        <v>0</v>
      </c>
      <c r="P767" s="14">
        <f t="shared" si="77"/>
        <v>0</v>
      </c>
      <c r="Q767" s="13">
        <f t="shared" si="79"/>
        <v>0</v>
      </c>
      <c r="R767" s="13">
        <f t="shared" si="80"/>
        <v>0</v>
      </c>
      <c r="S767" s="13">
        <f t="shared" si="81"/>
        <v>0</v>
      </c>
      <c r="T767" s="13">
        <f t="shared" si="82"/>
        <v>0</v>
      </c>
      <c r="U767" s="15" t="str">
        <f t="shared" si="83"/>
        <v/>
      </c>
    </row>
    <row r="768" spans="12:21" x14ac:dyDescent="0.25">
      <c r="L768" s="20">
        <f t="shared" si="78"/>
        <v>0</v>
      </c>
      <c r="M768" s="14" t="e">
        <f>VLOOKUP(G768,Sell!G:L,1,0)</f>
        <v>#N/A</v>
      </c>
      <c r="N768" s="14">
        <f>IFERROR(VLOOKUP(G768,Sell!G:L,2,0),0)</f>
        <v>0</v>
      </c>
      <c r="O768" s="13">
        <f>IFERROR(VLOOKUP(G768,Sell!G:L,6,0),0)</f>
        <v>0</v>
      </c>
      <c r="P768" s="14">
        <f t="shared" si="77"/>
        <v>0</v>
      </c>
      <c r="Q768" s="13">
        <f t="shared" si="79"/>
        <v>0</v>
      </c>
      <c r="R768" s="13">
        <f t="shared" si="80"/>
        <v>0</v>
      </c>
      <c r="S768" s="13">
        <f t="shared" si="81"/>
        <v>0</v>
      </c>
      <c r="T768" s="13">
        <f t="shared" si="82"/>
        <v>0</v>
      </c>
      <c r="U768" s="15" t="str">
        <f t="shared" si="83"/>
        <v/>
      </c>
    </row>
    <row r="769" spans="12:21" x14ac:dyDescent="0.25">
      <c r="L769" s="20">
        <f t="shared" si="78"/>
        <v>0</v>
      </c>
      <c r="M769" s="14" t="e">
        <f>VLOOKUP(G769,Sell!G:L,1,0)</f>
        <v>#N/A</v>
      </c>
      <c r="N769" s="14">
        <f>IFERROR(VLOOKUP(G769,Sell!G:L,2,0),0)</f>
        <v>0</v>
      </c>
      <c r="O769" s="13">
        <f>IFERROR(VLOOKUP(G769,Sell!G:L,6,0),0)</f>
        <v>0</v>
      </c>
      <c r="P769" s="14">
        <f t="shared" si="77"/>
        <v>0</v>
      </c>
      <c r="Q769" s="13">
        <f t="shared" si="79"/>
        <v>0</v>
      </c>
      <c r="R769" s="13">
        <f t="shared" si="80"/>
        <v>0</v>
      </c>
      <c r="S769" s="13">
        <f t="shared" si="81"/>
        <v>0</v>
      </c>
      <c r="T769" s="13">
        <f t="shared" si="82"/>
        <v>0</v>
      </c>
      <c r="U769" s="15" t="str">
        <f t="shared" si="83"/>
        <v/>
      </c>
    </row>
    <row r="770" spans="12:21" x14ac:dyDescent="0.25">
      <c r="L770" s="20">
        <f t="shared" si="78"/>
        <v>0</v>
      </c>
      <c r="M770" s="14" t="e">
        <f>VLOOKUP(G770,Sell!G:L,1,0)</f>
        <v>#N/A</v>
      </c>
      <c r="N770" s="14">
        <f>IFERROR(VLOOKUP(G770,Sell!G:L,2,0),0)</f>
        <v>0</v>
      </c>
      <c r="O770" s="13">
        <f>IFERROR(VLOOKUP(G770,Sell!G:L,6,0),0)</f>
        <v>0</v>
      </c>
      <c r="P770" s="14">
        <f t="shared" si="77"/>
        <v>0</v>
      </c>
      <c r="Q770" s="13">
        <f t="shared" si="79"/>
        <v>0</v>
      </c>
      <c r="R770" s="13">
        <f t="shared" si="80"/>
        <v>0</v>
      </c>
      <c r="S770" s="13">
        <f t="shared" si="81"/>
        <v>0</v>
      </c>
      <c r="T770" s="13">
        <f t="shared" si="82"/>
        <v>0</v>
      </c>
      <c r="U770" s="15" t="str">
        <f t="shared" si="83"/>
        <v/>
      </c>
    </row>
    <row r="771" spans="12:21" x14ac:dyDescent="0.25">
      <c r="L771" s="20">
        <f t="shared" si="78"/>
        <v>0</v>
      </c>
      <c r="M771" s="14" t="e">
        <f>VLOOKUP(G771,Sell!G:L,1,0)</f>
        <v>#N/A</v>
      </c>
      <c r="N771" s="14">
        <f>IFERROR(VLOOKUP(G771,Sell!G:L,2,0),0)</f>
        <v>0</v>
      </c>
      <c r="O771" s="13">
        <f>IFERROR(VLOOKUP(G771,Sell!G:L,6,0),0)</f>
        <v>0</v>
      </c>
      <c r="P771" s="14">
        <f t="shared" si="77"/>
        <v>0</v>
      </c>
      <c r="Q771" s="13">
        <f t="shared" si="79"/>
        <v>0</v>
      </c>
      <c r="R771" s="13">
        <f t="shared" si="80"/>
        <v>0</v>
      </c>
      <c r="S771" s="13">
        <f t="shared" si="81"/>
        <v>0</v>
      </c>
      <c r="T771" s="13">
        <f t="shared" si="82"/>
        <v>0</v>
      </c>
      <c r="U771" s="15" t="str">
        <f t="shared" si="83"/>
        <v/>
      </c>
    </row>
    <row r="772" spans="12:21" x14ac:dyDescent="0.25">
      <c r="L772" s="20">
        <f t="shared" si="78"/>
        <v>0</v>
      </c>
      <c r="M772" s="14" t="e">
        <f>VLOOKUP(G772,Sell!G:L,1,0)</f>
        <v>#N/A</v>
      </c>
      <c r="N772" s="14">
        <f>IFERROR(VLOOKUP(G772,Sell!G:L,2,0),0)</f>
        <v>0</v>
      </c>
      <c r="O772" s="13">
        <f>IFERROR(VLOOKUP(G772,Sell!G:L,6,0),0)</f>
        <v>0</v>
      </c>
      <c r="P772" s="14">
        <f t="shared" si="77"/>
        <v>0</v>
      </c>
      <c r="Q772" s="13">
        <f t="shared" si="79"/>
        <v>0</v>
      </c>
      <c r="R772" s="13">
        <f t="shared" si="80"/>
        <v>0</v>
      </c>
      <c r="S772" s="13">
        <f t="shared" si="81"/>
        <v>0</v>
      </c>
      <c r="T772" s="13">
        <f t="shared" si="82"/>
        <v>0</v>
      </c>
      <c r="U772" s="15" t="str">
        <f t="shared" si="83"/>
        <v/>
      </c>
    </row>
    <row r="773" spans="12:21" x14ac:dyDescent="0.25">
      <c r="L773" s="20">
        <f t="shared" si="78"/>
        <v>0</v>
      </c>
      <c r="M773" s="14" t="e">
        <f>VLOOKUP(G773,Sell!G:L,1,0)</f>
        <v>#N/A</v>
      </c>
      <c r="N773" s="14">
        <f>IFERROR(VLOOKUP(G773,Sell!G:L,2,0),0)</f>
        <v>0</v>
      </c>
      <c r="O773" s="13">
        <f>IFERROR(VLOOKUP(G773,Sell!G:L,6,0),0)</f>
        <v>0</v>
      </c>
      <c r="P773" s="14">
        <f t="shared" si="77"/>
        <v>0</v>
      </c>
      <c r="Q773" s="13">
        <f t="shared" si="79"/>
        <v>0</v>
      </c>
      <c r="R773" s="13">
        <f t="shared" si="80"/>
        <v>0</v>
      </c>
      <c r="S773" s="13">
        <f t="shared" si="81"/>
        <v>0</v>
      </c>
      <c r="T773" s="13">
        <f t="shared" si="82"/>
        <v>0</v>
      </c>
      <c r="U773" s="15" t="str">
        <f t="shared" si="83"/>
        <v/>
      </c>
    </row>
    <row r="774" spans="12:21" x14ac:dyDescent="0.25">
      <c r="L774" s="20">
        <f t="shared" si="78"/>
        <v>0</v>
      </c>
      <c r="M774" s="14" t="e">
        <f>VLOOKUP(G774,Sell!G:L,1,0)</f>
        <v>#N/A</v>
      </c>
      <c r="N774" s="14">
        <f>IFERROR(VLOOKUP(G774,Sell!G:L,2,0),0)</f>
        <v>0</v>
      </c>
      <c r="O774" s="13">
        <f>IFERROR(VLOOKUP(G774,Sell!G:L,6,0),0)</f>
        <v>0</v>
      </c>
      <c r="P774" s="14">
        <f t="shared" si="77"/>
        <v>0</v>
      </c>
      <c r="Q774" s="13">
        <f t="shared" si="79"/>
        <v>0</v>
      </c>
      <c r="R774" s="13">
        <f t="shared" si="80"/>
        <v>0</v>
      </c>
      <c r="S774" s="13">
        <f t="shared" si="81"/>
        <v>0</v>
      </c>
      <c r="T774" s="13">
        <f t="shared" si="82"/>
        <v>0</v>
      </c>
      <c r="U774" s="15" t="str">
        <f t="shared" si="83"/>
        <v/>
      </c>
    </row>
    <row r="775" spans="12:21" x14ac:dyDescent="0.25">
      <c r="L775" s="20">
        <f t="shared" si="78"/>
        <v>0</v>
      </c>
      <c r="M775" s="14" t="e">
        <f>VLOOKUP(G775,Sell!G:L,1,0)</f>
        <v>#N/A</v>
      </c>
      <c r="N775" s="14">
        <f>IFERROR(VLOOKUP(G775,Sell!G:L,2,0),0)</f>
        <v>0</v>
      </c>
      <c r="O775" s="13">
        <f>IFERROR(VLOOKUP(G775,Sell!G:L,6,0),0)</f>
        <v>0</v>
      </c>
      <c r="P775" s="14">
        <f t="shared" si="77"/>
        <v>0</v>
      </c>
      <c r="Q775" s="13">
        <f t="shared" si="79"/>
        <v>0</v>
      </c>
      <c r="R775" s="13">
        <f t="shared" si="80"/>
        <v>0</v>
      </c>
      <c r="S775" s="13">
        <f t="shared" si="81"/>
        <v>0</v>
      </c>
      <c r="T775" s="13">
        <f t="shared" si="82"/>
        <v>0</v>
      </c>
      <c r="U775" s="15" t="str">
        <f t="shared" si="83"/>
        <v/>
      </c>
    </row>
    <row r="776" spans="12:21" x14ac:dyDescent="0.25">
      <c r="L776" s="20">
        <f t="shared" si="78"/>
        <v>0</v>
      </c>
      <c r="M776" s="14" t="e">
        <f>VLOOKUP(G776,Sell!G:L,1,0)</f>
        <v>#N/A</v>
      </c>
      <c r="N776" s="14">
        <f>IFERROR(VLOOKUP(G776,Sell!G:L,2,0),0)</f>
        <v>0</v>
      </c>
      <c r="O776" s="13">
        <f>IFERROR(VLOOKUP(G776,Sell!G:L,6,0),0)</f>
        <v>0</v>
      </c>
      <c r="P776" s="14">
        <f t="shared" si="77"/>
        <v>0</v>
      </c>
      <c r="Q776" s="13">
        <f t="shared" si="79"/>
        <v>0</v>
      </c>
      <c r="R776" s="13">
        <f t="shared" si="80"/>
        <v>0</v>
      </c>
      <c r="S776" s="13">
        <f t="shared" si="81"/>
        <v>0</v>
      </c>
      <c r="T776" s="13">
        <f t="shared" si="82"/>
        <v>0</v>
      </c>
      <c r="U776" s="15" t="str">
        <f t="shared" si="83"/>
        <v/>
      </c>
    </row>
    <row r="777" spans="12:21" x14ac:dyDescent="0.25">
      <c r="L777" s="20">
        <f t="shared" si="78"/>
        <v>0</v>
      </c>
      <c r="M777" s="14" t="e">
        <f>VLOOKUP(G777,Sell!G:L,1,0)</f>
        <v>#N/A</v>
      </c>
      <c r="N777" s="14">
        <f>IFERROR(VLOOKUP(G777,Sell!G:L,2,0),0)</f>
        <v>0</v>
      </c>
      <c r="O777" s="13">
        <f>IFERROR(VLOOKUP(G777,Sell!G:L,6,0),0)</f>
        <v>0</v>
      </c>
      <c r="P777" s="14">
        <f t="shared" si="77"/>
        <v>0</v>
      </c>
      <c r="Q777" s="13">
        <f t="shared" si="79"/>
        <v>0</v>
      </c>
      <c r="R777" s="13">
        <f t="shared" si="80"/>
        <v>0</v>
      </c>
      <c r="S777" s="13">
        <f t="shared" si="81"/>
        <v>0</v>
      </c>
      <c r="T777" s="13">
        <f t="shared" si="82"/>
        <v>0</v>
      </c>
      <c r="U777" s="15" t="str">
        <f t="shared" si="83"/>
        <v/>
      </c>
    </row>
    <row r="778" spans="12:21" x14ac:dyDescent="0.25">
      <c r="L778" s="20">
        <f t="shared" si="78"/>
        <v>0</v>
      </c>
      <c r="M778" s="14" t="e">
        <f>VLOOKUP(G778,Sell!G:L,1,0)</f>
        <v>#N/A</v>
      </c>
      <c r="N778" s="14">
        <f>IFERROR(VLOOKUP(G778,Sell!G:L,2,0),0)</f>
        <v>0</v>
      </c>
      <c r="O778" s="13">
        <f>IFERROR(VLOOKUP(G778,Sell!G:L,6,0),0)</f>
        <v>0</v>
      </c>
      <c r="P778" s="14">
        <f t="shared" ref="P778:P841" si="84">H778-N778</f>
        <v>0</v>
      </c>
      <c r="Q778" s="13">
        <f t="shared" si="79"/>
        <v>0</v>
      </c>
      <c r="R778" s="13">
        <f t="shared" si="80"/>
        <v>0</v>
      </c>
      <c r="S778" s="13">
        <f t="shared" si="81"/>
        <v>0</v>
      </c>
      <c r="T778" s="13">
        <f t="shared" si="82"/>
        <v>0</v>
      </c>
      <c r="U778" s="15" t="str">
        <f t="shared" si="83"/>
        <v/>
      </c>
    </row>
    <row r="779" spans="12:21" x14ac:dyDescent="0.25">
      <c r="L779" s="20">
        <f t="shared" ref="L779:L842" si="85">J779+K779</f>
        <v>0</v>
      </c>
      <c r="M779" s="14" t="e">
        <f>VLOOKUP(G779,Sell!G:L,1,0)</f>
        <v>#N/A</v>
      </c>
      <c r="N779" s="14">
        <f>IFERROR(VLOOKUP(G779,Sell!G:L,2,0),0)</f>
        <v>0</v>
      </c>
      <c r="O779" s="13">
        <f>IFERROR(VLOOKUP(G779,Sell!G:L,6,0),0)</f>
        <v>0</v>
      </c>
      <c r="P779" s="14">
        <f t="shared" si="84"/>
        <v>0</v>
      </c>
      <c r="Q779" s="13">
        <f t="shared" ref="Q779:Q842" si="86">O779-L779</f>
        <v>0</v>
      </c>
      <c r="R779" s="13">
        <f t="shared" ref="R779:R842" si="87">IF(P779=0,Q779,0)</f>
        <v>0</v>
      </c>
      <c r="S779" s="13">
        <f t="shared" ref="S779:S842" si="88">IF(R779&gt;0,R779,0)</f>
        <v>0</v>
      </c>
      <c r="T779" s="13">
        <f t="shared" ref="T779:T842" si="89">IF(R779&gt;0,0,R779)</f>
        <v>0</v>
      </c>
      <c r="U779" s="15" t="str">
        <f t="shared" ref="U779:U842" si="90">IF(AND(LEN(G779)&gt;0,R779=0),"Open","")</f>
        <v/>
      </c>
    </row>
    <row r="780" spans="12:21" x14ac:dyDescent="0.25">
      <c r="L780" s="20">
        <f t="shared" si="85"/>
        <v>0</v>
      </c>
      <c r="M780" s="14" t="e">
        <f>VLOOKUP(G780,Sell!G:L,1,0)</f>
        <v>#N/A</v>
      </c>
      <c r="N780" s="14">
        <f>IFERROR(VLOOKUP(G780,Sell!G:L,2,0),0)</f>
        <v>0</v>
      </c>
      <c r="O780" s="13">
        <f>IFERROR(VLOOKUP(G780,Sell!G:L,6,0),0)</f>
        <v>0</v>
      </c>
      <c r="P780" s="14">
        <f t="shared" si="84"/>
        <v>0</v>
      </c>
      <c r="Q780" s="13">
        <f t="shared" si="86"/>
        <v>0</v>
      </c>
      <c r="R780" s="13">
        <f t="shared" si="87"/>
        <v>0</v>
      </c>
      <c r="S780" s="13">
        <f t="shared" si="88"/>
        <v>0</v>
      </c>
      <c r="T780" s="13">
        <f t="shared" si="89"/>
        <v>0</v>
      </c>
      <c r="U780" s="15" t="str">
        <f t="shared" si="90"/>
        <v/>
      </c>
    </row>
    <row r="781" spans="12:21" x14ac:dyDescent="0.25">
      <c r="L781" s="20">
        <f t="shared" si="85"/>
        <v>0</v>
      </c>
      <c r="M781" s="14" t="e">
        <f>VLOOKUP(G781,Sell!G:L,1,0)</f>
        <v>#N/A</v>
      </c>
      <c r="N781" s="14">
        <f>IFERROR(VLOOKUP(G781,Sell!G:L,2,0),0)</f>
        <v>0</v>
      </c>
      <c r="O781" s="13">
        <f>IFERROR(VLOOKUP(G781,Sell!G:L,6,0),0)</f>
        <v>0</v>
      </c>
      <c r="P781" s="14">
        <f t="shared" si="84"/>
        <v>0</v>
      </c>
      <c r="Q781" s="13">
        <f t="shared" si="86"/>
        <v>0</v>
      </c>
      <c r="R781" s="13">
        <f t="shared" si="87"/>
        <v>0</v>
      </c>
      <c r="S781" s="13">
        <f t="shared" si="88"/>
        <v>0</v>
      </c>
      <c r="T781" s="13">
        <f t="shared" si="89"/>
        <v>0</v>
      </c>
      <c r="U781" s="15" t="str">
        <f t="shared" si="90"/>
        <v/>
      </c>
    </row>
    <row r="782" spans="12:21" x14ac:dyDescent="0.25">
      <c r="L782" s="20">
        <f t="shared" si="85"/>
        <v>0</v>
      </c>
      <c r="M782" s="14" t="e">
        <f>VLOOKUP(G782,Sell!G:L,1,0)</f>
        <v>#N/A</v>
      </c>
      <c r="N782" s="14">
        <f>IFERROR(VLOOKUP(G782,Sell!G:L,2,0),0)</f>
        <v>0</v>
      </c>
      <c r="O782" s="13">
        <f>IFERROR(VLOOKUP(G782,Sell!G:L,6,0),0)</f>
        <v>0</v>
      </c>
      <c r="P782" s="14">
        <f t="shared" si="84"/>
        <v>0</v>
      </c>
      <c r="Q782" s="13">
        <f t="shared" si="86"/>
        <v>0</v>
      </c>
      <c r="R782" s="13">
        <f t="shared" si="87"/>
        <v>0</v>
      </c>
      <c r="S782" s="13">
        <f t="shared" si="88"/>
        <v>0</v>
      </c>
      <c r="T782" s="13">
        <f t="shared" si="89"/>
        <v>0</v>
      </c>
      <c r="U782" s="15" t="str">
        <f t="shared" si="90"/>
        <v/>
      </c>
    </row>
    <row r="783" spans="12:21" x14ac:dyDescent="0.25">
      <c r="L783" s="20">
        <f t="shared" si="85"/>
        <v>0</v>
      </c>
      <c r="M783" s="14" t="e">
        <f>VLOOKUP(G783,Sell!G:L,1,0)</f>
        <v>#N/A</v>
      </c>
      <c r="N783" s="14">
        <f>IFERROR(VLOOKUP(G783,Sell!G:L,2,0),0)</f>
        <v>0</v>
      </c>
      <c r="O783" s="13">
        <f>IFERROR(VLOOKUP(G783,Sell!G:L,6,0),0)</f>
        <v>0</v>
      </c>
      <c r="P783" s="14">
        <f t="shared" si="84"/>
        <v>0</v>
      </c>
      <c r="Q783" s="13">
        <f t="shared" si="86"/>
        <v>0</v>
      </c>
      <c r="R783" s="13">
        <f t="shared" si="87"/>
        <v>0</v>
      </c>
      <c r="S783" s="13">
        <f t="shared" si="88"/>
        <v>0</v>
      </c>
      <c r="T783" s="13">
        <f t="shared" si="89"/>
        <v>0</v>
      </c>
      <c r="U783" s="15" t="str">
        <f t="shared" si="90"/>
        <v/>
      </c>
    </row>
    <row r="784" spans="12:21" x14ac:dyDescent="0.25">
      <c r="L784" s="20">
        <f t="shared" si="85"/>
        <v>0</v>
      </c>
      <c r="M784" s="14" t="e">
        <f>VLOOKUP(G784,Sell!G:L,1,0)</f>
        <v>#N/A</v>
      </c>
      <c r="N784" s="14">
        <f>IFERROR(VLOOKUP(G784,Sell!G:L,2,0),0)</f>
        <v>0</v>
      </c>
      <c r="O784" s="13">
        <f>IFERROR(VLOOKUP(G784,Sell!G:L,6,0),0)</f>
        <v>0</v>
      </c>
      <c r="P784" s="14">
        <f t="shared" si="84"/>
        <v>0</v>
      </c>
      <c r="Q784" s="13">
        <f t="shared" si="86"/>
        <v>0</v>
      </c>
      <c r="R784" s="13">
        <f t="shared" si="87"/>
        <v>0</v>
      </c>
      <c r="S784" s="13">
        <f t="shared" si="88"/>
        <v>0</v>
      </c>
      <c r="T784" s="13">
        <f t="shared" si="89"/>
        <v>0</v>
      </c>
      <c r="U784" s="15" t="str">
        <f t="shared" si="90"/>
        <v/>
      </c>
    </row>
    <row r="785" spans="12:21" x14ac:dyDescent="0.25">
      <c r="L785" s="20">
        <f t="shared" si="85"/>
        <v>0</v>
      </c>
      <c r="M785" s="14" t="e">
        <f>VLOOKUP(G785,Sell!G:L,1,0)</f>
        <v>#N/A</v>
      </c>
      <c r="N785" s="14">
        <f>IFERROR(VLOOKUP(G785,Sell!G:L,2,0),0)</f>
        <v>0</v>
      </c>
      <c r="O785" s="13">
        <f>IFERROR(VLOOKUP(G785,Sell!G:L,6,0),0)</f>
        <v>0</v>
      </c>
      <c r="P785" s="14">
        <f t="shared" si="84"/>
        <v>0</v>
      </c>
      <c r="Q785" s="13">
        <f t="shared" si="86"/>
        <v>0</v>
      </c>
      <c r="R785" s="13">
        <f t="shared" si="87"/>
        <v>0</v>
      </c>
      <c r="S785" s="13">
        <f t="shared" si="88"/>
        <v>0</v>
      </c>
      <c r="T785" s="13">
        <f t="shared" si="89"/>
        <v>0</v>
      </c>
      <c r="U785" s="15" t="str">
        <f t="shared" si="90"/>
        <v/>
      </c>
    </row>
    <row r="786" spans="12:21" x14ac:dyDescent="0.25">
      <c r="L786" s="20">
        <f t="shared" si="85"/>
        <v>0</v>
      </c>
      <c r="M786" s="14" t="e">
        <f>VLOOKUP(G786,Sell!G:L,1,0)</f>
        <v>#N/A</v>
      </c>
      <c r="N786" s="14">
        <f>IFERROR(VLOOKUP(G786,Sell!G:L,2,0),0)</f>
        <v>0</v>
      </c>
      <c r="O786" s="13">
        <f>IFERROR(VLOOKUP(G786,Sell!G:L,6,0),0)</f>
        <v>0</v>
      </c>
      <c r="P786" s="14">
        <f t="shared" si="84"/>
        <v>0</v>
      </c>
      <c r="Q786" s="13">
        <f t="shared" si="86"/>
        <v>0</v>
      </c>
      <c r="R786" s="13">
        <f t="shared" si="87"/>
        <v>0</v>
      </c>
      <c r="S786" s="13">
        <f t="shared" si="88"/>
        <v>0</v>
      </c>
      <c r="T786" s="13">
        <f t="shared" si="89"/>
        <v>0</v>
      </c>
      <c r="U786" s="15" t="str">
        <f t="shared" si="90"/>
        <v/>
      </c>
    </row>
    <row r="787" spans="12:21" x14ac:dyDescent="0.25">
      <c r="L787" s="20">
        <f t="shared" si="85"/>
        <v>0</v>
      </c>
      <c r="M787" s="14" t="e">
        <f>VLOOKUP(G787,Sell!G:L,1,0)</f>
        <v>#N/A</v>
      </c>
      <c r="N787" s="14">
        <f>IFERROR(VLOOKUP(G787,Sell!G:L,2,0),0)</f>
        <v>0</v>
      </c>
      <c r="O787" s="13">
        <f>IFERROR(VLOOKUP(G787,Sell!G:L,6,0),0)</f>
        <v>0</v>
      </c>
      <c r="P787" s="14">
        <f t="shared" si="84"/>
        <v>0</v>
      </c>
      <c r="Q787" s="13">
        <f t="shared" si="86"/>
        <v>0</v>
      </c>
      <c r="R787" s="13">
        <f t="shared" si="87"/>
        <v>0</v>
      </c>
      <c r="S787" s="13">
        <f t="shared" si="88"/>
        <v>0</v>
      </c>
      <c r="T787" s="13">
        <f t="shared" si="89"/>
        <v>0</v>
      </c>
      <c r="U787" s="15" t="str">
        <f t="shared" si="90"/>
        <v/>
      </c>
    </row>
    <row r="788" spans="12:21" x14ac:dyDescent="0.25">
      <c r="L788" s="20">
        <f t="shared" si="85"/>
        <v>0</v>
      </c>
      <c r="M788" s="14" t="e">
        <f>VLOOKUP(G788,Sell!G:L,1,0)</f>
        <v>#N/A</v>
      </c>
      <c r="N788" s="14">
        <f>IFERROR(VLOOKUP(G788,Sell!G:L,2,0),0)</f>
        <v>0</v>
      </c>
      <c r="O788" s="13">
        <f>IFERROR(VLOOKUP(G788,Sell!G:L,6,0),0)</f>
        <v>0</v>
      </c>
      <c r="P788" s="14">
        <f t="shared" si="84"/>
        <v>0</v>
      </c>
      <c r="Q788" s="13">
        <f t="shared" si="86"/>
        <v>0</v>
      </c>
      <c r="R788" s="13">
        <f t="shared" si="87"/>
        <v>0</v>
      </c>
      <c r="S788" s="13">
        <f t="shared" si="88"/>
        <v>0</v>
      </c>
      <c r="T788" s="13">
        <f t="shared" si="89"/>
        <v>0</v>
      </c>
      <c r="U788" s="15" t="str">
        <f t="shared" si="90"/>
        <v/>
      </c>
    </row>
    <row r="789" spans="12:21" x14ac:dyDescent="0.25">
      <c r="L789" s="20">
        <f t="shared" si="85"/>
        <v>0</v>
      </c>
      <c r="M789" s="14" t="e">
        <f>VLOOKUP(G789,Sell!G:L,1,0)</f>
        <v>#N/A</v>
      </c>
      <c r="N789" s="14">
        <f>IFERROR(VLOOKUP(G789,Sell!G:L,2,0),0)</f>
        <v>0</v>
      </c>
      <c r="O789" s="13">
        <f>IFERROR(VLOOKUP(G789,Sell!G:L,6,0),0)</f>
        <v>0</v>
      </c>
      <c r="P789" s="14">
        <f t="shared" si="84"/>
        <v>0</v>
      </c>
      <c r="Q789" s="13">
        <f t="shared" si="86"/>
        <v>0</v>
      </c>
      <c r="R789" s="13">
        <f t="shared" si="87"/>
        <v>0</v>
      </c>
      <c r="S789" s="13">
        <f t="shared" si="88"/>
        <v>0</v>
      </c>
      <c r="T789" s="13">
        <f t="shared" si="89"/>
        <v>0</v>
      </c>
      <c r="U789" s="15" t="str">
        <f t="shared" si="90"/>
        <v/>
      </c>
    </row>
    <row r="790" spans="12:21" x14ac:dyDescent="0.25">
      <c r="L790" s="20">
        <f t="shared" si="85"/>
        <v>0</v>
      </c>
      <c r="M790" s="14" t="e">
        <f>VLOOKUP(G790,Sell!G:L,1,0)</f>
        <v>#N/A</v>
      </c>
      <c r="N790" s="14">
        <f>IFERROR(VLOOKUP(G790,Sell!G:L,2,0),0)</f>
        <v>0</v>
      </c>
      <c r="O790" s="13">
        <f>IFERROR(VLOOKUP(G790,Sell!G:L,6,0),0)</f>
        <v>0</v>
      </c>
      <c r="P790" s="14">
        <f t="shared" si="84"/>
        <v>0</v>
      </c>
      <c r="Q790" s="13">
        <f t="shared" si="86"/>
        <v>0</v>
      </c>
      <c r="R790" s="13">
        <f t="shared" si="87"/>
        <v>0</v>
      </c>
      <c r="S790" s="13">
        <f t="shared" si="88"/>
        <v>0</v>
      </c>
      <c r="T790" s="13">
        <f t="shared" si="89"/>
        <v>0</v>
      </c>
      <c r="U790" s="15" t="str">
        <f t="shared" si="90"/>
        <v/>
      </c>
    </row>
    <row r="791" spans="12:21" x14ac:dyDescent="0.25">
      <c r="L791" s="20">
        <f t="shared" si="85"/>
        <v>0</v>
      </c>
      <c r="M791" s="14" t="e">
        <f>VLOOKUP(G791,Sell!G:L,1,0)</f>
        <v>#N/A</v>
      </c>
      <c r="N791" s="14">
        <f>IFERROR(VLOOKUP(G791,Sell!G:L,2,0),0)</f>
        <v>0</v>
      </c>
      <c r="O791" s="13">
        <f>IFERROR(VLOOKUP(G791,Sell!G:L,6,0),0)</f>
        <v>0</v>
      </c>
      <c r="P791" s="14">
        <f t="shared" si="84"/>
        <v>0</v>
      </c>
      <c r="Q791" s="13">
        <f t="shared" si="86"/>
        <v>0</v>
      </c>
      <c r="R791" s="13">
        <f t="shared" si="87"/>
        <v>0</v>
      </c>
      <c r="S791" s="13">
        <f t="shared" si="88"/>
        <v>0</v>
      </c>
      <c r="T791" s="13">
        <f t="shared" si="89"/>
        <v>0</v>
      </c>
      <c r="U791" s="15" t="str">
        <f t="shared" si="90"/>
        <v/>
      </c>
    </row>
    <row r="792" spans="12:21" x14ac:dyDescent="0.25">
      <c r="L792" s="20">
        <f t="shared" si="85"/>
        <v>0</v>
      </c>
      <c r="M792" s="14" t="e">
        <f>VLOOKUP(G792,Sell!G:L,1,0)</f>
        <v>#N/A</v>
      </c>
      <c r="N792" s="14">
        <f>IFERROR(VLOOKUP(G792,Sell!G:L,2,0),0)</f>
        <v>0</v>
      </c>
      <c r="O792" s="13">
        <f>IFERROR(VLOOKUP(G792,Sell!G:L,6,0),0)</f>
        <v>0</v>
      </c>
      <c r="P792" s="14">
        <f t="shared" si="84"/>
        <v>0</v>
      </c>
      <c r="Q792" s="13">
        <f t="shared" si="86"/>
        <v>0</v>
      </c>
      <c r="R792" s="13">
        <f t="shared" si="87"/>
        <v>0</v>
      </c>
      <c r="S792" s="13">
        <f t="shared" si="88"/>
        <v>0</v>
      </c>
      <c r="T792" s="13">
        <f t="shared" si="89"/>
        <v>0</v>
      </c>
      <c r="U792" s="15" t="str">
        <f t="shared" si="90"/>
        <v/>
      </c>
    </row>
    <row r="793" spans="12:21" x14ac:dyDescent="0.25">
      <c r="L793" s="20">
        <f t="shared" si="85"/>
        <v>0</v>
      </c>
      <c r="M793" s="14" t="e">
        <f>VLOOKUP(G793,Sell!G:L,1,0)</f>
        <v>#N/A</v>
      </c>
      <c r="N793" s="14">
        <f>IFERROR(VLOOKUP(G793,Sell!G:L,2,0),0)</f>
        <v>0</v>
      </c>
      <c r="O793" s="13">
        <f>IFERROR(VLOOKUP(G793,Sell!G:L,6,0),0)</f>
        <v>0</v>
      </c>
      <c r="P793" s="14">
        <f t="shared" si="84"/>
        <v>0</v>
      </c>
      <c r="Q793" s="13">
        <f t="shared" si="86"/>
        <v>0</v>
      </c>
      <c r="R793" s="13">
        <f t="shared" si="87"/>
        <v>0</v>
      </c>
      <c r="S793" s="13">
        <f t="shared" si="88"/>
        <v>0</v>
      </c>
      <c r="T793" s="13">
        <f t="shared" si="89"/>
        <v>0</v>
      </c>
      <c r="U793" s="15" t="str">
        <f t="shared" si="90"/>
        <v/>
      </c>
    </row>
    <row r="794" spans="12:21" x14ac:dyDescent="0.25">
      <c r="L794" s="20">
        <f t="shared" si="85"/>
        <v>0</v>
      </c>
      <c r="M794" s="14" t="e">
        <f>VLOOKUP(G794,Sell!G:L,1,0)</f>
        <v>#N/A</v>
      </c>
      <c r="N794" s="14">
        <f>IFERROR(VLOOKUP(G794,Sell!G:L,2,0),0)</f>
        <v>0</v>
      </c>
      <c r="O794" s="13">
        <f>IFERROR(VLOOKUP(G794,Sell!G:L,6,0),0)</f>
        <v>0</v>
      </c>
      <c r="P794" s="14">
        <f t="shared" si="84"/>
        <v>0</v>
      </c>
      <c r="Q794" s="13">
        <f t="shared" si="86"/>
        <v>0</v>
      </c>
      <c r="R794" s="13">
        <f t="shared" si="87"/>
        <v>0</v>
      </c>
      <c r="S794" s="13">
        <f t="shared" si="88"/>
        <v>0</v>
      </c>
      <c r="T794" s="13">
        <f t="shared" si="89"/>
        <v>0</v>
      </c>
      <c r="U794" s="15" t="str">
        <f t="shared" si="90"/>
        <v/>
      </c>
    </row>
    <row r="795" spans="12:21" x14ac:dyDescent="0.25">
      <c r="L795" s="20">
        <f t="shared" si="85"/>
        <v>0</v>
      </c>
      <c r="M795" s="14" t="e">
        <f>VLOOKUP(G795,Sell!G:L,1,0)</f>
        <v>#N/A</v>
      </c>
      <c r="N795" s="14">
        <f>IFERROR(VLOOKUP(G795,Sell!G:L,2,0),0)</f>
        <v>0</v>
      </c>
      <c r="O795" s="13">
        <f>IFERROR(VLOOKUP(G795,Sell!G:L,6,0),0)</f>
        <v>0</v>
      </c>
      <c r="P795" s="14">
        <f t="shared" si="84"/>
        <v>0</v>
      </c>
      <c r="Q795" s="13">
        <f t="shared" si="86"/>
        <v>0</v>
      </c>
      <c r="R795" s="13">
        <f t="shared" si="87"/>
        <v>0</v>
      </c>
      <c r="S795" s="13">
        <f t="shared" si="88"/>
        <v>0</v>
      </c>
      <c r="T795" s="13">
        <f t="shared" si="89"/>
        <v>0</v>
      </c>
      <c r="U795" s="15" t="str">
        <f t="shared" si="90"/>
        <v/>
      </c>
    </row>
    <row r="796" spans="12:21" x14ac:dyDescent="0.25">
      <c r="L796" s="20">
        <f t="shared" si="85"/>
        <v>0</v>
      </c>
      <c r="M796" s="14" t="e">
        <f>VLOOKUP(G796,Sell!G:L,1,0)</f>
        <v>#N/A</v>
      </c>
      <c r="N796" s="14">
        <f>IFERROR(VLOOKUP(G796,Sell!G:L,2,0),0)</f>
        <v>0</v>
      </c>
      <c r="O796" s="13">
        <f>IFERROR(VLOOKUP(G796,Sell!G:L,6,0),0)</f>
        <v>0</v>
      </c>
      <c r="P796" s="14">
        <f t="shared" si="84"/>
        <v>0</v>
      </c>
      <c r="Q796" s="13">
        <f t="shared" si="86"/>
        <v>0</v>
      </c>
      <c r="R796" s="13">
        <f t="shared" si="87"/>
        <v>0</v>
      </c>
      <c r="S796" s="13">
        <f t="shared" si="88"/>
        <v>0</v>
      </c>
      <c r="T796" s="13">
        <f t="shared" si="89"/>
        <v>0</v>
      </c>
      <c r="U796" s="15" t="str">
        <f t="shared" si="90"/>
        <v/>
      </c>
    </row>
    <row r="797" spans="12:21" x14ac:dyDescent="0.25">
      <c r="L797" s="20">
        <f t="shared" si="85"/>
        <v>0</v>
      </c>
      <c r="M797" s="14" t="e">
        <f>VLOOKUP(G797,Sell!G:L,1,0)</f>
        <v>#N/A</v>
      </c>
      <c r="N797" s="14">
        <f>IFERROR(VLOOKUP(G797,Sell!G:L,2,0),0)</f>
        <v>0</v>
      </c>
      <c r="O797" s="13">
        <f>IFERROR(VLOOKUP(G797,Sell!G:L,6,0),0)</f>
        <v>0</v>
      </c>
      <c r="P797" s="14">
        <f t="shared" si="84"/>
        <v>0</v>
      </c>
      <c r="Q797" s="13">
        <f t="shared" si="86"/>
        <v>0</v>
      </c>
      <c r="R797" s="13">
        <f t="shared" si="87"/>
        <v>0</v>
      </c>
      <c r="S797" s="13">
        <f t="shared" si="88"/>
        <v>0</v>
      </c>
      <c r="T797" s="13">
        <f t="shared" si="89"/>
        <v>0</v>
      </c>
      <c r="U797" s="15" t="str">
        <f t="shared" si="90"/>
        <v/>
      </c>
    </row>
    <row r="798" spans="12:21" x14ac:dyDescent="0.25">
      <c r="L798" s="20">
        <f t="shared" si="85"/>
        <v>0</v>
      </c>
      <c r="M798" s="14" t="e">
        <f>VLOOKUP(G798,Sell!G:L,1,0)</f>
        <v>#N/A</v>
      </c>
      <c r="N798" s="14">
        <f>IFERROR(VLOOKUP(G798,Sell!G:L,2,0),0)</f>
        <v>0</v>
      </c>
      <c r="O798" s="13">
        <f>IFERROR(VLOOKUP(G798,Sell!G:L,6,0),0)</f>
        <v>0</v>
      </c>
      <c r="P798" s="14">
        <f t="shared" si="84"/>
        <v>0</v>
      </c>
      <c r="Q798" s="13">
        <f t="shared" si="86"/>
        <v>0</v>
      </c>
      <c r="R798" s="13">
        <f t="shared" si="87"/>
        <v>0</v>
      </c>
      <c r="S798" s="13">
        <f t="shared" si="88"/>
        <v>0</v>
      </c>
      <c r="T798" s="13">
        <f t="shared" si="89"/>
        <v>0</v>
      </c>
      <c r="U798" s="15" t="str">
        <f t="shared" si="90"/>
        <v/>
      </c>
    </row>
    <row r="799" spans="12:21" x14ac:dyDescent="0.25">
      <c r="L799" s="20">
        <f t="shared" si="85"/>
        <v>0</v>
      </c>
      <c r="M799" s="14" t="e">
        <f>VLOOKUP(G799,Sell!G:L,1,0)</f>
        <v>#N/A</v>
      </c>
      <c r="N799" s="14">
        <f>IFERROR(VLOOKUP(G799,Sell!G:L,2,0),0)</f>
        <v>0</v>
      </c>
      <c r="O799" s="13">
        <f>IFERROR(VLOOKUP(G799,Sell!G:L,6,0),0)</f>
        <v>0</v>
      </c>
      <c r="P799" s="14">
        <f t="shared" si="84"/>
        <v>0</v>
      </c>
      <c r="Q799" s="13">
        <f t="shared" si="86"/>
        <v>0</v>
      </c>
      <c r="R799" s="13">
        <f t="shared" si="87"/>
        <v>0</v>
      </c>
      <c r="S799" s="13">
        <f t="shared" si="88"/>
        <v>0</v>
      </c>
      <c r="T799" s="13">
        <f t="shared" si="89"/>
        <v>0</v>
      </c>
      <c r="U799" s="15" t="str">
        <f t="shared" si="90"/>
        <v/>
      </c>
    </row>
    <row r="800" spans="12:21" x14ac:dyDescent="0.25">
      <c r="L800" s="20">
        <f t="shared" si="85"/>
        <v>0</v>
      </c>
      <c r="M800" s="14" t="e">
        <f>VLOOKUP(G800,Sell!G:L,1,0)</f>
        <v>#N/A</v>
      </c>
      <c r="N800" s="14">
        <f>IFERROR(VLOOKUP(G800,Sell!G:L,2,0),0)</f>
        <v>0</v>
      </c>
      <c r="O800" s="13">
        <f>IFERROR(VLOOKUP(G800,Sell!G:L,6,0),0)</f>
        <v>0</v>
      </c>
      <c r="P800" s="14">
        <f t="shared" si="84"/>
        <v>0</v>
      </c>
      <c r="Q800" s="13">
        <f t="shared" si="86"/>
        <v>0</v>
      </c>
      <c r="R800" s="13">
        <f t="shared" si="87"/>
        <v>0</v>
      </c>
      <c r="S800" s="13">
        <f t="shared" si="88"/>
        <v>0</v>
      </c>
      <c r="T800" s="13">
        <f t="shared" si="89"/>
        <v>0</v>
      </c>
      <c r="U800" s="15" t="str">
        <f t="shared" si="90"/>
        <v/>
      </c>
    </row>
    <row r="801" spans="12:21" x14ac:dyDescent="0.25">
      <c r="L801" s="20">
        <f t="shared" si="85"/>
        <v>0</v>
      </c>
      <c r="M801" s="14" t="e">
        <f>VLOOKUP(G801,Sell!G:L,1,0)</f>
        <v>#N/A</v>
      </c>
      <c r="N801" s="14">
        <f>IFERROR(VLOOKUP(G801,Sell!G:L,2,0),0)</f>
        <v>0</v>
      </c>
      <c r="O801" s="13">
        <f>IFERROR(VLOOKUP(G801,Sell!G:L,6,0),0)</f>
        <v>0</v>
      </c>
      <c r="P801" s="14">
        <f t="shared" si="84"/>
        <v>0</v>
      </c>
      <c r="Q801" s="13">
        <f t="shared" si="86"/>
        <v>0</v>
      </c>
      <c r="R801" s="13">
        <f t="shared" si="87"/>
        <v>0</v>
      </c>
      <c r="S801" s="13">
        <f t="shared" si="88"/>
        <v>0</v>
      </c>
      <c r="T801" s="13">
        <f t="shared" si="89"/>
        <v>0</v>
      </c>
      <c r="U801" s="15" t="str">
        <f t="shared" si="90"/>
        <v/>
      </c>
    </row>
    <row r="802" spans="12:21" x14ac:dyDescent="0.25">
      <c r="L802" s="20">
        <f t="shared" si="85"/>
        <v>0</v>
      </c>
      <c r="M802" s="14" t="e">
        <f>VLOOKUP(G802,Sell!G:L,1,0)</f>
        <v>#N/A</v>
      </c>
      <c r="N802" s="14">
        <f>IFERROR(VLOOKUP(G802,Sell!G:L,2,0),0)</f>
        <v>0</v>
      </c>
      <c r="O802" s="13">
        <f>IFERROR(VLOOKUP(G802,Sell!G:L,6,0),0)</f>
        <v>0</v>
      </c>
      <c r="P802" s="14">
        <f t="shared" si="84"/>
        <v>0</v>
      </c>
      <c r="Q802" s="13">
        <f t="shared" si="86"/>
        <v>0</v>
      </c>
      <c r="R802" s="13">
        <f t="shared" si="87"/>
        <v>0</v>
      </c>
      <c r="S802" s="13">
        <f t="shared" si="88"/>
        <v>0</v>
      </c>
      <c r="T802" s="13">
        <f t="shared" si="89"/>
        <v>0</v>
      </c>
      <c r="U802" s="15" t="str">
        <f t="shared" si="90"/>
        <v/>
      </c>
    </row>
    <row r="803" spans="12:21" x14ac:dyDescent="0.25">
      <c r="L803" s="20">
        <f t="shared" si="85"/>
        <v>0</v>
      </c>
      <c r="M803" s="14" t="e">
        <f>VLOOKUP(G803,Sell!G:L,1,0)</f>
        <v>#N/A</v>
      </c>
      <c r="N803" s="14">
        <f>IFERROR(VLOOKUP(G803,Sell!G:L,2,0),0)</f>
        <v>0</v>
      </c>
      <c r="O803" s="13">
        <f>IFERROR(VLOOKUP(G803,Sell!G:L,6,0),0)</f>
        <v>0</v>
      </c>
      <c r="P803" s="14">
        <f t="shared" si="84"/>
        <v>0</v>
      </c>
      <c r="Q803" s="13">
        <f t="shared" si="86"/>
        <v>0</v>
      </c>
      <c r="R803" s="13">
        <f t="shared" si="87"/>
        <v>0</v>
      </c>
      <c r="S803" s="13">
        <f t="shared" si="88"/>
        <v>0</v>
      </c>
      <c r="T803" s="13">
        <f t="shared" si="89"/>
        <v>0</v>
      </c>
      <c r="U803" s="15" t="str">
        <f t="shared" si="90"/>
        <v/>
      </c>
    </row>
    <row r="804" spans="12:21" x14ac:dyDescent="0.25">
      <c r="L804" s="20">
        <f t="shared" si="85"/>
        <v>0</v>
      </c>
      <c r="M804" s="14" t="e">
        <f>VLOOKUP(G804,Sell!G:L,1,0)</f>
        <v>#N/A</v>
      </c>
      <c r="N804" s="14">
        <f>IFERROR(VLOOKUP(G804,Sell!G:L,2,0),0)</f>
        <v>0</v>
      </c>
      <c r="O804" s="13">
        <f>IFERROR(VLOOKUP(G804,Sell!G:L,6,0),0)</f>
        <v>0</v>
      </c>
      <c r="P804" s="14">
        <f t="shared" si="84"/>
        <v>0</v>
      </c>
      <c r="Q804" s="13">
        <f t="shared" si="86"/>
        <v>0</v>
      </c>
      <c r="R804" s="13">
        <f t="shared" si="87"/>
        <v>0</v>
      </c>
      <c r="S804" s="13">
        <f t="shared" si="88"/>
        <v>0</v>
      </c>
      <c r="T804" s="13">
        <f t="shared" si="89"/>
        <v>0</v>
      </c>
      <c r="U804" s="15" t="str">
        <f t="shared" si="90"/>
        <v/>
      </c>
    </row>
    <row r="805" spans="12:21" x14ac:dyDescent="0.25">
      <c r="L805" s="20">
        <f t="shared" si="85"/>
        <v>0</v>
      </c>
      <c r="M805" s="14" t="e">
        <f>VLOOKUP(G805,Sell!G:L,1,0)</f>
        <v>#N/A</v>
      </c>
      <c r="N805" s="14">
        <f>IFERROR(VLOOKUP(G805,Sell!G:L,2,0),0)</f>
        <v>0</v>
      </c>
      <c r="O805" s="13">
        <f>IFERROR(VLOOKUP(G805,Sell!G:L,6,0),0)</f>
        <v>0</v>
      </c>
      <c r="P805" s="14">
        <f t="shared" si="84"/>
        <v>0</v>
      </c>
      <c r="Q805" s="13">
        <f t="shared" si="86"/>
        <v>0</v>
      </c>
      <c r="R805" s="13">
        <f t="shared" si="87"/>
        <v>0</v>
      </c>
      <c r="S805" s="13">
        <f t="shared" si="88"/>
        <v>0</v>
      </c>
      <c r="T805" s="13">
        <f t="shared" si="89"/>
        <v>0</v>
      </c>
      <c r="U805" s="15" t="str">
        <f t="shared" si="90"/>
        <v/>
      </c>
    </row>
    <row r="806" spans="12:21" x14ac:dyDescent="0.25">
      <c r="L806" s="20">
        <f t="shared" si="85"/>
        <v>0</v>
      </c>
      <c r="M806" s="14" t="e">
        <f>VLOOKUP(G806,Sell!G:L,1,0)</f>
        <v>#N/A</v>
      </c>
      <c r="N806" s="14">
        <f>IFERROR(VLOOKUP(G806,Sell!G:L,2,0),0)</f>
        <v>0</v>
      </c>
      <c r="O806" s="13">
        <f>IFERROR(VLOOKUP(G806,Sell!G:L,6,0),0)</f>
        <v>0</v>
      </c>
      <c r="P806" s="14">
        <f t="shared" si="84"/>
        <v>0</v>
      </c>
      <c r="Q806" s="13">
        <f t="shared" si="86"/>
        <v>0</v>
      </c>
      <c r="R806" s="13">
        <f t="shared" si="87"/>
        <v>0</v>
      </c>
      <c r="S806" s="13">
        <f t="shared" si="88"/>
        <v>0</v>
      </c>
      <c r="T806" s="13">
        <f t="shared" si="89"/>
        <v>0</v>
      </c>
      <c r="U806" s="15" t="str">
        <f t="shared" si="90"/>
        <v/>
      </c>
    </row>
    <row r="807" spans="12:21" x14ac:dyDescent="0.25">
      <c r="L807" s="20">
        <f t="shared" si="85"/>
        <v>0</v>
      </c>
      <c r="M807" s="14" t="e">
        <f>VLOOKUP(G807,Sell!G:L,1,0)</f>
        <v>#N/A</v>
      </c>
      <c r="N807" s="14">
        <f>IFERROR(VLOOKUP(G807,Sell!G:L,2,0),0)</f>
        <v>0</v>
      </c>
      <c r="O807" s="13">
        <f>IFERROR(VLOOKUP(G807,Sell!G:L,6,0),0)</f>
        <v>0</v>
      </c>
      <c r="P807" s="14">
        <f t="shared" si="84"/>
        <v>0</v>
      </c>
      <c r="Q807" s="13">
        <f t="shared" si="86"/>
        <v>0</v>
      </c>
      <c r="R807" s="13">
        <f t="shared" si="87"/>
        <v>0</v>
      </c>
      <c r="S807" s="13">
        <f t="shared" si="88"/>
        <v>0</v>
      </c>
      <c r="T807" s="13">
        <f t="shared" si="89"/>
        <v>0</v>
      </c>
      <c r="U807" s="15" t="str">
        <f t="shared" si="90"/>
        <v/>
      </c>
    </row>
    <row r="808" spans="12:21" x14ac:dyDescent="0.25">
      <c r="L808" s="20">
        <f t="shared" si="85"/>
        <v>0</v>
      </c>
      <c r="M808" s="14" t="e">
        <f>VLOOKUP(G808,Sell!G:L,1,0)</f>
        <v>#N/A</v>
      </c>
      <c r="N808" s="14">
        <f>IFERROR(VLOOKUP(G808,Sell!G:L,2,0),0)</f>
        <v>0</v>
      </c>
      <c r="O808" s="13">
        <f>IFERROR(VLOOKUP(G808,Sell!G:L,6,0),0)</f>
        <v>0</v>
      </c>
      <c r="P808" s="14">
        <f t="shared" si="84"/>
        <v>0</v>
      </c>
      <c r="Q808" s="13">
        <f t="shared" si="86"/>
        <v>0</v>
      </c>
      <c r="R808" s="13">
        <f t="shared" si="87"/>
        <v>0</v>
      </c>
      <c r="S808" s="13">
        <f t="shared" si="88"/>
        <v>0</v>
      </c>
      <c r="T808" s="13">
        <f t="shared" si="89"/>
        <v>0</v>
      </c>
      <c r="U808" s="15" t="str">
        <f t="shared" si="90"/>
        <v/>
      </c>
    </row>
    <row r="809" spans="12:21" x14ac:dyDescent="0.25">
      <c r="L809" s="20">
        <f t="shared" si="85"/>
        <v>0</v>
      </c>
      <c r="M809" s="14" t="e">
        <f>VLOOKUP(G809,Sell!G:L,1,0)</f>
        <v>#N/A</v>
      </c>
      <c r="N809" s="14">
        <f>IFERROR(VLOOKUP(G809,Sell!G:L,2,0),0)</f>
        <v>0</v>
      </c>
      <c r="O809" s="13">
        <f>IFERROR(VLOOKUP(G809,Sell!G:L,6,0),0)</f>
        <v>0</v>
      </c>
      <c r="P809" s="14">
        <f t="shared" si="84"/>
        <v>0</v>
      </c>
      <c r="Q809" s="13">
        <f t="shared" si="86"/>
        <v>0</v>
      </c>
      <c r="R809" s="13">
        <f t="shared" si="87"/>
        <v>0</v>
      </c>
      <c r="S809" s="13">
        <f t="shared" si="88"/>
        <v>0</v>
      </c>
      <c r="T809" s="13">
        <f t="shared" si="89"/>
        <v>0</v>
      </c>
      <c r="U809" s="15" t="str">
        <f t="shared" si="90"/>
        <v/>
      </c>
    </row>
    <row r="810" spans="12:21" x14ac:dyDescent="0.25">
      <c r="L810" s="20">
        <f t="shared" si="85"/>
        <v>0</v>
      </c>
      <c r="M810" s="14" t="e">
        <f>VLOOKUP(G810,Sell!G:L,1,0)</f>
        <v>#N/A</v>
      </c>
      <c r="N810" s="14">
        <f>IFERROR(VLOOKUP(G810,Sell!G:L,2,0),0)</f>
        <v>0</v>
      </c>
      <c r="O810" s="13">
        <f>IFERROR(VLOOKUP(G810,Sell!G:L,6,0),0)</f>
        <v>0</v>
      </c>
      <c r="P810" s="14">
        <f t="shared" si="84"/>
        <v>0</v>
      </c>
      <c r="Q810" s="13">
        <f t="shared" si="86"/>
        <v>0</v>
      </c>
      <c r="R810" s="13">
        <f t="shared" si="87"/>
        <v>0</v>
      </c>
      <c r="S810" s="13">
        <f t="shared" si="88"/>
        <v>0</v>
      </c>
      <c r="T810" s="13">
        <f t="shared" si="89"/>
        <v>0</v>
      </c>
      <c r="U810" s="15" t="str">
        <f t="shared" si="90"/>
        <v/>
      </c>
    </row>
    <row r="811" spans="12:21" x14ac:dyDescent="0.25">
      <c r="L811" s="20">
        <f t="shared" si="85"/>
        <v>0</v>
      </c>
      <c r="M811" s="14" t="e">
        <f>VLOOKUP(G811,Sell!G:L,1,0)</f>
        <v>#N/A</v>
      </c>
      <c r="N811" s="14">
        <f>IFERROR(VLOOKUP(G811,Sell!G:L,2,0),0)</f>
        <v>0</v>
      </c>
      <c r="O811" s="13">
        <f>IFERROR(VLOOKUP(G811,Sell!G:L,6,0),0)</f>
        <v>0</v>
      </c>
      <c r="P811" s="14">
        <f t="shared" si="84"/>
        <v>0</v>
      </c>
      <c r="Q811" s="13">
        <f t="shared" si="86"/>
        <v>0</v>
      </c>
      <c r="R811" s="13">
        <f t="shared" si="87"/>
        <v>0</v>
      </c>
      <c r="S811" s="13">
        <f t="shared" si="88"/>
        <v>0</v>
      </c>
      <c r="T811" s="13">
        <f t="shared" si="89"/>
        <v>0</v>
      </c>
      <c r="U811" s="15" t="str">
        <f t="shared" si="90"/>
        <v/>
      </c>
    </row>
    <row r="812" spans="12:21" x14ac:dyDescent="0.25">
      <c r="L812" s="20">
        <f t="shared" si="85"/>
        <v>0</v>
      </c>
      <c r="M812" s="14" t="e">
        <f>VLOOKUP(G812,Sell!G:L,1,0)</f>
        <v>#N/A</v>
      </c>
      <c r="N812" s="14">
        <f>IFERROR(VLOOKUP(G812,Sell!G:L,2,0),0)</f>
        <v>0</v>
      </c>
      <c r="O812" s="13">
        <f>IFERROR(VLOOKUP(G812,Sell!G:L,6,0),0)</f>
        <v>0</v>
      </c>
      <c r="P812" s="14">
        <f t="shared" si="84"/>
        <v>0</v>
      </c>
      <c r="Q812" s="13">
        <f t="shared" si="86"/>
        <v>0</v>
      </c>
      <c r="R812" s="13">
        <f t="shared" si="87"/>
        <v>0</v>
      </c>
      <c r="S812" s="13">
        <f t="shared" si="88"/>
        <v>0</v>
      </c>
      <c r="T812" s="13">
        <f t="shared" si="89"/>
        <v>0</v>
      </c>
      <c r="U812" s="15" t="str">
        <f t="shared" si="90"/>
        <v/>
      </c>
    </row>
    <row r="813" spans="12:21" x14ac:dyDescent="0.25">
      <c r="L813" s="20">
        <f t="shared" si="85"/>
        <v>0</v>
      </c>
      <c r="M813" s="14" t="e">
        <f>VLOOKUP(G813,Sell!G:L,1,0)</f>
        <v>#N/A</v>
      </c>
      <c r="N813" s="14">
        <f>IFERROR(VLOOKUP(G813,Sell!G:L,2,0),0)</f>
        <v>0</v>
      </c>
      <c r="O813" s="13">
        <f>IFERROR(VLOOKUP(G813,Sell!G:L,6,0),0)</f>
        <v>0</v>
      </c>
      <c r="P813" s="14">
        <f t="shared" si="84"/>
        <v>0</v>
      </c>
      <c r="Q813" s="13">
        <f t="shared" si="86"/>
        <v>0</v>
      </c>
      <c r="R813" s="13">
        <f t="shared" si="87"/>
        <v>0</v>
      </c>
      <c r="S813" s="13">
        <f t="shared" si="88"/>
        <v>0</v>
      </c>
      <c r="T813" s="13">
        <f t="shared" si="89"/>
        <v>0</v>
      </c>
      <c r="U813" s="15" t="str">
        <f t="shared" si="90"/>
        <v/>
      </c>
    </row>
    <row r="814" spans="12:21" x14ac:dyDescent="0.25">
      <c r="L814" s="20">
        <f t="shared" si="85"/>
        <v>0</v>
      </c>
      <c r="M814" s="14" t="e">
        <f>VLOOKUP(G814,Sell!G:L,1,0)</f>
        <v>#N/A</v>
      </c>
      <c r="N814" s="14">
        <f>IFERROR(VLOOKUP(G814,Sell!G:L,2,0),0)</f>
        <v>0</v>
      </c>
      <c r="O814" s="13">
        <f>IFERROR(VLOOKUP(G814,Sell!G:L,6,0),0)</f>
        <v>0</v>
      </c>
      <c r="P814" s="14">
        <f t="shared" si="84"/>
        <v>0</v>
      </c>
      <c r="Q814" s="13">
        <f t="shared" si="86"/>
        <v>0</v>
      </c>
      <c r="R814" s="13">
        <f t="shared" si="87"/>
        <v>0</v>
      </c>
      <c r="S814" s="13">
        <f t="shared" si="88"/>
        <v>0</v>
      </c>
      <c r="T814" s="13">
        <f t="shared" si="89"/>
        <v>0</v>
      </c>
      <c r="U814" s="15" t="str">
        <f t="shared" si="90"/>
        <v/>
      </c>
    </row>
    <row r="815" spans="12:21" x14ac:dyDescent="0.25">
      <c r="L815" s="20">
        <f t="shared" si="85"/>
        <v>0</v>
      </c>
      <c r="M815" s="14" t="e">
        <f>VLOOKUP(G815,Sell!G:L,1,0)</f>
        <v>#N/A</v>
      </c>
      <c r="N815" s="14">
        <f>IFERROR(VLOOKUP(G815,Sell!G:L,2,0),0)</f>
        <v>0</v>
      </c>
      <c r="O815" s="13">
        <f>IFERROR(VLOOKUP(G815,Sell!G:L,6,0),0)</f>
        <v>0</v>
      </c>
      <c r="P815" s="14">
        <f t="shared" si="84"/>
        <v>0</v>
      </c>
      <c r="Q815" s="13">
        <f t="shared" si="86"/>
        <v>0</v>
      </c>
      <c r="R815" s="13">
        <f t="shared" si="87"/>
        <v>0</v>
      </c>
      <c r="S815" s="13">
        <f t="shared" si="88"/>
        <v>0</v>
      </c>
      <c r="T815" s="13">
        <f t="shared" si="89"/>
        <v>0</v>
      </c>
      <c r="U815" s="15" t="str">
        <f t="shared" si="90"/>
        <v/>
      </c>
    </row>
    <row r="816" spans="12:21" x14ac:dyDescent="0.25">
      <c r="L816" s="20">
        <f t="shared" si="85"/>
        <v>0</v>
      </c>
      <c r="M816" s="14" t="e">
        <f>VLOOKUP(G816,Sell!G:L,1,0)</f>
        <v>#N/A</v>
      </c>
      <c r="N816" s="14">
        <f>IFERROR(VLOOKUP(G816,Sell!G:L,2,0),0)</f>
        <v>0</v>
      </c>
      <c r="O816" s="13">
        <f>IFERROR(VLOOKUP(G816,Sell!G:L,6,0),0)</f>
        <v>0</v>
      </c>
      <c r="P816" s="14">
        <f t="shared" si="84"/>
        <v>0</v>
      </c>
      <c r="Q816" s="13">
        <f t="shared" si="86"/>
        <v>0</v>
      </c>
      <c r="R816" s="13">
        <f t="shared" si="87"/>
        <v>0</v>
      </c>
      <c r="S816" s="13">
        <f t="shared" si="88"/>
        <v>0</v>
      </c>
      <c r="T816" s="13">
        <f t="shared" si="89"/>
        <v>0</v>
      </c>
      <c r="U816" s="15" t="str">
        <f t="shared" si="90"/>
        <v/>
      </c>
    </row>
    <row r="817" spans="12:21" x14ac:dyDescent="0.25">
      <c r="L817" s="20">
        <f t="shared" si="85"/>
        <v>0</v>
      </c>
      <c r="M817" s="14" t="e">
        <f>VLOOKUP(G817,Sell!G:L,1,0)</f>
        <v>#N/A</v>
      </c>
      <c r="N817" s="14">
        <f>IFERROR(VLOOKUP(G817,Sell!G:L,2,0),0)</f>
        <v>0</v>
      </c>
      <c r="O817" s="13">
        <f>IFERROR(VLOOKUP(G817,Sell!G:L,6,0),0)</f>
        <v>0</v>
      </c>
      <c r="P817" s="14">
        <f t="shared" si="84"/>
        <v>0</v>
      </c>
      <c r="Q817" s="13">
        <f t="shared" si="86"/>
        <v>0</v>
      </c>
      <c r="R817" s="13">
        <f t="shared" si="87"/>
        <v>0</v>
      </c>
      <c r="S817" s="13">
        <f t="shared" si="88"/>
        <v>0</v>
      </c>
      <c r="T817" s="13">
        <f t="shared" si="89"/>
        <v>0</v>
      </c>
      <c r="U817" s="15" t="str">
        <f t="shared" si="90"/>
        <v/>
      </c>
    </row>
    <row r="818" spans="12:21" x14ac:dyDescent="0.25">
      <c r="L818" s="20">
        <f t="shared" si="85"/>
        <v>0</v>
      </c>
      <c r="M818" s="14" t="e">
        <f>VLOOKUP(G818,Sell!G:L,1,0)</f>
        <v>#N/A</v>
      </c>
      <c r="N818" s="14">
        <f>IFERROR(VLOOKUP(G818,Sell!G:L,2,0),0)</f>
        <v>0</v>
      </c>
      <c r="O818" s="13">
        <f>IFERROR(VLOOKUP(G818,Sell!G:L,6,0),0)</f>
        <v>0</v>
      </c>
      <c r="P818" s="14">
        <f t="shared" si="84"/>
        <v>0</v>
      </c>
      <c r="Q818" s="13">
        <f t="shared" si="86"/>
        <v>0</v>
      </c>
      <c r="R818" s="13">
        <f t="shared" si="87"/>
        <v>0</v>
      </c>
      <c r="S818" s="13">
        <f t="shared" si="88"/>
        <v>0</v>
      </c>
      <c r="T818" s="13">
        <f t="shared" si="89"/>
        <v>0</v>
      </c>
      <c r="U818" s="15" t="str">
        <f t="shared" si="90"/>
        <v/>
      </c>
    </row>
    <row r="819" spans="12:21" x14ac:dyDescent="0.25">
      <c r="L819" s="20">
        <f t="shared" si="85"/>
        <v>0</v>
      </c>
      <c r="M819" s="14" t="e">
        <f>VLOOKUP(G819,Sell!G:L,1,0)</f>
        <v>#N/A</v>
      </c>
      <c r="N819" s="14">
        <f>IFERROR(VLOOKUP(G819,Sell!G:L,2,0),0)</f>
        <v>0</v>
      </c>
      <c r="O819" s="13">
        <f>IFERROR(VLOOKUP(G819,Sell!G:L,6,0),0)</f>
        <v>0</v>
      </c>
      <c r="P819" s="14">
        <f t="shared" si="84"/>
        <v>0</v>
      </c>
      <c r="Q819" s="13">
        <f t="shared" si="86"/>
        <v>0</v>
      </c>
      <c r="R819" s="13">
        <f t="shared" si="87"/>
        <v>0</v>
      </c>
      <c r="S819" s="13">
        <f t="shared" si="88"/>
        <v>0</v>
      </c>
      <c r="T819" s="13">
        <f t="shared" si="89"/>
        <v>0</v>
      </c>
      <c r="U819" s="15" t="str">
        <f t="shared" si="90"/>
        <v/>
      </c>
    </row>
    <row r="820" spans="12:21" x14ac:dyDescent="0.25">
      <c r="L820" s="20">
        <f t="shared" si="85"/>
        <v>0</v>
      </c>
      <c r="M820" s="14" t="e">
        <f>VLOOKUP(G820,Sell!G:L,1,0)</f>
        <v>#N/A</v>
      </c>
      <c r="N820" s="14">
        <f>IFERROR(VLOOKUP(G820,Sell!G:L,2,0),0)</f>
        <v>0</v>
      </c>
      <c r="O820" s="13">
        <f>IFERROR(VLOOKUP(G820,Sell!G:L,6,0),0)</f>
        <v>0</v>
      </c>
      <c r="P820" s="14">
        <f t="shared" si="84"/>
        <v>0</v>
      </c>
      <c r="Q820" s="13">
        <f t="shared" si="86"/>
        <v>0</v>
      </c>
      <c r="R820" s="13">
        <f t="shared" si="87"/>
        <v>0</v>
      </c>
      <c r="S820" s="13">
        <f t="shared" si="88"/>
        <v>0</v>
      </c>
      <c r="T820" s="13">
        <f t="shared" si="89"/>
        <v>0</v>
      </c>
      <c r="U820" s="15" t="str">
        <f t="shared" si="90"/>
        <v/>
      </c>
    </row>
    <row r="821" spans="12:21" x14ac:dyDescent="0.25">
      <c r="L821" s="20">
        <f t="shared" si="85"/>
        <v>0</v>
      </c>
      <c r="M821" s="14" t="e">
        <f>VLOOKUP(G821,Sell!G:L,1,0)</f>
        <v>#N/A</v>
      </c>
      <c r="N821" s="14">
        <f>IFERROR(VLOOKUP(G821,Sell!G:L,2,0),0)</f>
        <v>0</v>
      </c>
      <c r="O821" s="13">
        <f>IFERROR(VLOOKUP(G821,Sell!G:L,6,0),0)</f>
        <v>0</v>
      </c>
      <c r="P821" s="14">
        <f t="shared" si="84"/>
        <v>0</v>
      </c>
      <c r="Q821" s="13">
        <f t="shared" si="86"/>
        <v>0</v>
      </c>
      <c r="R821" s="13">
        <f t="shared" si="87"/>
        <v>0</v>
      </c>
      <c r="S821" s="13">
        <f t="shared" si="88"/>
        <v>0</v>
      </c>
      <c r="T821" s="13">
        <f t="shared" si="89"/>
        <v>0</v>
      </c>
      <c r="U821" s="15" t="str">
        <f t="shared" si="90"/>
        <v/>
      </c>
    </row>
    <row r="822" spans="12:21" x14ac:dyDescent="0.25">
      <c r="L822" s="20">
        <f t="shared" si="85"/>
        <v>0</v>
      </c>
      <c r="M822" s="14" t="e">
        <f>VLOOKUP(G822,Sell!G:L,1,0)</f>
        <v>#N/A</v>
      </c>
      <c r="N822" s="14">
        <f>IFERROR(VLOOKUP(G822,Sell!G:L,2,0),0)</f>
        <v>0</v>
      </c>
      <c r="O822" s="13">
        <f>IFERROR(VLOOKUP(G822,Sell!G:L,6,0),0)</f>
        <v>0</v>
      </c>
      <c r="P822" s="14">
        <f t="shared" si="84"/>
        <v>0</v>
      </c>
      <c r="Q822" s="13">
        <f t="shared" si="86"/>
        <v>0</v>
      </c>
      <c r="R822" s="13">
        <f t="shared" si="87"/>
        <v>0</v>
      </c>
      <c r="S822" s="13">
        <f t="shared" si="88"/>
        <v>0</v>
      </c>
      <c r="T822" s="13">
        <f t="shared" si="89"/>
        <v>0</v>
      </c>
      <c r="U822" s="15" t="str">
        <f t="shared" si="90"/>
        <v/>
      </c>
    </row>
    <row r="823" spans="12:21" x14ac:dyDescent="0.25">
      <c r="L823" s="20">
        <f t="shared" si="85"/>
        <v>0</v>
      </c>
      <c r="M823" s="14" t="e">
        <f>VLOOKUP(G823,Sell!G:L,1,0)</f>
        <v>#N/A</v>
      </c>
      <c r="N823" s="14">
        <f>IFERROR(VLOOKUP(G823,Sell!G:L,2,0),0)</f>
        <v>0</v>
      </c>
      <c r="O823" s="13">
        <f>IFERROR(VLOOKUP(G823,Sell!G:L,6,0),0)</f>
        <v>0</v>
      </c>
      <c r="P823" s="14">
        <f t="shared" si="84"/>
        <v>0</v>
      </c>
      <c r="Q823" s="13">
        <f t="shared" si="86"/>
        <v>0</v>
      </c>
      <c r="R823" s="13">
        <f t="shared" si="87"/>
        <v>0</v>
      </c>
      <c r="S823" s="13">
        <f t="shared" si="88"/>
        <v>0</v>
      </c>
      <c r="T823" s="13">
        <f t="shared" si="89"/>
        <v>0</v>
      </c>
      <c r="U823" s="15" t="str">
        <f t="shared" si="90"/>
        <v/>
      </c>
    </row>
    <row r="824" spans="12:21" x14ac:dyDescent="0.25">
      <c r="L824" s="20">
        <f t="shared" si="85"/>
        <v>0</v>
      </c>
      <c r="M824" s="14" t="e">
        <f>VLOOKUP(G824,Sell!G:L,1,0)</f>
        <v>#N/A</v>
      </c>
      <c r="N824" s="14">
        <f>IFERROR(VLOOKUP(G824,Sell!G:L,2,0),0)</f>
        <v>0</v>
      </c>
      <c r="O824" s="13">
        <f>IFERROR(VLOOKUP(G824,Sell!G:L,6,0),0)</f>
        <v>0</v>
      </c>
      <c r="P824" s="14">
        <f t="shared" si="84"/>
        <v>0</v>
      </c>
      <c r="Q824" s="13">
        <f t="shared" si="86"/>
        <v>0</v>
      </c>
      <c r="R824" s="13">
        <f t="shared" si="87"/>
        <v>0</v>
      </c>
      <c r="S824" s="13">
        <f t="shared" si="88"/>
        <v>0</v>
      </c>
      <c r="T824" s="13">
        <f t="shared" si="89"/>
        <v>0</v>
      </c>
      <c r="U824" s="15" t="str">
        <f t="shared" si="90"/>
        <v/>
      </c>
    </row>
    <row r="825" spans="12:21" x14ac:dyDescent="0.25">
      <c r="L825" s="20">
        <f t="shared" si="85"/>
        <v>0</v>
      </c>
      <c r="M825" s="14" t="e">
        <f>VLOOKUP(G825,Sell!G:L,1,0)</f>
        <v>#N/A</v>
      </c>
      <c r="N825" s="14">
        <f>IFERROR(VLOOKUP(G825,Sell!G:L,2,0),0)</f>
        <v>0</v>
      </c>
      <c r="O825" s="13">
        <f>IFERROR(VLOOKUP(G825,Sell!G:L,6,0),0)</f>
        <v>0</v>
      </c>
      <c r="P825" s="14">
        <f t="shared" si="84"/>
        <v>0</v>
      </c>
      <c r="Q825" s="13">
        <f t="shared" si="86"/>
        <v>0</v>
      </c>
      <c r="R825" s="13">
        <f t="shared" si="87"/>
        <v>0</v>
      </c>
      <c r="S825" s="13">
        <f t="shared" si="88"/>
        <v>0</v>
      </c>
      <c r="T825" s="13">
        <f t="shared" si="89"/>
        <v>0</v>
      </c>
      <c r="U825" s="15" t="str">
        <f t="shared" si="90"/>
        <v/>
      </c>
    </row>
    <row r="826" spans="12:21" x14ac:dyDescent="0.25">
      <c r="L826" s="20">
        <f t="shared" si="85"/>
        <v>0</v>
      </c>
      <c r="M826" s="14" t="e">
        <f>VLOOKUP(G826,Sell!G:L,1,0)</f>
        <v>#N/A</v>
      </c>
      <c r="N826" s="14">
        <f>IFERROR(VLOOKUP(G826,Sell!G:L,2,0),0)</f>
        <v>0</v>
      </c>
      <c r="O826" s="13">
        <f>IFERROR(VLOOKUP(G826,Sell!G:L,6,0),0)</f>
        <v>0</v>
      </c>
      <c r="P826" s="14">
        <f t="shared" si="84"/>
        <v>0</v>
      </c>
      <c r="Q826" s="13">
        <f t="shared" si="86"/>
        <v>0</v>
      </c>
      <c r="R826" s="13">
        <f t="shared" si="87"/>
        <v>0</v>
      </c>
      <c r="S826" s="13">
        <f t="shared" si="88"/>
        <v>0</v>
      </c>
      <c r="T826" s="13">
        <f t="shared" si="89"/>
        <v>0</v>
      </c>
      <c r="U826" s="15" t="str">
        <f t="shared" si="90"/>
        <v/>
      </c>
    </row>
    <row r="827" spans="12:21" x14ac:dyDescent="0.25">
      <c r="L827" s="20">
        <f t="shared" si="85"/>
        <v>0</v>
      </c>
      <c r="M827" s="14" t="e">
        <f>VLOOKUP(G827,Sell!G:L,1,0)</f>
        <v>#N/A</v>
      </c>
      <c r="N827" s="14">
        <f>IFERROR(VLOOKUP(G827,Sell!G:L,2,0),0)</f>
        <v>0</v>
      </c>
      <c r="O827" s="13">
        <f>IFERROR(VLOOKUP(G827,Sell!G:L,6,0),0)</f>
        <v>0</v>
      </c>
      <c r="P827" s="14">
        <f t="shared" si="84"/>
        <v>0</v>
      </c>
      <c r="Q827" s="13">
        <f t="shared" si="86"/>
        <v>0</v>
      </c>
      <c r="R827" s="13">
        <f t="shared" si="87"/>
        <v>0</v>
      </c>
      <c r="S827" s="13">
        <f t="shared" si="88"/>
        <v>0</v>
      </c>
      <c r="T827" s="13">
        <f t="shared" si="89"/>
        <v>0</v>
      </c>
      <c r="U827" s="15" t="str">
        <f t="shared" si="90"/>
        <v/>
      </c>
    </row>
    <row r="828" spans="12:21" x14ac:dyDescent="0.25">
      <c r="L828" s="20">
        <f t="shared" si="85"/>
        <v>0</v>
      </c>
      <c r="M828" s="14" t="e">
        <f>VLOOKUP(G828,Sell!G:L,1,0)</f>
        <v>#N/A</v>
      </c>
      <c r="N828" s="14">
        <f>IFERROR(VLOOKUP(G828,Sell!G:L,2,0),0)</f>
        <v>0</v>
      </c>
      <c r="O828" s="13">
        <f>IFERROR(VLOOKUP(G828,Sell!G:L,6,0),0)</f>
        <v>0</v>
      </c>
      <c r="P828" s="14">
        <f t="shared" si="84"/>
        <v>0</v>
      </c>
      <c r="Q828" s="13">
        <f t="shared" si="86"/>
        <v>0</v>
      </c>
      <c r="R828" s="13">
        <f t="shared" si="87"/>
        <v>0</v>
      </c>
      <c r="S828" s="13">
        <f t="shared" si="88"/>
        <v>0</v>
      </c>
      <c r="T828" s="13">
        <f t="shared" si="89"/>
        <v>0</v>
      </c>
      <c r="U828" s="15" t="str">
        <f t="shared" si="90"/>
        <v/>
      </c>
    </row>
    <row r="829" spans="12:21" x14ac:dyDescent="0.25">
      <c r="L829" s="20">
        <f t="shared" si="85"/>
        <v>0</v>
      </c>
      <c r="M829" s="14" t="e">
        <f>VLOOKUP(G829,Sell!G:L,1,0)</f>
        <v>#N/A</v>
      </c>
      <c r="N829" s="14">
        <f>IFERROR(VLOOKUP(G829,Sell!G:L,2,0),0)</f>
        <v>0</v>
      </c>
      <c r="O829" s="13">
        <f>IFERROR(VLOOKUP(G829,Sell!G:L,6,0),0)</f>
        <v>0</v>
      </c>
      <c r="P829" s="14">
        <f t="shared" si="84"/>
        <v>0</v>
      </c>
      <c r="Q829" s="13">
        <f t="shared" si="86"/>
        <v>0</v>
      </c>
      <c r="R829" s="13">
        <f t="shared" si="87"/>
        <v>0</v>
      </c>
      <c r="S829" s="13">
        <f t="shared" si="88"/>
        <v>0</v>
      </c>
      <c r="T829" s="13">
        <f t="shared" si="89"/>
        <v>0</v>
      </c>
      <c r="U829" s="15" t="str">
        <f t="shared" si="90"/>
        <v/>
      </c>
    </row>
    <row r="830" spans="12:21" x14ac:dyDescent="0.25">
      <c r="L830" s="20">
        <f t="shared" si="85"/>
        <v>0</v>
      </c>
      <c r="M830" s="14" t="e">
        <f>VLOOKUP(G830,Sell!G:L,1,0)</f>
        <v>#N/A</v>
      </c>
      <c r="N830" s="14">
        <f>IFERROR(VLOOKUP(G830,Sell!G:L,2,0),0)</f>
        <v>0</v>
      </c>
      <c r="O830" s="13">
        <f>IFERROR(VLOOKUP(G830,Sell!G:L,6,0),0)</f>
        <v>0</v>
      </c>
      <c r="P830" s="14">
        <f t="shared" si="84"/>
        <v>0</v>
      </c>
      <c r="Q830" s="13">
        <f t="shared" si="86"/>
        <v>0</v>
      </c>
      <c r="R830" s="13">
        <f t="shared" si="87"/>
        <v>0</v>
      </c>
      <c r="S830" s="13">
        <f t="shared" si="88"/>
        <v>0</v>
      </c>
      <c r="T830" s="13">
        <f t="shared" si="89"/>
        <v>0</v>
      </c>
      <c r="U830" s="15" t="str">
        <f t="shared" si="90"/>
        <v/>
      </c>
    </row>
    <row r="831" spans="12:21" x14ac:dyDescent="0.25">
      <c r="L831" s="20">
        <f t="shared" si="85"/>
        <v>0</v>
      </c>
      <c r="M831" s="14" t="e">
        <f>VLOOKUP(G831,Sell!G:L,1,0)</f>
        <v>#N/A</v>
      </c>
      <c r="N831" s="14">
        <f>IFERROR(VLOOKUP(G831,Sell!G:L,2,0),0)</f>
        <v>0</v>
      </c>
      <c r="O831" s="13">
        <f>IFERROR(VLOOKUP(G831,Sell!G:L,6,0),0)</f>
        <v>0</v>
      </c>
      <c r="P831" s="14">
        <f t="shared" si="84"/>
        <v>0</v>
      </c>
      <c r="Q831" s="13">
        <f t="shared" si="86"/>
        <v>0</v>
      </c>
      <c r="R831" s="13">
        <f t="shared" si="87"/>
        <v>0</v>
      </c>
      <c r="S831" s="13">
        <f t="shared" si="88"/>
        <v>0</v>
      </c>
      <c r="T831" s="13">
        <f t="shared" si="89"/>
        <v>0</v>
      </c>
      <c r="U831" s="15" t="str">
        <f t="shared" si="90"/>
        <v/>
      </c>
    </row>
    <row r="832" spans="12:21" x14ac:dyDescent="0.25">
      <c r="L832" s="20">
        <f t="shared" si="85"/>
        <v>0</v>
      </c>
      <c r="M832" s="14" t="e">
        <f>VLOOKUP(G832,Sell!G:L,1,0)</f>
        <v>#N/A</v>
      </c>
      <c r="N832" s="14">
        <f>IFERROR(VLOOKUP(G832,Sell!G:L,2,0),0)</f>
        <v>0</v>
      </c>
      <c r="O832" s="13">
        <f>IFERROR(VLOOKUP(G832,Sell!G:L,6,0),0)</f>
        <v>0</v>
      </c>
      <c r="P832" s="14">
        <f t="shared" si="84"/>
        <v>0</v>
      </c>
      <c r="Q832" s="13">
        <f t="shared" si="86"/>
        <v>0</v>
      </c>
      <c r="R832" s="13">
        <f t="shared" si="87"/>
        <v>0</v>
      </c>
      <c r="S832" s="13">
        <f t="shared" si="88"/>
        <v>0</v>
      </c>
      <c r="T832" s="13">
        <f t="shared" si="89"/>
        <v>0</v>
      </c>
      <c r="U832" s="15" t="str">
        <f t="shared" si="90"/>
        <v/>
      </c>
    </row>
    <row r="833" spans="12:21" x14ac:dyDescent="0.25">
      <c r="L833" s="20">
        <f t="shared" si="85"/>
        <v>0</v>
      </c>
      <c r="M833" s="14" t="e">
        <f>VLOOKUP(G833,Sell!G:L,1,0)</f>
        <v>#N/A</v>
      </c>
      <c r="N833" s="14">
        <f>IFERROR(VLOOKUP(G833,Sell!G:L,2,0),0)</f>
        <v>0</v>
      </c>
      <c r="O833" s="13">
        <f>IFERROR(VLOOKUP(G833,Sell!G:L,6,0),0)</f>
        <v>0</v>
      </c>
      <c r="P833" s="14">
        <f t="shared" si="84"/>
        <v>0</v>
      </c>
      <c r="Q833" s="13">
        <f t="shared" si="86"/>
        <v>0</v>
      </c>
      <c r="R833" s="13">
        <f t="shared" si="87"/>
        <v>0</v>
      </c>
      <c r="S833" s="13">
        <f t="shared" si="88"/>
        <v>0</v>
      </c>
      <c r="T833" s="13">
        <f t="shared" si="89"/>
        <v>0</v>
      </c>
      <c r="U833" s="15" t="str">
        <f t="shared" si="90"/>
        <v/>
      </c>
    </row>
    <row r="834" spans="12:21" x14ac:dyDescent="0.25">
      <c r="L834" s="20">
        <f t="shared" si="85"/>
        <v>0</v>
      </c>
      <c r="M834" s="14" t="e">
        <f>VLOOKUP(G834,Sell!G:L,1,0)</f>
        <v>#N/A</v>
      </c>
      <c r="N834" s="14">
        <f>IFERROR(VLOOKUP(G834,Sell!G:L,2,0),0)</f>
        <v>0</v>
      </c>
      <c r="O834" s="13">
        <f>IFERROR(VLOOKUP(G834,Sell!G:L,6,0),0)</f>
        <v>0</v>
      </c>
      <c r="P834" s="14">
        <f t="shared" si="84"/>
        <v>0</v>
      </c>
      <c r="Q834" s="13">
        <f t="shared" si="86"/>
        <v>0</v>
      </c>
      <c r="R834" s="13">
        <f t="shared" si="87"/>
        <v>0</v>
      </c>
      <c r="S834" s="13">
        <f t="shared" si="88"/>
        <v>0</v>
      </c>
      <c r="T834" s="13">
        <f t="shared" si="89"/>
        <v>0</v>
      </c>
      <c r="U834" s="15" t="str">
        <f t="shared" si="90"/>
        <v/>
      </c>
    </row>
    <row r="835" spans="12:21" x14ac:dyDescent="0.25">
      <c r="L835" s="20">
        <f t="shared" si="85"/>
        <v>0</v>
      </c>
      <c r="M835" s="14" t="e">
        <f>VLOOKUP(G835,Sell!G:L,1,0)</f>
        <v>#N/A</v>
      </c>
      <c r="N835" s="14">
        <f>IFERROR(VLOOKUP(G835,Sell!G:L,2,0),0)</f>
        <v>0</v>
      </c>
      <c r="O835" s="13">
        <f>IFERROR(VLOOKUP(G835,Sell!G:L,6,0),0)</f>
        <v>0</v>
      </c>
      <c r="P835" s="14">
        <f t="shared" si="84"/>
        <v>0</v>
      </c>
      <c r="Q835" s="13">
        <f t="shared" si="86"/>
        <v>0</v>
      </c>
      <c r="R835" s="13">
        <f t="shared" si="87"/>
        <v>0</v>
      </c>
      <c r="S835" s="13">
        <f t="shared" si="88"/>
        <v>0</v>
      </c>
      <c r="T835" s="13">
        <f t="shared" si="89"/>
        <v>0</v>
      </c>
      <c r="U835" s="15" t="str">
        <f t="shared" si="90"/>
        <v/>
      </c>
    </row>
    <row r="836" spans="12:21" x14ac:dyDescent="0.25">
      <c r="L836" s="20">
        <f t="shared" si="85"/>
        <v>0</v>
      </c>
      <c r="M836" s="14" t="e">
        <f>VLOOKUP(G836,Sell!G:L,1,0)</f>
        <v>#N/A</v>
      </c>
      <c r="N836" s="14">
        <f>IFERROR(VLOOKUP(G836,Sell!G:L,2,0),0)</f>
        <v>0</v>
      </c>
      <c r="O836" s="13">
        <f>IFERROR(VLOOKUP(G836,Sell!G:L,6,0),0)</f>
        <v>0</v>
      </c>
      <c r="P836" s="14">
        <f t="shared" si="84"/>
        <v>0</v>
      </c>
      <c r="Q836" s="13">
        <f t="shared" si="86"/>
        <v>0</v>
      </c>
      <c r="R836" s="13">
        <f t="shared" si="87"/>
        <v>0</v>
      </c>
      <c r="S836" s="13">
        <f t="shared" si="88"/>
        <v>0</v>
      </c>
      <c r="T836" s="13">
        <f t="shared" si="89"/>
        <v>0</v>
      </c>
      <c r="U836" s="15" t="str">
        <f t="shared" si="90"/>
        <v/>
      </c>
    </row>
    <row r="837" spans="12:21" x14ac:dyDescent="0.25">
      <c r="L837" s="20">
        <f t="shared" si="85"/>
        <v>0</v>
      </c>
      <c r="M837" s="14" t="e">
        <f>VLOOKUP(G837,Sell!G:L,1,0)</f>
        <v>#N/A</v>
      </c>
      <c r="N837" s="14">
        <f>IFERROR(VLOOKUP(G837,Sell!G:L,2,0),0)</f>
        <v>0</v>
      </c>
      <c r="O837" s="13">
        <f>IFERROR(VLOOKUP(G837,Sell!G:L,6,0),0)</f>
        <v>0</v>
      </c>
      <c r="P837" s="14">
        <f t="shared" si="84"/>
        <v>0</v>
      </c>
      <c r="Q837" s="13">
        <f t="shared" si="86"/>
        <v>0</v>
      </c>
      <c r="R837" s="13">
        <f t="shared" si="87"/>
        <v>0</v>
      </c>
      <c r="S837" s="13">
        <f t="shared" si="88"/>
        <v>0</v>
      </c>
      <c r="T837" s="13">
        <f t="shared" si="89"/>
        <v>0</v>
      </c>
      <c r="U837" s="15" t="str">
        <f t="shared" si="90"/>
        <v/>
      </c>
    </row>
    <row r="838" spans="12:21" x14ac:dyDescent="0.25">
      <c r="L838" s="20">
        <f t="shared" si="85"/>
        <v>0</v>
      </c>
      <c r="M838" s="14" t="e">
        <f>VLOOKUP(G838,Sell!G:L,1,0)</f>
        <v>#N/A</v>
      </c>
      <c r="N838" s="14">
        <f>IFERROR(VLOOKUP(G838,Sell!G:L,2,0),0)</f>
        <v>0</v>
      </c>
      <c r="O838" s="13">
        <f>IFERROR(VLOOKUP(G838,Sell!G:L,6,0),0)</f>
        <v>0</v>
      </c>
      <c r="P838" s="14">
        <f t="shared" si="84"/>
        <v>0</v>
      </c>
      <c r="Q838" s="13">
        <f t="shared" si="86"/>
        <v>0</v>
      </c>
      <c r="R838" s="13">
        <f t="shared" si="87"/>
        <v>0</v>
      </c>
      <c r="S838" s="13">
        <f t="shared" si="88"/>
        <v>0</v>
      </c>
      <c r="T838" s="13">
        <f t="shared" si="89"/>
        <v>0</v>
      </c>
      <c r="U838" s="15" t="str">
        <f t="shared" si="90"/>
        <v/>
      </c>
    </row>
    <row r="839" spans="12:21" x14ac:dyDescent="0.25">
      <c r="L839" s="20">
        <f t="shared" si="85"/>
        <v>0</v>
      </c>
      <c r="M839" s="14" t="e">
        <f>VLOOKUP(G839,Sell!G:L,1,0)</f>
        <v>#N/A</v>
      </c>
      <c r="N839" s="14">
        <f>IFERROR(VLOOKUP(G839,Sell!G:L,2,0),0)</f>
        <v>0</v>
      </c>
      <c r="O839" s="13">
        <f>IFERROR(VLOOKUP(G839,Sell!G:L,6,0),0)</f>
        <v>0</v>
      </c>
      <c r="P839" s="14">
        <f t="shared" si="84"/>
        <v>0</v>
      </c>
      <c r="Q839" s="13">
        <f t="shared" si="86"/>
        <v>0</v>
      </c>
      <c r="R839" s="13">
        <f t="shared" si="87"/>
        <v>0</v>
      </c>
      <c r="S839" s="13">
        <f t="shared" si="88"/>
        <v>0</v>
      </c>
      <c r="T839" s="13">
        <f t="shared" si="89"/>
        <v>0</v>
      </c>
      <c r="U839" s="15" t="str">
        <f t="shared" si="90"/>
        <v/>
      </c>
    </row>
    <row r="840" spans="12:21" x14ac:dyDescent="0.25">
      <c r="L840" s="20">
        <f t="shared" si="85"/>
        <v>0</v>
      </c>
      <c r="M840" s="14" t="e">
        <f>VLOOKUP(G840,Sell!G:L,1,0)</f>
        <v>#N/A</v>
      </c>
      <c r="N840" s="14">
        <f>IFERROR(VLOOKUP(G840,Sell!G:L,2,0),0)</f>
        <v>0</v>
      </c>
      <c r="O840" s="13">
        <f>IFERROR(VLOOKUP(G840,Sell!G:L,6,0),0)</f>
        <v>0</v>
      </c>
      <c r="P840" s="14">
        <f t="shared" si="84"/>
        <v>0</v>
      </c>
      <c r="Q840" s="13">
        <f t="shared" si="86"/>
        <v>0</v>
      </c>
      <c r="R840" s="13">
        <f t="shared" si="87"/>
        <v>0</v>
      </c>
      <c r="S840" s="13">
        <f t="shared" si="88"/>
        <v>0</v>
      </c>
      <c r="T840" s="13">
        <f t="shared" si="89"/>
        <v>0</v>
      </c>
      <c r="U840" s="15" t="str">
        <f t="shared" si="90"/>
        <v/>
      </c>
    </row>
    <row r="841" spans="12:21" x14ac:dyDescent="0.25">
      <c r="L841" s="20">
        <f t="shared" si="85"/>
        <v>0</v>
      </c>
      <c r="M841" s="14" t="e">
        <f>VLOOKUP(G841,Sell!G:L,1,0)</f>
        <v>#N/A</v>
      </c>
      <c r="N841" s="14">
        <f>IFERROR(VLOOKUP(G841,Sell!G:L,2,0),0)</f>
        <v>0</v>
      </c>
      <c r="O841" s="13">
        <f>IFERROR(VLOOKUP(G841,Sell!G:L,6,0),0)</f>
        <v>0</v>
      </c>
      <c r="P841" s="14">
        <f t="shared" si="84"/>
        <v>0</v>
      </c>
      <c r="Q841" s="13">
        <f t="shared" si="86"/>
        <v>0</v>
      </c>
      <c r="R841" s="13">
        <f t="shared" si="87"/>
        <v>0</v>
      </c>
      <c r="S841" s="13">
        <f t="shared" si="88"/>
        <v>0</v>
      </c>
      <c r="T841" s="13">
        <f t="shared" si="89"/>
        <v>0</v>
      </c>
      <c r="U841" s="15" t="str">
        <f t="shared" si="90"/>
        <v/>
      </c>
    </row>
    <row r="842" spans="12:21" x14ac:dyDescent="0.25">
      <c r="L842" s="20">
        <f t="shared" si="85"/>
        <v>0</v>
      </c>
      <c r="M842" s="14" t="e">
        <f>VLOOKUP(G842,Sell!G:L,1,0)</f>
        <v>#N/A</v>
      </c>
      <c r="N842" s="14">
        <f>IFERROR(VLOOKUP(G842,Sell!G:L,2,0),0)</f>
        <v>0</v>
      </c>
      <c r="O842" s="13">
        <f>IFERROR(VLOOKUP(G842,Sell!G:L,6,0),0)</f>
        <v>0</v>
      </c>
      <c r="P842" s="14">
        <f t="shared" ref="P842:P905" si="91">H842-N842</f>
        <v>0</v>
      </c>
      <c r="Q842" s="13">
        <f t="shared" si="86"/>
        <v>0</v>
      </c>
      <c r="R842" s="13">
        <f t="shared" si="87"/>
        <v>0</v>
      </c>
      <c r="S842" s="13">
        <f t="shared" si="88"/>
        <v>0</v>
      </c>
      <c r="T842" s="13">
        <f t="shared" si="89"/>
        <v>0</v>
      </c>
      <c r="U842" s="15" t="str">
        <f t="shared" si="90"/>
        <v/>
      </c>
    </row>
    <row r="843" spans="12:21" x14ac:dyDescent="0.25">
      <c r="L843" s="20">
        <f t="shared" ref="L843:L906" si="92">J843+K843</f>
        <v>0</v>
      </c>
      <c r="M843" s="14" t="e">
        <f>VLOOKUP(G843,Sell!G:L,1,0)</f>
        <v>#N/A</v>
      </c>
      <c r="N843" s="14">
        <f>IFERROR(VLOOKUP(G843,Sell!G:L,2,0),0)</f>
        <v>0</v>
      </c>
      <c r="O843" s="13">
        <f>IFERROR(VLOOKUP(G843,Sell!G:L,6,0),0)</f>
        <v>0</v>
      </c>
      <c r="P843" s="14">
        <f t="shared" si="91"/>
        <v>0</v>
      </c>
      <c r="Q843" s="13">
        <f t="shared" ref="Q843:Q906" si="93">O843-L843</f>
        <v>0</v>
      </c>
      <c r="R843" s="13">
        <f t="shared" ref="R843:R906" si="94">IF(P843=0,Q843,0)</f>
        <v>0</v>
      </c>
      <c r="S843" s="13">
        <f t="shared" ref="S843:S906" si="95">IF(R843&gt;0,R843,0)</f>
        <v>0</v>
      </c>
      <c r="T843" s="13">
        <f t="shared" ref="T843:T906" si="96">IF(R843&gt;0,0,R843)</f>
        <v>0</v>
      </c>
      <c r="U843" s="15" t="str">
        <f t="shared" ref="U843:U906" si="97">IF(AND(LEN(G843)&gt;0,R843=0),"Open","")</f>
        <v/>
      </c>
    </row>
    <row r="844" spans="12:21" x14ac:dyDescent="0.25">
      <c r="L844" s="20">
        <f t="shared" si="92"/>
        <v>0</v>
      </c>
      <c r="M844" s="14" t="e">
        <f>VLOOKUP(G844,Sell!G:L,1,0)</f>
        <v>#N/A</v>
      </c>
      <c r="N844" s="14">
        <f>IFERROR(VLOOKUP(G844,Sell!G:L,2,0),0)</f>
        <v>0</v>
      </c>
      <c r="O844" s="13">
        <f>IFERROR(VLOOKUP(G844,Sell!G:L,6,0),0)</f>
        <v>0</v>
      </c>
      <c r="P844" s="14">
        <f t="shared" si="91"/>
        <v>0</v>
      </c>
      <c r="Q844" s="13">
        <f t="shared" si="93"/>
        <v>0</v>
      </c>
      <c r="R844" s="13">
        <f t="shared" si="94"/>
        <v>0</v>
      </c>
      <c r="S844" s="13">
        <f t="shared" si="95"/>
        <v>0</v>
      </c>
      <c r="T844" s="13">
        <f t="shared" si="96"/>
        <v>0</v>
      </c>
      <c r="U844" s="15" t="str">
        <f t="shared" si="97"/>
        <v/>
      </c>
    </row>
    <row r="845" spans="12:21" x14ac:dyDescent="0.25">
      <c r="L845" s="20">
        <f t="shared" si="92"/>
        <v>0</v>
      </c>
      <c r="M845" s="14" t="e">
        <f>VLOOKUP(G845,Sell!G:L,1,0)</f>
        <v>#N/A</v>
      </c>
      <c r="N845" s="14">
        <f>IFERROR(VLOOKUP(G845,Sell!G:L,2,0),0)</f>
        <v>0</v>
      </c>
      <c r="O845" s="13">
        <f>IFERROR(VLOOKUP(G845,Sell!G:L,6,0),0)</f>
        <v>0</v>
      </c>
      <c r="P845" s="14">
        <f t="shared" si="91"/>
        <v>0</v>
      </c>
      <c r="Q845" s="13">
        <f t="shared" si="93"/>
        <v>0</v>
      </c>
      <c r="R845" s="13">
        <f t="shared" si="94"/>
        <v>0</v>
      </c>
      <c r="S845" s="13">
        <f t="shared" si="95"/>
        <v>0</v>
      </c>
      <c r="T845" s="13">
        <f t="shared" si="96"/>
        <v>0</v>
      </c>
      <c r="U845" s="15" t="str">
        <f t="shared" si="97"/>
        <v/>
      </c>
    </row>
    <row r="846" spans="12:21" x14ac:dyDescent="0.25">
      <c r="L846" s="20">
        <f t="shared" si="92"/>
        <v>0</v>
      </c>
      <c r="M846" s="14" t="e">
        <f>VLOOKUP(G846,Sell!G:L,1,0)</f>
        <v>#N/A</v>
      </c>
      <c r="N846" s="14">
        <f>IFERROR(VLOOKUP(G846,Sell!G:L,2,0),0)</f>
        <v>0</v>
      </c>
      <c r="O846" s="13">
        <f>IFERROR(VLOOKUP(G846,Sell!G:L,6,0),0)</f>
        <v>0</v>
      </c>
      <c r="P846" s="14">
        <f t="shared" si="91"/>
        <v>0</v>
      </c>
      <c r="Q846" s="13">
        <f t="shared" si="93"/>
        <v>0</v>
      </c>
      <c r="R846" s="13">
        <f t="shared" si="94"/>
        <v>0</v>
      </c>
      <c r="S846" s="13">
        <f t="shared" si="95"/>
        <v>0</v>
      </c>
      <c r="T846" s="13">
        <f t="shared" si="96"/>
        <v>0</v>
      </c>
      <c r="U846" s="15" t="str">
        <f t="shared" si="97"/>
        <v/>
      </c>
    </row>
    <row r="847" spans="12:21" x14ac:dyDescent="0.25">
      <c r="L847" s="20">
        <f t="shared" si="92"/>
        <v>0</v>
      </c>
      <c r="M847" s="14" t="e">
        <f>VLOOKUP(G847,Sell!G:L,1,0)</f>
        <v>#N/A</v>
      </c>
      <c r="N847" s="14">
        <f>IFERROR(VLOOKUP(G847,Sell!G:L,2,0),0)</f>
        <v>0</v>
      </c>
      <c r="O847" s="13">
        <f>IFERROR(VLOOKUP(G847,Sell!G:L,6,0),0)</f>
        <v>0</v>
      </c>
      <c r="P847" s="14">
        <f t="shared" si="91"/>
        <v>0</v>
      </c>
      <c r="Q847" s="13">
        <f t="shared" si="93"/>
        <v>0</v>
      </c>
      <c r="R847" s="13">
        <f t="shared" si="94"/>
        <v>0</v>
      </c>
      <c r="S847" s="13">
        <f t="shared" si="95"/>
        <v>0</v>
      </c>
      <c r="T847" s="13">
        <f t="shared" si="96"/>
        <v>0</v>
      </c>
      <c r="U847" s="15" t="str">
        <f t="shared" si="97"/>
        <v/>
      </c>
    </row>
    <row r="848" spans="12:21" x14ac:dyDescent="0.25">
      <c r="L848" s="20">
        <f t="shared" si="92"/>
        <v>0</v>
      </c>
      <c r="M848" s="14" t="e">
        <f>VLOOKUP(G848,Sell!G:L,1,0)</f>
        <v>#N/A</v>
      </c>
      <c r="N848" s="14">
        <f>IFERROR(VLOOKUP(G848,Sell!G:L,2,0),0)</f>
        <v>0</v>
      </c>
      <c r="O848" s="13">
        <f>IFERROR(VLOOKUP(G848,Sell!G:L,6,0),0)</f>
        <v>0</v>
      </c>
      <c r="P848" s="14">
        <f t="shared" si="91"/>
        <v>0</v>
      </c>
      <c r="Q848" s="13">
        <f t="shared" si="93"/>
        <v>0</v>
      </c>
      <c r="R848" s="13">
        <f t="shared" si="94"/>
        <v>0</v>
      </c>
      <c r="S848" s="13">
        <f t="shared" si="95"/>
        <v>0</v>
      </c>
      <c r="T848" s="13">
        <f t="shared" si="96"/>
        <v>0</v>
      </c>
      <c r="U848" s="15" t="str">
        <f t="shared" si="97"/>
        <v/>
      </c>
    </row>
    <row r="849" spans="12:21" x14ac:dyDescent="0.25">
      <c r="L849" s="20">
        <f t="shared" si="92"/>
        <v>0</v>
      </c>
      <c r="M849" s="14" t="e">
        <f>VLOOKUP(G849,Sell!G:L,1,0)</f>
        <v>#N/A</v>
      </c>
      <c r="N849" s="14">
        <f>IFERROR(VLOOKUP(G849,Sell!G:L,2,0),0)</f>
        <v>0</v>
      </c>
      <c r="O849" s="13">
        <f>IFERROR(VLOOKUP(G849,Sell!G:L,6,0),0)</f>
        <v>0</v>
      </c>
      <c r="P849" s="14">
        <f t="shared" si="91"/>
        <v>0</v>
      </c>
      <c r="Q849" s="13">
        <f t="shared" si="93"/>
        <v>0</v>
      </c>
      <c r="R849" s="13">
        <f t="shared" si="94"/>
        <v>0</v>
      </c>
      <c r="S849" s="13">
        <f t="shared" si="95"/>
        <v>0</v>
      </c>
      <c r="T849" s="13">
        <f t="shared" si="96"/>
        <v>0</v>
      </c>
      <c r="U849" s="15" t="str">
        <f t="shared" si="97"/>
        <v/>
      </c>
    </row>
    <row r="850" spans="12:21" x14ac:dyDescent="0.25">
      <c r="L850" s="20">
        <f t="shared" si="92"/>
        <v>0</v>
      </c>
      <c r="M850" s="14" t="e">
        <f>VLOOKUP(G850,Sell!G:L,1,0)</f>
        <v>#N/A</v>
      </c>
      <c r="N850" s="14">
        <f>IFERROR(VLOOKUP(G850,Sell!G:L,2,0),0)</f>
        <v>0</v>
      </c>
      <c r="O850" s="13">
        <f>IFERROR(VLOOKUP(G850,Sell!G:L,6,0),0)</f>
        <v>0</v>
      </c>
      <c r="P850" s="14">
        <f t="shared" si="91"/>
        <v>0</v>
      </c>
      <c r="Q850" s="13">
        <f t="shared" si="93"/>
        <v>0</v>
      </c>
      <c r="R850" s="13">
        <f t="shared" si="94"/>
        <v>0</v>
      </c>
      <c r="S850" s="13">
        <f t="shared" si="95"/>
        <v>0</v>
      </c>
      <c r="T850" s="13">
        <f t="shared" si="96"/>
        <v>0</v>
      </c>
      <c r="U850" s="15" t="str">
        <f t="shared" si="97"/>
        <v/>
      </c>
    </row>
    <row r="851" spans="12:21" x14ac:dyDescent="0.25">
      <c r="L851" s="20">
        <f t="shared" si="92"/>
        <v>0</v>
      </c>
      <c r="M851" s="14" t="e">
        <f>VLOOKUP(G851,Sell!G:L,1,0)</f>
        <v>#N/A</v>
      </c>
      <c r="N851" s="14">
        <f>IFERROR(VLOOKUP(G851,Sell!G:L,2,0),0)</f>
        <v>0</v>
      </c>
      <c r="O851" s="13">
        <f>IFERROR(VLOOKUP(G851,Sell!G:L,6,0),0)</f>
        <v>0</v>
      </c>
      <c r="P851" s="14">
        <f t="shared" si="91"/>
        <v>0</v>
      </c>
      <c r="Q851" s="13">
        <f t="shared" si="93"/>
        <v>0</v>
      </c>
      <c r="R851" s="13">
        <f t="shared" si="94"/>
        <v>0</v>
      </c>
      <c r="S851" s="13">
        <f t="shared" si="95"/>
        <v>0</v>
      </c>
      <c r="T851" s="13">
        <f t="shared" si="96"/>
        <v>0</v>
      </c>
      <c r="U851" s="15" t="str">
        <f t="shared" si="97"/>
        <v/>
      </c>
    </row>
    <row r="852" spans="12:21" x14ac:dyDescent="0.25">
      <c r="L852" s="20">
        <f t="shared" si="92"/>
        <v>0</v>
      </c>
      <c r="M852" s="14" t="e">
        <f>VLOOKUP(G852,Sell!G:L,1,0)</f>
        <v>#N/A</v>
      </c>
      <c r="N852" s="14">
        <f>IFERROR(VLOOKUP(G852,Sell!G:L,2,0),0)</f>
        <v>0</v>
      </c>
      <c r="O852" s="13">
        <f>IFERROR(VLOOKUP(G852,Sell!G:L,6,0),0)</f>
        <v>0</v>
      </c>
      <c r="P852" s="14">
        <f t="shared" si="91"/>
        <v>0</v>
      </c>
      <c r="Q852" s="13">
        <f t="shared" si="93"/>
        <v>0</v>
      </c>
      <c r="R852" s="13">
        <f t="shared" si="94"/>
        <v>0</v>
      </c>
      <c r="S852" s="13">
        <f t="shared" si="95"/>
        <v>0</v>
      </c>
      <c r="T852" s="13">
        <f t="shared" si="96"/>
        <v>0</v>
      </c>
      <c r="U852" s="15" t="str">
        <f t="shared" si="97"/>
        <v/>
      </c>
    </row>
    <row r="853" spans="12:21" x14ac:dyDescent="0.25">
      <c r="L853" s="20">
        <f t="shared" si="92"/>
        <v>0</v>
      </c>
      <c r="M853" s="14" t="e">
        <f>VLOOKUP(G853,Sell!G:L,1,0)</f>
        <v>#N/A</v>
      </c>
      <c r="N853" s="14">
        <f>IFERROR(VLOOKUP(G853,Sell!G:L,2,0),0)</f>
        <v>0</v>
      </c>
      <c r="O853" s="13">
        <f>IFERROR(VLOOKUP(G853,Sell!G:L,6,0),0)</f>
        <v>0</v>
      </c>
      <c r="P853" s="14">
        <f t="shared" si="91"/>
        <v>0</v>
      </c>
      <c r="Q853" s="13">
        <f t="shared" si="93"/>
        <v>0</v>
      </c>
      <c r="R853" s="13">
        <f t="shared" si="94"/>
        <v>0</v>
      </c>
      <c r="S853" s="13">
        <f t="shared" si="95"/>
        <v>0</v>
      </c>
      <c r="T853" s="13">
        <f t="shared" si="96"/>
        <v>0</v>
      </c>
      <c r="U853" s="15" t="str">
        <f t="shared" si="97"/>
        <v/>
      </c>
    </row>
    <row r="854" spans="12:21" x14ac:dyDescent="0.25">
      <c r="L854" s="20">
        <f t="shared" si="92"/>
        <v>0</v>
      </c>
      <c r="M854" s="14" t="e">
        <f>VLOOKUP(G854,Sell!G:L,1,0)</f>
        <v>#N/A</v>
      </c>
      <c r="N854" s="14">
        <f>IFERROR(VLOOKUP(G854,Sell!G:L,2,0),0)</f>
        <v>0</v>
      </c>
      <c r="O854" s="13">
        <f>IFERROR(VLOOKUP(G854,Sell!G:L,6,0),0)</f>
        <v>0</v>
      </c>
      <c r="P854" s="14">
        <f t="shared" si="91"/>
        <v>0</v>
      </c>
      <c r="Q854" s="13">
        <f t="shared" si="93"/>
        <v>0</v>
      </c>
      <c r="R854" s="13">
        <f t="shared" si="94"/>
        <v>0</v>
      </c>
      <c r="S854" s="13">
        <f t="shared" si="95"/>
        <v>0</v>
      </c>
      <c r="T854" s="13">
        <f t="shared" si="96"/>
        <v>0</v>
      </c>
      <c r="U854" s="15" t="str">
        <f t="shared" si="97"/>
        <v/>
      </c>
    </row>
    <row r="855" spans="12:21" x14ac:dyDescent="0.25">
      <c r="L855" s="20">
        <f t="shared" si="92"/>
        <v>0</v>
      </c>
      <c r="M855" s="14" t="e">
        <f>VLOOKUP(G855,Sell!G:L,1,0)</f>
        <v>#N/A</v>
      </c>
      <c r="N855" s="14">
        <f>IFERROR(VLOOKUP(G855,Sell!G:L,2,0),0)</f>
        <v>0</v>
      </c>
      <c r="O855" s="13">
        <f>IFERROR(VLOOKUP(G855,Sell!G:L,6,0),0)</f>
        <v>0</v>
      </c>
      <c r="P855" s="14">
        <f t="shared" si="91"/>
        <v>0</v>
      </c>
      <c r="Q855" s="13">
        <f t="shared" si="93"/>
        <v>0</v>
      </c>
      <c r="R855" s="13">
        <f t="shared" si="94"/>
        <v>0</v>
      </c>
      <c r="S855" s="13">
        <f t="shared" si="95"/>
        <v>0</v>
      </c>
      <c r="T855" s="13">
        <f t="shared" si="96"/>
        <v>0</v>
      </c>
      <c r="U855" s="15" t="str">
        <f t="shared" si="97"/>
        <v/>
      </c>
    </row>
    <row r="856" spans="12:21" x14ac:dyDescent="0.25">
      <c r="L856" s="20">
        <f t="shared" si="92"/>
        <v>0</v>
      </c>
      <c r="M856" s="14" t="e">
        <f>VLOOKUP(G856,Sell!G:L,1,0)</f>
        <v>#N/A</v>
      </c>
      <c r="N856" s="14">
        <f>IFERROR(VLOOKUP(G856,Sell!G:L,2,0),0)</f>
        <v>0</v>
      </c>
      <c r="O856" s="13">
        <f>IFERROR(VLOOKUP(G856,Sell!G:L,6,0),0)</f>
        <v>0</v>
      </c>
      <c r="P856" s="14">
        <f t="shared" si="91"/>
        <v>0</v>
      </c>
      <c r="Q856" s="13">
        <f t="shared" si="93"/>
        <v>0</v>
      </c>
      <c r="R856" s="13">
        <f t="shared" si="94"/>
        <v>0</v>
      </c>
      <c r="S856" s="13">
        <f t="shared" si="95"/>
        <v>0</v>
      </c>
      <c r="T856" s="13">
        <f t="shared" si="96"/>
        <v>0</v>
      </c>
      <c r="U856" s="15" t="str">
        <f t="shared" si="97"/>
        <v/>
      </c>
    </row>
    <row r="857" spans="12:21" x14ac:dyDescent="0.25">
      <c r="L857" s="20">
        <f t="shared" si="92"/>
        <v>0</v>
      </c>
      <c r="M857" s="14" t="e">
        <f>VLOOKUP(G857,Sell!G:L,1,0)</f>
        <v>#N/A</v>
      </c>
      <c r="N857" s="14">
        <f>IFERROR(VLOOKUP(G857,Sell!G:L,2,0),0)</f>
        <v>0</v>
      </c>
      <c r="O857" s="13">
        <f>IFERROR(VLOOKUP(G857,Sell!G:L,6,0),0)</f>
        <v>0</v>
      </c>
      <c r="P857" s="14">
        <f t="shared" si="91"/>
        <v>0</v>
      </c>
      <c r="Q857" s="13">
        <f t="shared" si="93"/>
        <v>0</v>
      </c>
      <c r="R857" s="13">
        <f t="shared" si="94"/>
        <v>0</v>
      </c>
      <c r="S857" s="13">
        <f t="shared" si="95"/>
        <v>0</v>
      </c>
      <c r="T857" s="13">
        <f t="shared" si="96"/>
        <v>0</v>
      </c>
      <c r="U857" s="15" t="str">
        <f t="shared" si="97"/>
        <v/>
      </c>
    </row>
    <row r="858" spans="12:21" x14ac:dyDescent="0.25">
      <c r="L858" s="20">
        <f t="shared" si="92"/>
        <v>0</v>
      </c>
      <c r="M858" s="14" t="e">
        <f>VLOOKUP(G858,Sell!G:L,1,0)</f>
        <v>#N/A</v>
      </c>
      <c r="N858" s="14">
        <f>IFERROR(VLOOKUP(G858,Sell!G:L,2,0),0)</f>
        <v>0</v>
      </c>
      <c r="O858" s="13">
        <f>IFERROR(VLOOKUP(G858,Sell!G:L,6,0),0)</f>
        <v>0</v>
      </c>
      <c r="P858" s="14">
        <f t="shared" si="91"/>
        <v>0</v>
      </c>
      <c r="Q858" s="13">
        <f t="shared" si="93"/>
        <v>0</v>
      </c>
      <c r="R858" s="13">
        <f t="shared" si="94"/>
        <v>0</v>
      </c>
      <c r="S858" s="13">
        <f t="shared" si="95"/>
        <v>0</v>
      </c>
      <c r="T858" s="13">
        <f t="shared" si="96"/>
        <v>0</v>
      </c>
      <c r="U858" s="15" t="str">
        <f t="shared" si="97"/>
        <v/>
      </c>
    </row>
    <row r="859" spans="12:21" x14ac:dyDescent="0.25">
      <c r="L859" s="20">
        <f t="shared" si="92"/>
        <v>0</v>
      </c>
      <c r="M859" s="14" t="e">
        <f>VLOOKUP(G859,Sell!G:L,1,0)</f>
        <v>#N/A</v>
      </c>
      <c r="N859" s="14">
        <f>IFERROR(VLOOKUP(G859,Sell!G:L,2,0),0)</f>
        <v>0</v>
      </c>
      <c r="O859" s="13">
        <f>IFERROR(VLOOKUP(G859,Sell!G:L,6,0),0)</f>
        <v>0</v>
      </c>
      <c r="P859" s="14">
        <f t="shared" si="91"/>
        <v>0</v>
      </c>
      <c r="Q859" s="13">
        <f t="shared" si="93"/>
        <v>0</v>
      </c>
      <c r="R859" s="13">
        <f t="shared" si="94"/>
        <v>0</v>
      </c>
      <c r="S859" s="13">
        <f t="shared" si="95"/>
        <v>0</v>
      </c>
      <c r="T859" s="13">
        <f t="shared" si="96"/>
        <v>0</v>
      </c>
      <c r="U859" s="15" t="str">
        <f t="shared" si="97"/>
        <v/>
      </c>
    </row>
    <row r="860" spans="12:21" x14ac:dyDescent="0.25">
      <c r="L860" s="20">
        <f t="shared" si="92"/>
        <v>0</v>
      </c>
      <c r="M860" s="14" t="e">
        <f>VLOOKUP(G860,Sell!G:L,1,0)</f>
        <v>#N/A</v>
      </c>
      <c r="N860" s="14">
        <f>IFERROR(VLOOKUP(G860,Sell!G:L,2,0),0)</f>
        <v>0</v>
      </c>
      <c r="O860" s="13">
        <f>IFERROR(VLOOKUP(G860,Sell!G:L,6,0),0)</f>
        <v>0</v>
      </c>
      <c r="P860" s="14">
        <f t="shared" si="91"/>
        <v>0</v>
      </c>
      <c r="Q860" s="13">
        <f t="shared" si="93"/>
        <v>0</v>
      </c>
      <c r="R860" s="13">
        <f t="shared" si="94"/>
        <v>0</v>
      </c>
      <c r="S860" s="13">
        <f t="shared" si="95"/>
        <v>0</v>
      </c>
      <c r="T860" s="13">
        <f t="shared" si="96"/>
        <v>0</v>
      </c>
      <c r="U860" s="15" t="str">
        <f t="shared" si="97"/>
        <v/>
      </c>
    </row>
    <row r="861" spans="12:21" x14ac:dyDescent="0.25">
      <c r="L861" s="20">
        <f t="shared" si="92"/>
        <v>0</v>
      </c>
      <c r="M861" s="14" t="e">
        <f>VLOOKUP(G861,Sell!G:L,1,0)</f>
        <v>#N/A</v>
      </c>
      <c r="N861" s="14">
        <f>IFERROR(VLOOKUP(G861,Sell!G:L,2,0),0)</f>
        <v>0</v>
      </c>
      <c r="O861" s="13">
        <f>IFERROR(VLOOKUP(G861,Sell!G:L,6,0),0)</f>
        <v>0</v>
      </c>
      <c r="P861" s="14">
        <f t="shared" si="91"/>
        <v>0</v>
      </c>
      <c r="Q861" s="13">
        <f t="shared" si="93"/>
        <v>0</v>
      </c>
      <c r="R861" s="13">
        <f t="shared" si="94"/>
        <v>0</v>
      </c>
      <c r="S861" s="13">
        <f t="shared" si="95"/>
        <v>0</v>
      </c>
      <c r="T861" s="13">
        <f t="shared" si="96"/>
        <v>0</v>
      </c>
      <c r="U861" s="15" t="str">
        <f t="shared" si="97"/>
        <v/>
      </c>
    </row>
    <row r="862" spans="12:21" x14ac:dyDescent="0.25">
      <c r="L862" s="20">
        <f t="shared" si="92"/>
        <v>0</v>
      </c>
      <c r="M862" s="14" t="e">
        <f>VLOOKUP(G862,Sell!G:L,1,0)</f>
        <v>#N/A</v>
      </c>
      <c r="N862" s="14">
        <f>IFERROR(VLOOKUP(G862,Sell!G:L,2,0),0)</f>
        <v>0</v>
      </c>
      <c r="O862" s="13">
        <f>IFERROR(VLOOKUP(G862,Sell!G:L,6,0),0)</f>
        <v>0</v>
      </c>
      <c r="P862" s="14">
        <f t="shared" si="91"/>
        <v>0</v>
      </c>
      <c r="Q862" s="13">
        <f t="shared" si="93"/>
        <v>0</v>
      </c>
      <c r="R862" s="13">
        <f t="shared" si="94"/>
        <v>0</v>
      </c>
      <c r="S862" s="13">
        <f t="shared" si="95"/>
        <v>0</v>
      </c>
      <c r="T862" s="13">
        <f t="shared" si="96"/>
        <v>0</v>
      </c>
      <c r="U862" s="15" t="str">
        <f t="shared" si="97"/>
        <v/>
      </c>
    </row>
    <row r="863" spans="12:21" x14ac:dyDescent="0.25">
      <c r="L863" s="20">
        <f t="shared" si="92"/>
        <v>0</v>
      </c>
      <c r="M863" s="14" t="e">
        <f>VLOOKUP(G863,Sell!G:L,1,0)</f>
        <v>#N/A</v>
      </c>
      <c r="N863" s="14">
        <f>IFERROR(VLOOKUP(G863,Sell!G:L,2,0),0)</f>
        <v>0</v>
      </c>
      <c r="O863" s="13">
        <f>IFERROR(VLOOKUP(G863,Sell!G:L,6,0),0)</f>
        <v>0</v>
      </c>
      <c r="P863" s="14">
        <f t="shared" si="91"/>
        <v>0</v>
      </c>
      <c r="Q863" s="13">
        <f t="shared" si="93"/>
        <v>0</v>
      </c>
      <c r="R863" s="13">
        <f t="shared" si="94"/>
        <v>0</v>
      </c>
      <c r="S863" s="13">
        <f t="shared" si="95"/>
        <v>0</v>
      </c>
      <c r="T863" s="13">
        <f t="shared" si="96"/>
        <v>0</v>
      </c>
      <c r="U863" s="15" t="str">
        <f t="shared" si="97"/>
        <v/>
      </c>
    </row>
    <row r="864" spans="12:21" x14ac:dyDescent="0.25">
      <c r="L864" s="20">
        <f t="shared" si="92"/>
        <v>0</v>
      </c>
      <c r="M864" s="14" t="e">
        <f>VLOOKUP(G864,Sell!G:L,1,0)</f>
        <v>#N/A</v>
      </c>
      <c r="N864" s="14">
        <f>IFERROR(VLOOKUP(G864,Sell!G:L,2,0),0)</f>
        <v>0</v>
      </c>
      <c r="O864" s="13">
        <f>IFERROR(VLOOKUP(G864,Sell!G:L,6,0),0)</f>
        <v>0</v>
      </c>
      <c r="P864" s="14">
        <f t="shared" si="91"/>
        <v>0</v>
      </c>
      <c r="Q864" s="13">
        <f t="shared" si="93"/>
        <v>0</v>
      </c>
      <c r="R864" s="13">
        <f t="shared" si="94"/>
        <v>0</v>
      </c>
      <c r="S864" s="13">
        <f t="shared" si="95"/>
        <v>0</v>
      </c>
      <c r="T864" s="13">
        <f t="shared" si="96"/>
        <v>0</v>
      </c>
      <c r="U864" s="15" t="str">
        <f t="shared" si="97"/>
        <v/>
      </c>
    </row>
    <row r="865" spans="12:21" x14ac:dyDescent="0.25">
      <c r="L865" s="20">
        <f t="shared" si="92"/>
        <v>0</v>
      </c>
      <c r="M865" s="14" t="e">
        <f>VLOOKUP(G865,Sell!G:L,1,0)</f>
        <v>#N/A</v>
      </c>
      <c r="N865" s="14">
        <f>IFERROR(VLOOKUP(G865,Sell!G:L,2,0),0)</f>
        <v>0</v>
      </c>
      <c r="O865" s="13">
        <f>IFERROR(VLOOKUP(G865,Sell!G:L,6,0),0)</f>
        <v>0</v>
      </c>
      <c r="P865" s="14">
        <f t="shared" si="91"/>
        <v>0</v>
      </c>
      <c r="Q865" s="13">
        <f t="shared" si="93"/>
        <v>0</v>
      </c>
      <c r="R865" s="13">
        <f t="shared" si="94"/>
        <v>0</v>
      </c>
      <c r="S865" s="13">
        <f t="shared" si="95"/>
        <v>0</v>
      </c>
      <c r="T865" s="13">
        <f t="shared" si="96"/>
        <v>0</v>
      </c>
      <c r="U865" s="15" t="str">
        <f t="shared" si="97"/>
        <v/>
      </c>
    </row>
    <row r="866" spans="12:21" x14ac:dyDescent="0.25">
      <c r="L866" s="20">
        <f t="shared" si="92"/>
        <v>0</v>
      </c>
      <c r="M866" s="14" t="e">
        <f>VLOOKUP(G866,Sell!G:L,1,0)</f>
        <v>#N/A</v>
      </c>
      <c r="N866" s="14">
        <f>IFERROR(VLOOKUP(G866,Sell!G:L,2,0),0)</f>
        <v>0</v>
      </c>
      <c r="O866" s="13">
        <f>IFERROR(VLOOKUP(G866,Sell!G:L,6,0),0)</f>
        <v>0</v>
      </c>
      <c r="P866" s="14">
        <f t="shared" si="91"/>
        <v>0</v>
      </c>
      <c r="Q866" s="13">
        <f t="shared" si="93"/>
        <v>0</v>
      </c>
      <c r="R866" s="13">
        <f t="shared" si="94"/>
        <v>0</v>
      </c>
      <c r="S866" s="13">
        <f t="shared" si="95"/>
        <v>0</v>
      </c>
      <c r="T866" s="13">
        <f t="shared" si="96"/>
        <v>0</v>
      </c>
      <c r="U866" s="15" t="str">
        <f t="shared" si="97"/>
        <v/>
      </c>
    </row>
    <row r="867" spans="12:21" x14ac:dyDescent="0.25">
      <c r="L867" s="20">
        <f t="shared" si="92"/>
        <v>0</v>
      </c>
      <c r="M867" s="14" t="e">
        <f>VLOOKUP(G867,Sell!G:L,1,0)</f>
        <v>#N/A</v>
      </c>
      <c r="N867" s="14">
        <f>IFERROR(VLOOKUP(G867,Sell!G:L,2,0),0)</f>
        <v>0</v>
      </c>
      <c r="O867" s="13">
        <f>IFERROR(VLOOKUP(G867,Sell!G:L,6,0),0)</f>
        <v>0</v>
      </c>
      <c r="P867" s="14">
        <f t="shared" si="91"/>
        <v>0</v>
      </c>
      <c r="Q867" s="13">
        <f t="shared" si="93"/>
        <v>0</v>
      </c>
      <c r="R867" s="13">
        <f t="shared" si="94"/>
        <v>0</v>
      </c>
      <c r="S867" s="13">
        <f t="shared" si="95"/>
        <v>0</v>
      </c>
      <c r="T867" s="13">
        <f t="shared" si="96"/>
        <v>0</v>
      </c>
      <c r="U867" s="15" t="str">
        <f t="shared" si="97"/>
        <v/>
      </c>
    </row>
    <row r="868" spans="12:21" x14ac:dyDescent="0.25">
      <c r="L868" s="20">
        <f t="shared" si="92"/>
        <v>0</v>
      </c>
      <c r="M868" s="14" t="e">
        <f>VLOOKUP(G868,Sell!G:L,1,0)</f>
        <v>#N/A</v>
      </c>
      <c r="N868" s="14">
        <f>IFERROR(VLOOKUP(G868,Sell!G:L,2,0),0)</f>
        <v>0</v>
      </c>
      <c r="O868" s="13">
        <f>IFERROR(VLOOKUP(G868,Sell!G:L,6,0),0)</f>
        <v>0</v>
      </c>
      <c r="P868" s="14">
        <f t="shared" si="91"/>
        <v>0</v>
      </c>
      <c r="Q868" s="13">
        <f t="shared" si="93"/>
        <v>0</v>
      </c>
      <c r="R868" s="13">
        <f t="shared" si="94"/>
        <v>0</v>
      </c>
      <c r="S868" s="13">
        <f t="shared" si="95"/>
        <v>0</v>
      </c>
      <c r="T868" s="13">
        <f t="shared" si="96"/>
        <v>0</v>
      </c>
      <c r="U868" s="15" t="str">
        <f t="shared" si="97"/>
        <v/>
      </c>
    </row>
    <row r="869" spans="12:21" x14ac:dyDescent="0.25">
      <c r="L869" s="20">
        <f t="shared" si="92"/>
        <v>0</v>
      </c>
      <c r="M869" s="14" t="e">
        <f>VLOOKUP(G869,Sell!G:L,1,0)</f>
        <v>#N/A</v>
      </c>
      <c r="N869" s="14">
        <f>IFERROR(VLOOKUP(G869,Sell!G:L,2,0),0)</f>
        <v>0</v>
      </c>
      <c r="O869" s="13">
        <f>IFERROR(VLOOKUP(G869,Sell!G:L,6,0),0)</f>
        <v>0</v>
      </c>
      <c r="P869" s="14">
        <f t="shared" si="91"/>
        <v>0</v>
      </c>
      <c r="Q869" s="13">
        <f t="shared" si="93"/>
        <v>0</v>
      </c>
      <c r="R869" s="13">
        <f t="shared" si="94"/>
        <v>0</v>
      </c>
      <c r="S869" s="13">
        <f t="shared" si="95"/>
        <v>0</v>
      </c>
      <c r="T869" s="13">
        <f t="shared" si="96"/>
        <v>0</v>
      </c>
      <c r="U869" s="15" t="str">
        <f t="shared" si="97"/>
        <v/>
      </c>
    </row>
    <row r="870" spans="12:21" x14ac:dyDescent="0.25">
      <c r="L870" s="20">
        <f t="shared" si="92"/>
        <v>0</v>
      </c>
      <c r="M870" s="14" t="e">
        <f>VLOOKUP(G870,Sell!G:L,1,0)</f>
        <v>#N/A</v>
      </c>
      <c r="N870" s="14">
        <f>IFERROR(VLOOKUP(G870,Sell!G:L,2,0),0)</f>
        <v>0</v>
      </c>
      <c r="O870" s="13">
        <f>IFERROR(VLOOKUP(G870,Sell!G:L,6,0),0)</f>
        <v>0</v>
      </c>
      <c r="P870" s="14">
        <f t="shared" si="91"/>
        <v>0</v>
      </c>
      <c r="Q870" s="13">
        <f t="shared" si="93"/>
        <v>0</v>
      </c>
      <c r="R870" s="13">
        <f t="shared" si="94"/>
        <v>0</v>
      </c>
      <c r="S870" s="13">
        <f t="shared" si="95"/>
        <v>0</v>
      </c>
      <c r="T870" s="13">
        <f t="shared" si="96"/>
        <v>0</v>
      </c>
      <c r="U870" s="15" t="str">
        <f t="shared" si="97"/>
        <v/>
      </c>
    </row>
    <row r="871" spans="12:21" x14ac:dyDescent="0.25">
      <c r="L871" s="20">
        <f t="shared" si="92"/>
        <v>0</v>
      </c>
      <c r="M871" s="14" t="e">
        <f>VLOOKUP(G871,Sell!G:L,1,0)</f>
        <v>#N/A</v>
      </c>
      <c r="N871" s="14">
        <f>IFERROR(VLOOKUP(G871,Sell!G:L,2,0),0)</f>
        <v>0</v>
      </c>
      <c r="O871" s="13">
        <f>IFERROR(VLOOKUP(G871,Sell!G:L,6,0),0)</f>
        <v>0</v>
      </c>
      <c r="P871" s="14">
        <f t="shared" si="91"/>
        <v>0</v>
      </c>
      <c r="Q871" s="13">
        <f t="shared" si="93"/>
        <v>0</v>
      </c>
      <c r="R871" s="13">
        <f t="shared" si="94"/>
        <v>0</v>
      </c>
      <c r="S871" s="13">
        <f t="shared" si="95"/>
        <v>0</v>
      </c>
      <c r="T871" s="13">
        <f t="shared" si="96"/>
        <v>0</v>
      </c>
      <c r="U871" s="15" t="str">
        <f t="shared" si="97"/>
        <v/>
      </c>
    </row>
    <row r="872" spans="12:21" x14ac:dyDescent="0.25">
      <c r="L872" s="20">
        <f t="shared" si="92"/>
        <v>0</v>
      </c>
      <c r="M872" s="14" t="e">
        <f>VLOOKUP(G872,Sell!G:L,1,0)</f>
        <v>#N/A</v>
      </c>
      <c r="N872" s="14">
        <f>IFERROR(VLOOKUP(G872,Sell!G:L,2,0),0)</f>
        <v>0</v>
      </c>
      <c r="O872" s="13">
        <f>IFERROR(VLOOKUP(G872,Sell!G:L,6,0),0)</f>
        <v>0</v>
      </c>
      <c r="P872" s="14">
        <f t="shared" si="91"/>
        <v>0</v>
      </c>
      <c r="Q872" s="13">
        <f t="shared" si="93"/>
        <v>0</v>
      </c>
      <c r="R872" s="13">
        <f t="shared" si="94"/>
        <v>0</v>
      </c>
      <c r="S872" s="13">
        <f t="shared" si="95"/>
        <v>0</v>
      </c>
      <c r="T872" s="13">
        <f t="shared" si="96"/>
        <v>0</v>
      </c>
      <c r="U872" s="15" t="str">
        <f t="shared" si="97"/>
        <v/>
      </c>
    </row>
    <row r="873" spans="12:21" x14ac:dyDescent="0.25">
      <c r="L873" s="20">
        <f t="shared" si="92"/>
        <v>0</v>
      </c>
      <c r="M873" s="14" t="e">
        <f>VLOOKUP(G873,Sell!G:L,1,0)</f>
        <v>#N/A</v>
      </c>
      <c r="N873" s="14">
        <f>IFERROR(VLOOKUP(G873,Sell!G:L,2,0),0)</f>
        <v>0</v>
      </c>
      <c r="O873" s="13">
        <f>IFERROR(VLOOKUP(G873,Sell!G:L,6,0),0)</f>
        <v>0</v>
      </c>
      <c r="P873" s="14">
        <f t="shared" si="91"/>
        <v>0</v>
      </c>
      <c r="Q873" s="13">
        <f t="shared" si="93"/>
        <v>0</v>
      </c>
      <c r="R873" s="13">
        <f t="shared" si="94"/>
        <v>0</v>
      </c>
      <c r="S873" s="13">
        <f t="shared" si="95"/>
        <v>0</v>
      </c>
      <c r="T873" s="13">
        <f t="shared" si="96"/>
        <v>0</v>
      </c>
      <c r="U873" s="15" t="str">
        <f t="shared" si="97"/>
        <v/>
      </c>
    </row>
    <row r="874" spans="12:21" x14ac:dyDescent="0.25">
      <c r="L874" s="20">
        <f t="shared" si="92"/>
        <v>0</v>
      </c>
      <c r="M874" s="14" t="e">
        <f>VLOOKUP(G874,Sell!G:L,1,0)</f>
        <v>#N/A</v>
      </c>
      <c r="N874" s="14">
        <f>IFERROR(VLOOKUP(G874,Sell!G:L,2,0),0)</f>
        <v>0</v>
      </c>
      <c r="O874" s="13">
        <f>IFERROR(VLOOKUP(G874,Sell!G:L,6,0),0)</f>
        <v>0</v>
      </c>
      <c r="P874" s="14">
        <f t="shared" si="91"/>
        <v>0</v>
      </c>
      <c r="Q874" s="13">
        <f t="shared" si="93"/>
        <v>0</v>
      </c>
      <c r="R874" s="13">
        <f t="shared" si="94"/>
        <v>0</v>
      </c>
      <c r="S874" s="13">
        <f t="shared" si="95"/>
        <v>0</v>
      </c>
      <c r="T874" s="13">
        <f t="shared" si="96"/>
        <v>0</v>
      </c>
      <c r="U874" s="15" t="str">
        <f t="shared" si="97"/>
        <v/>
      </c>
    </row>
    <row r="875" spans="12:21" x14ac:dyDescent="0.25">
      <c r="L875" s="20">
        <f t="shared" si="92"/>
        <v>0</v>
      </c>
      <c r="M875" s="14" t="e">
        <f>VLOOKUP(G875,Sell!G:L,1,0)</f>
        <v>#N/A</v>
      </c>
      <c r="N875" s="14">
        <f>IFERROR(VLOOKUP(G875,Sell!G:L,2,0),0)</f>
        <v>0</v>
      </c>
      <c r="O875" s="13">
        <f>IFERROR(VLOOKUP(G875,Sell!G:L,6,0),0)</f>
        <v>0</v>
      </c>
      <c r="P875" s="14">
        <f t="shared" si="91"/>
        <v>0</v>
      </c>
      <c r="Q875" s="13">
        <f t="shared" si="93"/>
        <v>0</v>
      </c>
      <c r="R875" s="13">
        <f t="shared" si="94"/>
        <v>0</v>
      </c>
      <c r="S875" s="13">
        <f t="shared" si="95"/>
        <v>0</v>
      </c>
      <c r="T875" s="13">
        <f t="shared" si="96"/>
        <v>0</v>
      </c>
      <c r="U875" s="15" t="str">
        <f t="shared" si="97"/>
        <v/>
      </c>
    </row>
    <row r="876" spans="12:21" x14ac:dyDescent="0.25">
      <c r="L876" s="20">
        <f t="shared" si="92"/>
        <v>0</v>
      </c>
      <c r="M876" s="14" t="e">
        <f>VLOOKUP(G876,Sell!G:L,1,0)</f>
        <v>#N/A</v>
      </c>
      <c r="N876" s="14">
        <f>IFERROR(VLOOKUP(G876,Sell!G:L,2,0),0)</f>
        <v>0</v>
      </c>
      <c r="O876" s="13">
        <f>IFERROR(VLOOKUP(G876,Sell!G:L,6,0),0)</f>
        <v>0</v>
      </c>
      <c r="P876" s="14">
        <f t="shared" si="91"/>
        <v>0</v>
      </c>
      <c r="Q876" s="13">
        <f t="shared" si="93"/>
        <v>0</v>
      </c>
      <c r="R876" s="13">
        <f t="shared" si="94"/>
        <v>0</v>
      </c>
      <c r="S876" s="13">
        <f t="shared" si="95"/>
        <v>0</v>
      </c>
      <c r="T876" s="13">
        <f t="shared" si="96"/>
        <v>0</v>
      </c>
      <c r="U876" s="15" t="str">
        <f t="shared" si="97"/>
        <v/>
      </c>
    </row>
    <row r="877" spans="12:21" x14ac:dyDescent="0.25">
      <c r="L877" s="20">
        <f t="shared" si="92"/>
        <v>0</v>
      </c>
      <c r="M877" s="14" t="e">
        <f>VLOOKUP(G877,Sell!G:L,1,0)</f>
        <v>#N/A</v>
      </c>
      <c r="N877" s="14">
        <f>IFERROR(VLOOKUP(G877,Sell!G:L,2,0),0)</f>
        <v>0</v>
      </c>
      <c r="O877" s="13">
        <f>IFERROR(VLOOKUP(G877,Sell!G:L,6,0),0)</f>
        <v>0</v>
      </c>
      <c r="P877" s="14">
        <f t="shared" si="91"/>
        <v>0</v>
      </c>
      <c r="Q877" s="13">
        <f t="shared" si="93"/>
        <v>0</v>
      </c>
      <c r="R877" s="13">
        <f t="shared" si="94"/>
        <v>0</v>
      </c>
      <c r="S877" s="13">
        <f t="shared" si="95"/>
        <v>0</v>
      </c>
      <c r="T877" s="13">
        <f t="shared" si="96"/>
        <v>0</v>
      </c>
      <c r="U877" s="15" t="str">
        <f t="shared" si="97"/>
        <v/>
      </c>
    </row>
    <row r="878" spans="12:21" x14ac:dyDescent="0.25">
      <c r="L878" s="20">
        <f t="shared" si="92"/>
        <v>0</v>
      </c>
      <c r="M878" s="14" t="e">
        <f>VLOOKUP(G878,Sell!G:L,1,0)</f>
        <v>#N/A</v>
      </c>
      <c r="N878" s="14">
        <f>IFERROR(VLOOKUP(G878,Sell!G:L,2,0),0)</f>
        <v>0</v>
      </c>
      <c r="O878" s="13">
        <f>IFERROR(VLOOKUP(G878,Sell!G:L,6,0),0)</f>
        <v>0</v>
      </c>
      <c r="P878" s="14">
        <f t="shared" si="91"/>
        <v>0</v>
      </c>
      <c r="Q878" s="13">
        <f t="shared" si="93"/>
        <v>0</v>
      </c>
      <c r="R878" s="13">
        <f t="shared" si="94"/>
        <v>0</v>
      </c>
      <c r="S878" s="13">
        <f t="shared" si="95"/>
        <v>0</v>
      </c>
      <c r="T878" s="13">
        <f t="shared" si="96"/>
        <v>0</v>
      </c>
      <c r="U878" s="15" t="str">
        <f t="shared" si="97"/>
        <v/>
      </c>
    </row>
    <row r="879" spans="12:21" x14ac:dyDescent="0.25">
      <c r="L879" s="20">
        <f t="shared" si="92"/>
        <v>0</v>
      </c>
      <c r="M879" s="14" t="e">
        <f>VLOOKUP(G879,Sell!G:L,1,0)</f>
        <v>#N/A</v>
      </c>
      <c r="N879" s="14">
        <f>IFERROR(VLOOKUP(G879,Sell!G:L,2,0),0)</f>
        <v>0</v>
      </c>
      <c r="O879" s="13">
        <f>IFERROR(VLOOKUP(G879,Sell!G:L,6,0),0)</f>
        <v>0</v>
      </c>
      <c r="P879" s="14">
        <f t="shared" si="91"/>
        <v>0</v>
      </c>
      <c r="Q879" s="13">
        <f t="shared" si="93"/>
        <v>0</v>
      </c>
      <c r="R879" s="13">
        <f t="shared" si="94"/>
        <v>0</v>
      </c>
      <c r="S879" s="13">
        <f t="shared" si="95"/>
        <v>0</v>
      </c>
      <c r="T879" s="13">
        <f t="shared" si="96"/>
        <v>0</v>
      </c>
      <c r="U879" s="15" t="str">
        <f t="shared" si="97"/>
        <v/>
      </c>
    </row>
    <row r="880" spans="12:21" x14ac:dyDescent="0.25">
      <c r="L880" s="20">
        <f t="shared" si="92"/>
        <v>0</v>
      </c>
      <c r="M880" s="14" t="e">
        <f>VLOOKUP(G880,Sell!G:L,1,0)</f>
        <v>#N/A</v>
      </c>
      <c r="N880" s="14">
        <f>IFERROR(VLOOKUP(G880,Sell!G:L,2,0),0)</f>
        <v>0</v>
      </c>
      <c r="O880" s="13">
        <f>IFERROR(VLOOKUP(G880,Sell!G:L,6,0),0)</f>
        <v>0</v>
      </c>
      <c r="P880" s="14">
        <f t="shared" si="91"/>
        <v>0</v>
      </c>
      <c r="Q880" s="13">
        <f t="shared" si="93"/>
        <v>0</v>
      </c>
      <c r="R880" s="13">
        <f t="shared" si="94"/>
        <v>0</v>
      </c>
      <c r="S880" s="13">
        <f t="shared" si="95"/>
        <v>0</v>
      </c>
      <c r="T880" s="13">
        <f t="shared" si="96"/>
        <v>0</v>
      </c>
      <c r="U880" s="15" t="str">
        <f t="shared" si="97"/>
        <v/>
      </c>
    </row>
    <row r="881" spans="12:21" x14ac:dyDescent="0.25">
      <c r="L881" s="20">
        <f t="shared" si="92"/>
        <v>0</v>
      </c>
      <c r="M881" s="14" t="e">
        <f>VLOOKUP(G881,Sell!G:L,1,0)</f>
        <v>#N/A</v>
      </c>
      <c r="N881" s="14">
        <f>IFERROR(VLOOKUP(G881,Sell!G:L,2,0),0)</f>
        <v>0</v>
      </c>
      <c r="O881" s="13">
        <f>IFERROR(VLOOKUP(G881,Sell!G:L,6,0),0)</f>
        <v>0</v>
      </c>
      <c r="P881" s="14">
        <f t="shared" si="91"/>
        <v>0</v>
      </c>
      <c r="Q881" s="13">
        <f t="shared" si="93"/>
        <v>0</v>
      </c>
      <c r="R881" s="13">
        <f t="shared" si="94"/>
        <v>0</v>
      </c>
      <c r="S881" s="13">
        <f t="shared" si="95"/>
        <v>0</v>
      </c>
      <c r="T881" s="13">
        <f t="shared" si="96"/>
        <v>0</v>
      </c>
      <c r="U881" s="15" t="str">
        <f t="shared" si="97"/>
        <v/>
      </c>
    </row>
    <row r="882" spans="12:21" x14ac:dyDescent="0.25">
      <c r="L882" s="20">
        <f t="shared" si="92"/>
        <v>0</v>
      </c>
      <c r="M882" s="14" t="e">
        <f>VLOOKUP(G882,Sell!G:L,1,0)</f>
        <v>#N/A</v>
      </c>
      <c r="N882" s="14">
        <f>IFERROR(VLOOKUP(G882,Sell!G:L,2,0),0)</f>
        <v>0</v>
      </c>
      <c r="O882" s="13">
        <f>IFERROR(VLOOKUP(G882,Sell!G:L,6,0),0)</f>
        <v>0</v>
      </c>
      <c r="P882" s="14">
        <f t="shared" si="91"/>
        <v>0</v>
      </c>
      <c r="Q882" s="13">
        <f t="shared" si="93"/>
        <v>0</v>
      </c>
      <c r="R882" s="13">
        <f t="shared" si="94"/>
        <v>0</v>
      </c>
      <c r="S882" s="13">
        <f t="shared" si="95"/>
        <v>0</v>
      </c>
      <c r="T882" s="13">
        <f t="shared" si="96"/>
        <v>0</v>
      </c>
      <c r="U882" s="15" t="str">
        <f t="shared" si="97"/>
        <v/>
      </c>
    </row>
    <row r="883" spans="12:21" x14ac:dyDescent="0.25">
      <c r="L883" s="20">
        <f t="shared" si="92"/>
        <v>0</v>
      </c>
      <c r="M883" s="14" t="e">
        <f>VLOOKUP(G883,Sell!G:L,1,0)</f>
        <v>#N/A</v>
      </c>
      <c r="N883" s="14">
        <f>IFERROR(VLOOKUP(G883,Sell!G:L,2,0),0)</f>
        <v>0</v>
      </c>
      <c r="O883" s="13">
        <f>IFERROR(VLOOKUP(G883,Sell!G:L,6,0),0)</f>
        <v>0</v>
      </c>
      <c r="P883" s="14">
        <f t="shared" si="91"/>
        <v>0</v>
      </c>
      <c r="Q883" s="13">
        <f t="shared" si="93"/>
        <v>0</v>
      </c>
      <c r="R883" s="13">
        <f t="shared" si="94"/>
        <v>0</v>
      </c>
      <c r="S883" s="13">
        <f t="shared" si="95"/>
        <v>0</v>
      </c>
      <c r="T883" s="13">
        <f t="shared" si="96"/>
        <v>0</v>
      </c>
      <c r="U883" s="15" t="str">
        <f t="shared" si="97"/>
        <v/>
      </c>
    </row>
    <row r="884" spans="12:21" x14ac:dyDescent="0.25">
      <c r="L884" s="20">
        <f t="shared" si="92"/>
        <v>0</v>
      </c>
      <c r="M884" s="14" t="e">
        <f>VLOOKUP(G884,Sell!G:L,1,0)</f>
        <v>#N/A</v>
      </c>
      <c r="N884" s="14">
        <f>IFERROR(VLOOKUP(G884,Sell!G:L,2,0),0)</f>
        <v>0</v>
      </c>
      <c r="O884" s="13">
        <f>IFERROR(VLOOKUP(G884,Sell!G:L,6,0),0)</f>
        <v>0</v>
      </c>
      <c r="P884" s="14">
        <f t="shared" si="91"/>
        <v>0</v>
      </c>
      <c r="Q884" s="13">
        <f t="shared" si="93"/>
        <v>0</v>
      </c>
      <c r="R884" s="13">
        <f t="shared" si="94"/>
        <v>0</v>
      </c>
      <c r="S884" s="13">
        <f t="shared" si="95"/>
        <v>0</v>
      </c>
      <c r="T884" s="13">
        <f t="shared" si="96"/>
        <v>0</v>
      </c>
      <c r="U884" s="15" t="str">
        <f t="shared" si="97"/>
        <v/>
      </c>
    </row>
    <row r="885" spans="12:21" x14ac:dyDescent="0.25">
      <c r="L885" s="20">
        <f t="shared" si="92"/>
        <v>0</v>
      </c>
      <c r="M885" s="14" t="e">
        <f>VLOOKUP(G885,Sell!G:L,1,0)</f>
        <v>#N/A</v>
      </c>
      <c r="N885" s="14">
        <f>IFERROR(VLOOKUP(G885,Sell!G:L,2,0),0)</f>
        <v>0</v>
      </c>
      <c r="O885" s="13">
        <f>IFERROR(VLOOKUP(G885,Sell!G:L,6,0),0)</f>
        <v>0</v>
      </c>
      <c r="P885" s="14">
        <f t="shared" si="91"/>
        <v>0</v>
      </c>
      <c r="Q885" s="13">
        <f t="shared" si="93"/>
        <v>0</v>
      </c>
      <c r="R885" s="13">
        <f t="shared" si="94"/>
        <v>0</v>
      </c>
      <c r="S885" s="13">
        <f t="shared" si="95"/>
        <v>0</v>
      </c>
      <c r="T885" s="13">
        <f t="shared" si="96"/>
        <v>0</v>
      </c>
      <c r="U885" s="15" t="str">
        <f t="shared" si="97"/>
        <v/>
      </c>
    </row>
    <row r="886" spans="12:21" x14ac:dyDescent="0.25">
      <c r="L886" s="20">
        <f t="shared" si="92"/>
        <v>0</v>
      </c>
      <c r="M886" s="14" t="e">
        <f>VLOOKUP(G886,Sell!G:L,1,0)</f>
        <v>#N/A</v>
      </c>
      <c r="N886" s="14">
        <f>IFERROR(VLOOKUP(G886,Sell!G:L,2,0),0)</f>
        <v>0</v>
      </c>
      <c r="O886" s="13">
        <f>IFERROR(VLOOKUP(G886,Sell!G:L,6,0),0)</f>
        <v>0</v>
      </c>
      <c r="P886" s="14">
        <f t="shared" si="91"/>
        <v>0</v>
      </c>
      <c r="Q886" s="13">
        <f t="shared" si="93"/>
        <v>0</v>
      </c>
      <c r="R886" s="13">
        <f t="shared" si="94"/>
        <v>0</v>
      </c>
      <c r="S886" s="13">
        <f t="shared" si="95"/>
        <v>0</v>
      </c>
      <c r="T886" s="13">
        <f t="shared" si="96"/>
        <v>0</v>
      </c>
      <c r="U886" s="15" t="str">
        <f t="shared" si="97"/>
        <v/>
      </c>
    </row>
    <row r="887" spans="12:21" x14ac:dyDescent="0.25">
      <c r="L887" s="20">
        <f t="shared" si="92"/>
        <v>0</v>
      </c>
      <c r="M887" s="14" t="e">
        <f>VLOOKUP(G887,Sell!G:L,1,0)</f>
        <v>#N/A</v>
      </c>
      <c r="N887" s="14">
        <f>IFERROR(VLOOKUP(G887,Sell!G:L,2,0),0)</f>
        <v>0</v>
      </c>
      <c r="O887" s="13">
        <f>IFERROR(VLOOKUP(G887,Sell!G:L,6,0),0)</f>
        <v>0</v>
      </c>
      <c r="P887" s="14">
        <f t="shared" si="91"/>
        <v>0</v>
      </c>
      <c r="Q887" s="13">
        <f t="shared" si="93"/>
        <v>0</v>
      </c>
      <c r="R887" s="13">
        <f t="shared" si="94"/>
        <v>0</v>
      </c>
      <c r="S887" s="13">
        <f t="shared" si="95"/>
        <v>0</v>
      </c>
      <c r="T887" s="13">
        <f t="shared" si="96"/>
        <v>0</v>
      </c>
      <c r="U887" s="15" t="str">
        <f t="shared" si="97"/>
        <v/>
      </c>
    </row>
    <row r="888" spans="12:21" x14ac:dyDescent="0.25">
      <c r="L888" s="20">
        <f t="shared" si="92"/>
        <v>0</v>
      </c>
      <c r="M888" s="14" t="e">
        <f>VLOOKUP(G888,Sell!G:L,1,0)</f>
        <v>#N/A</v>
      </c>
      <c r="N888" s="14">
        <f>IFERROR(VLOOKUP(G888,Sell!G:L,2,0),0)</f>
        <v>0</v>
      </c>
      <c r="O888" s="13">
        <f>IFERROR(VLOOKUP(G888,Sell!G:L,6,0),0)</f>
        <v>0</v>
      </c>
      <c r="P888" s="14">
        <f t="shared" si="91"/>
        <v>0</v>
      </c>
      <c r="Q888" s="13">
        <f t="shared" si="93"/>
        <v>0</v>
      </c>
      <c r="R888" s="13">
        <f t="shared" si="94"/>
        <v>0</v>
      </c>
      <c r="S888" s="13">
        <f t="shared" si="95"/>
        <v>0</v>
      </c>
      <c r="T888" s="13">
        <f t="shared" si="96"/>
        <v>0</v>
      </c>
      <c r="U888" s="15" t="str">
        <f t="shared" si="97"/>
        <v/>
      </c>
    </row>
    <row r="889" spans="12:21" x14ac:dyDescent="0.25">
      <c r="L889" s="20">
        <f t="shared" si="92"/>
        <v>0</v>
      </c>
      <c r="M889" s="14" t="e">
        <f>VLOOKUP(G889,Sell!G:L,1,0)</f>
        <v>#N/A</v>
      </c>
      <c r="N889" s="14">
        <f>IFERROR(VLOOKUP(G889,Sell!G:L,2,0),0)</f>
        <v>0</v>
      </c>
      <c r="O889" s="13">
        <f>IFERROR(VLOOKUP(G889,Sell!G:L,6,0),0)</f>
        <v>0</v>
      </c>
      <c r="P889" s="14">
        <f t="shared" si="91"/>
        <v>0</v>
      </c>
      <c r="Q889" s="13">
        <f t="shared" si="93"/>
        <v>0</v>
      </c>
      <c r="R889" s="13">
        <f t="shared" si="94"/>
        <v>0</v>
      </c>
      <c r="S889" s="13">
        <f t="shared" si="95"/>
        <v>0</v>
      </c>
      <c r="T889" s="13">
        <f t="shared" si="96"/>
        <v>0</v>
      </c>
      <c r="U889" s="15" t="str">
        <f t="shared" si="97"/>
        <v/>
      </c>
    </row>
    <row r="890" spans="12:21" x14ac:dyDescent="0.25">
      <c r="L890" s="20">
        <f t="shared" si="92"/>
        <v>0</v>
      </c>
      <c r="M890" s="14" t="e">
        <f>VLOOKUP(G890,Sell!G:L,1,0)</f>
        <v>#N/A</v>
      </c>
      <c r="N890" s="14">
        <f>IFERROR(VLOOKUP(G890,Sell!G:L,2,0),0)</f>
        <v>0</v>
      </c>
      <c r="O890" s="13">
        <f>IFERROR(VLOOKUP(G890,Sell!G:L,6,0),0)</f>
        <v>0</v>
      </c>
      <c r="P890" s="14">
        <f t="shared" si="91"/>
        <v>0</v>
      </c>
      <c r="Q890" s="13">
        <f t="shared" si="93"/>
        <v>0</v>
      </c>
      <c r="R890" s="13">
        <f t="shared" si="94"/>
        <v>0</v>
      </c>
      <c r="S890" s="13">
        <f t="shared" si="95"/>
        <v>0</v>
      </c>
      <c r="T890" s="13">
        <f t="shared" si="96"/>
        <v>0</v>
      </c>
      <c r="U890" s="15" t="str">
        <f t="shared" si="97"/>
        <v/>
      </c>
    </row>
    <row r="891" spans="12:21" x14ac:dyDescent="0.25">
      <c r="L891" s="20">
        <f t="shared" si="92"/>
        <v>0</v>
      </c>
      <c r="M891" s="14" t="e">
        <f>VLOOKUP(G891,Sell!G:L,1,0)</f>
        <v>#N/A</v>
      </c>
      <c r="N891" s="14">
        <f>IFERROR(VLOOKUP(G891,Sell!G:L,2,0),0)</f>
        <v>0</v>
      </c>
      <c r="O891" s="13">
        <f>IFERROR(VLOOKUP(G891,Sell!G:L,6,0),0)</f>
        <v>0</v>
      </c>
      <c r="P891" s="14">
        <f t="shared" si="91"/>
        <v>0</v>
      </c>
      <c r="Q891" s="13">
        <f t="shared" si="93"/>
        <v>0</v>
      </c>
      <c r="R891" s="13">
        <f t="shared" si="94"/>
        <v>0</v>
      </c>
      <c r="S891" s="13">
        <f t="shared" si="95"/>
        <v>0</v>
      </c>
      <c r="T891" s="13">
        <f t="shared" si="96"/>
        <v>0</v>
      </c>
      <c r="U891" s="15" t="str">
        <f t="shared" si="97"/>
        <v/>
      </c>
    </row>
    <row r="892" spans="12:21" x14ac:dyDescent="0.25">
      <c r="L892" s="20">
        <f t="shared" si="92"/>
        <v>0</v>
      </c>
      <c r="M892" s="14" t="e">
        <f>VLOOKUP(G892,Sell!G:L,1,0)</f>
        <v>#N/A</v>
      </c>
      <c r="N892" s="14">
        <f>IFERROR(VLOOKUP(G892,Sell!G:L,2,0),0)</f>
        <v>0</v>
      </c>
      <c r="O892" s="13">
        <f>IFERROR(VLOOKUP(G892,Sell!G:L,6,0),0)</f>
        <v>0</v>
      </c>
      <c r="P892" s="14">
        <f t="shared" si="91"/>
        <v>0</v>
      </c>
      <c r="Q892" s="13">
        <f t="shared" si="93"/>
        <v>0</v>
      </c>
      <c r="R892" s="13">
        <f t="shared" si="94"/>
        <v>0</v>
      </c>
      <c r="S892" s="13">
        <f t="shared" si="95"/>
        <v>0</v>
      </c>
      <c r="T892" s="13">
        <f t="shared" si="96"/>
        <v>0</v>
      </c>
      <c r="U892" s="15" t="str">
        <f t="shared" si="97"/>
        <v/>
      </c>
    </row>
    <row r="893" spans="12:21" x14ac:dyDescent="0.25">
      <c r="L893" s="20">
        <f t="shared" si="92"/>
        <v>0</v>
      </c>
      <c r="M893" s="14" t="e">
        <f>VLOOKUP(G893,Sell!G:L,1,0)</f>
        <v>#N/A</v>
      </c>
      <c r="N893" s="14">
        <f>IFERROR(VLOOKUP(G893,Sell!G:L,2,0),0)</f>
        <v>0</v>
      </c>
      <c r="O893" s="13">
        <f>IFERROR(VLOOKUP(G893,Sell!G:L,6,0),0)</f>
        <v>0</v>
      </c>
      <c r="P893" s="14">
        <f t="shared" si="91"/>
        <v>0</v>
      </c>
      <c r="Q893" s="13">
        <f t="shared" si="93"/>
        <v>0</v>
      </c>
      <c r="R893" s="13">
        <f t="shared" si="94"/>
        <v>0</v>
      </c>
      <c r="S893" s="13">
        <f t="shared" si="95"/>
        <v>0</v>
      </c>
      <c r="T893" s="13">
        <f t="shared" si="96"/>
        <v>0</v>
      </c>
      <c r="U893" s="15" t="str">
        <f t="shared" si="97"/>
        <v/>
      </c>
    </row>
    <row r="894" spans="12:21" x14ac:dyDescent="0.25">
      <c r="L894" s="20">
        <f t="shared" si="92"/>
        <v>0</v>
      </c>
      <c r="M894" s="14" t="e">
        <f>VLOOKUP(G894,Sell!G:L,1,0)</f>
        <v>#N/A</v>
      </c>
      <c r="N894" s="14">
        <f>IFERROR(VLOOKUP(G894,Sell!G:L,2,0),0)</f>
        <v>0</v>
      </c>
      <c r="O894" s="13">
        <f>IFERROR(VLOOKUP(G894,Sell!G:L,6,0),0)</f>
        <v>0</v>
      </c>
      <c r="P894" s="14">
        <f t="shared" si="91"/>
        <v>0</v>
      </c>
      <c r="Q894" s="13">
        <f t="shared" si="93"/>
        <v>0</v>
      </c>
      <c r="R894" s="13">
        <f t="shared" si="94"/>
        <v>0</v>
      </c>
      <c r="S894" s="13">
        <f t="shared" si="95"/>
        <v>0</v>
      </c>
      <c r="T894" s="13">
        <f t="shared" si="96"/>
        <v>0</v>
      </c>
      <c r="U894" s="15" t="str">
        <f t="shared" si="97"/>
        <v/>
      </c>
    </row>
    <row r="895" spans="12:21" x14ac:dyDescent="0.25">
      <c r="L895" s="20">
        <f t="shared" si="92"/>
        <v>0</v>
      </c>
      <c r="M895" s="14" t="e">
        <f>VLOOKUP(G895,Sell!G:L,1,0)</f>
        <v>#N/A</v>
      </c>
      <c r="N895" s="14">
        <f>IFERROR(VLOOKUP(G895,Sell!G:L,2,0),0)</f>
        <v>0</v>
      </c>
      <c r="O895" s="13">
        <f>IFERROR(VLOOKUP(G895,Sell!G:L,6,0),0)</f>
        <v>0</v>
      </c>
      <c r="P895" s="14">
        <f t="shared" si="91"/>
        <v>0</v>
      </c>
      <c r="Q895" s="13">
        <f t="shared" si="93"/>
        <v>0</v>
      </c>
      <c r="R895" s="13">
        <f t="shared" si="94"/>
        <v>0</v>
      </c>
      <c r="S895" s="13">
        <f t="shared" si="95"/>
        <v>0</v>
      </c>
      <c r="T895" s="13">
        <f t="shared" si="96"/>
        <v>0</v>
      </c>
      <c r="U895" s="15" t="str">
        <f t="shared" si="97"/>
        <v/>
      </c>
    </row>
    <row r="896" spans="12:21" x14ac:dyDescent="0.25">
      <c r="L896" s="20">
        <f t="shared" si="92"/>
        <v>0</v>
      </c>
      <c r="M896" s="14" t="e">
        <f>VLOOKUP(G896,Sell!G:L,1,0)</f>
        <v>#N/A</v>
      </c>
      <c r="N896" s="14">
        <f>IFERROR(VLOOKUP(G896,Sell!G:L,2,0),0)</f>
        <v>0</v>
      </c>
      <c r="O896" s="13">
        <f>IFERROR(VLOOKUP(G896,Sell!G:L,6,0),0)</f>
        <v>0</v>
      </c>
      <c r="P896" s="14">
        <f t="shared" si="91"/>
        <v>0</v>
      </c>
      <c r="Q896" s="13">
        <f t="shared" si="93"/>
        <v>0</v>
      </c>
      <c r="R896" s="13">
        <f t="shared" si="94"/>
        <v>0</v>
      </c>
      <c r="S896" s="13">
        <f t="shared" si="95"/>
        <v>0</v>
      </c>
      <c r="T896" s="13">
        <f t="shared" si="96"/>
        <v>0</v>
      </c>
      <c r="U896" s="15" t="str">
        <f t="shared" si="97"/>
        <v/>
      </c>
    </row>
    <row r="897" spans="12:21" x14ac:dyDescent="0.25">
      <c r="L897" s="20">
        <f t="shared" si="92"/>
        <v>0</v>
      </c>
      <c r="M897" s="14" t="e">
        <f>VLOOKUP(G897,Sell!G:L,1,0)</f>
        <v>#N/A</v>
      </c>
      <c r="N897" s="14">
        <f>IFERROR(VLOOKUP(G897,Sell!G:L,2,0),0)</f>
        <v>0</v>
      </c>
      <c r="O897" s="13">
        <f>IFERROR(VLOOKUP(G897,Sell!G:L,6,0),0)</f>
        <v>0</v>
      </c>
      <c r="P897" s="14">
        <f t="shared" si="91"/>
        <v>0</v>
      </c>
      <c r="Q897" s="13">
        <f t="shared" si="93"/>
        <v>0</v>
      </c>
      <c r="R897" s="13">
        <f t="shared" si="94"/>
        <v>0</v>
      </c>
      <c r="S897" s="13">
        <f t="shared" si="95"/>
        <v>0</v>
      </c>
      <c r="T897" s="13">
        <f t="shared" si="96"/>
        <v>0</v>
      </c>
      <c r="U897" s="15" t="str">
        <f t="shared" si="97"/>
        <v/>
      </c>
    </row>
    <row r="898" spans="12:21" x14ac:dyDescent="0.25">
      <c r="L898" s="20">
        <f t="shared" si="92"/>
        <v>0</v>
      </c>
      <c r="M898" s="14" t="e">
        <f>VLOOKUP(G898,Sell!G:L,1,0)</f>
        <v>#N/A</v>
      </c>
      <c r="N898" s="14">
        <f>IFERROR(VLOOKUP(G898,Sell!G:L,2,0),0)</f>
        <v>0</v>
      </c>
      <c r="O898" s="13">
        <f>IFERROR(VLOOKUP(G898,Sell!G:L,6,0),0)</f>
        <v>0</v>
      </c>
      <c r="P898" s="14">
        <f t="shared" si="91"/>
        <v>0</v>
      </c>
      <c r="Q898" s="13">
        <f t="shared" si="93"/>
        <v>0</v>
      </c>
      <c r="R898" s="13">
        <f t="shared" si="94"/>
        <v>0</v>
      </c>
      <c r="S898" s="13">
        <f t="shared" si="95"/>
        <v>0</v>
      </c>
      <c r="T898" s="13">
        <f t="shared" si="96"/>
        <v>0</v>
      </c>
      <c r="U898" s="15" t="str">
        <f t="shared" si="97"/>
        <v/>
      </c>
    </row>
    <row r="899" spans="12:21" x14ac:dyDescent="0.25">
      <c r="L899" s="20">
        <f t="shared" si="92"/>
        <v>0</v>
      </c>
      <c r="M899" s="14" t="e">
        <f>VLOOKUP(G899,Sell!G:L,1,0)</f>
        <v>#N/A</v>
      </c>
      <c r="N899" s="14">
        <f>IFERROR(VLOOKUP(G899,Sell!G:L,2,0),0)</f>
        <v>0</v>
      </c>
      <c r="O899" s="13">
        <f>IFERROR(VLOOKUP(G899,Sell!G:L,6,0),0)</f>
        <v>0</v>
      </c>
      <c r="P899" s="14">
        <f t="shared" si="91"/>
        <v>0</v>
      </c>
      <c r="Q899" s="13">
        <f t="shared" si="93"/>
        <v>0</v>
      </c>
      <c r="R899" s="13">
        <f t="shared" si="94"/>
        <v>0</v>
      </c>
      <c r="S899" s="13">
        <f t="shared" si="95"/>
        <v>0</v>
      </c>
      <c r="T899" s="13">
        <f t="shared" si="96"/>
        <v>0</v>
      </c>
      <c r="U899" s="15" t="str">
        <f t="shared" si="97"/>
        <v/>
      </c>
    </row>
    <row r="900" spans="12:21" x14ac:dyDescent="0.25">
      <c r="L900" s="20">
        <f t="shared" si="92"/>
        <v>0</v>
      </c>
      <c r="M900" s="14" t="e">
        <f>VLOOKUP(G900,Sell!G:L,1,0)</f>
        <v>#N/A</v>
      </c>
      <c r="N900" s="14">
        <f>IFERROR(VLOOKUP(G900,Sell!G:L,2,0),0)</f>
        <v>0</v>
      </c>
      <c r="O900" s="13">
        <f>IFERROR(VLOOKUP(G900,Sell!G:L,6,0),0)</f>
        <v>0</v>
      </c>
      <c r="P900" s="14">
        <f t="shared" si="91"/>
        <v>0</v>
      </c>
      <c r="Q900" s="13">
        <f t="shared" si="93"/>
        <v>0</v>
      </c>
      <c r="R900" s="13">
        <f t="shared" si="94"/>
        <v>0</v>
      </c>
      <c r="S900" s="13">
        <f t="shared" si="95"/>
        <v>0</v>
      </c>
      <c r="T900" s="13">
        <f t="shared" si="96"/>
        <v>0</v>
      </c>
      <c r="U900" s="15" t="str">
        <f t="shared" si="97"/>
        <v/>
      </c>
    </row>
    <row r="901" spans="12:21" x14ac:dyDescent="0.25">
      <c r="L901" s="20">
        <f t="shared" si="92"/>
        <v>0</v>
      </c>
      <c r="M901" s="14" t="e">
        <f>VLOOKUP(G901,Sell!G:L,1,0)</f>
        <v>#N/A</v>
      </c>
      <c r="N901" s="14">
        <f>IFERROR(VLOOKUP(G901,Sell!G:L,2,0),0)</f>
        <v>0</v>
      </c>
      <c r="O901" s="13">
        <f>IFERROR(VLOOKUP(G901,Sell!G:L,6,0),0)</f>
        <v>0</v>
      </c>
      <c r="P901" s="14">
        <f t="shared" si="91"/>
        <v>0</v>
      </c>
      <c r="Q901" s="13">
        <f t="shared" si="93"/>
        <v>0</v>
      </c>
      <c r="R901" s="13">
        <f t="shared" si="94"/>
        <v>0</v>
      </c>
      <c r="S901" s="13">
        <f t="shared" si="95"/>
        <v>0</v>
      </c>
      <c r="T901" s="13">
        <f t="shared" si="96"/>
        <v>0</v>
      </c>
      <c r="U901" s="15" t="str">
        <f t="shared" si="97"/>
        <v/>
      </c>
    </row>
    <row r="902" spans="12:21" x14ac:dyDescent="0.25">
      <c r="L902" s="20">
        <f t="shared" si="92"/>
        <v>0</v>
      </c>
      <c r="M902" s="14" t="e">
        <f>VLOOKUP(G902,Sell!G:L,1,0)</f>
        <v>#N/A</v>
      </c>
      <c r="N902" s="14">
        <f>IFERROR(VLOOKUP(G902,Sell!G:L,2,0),0)</f>
        <v>0</v>
      </c>
      <c r="O902" s="13">
        <f>IFERROR(VLOOKUP(G902,Sell!G:L,6,0),0)</f>
        <v>0</v>
      </c>
      <c r="P902" s="14">
        <f t="shared" si="91"/>
        <v>0</v>
      </c>
      <c r="Q902" s="13">
        <f t="shared" si="93"/>
        <v>0</v>
      </c>
      <c r="R902" s="13">
        <f t="shared" si="94"/>
        <v>0</v>
      </c>
      <c r="S902" s="13">
        <f t="shared" si="95"/>
        <v>0</v>
      </c>
      <c r="T902" s="13">
        <f t="shared" si="96"/>
        <v>0</v>
      </c>
      <c r="U902" s="15" t="str">
        <f t="shared" si="97"/>
        <v/>
      </c>
    </row>
    <row r="903" spans="12:21" x14ac:dyDescent="0.25">
      <c r="L903" s="20">
        <f t="shared" si="92"/>
        <v>0</v>
      </c>
      <c r="M903" s="14" t="e">
        <f>VLOOKUP(G903,Sell!G:L,1,0)</f>
        <v>#N/A</v>
      </c>
      <c r="N903" s="14">
        <f>IFERROR(VLOOKUP(G903,Sell!G:L,2,0),0)</f>
        <v>0</v>
      </c>
      <c r="O903" s="13">
        <f>IFERROR(VLOOKUP(G903,Sell!G:L,6,0),0)</f>
        <v>0</v>
      </c>
      <c r="P903" s="14">
        <f t="shared" si="91"/>
        <v>0</v>
      </c>
      <c r="Q903" s="13">
        <f t="shared" si="93"/>
        <v>0</v>
      </c>
      <c r="R903" s="13">
        <f t="shared" si="94"/>
        <v>0</v>
      </c>
      <c r="S903" s="13">
        <f t="shared" si="95"/>
        <v>0</v>
      </c>
      <c r="T903" s="13">
        <f t="shared" si="96"/>
        <v>0</v>
      </c>
      <c r="U903" s="15" t="str">
        <f t="shared" si="97"/>
        <v/>
      </c>
    </row>
    <row r="904" spans="12:21" x14ac:dyDescent="0.25">
      <c r="L904" s="20">
        <f t="shared" si="92"/>
        <v>0</v>
      </c>
      <c r="M904" s="14" t="e">
        <f>VLOOKUP(G904,Sell!G:L,1,0)</f>
        <v>#N/A</v>
      </c>
      <c r="N904" s="14">
        <f>IFERROR(VLOOKUP(G904,Sell!G:L,2,0),0)</f>
        <v>0</v>
      </c>
      <c r="O904" s="13">
        <f>IFERROR(VLOOKUP(G904,Sell!G:L,6,0),0)</f>
        <v>0</v>
      </c>
      <c r="P904" s="14">
        <f t="shared" si="91"/>
        <v>0</v>
      </c>
      <c r="Q904" s="13">
        <f t="shared" si="93"/>
        <v>0</v>
      </c>
      <c r="R904" s="13">
        <f t="shared" si="94"/>
        <v>0</v>
      </c>
      <c r="S904" s="13">
        <f t="shared" si="95"/>
        <v>0</v>
      </c>
      <c r="T904" s="13">
        <f t="shared" si="96"/>
        <v>0</v>
      </c>
      <c r="U904" s="15" t="str">
        <f t="shared" si="97"/>
        <v/>
      </c>
    </row>
    <row r="905" spans="12:21" x14ac:dyDescent="0.25">
      <c r="L905" s="20">
        <f t="shared" si="92"/>
        <v>0</v>
      </c>
      <c r="M905" s="14" t="e">
        <f>VLOOKUP(G905,Sell!G:L,1,0)</f>
        <v>#N/A</v>
      </c>
      <c r="N905" s="14">
        <f>IFERROR(VLOOKUP(G905,Sell!G:L,2,0),0)</f>
        <v>0</v>
      </c>
      <c r="O905" s="13">
        <f>IFERROR(VLOOKUP(G905,Sell!G:L,6,0),0)</f>
        <v>0</v>
      </c>
      <c r="P905" s="14">
        <f t="shared" si="91"/>
        <v>0</v>
      </c>
      <c r="Q905" s="13">
        <f t="shared" si="93"/>
        <v>0</v>
      </c>
      <c r="R905" s="13">
        <f t="shared" si="94"/>
        <v>0</v>
      </c>
      <c r="S905" s="13">
        <f t="shared" si="95"/>
        <v>0</v>
      </c>
      <c r="T905" s="13">
        <f t="shared" si="96"/>
        <v>0</v>
      </c>
      <c r="U905" s="15" t="str">
        <f t="shared" si="97"/>
        <v/>
      </c>
    </row>
    <row r="906" spans="12:21" x14ac:dyDescent="0.25">
      <c r="L906" s="20">
        <f t="shared" si="92"/>
        <v>0</v>
      </c>
      <c r="M906" s="14" t="e">
        <f>VLOOKUP(G906,Sell!G:L,1,0)</f>
        <v>#N/A</v>
      </c>
      <c r="N906" s="14">
        <f>IFERROR(VLOOKUP(G906,Sell!G:L,2,0),0)</f>
        <v>0</v>
      </c>
      <c r="O906" s="13">
        <f>IFERROR(VLOOKUP(G906,Sell!G:L,6,0),0)</f>
        <v>0</v>
      </c>
      <c r="P906" s="14">
        <f t="shared" ref="P906:P969" si="98">H906-N906</f>
        <v>0</v>
      </c>
      <c r="Q906" s="13">
        <f t="shared" si="93"/>
        <v>0</v>
      </c>
      <c r="R906" s="13">
        <f t="shared" si="94"/>
        <v>0</v>
      </c>
      <c r="S906" s="13">
        <f t="shared" si="95"/>
        <v>0</v>
      </c>
      <c r="T906" s="13">
        <f t="shared" si="96"/>
        <v>0</v>
      </c>
      <c r="U906" s="15" t="str">
        <f t="shared" si="97"/>
        <v/>
      </c>
    </row>
    <row r="907" spans="12:21" x14ac:dyDescent="0.25">
      <c r="L907" s="20">
        <f t="shared" ref="L907:L970" si="99">J907+K907</f>
        <v>0</v>
      </c>
      <c r="M907" s="14" t="e">
        <f>VLOOKUP(G907,Sell!G:L,1,0)</f>
        <v>#N/A</v>
      </c>
      <c r="N907" s="14">
        <f>IFERROR(VLOOKUP(G907,Sell!G:L,2,0),0)</f>
        <v>0</v>
      </c>
      <c r="O907" s="13">
        <f>IFERROR(VLOOKUP(G907,Sell!G:L,6,0),0)</f>
        <v>0</v>
      </c>
      <c r="P907" s="14">
        <f t="shared" si="98"/>
        <v>0</v>
      </c>
      <c r="Q907" s="13">
        <f t="shared" ref="Q907:Q970" si="100">O907-L907</f>
        <v>0</v>
      </c>
      <c r="R907" s="13">
        <f t="shared" ref="R907:R970" si="101">IF(P907=0,Q907,0)</f>
        <v>0</v>
      </c>
      <c r="S907" s="13">
        <f t="shared" ref="S907:S970" si="102">IF(R907&gt;0,R907,0)</f>
        <v>0</v>
      </c>
      <c r="T907" s="13">
        <f t="shared" ref="T907:T970" si="103">IF(R907&gt;0,0,R907)</f>
        <v>0</v>
      </c>
      <c r="U907" s="15" t="str">
        <f t="shared" ref="U907:U970" si="104">IF(AND(LEN(G907)&gt;0,R907=0),"Open","")</f>
        <v/>
      </c>
    </row>
    <row r="908" spans="12:21" x14ac:dyDescent="0.25">
      <c r="L908" s="20">
        <f t="shared" si="99"/>
        <v>0</v>
      </c>
      <c r="M908" s="14" t="e">
        <f>VLOOKUP(G908,Sell!G:L,1,0)</f>
        <v>#N/A</v>
      </c>
      <c r="N908" s="14">
        <f>IFERROR(VLOOKUP(G908,Sell!G:L,2,0),0)</f>
        <v>0</v>
      </c>
      <c r="O908" s="13">
        <f>IFERROR(VLOOKUP(G908,Sell!G:L,6,0),0)</f>
        <v>0</v>
      </c>
      <c r="P908" s="14">
        <f t="shared" si="98"/>
        <v>0</v>
      </c>
      <c r="Q908" s="13">
        <f t="shared" si="100"/>
        <v>0</v>
      </c>
      <c r="R908" s="13">
        <f t="shared" si="101"/>
        <v>0</v>
      </c>
      <c r="S908" s="13">
        <f t="shared" si="102"/>
        <v>0</v>
      </c>
      <c r="T908" s="13">
        <f t="shared" si="103"/>
        <v>0</v>
      </c>
      <c r="U908" s="15" t="str">
        <f t="shared" si="104"/>
        <v/>
      </c>
    </row>
    <row r="909" spans="12:21" x14ac:dyDescent="0.25">
      <c r="L909" s="20">
        <f t="shared" si="99"/>
        <v>0</v>
      </c>
      <c r="M909" s="14" t="e">
        <f>VLOOKUP(G909,Sell!G:L,1,0)</f>
        <v>#N/A</v>
      </c>
      <c r="N909" s="14">
        <f>IFERROR(VLOOKUP(G909,Sell!G:L,2,0),0)</f>
        <v>0</v>
      </c>
      <c r="O909" s="13">
        <f>IFERROR(VLOOKUP(G909,Sell!G:L,6,0),0)</f>
        <v>0</v>
      </c>
      <c r="P909" s="14">
        <f t="shared" si="98"/>
        <v>0</v>
      </c>
      <c r="Q909" s="13">
        <f t="shared" si="100"/>
        <v>0</v>
      </c>
      <c r="R909" s="13">
        <f t="shared" si="101"/>
        <v>0</v>
      </c>
      <c r="S909" s="13">
        <f t="shared" si="102"/>
        <v>0</v>
      </c>
      <c r="T909" s="13">
        <f t="shared" si="103"/>
        <v>0</v>
      </c>
      <c r="U909" s="15" t="str">
        <f t="shared" si="104"/>
        <v/>
      </c>
    </row>
    <row r="910" spans="12:21" x14ac:dyDescent="0.25">
      <c r="L910" s="20">
        <f t="shared" si="99"/>
        <v>0</v>
      </c>
      <c r="M910" s="14" t="e">
        <f>VLOOKUP(G910,Sell!G:L,1,0)</f>
        <v>#N/A</v>
      </c>
      <c r="N910" s="14">
        <f>IFERROR(VLOOKUP(G910,Sell!G:L,2,0),0)</f>
        <v>0</v>
      </c>
      <c r="O910" s="13">
        <f>IFERROR(VLOOKUP(G910,Sell!G:L,6,0),0)</f>
        <v>0</v>
      </c>
      <c r="P910" s="14">
        <f t="shared" si="98"/>
        <v>0</v>
      </c>
      <c r="Q910" s="13">
        <f t="shared" si="100"/>
        <v>0</v>
      </c>
      <c r="R910" s="13">
        <f t="shared" si="101"/>
        <v>0</v>
      </c>
      <c r="S910" s="13">
        <f t="shared" si="102"/>
        <v>0</v>
      </c>
      <c r="T910" s="13">
        <f t="shared" si="103"/>
        <v>0</v>
      </c>
      <c r="U910" s="15" t="str">
        <f t="shared" si="104"/>
        <v/>
      </c>
    </row>
    <row r="911" spans="12:21" x14ac:dyDescent="0.25">
      <c r="L911" s="20">
        <f t="shared" si="99"/>
        <v>0</v>
      </c>
      <c r="M911" s="14" t="e">
        <f>VLOOKUP(G911,Sell!G:L,1,0)</f>
        <v>#N/A</v>
      </c>
      <c r="N911" s="14">
        <f>IFERROR(VLOOKUP(G911,Sell!G:L,2,0),0)</f>
        <v>0</v>
      </c>
      <c r="O911" s="13">
        <f>IFERROR(VLOOKUP(G911,Sell!G:L,6,0),0)</f>
        <v>0</v>
      </c>
      <c r="P911" s="14">
        <f t="shared" si="98"/>
        <v>0</v>
      </c>
      <c r="Q911" s="13">
        <f t="shared" si="100"/>
        <v>0</v>
      </c>
      <c r="R911" s="13">
        <f t="shared" si="101"/>
        <v>0</v>
      </c>
      <c r="S911" s="13">
        <f t="shared" si="102"/>
        <v>0</v>
      </c>
      <c r="T911" s="13">
        <f t="shared" si="103"/>
        <v>0</v>
      </c>
      <c r="U911" s="15" t="str">
        <f t="shared" si="104"/>
        <v/>
      </c>
    </row>
    <row r="912" spans="12:21" x14ac:dyDescent="0.25">
      <c r="L912" s="20">
        <f t="shared" si="99"/>
        <v>0</v>
      </c>
      <c r="M912" s="14" t="e">
        <f>VLOOKUP(G912,Sell!G:L,1,0)</f>
        <v>#N/A</v>
      </c>
      <c r="N912" s="14">
        <f>IFERROR(VLOOKUP(G912,Sell!G:L,2,0),0)</f>
        <v>0</v>
      </c>
      <c r="O912" s="13">
        <f>IFERROR(VLOOKUP(G912,Sell!G:L,6,0),0)</f>
        <v>0</v>
      </c>
      <c r="P912" s="14">
        <f t="shared" si="98"/>
        <v>0</v>
      </c>
      <c r="Q912" s="13">
        <f t="shared" si="100"/>
        <v>0</v>
      </c>
      <c r="R912" s="13">
        <f t="shared" si="101"/>
        <v>0</v>
      </c>
      <c r="S912" s="13">
        <f t="shared" si="102"/>
        <v>0</v>
      </c>
      <c r="T912" s="13">
        <f t="shared" si="103"/>
        <v>0</v>
      </c>
      <c r="U912" s="15" t="str">
        <f t="shared" si="104"/>
        <v/>
      </c>
    </row>
    <row r="913" spans="12:21" x14ac:dyDescent="0.25">
      <c r="L913" s="20">
        <f t="shared" si="99"/>
        <v>0</v>
      </c>
      <c r="M913" s="14" t="e">
        <f>VLOOKUP(G913,Sell!G:L,1,0)</f>
        <v>#N/A</v>
      </c>
      <c r="N913" s="14">
        <f>IFERROR(VLOOKUP(G913,Sell!G:L,2,0),0)</f>
        <v>0</v>
      </c>
      <c r="O913" s="13">
        <f>IFERROR(VLOOKUP(G913,Sell!G:L,6,0),0)</f>
        <v>0</v>
      </c>
      <c r="P913" s="14">
        <f t="shared" si="98"/>
        <v>0</v>
      </c>
      <c r="Q913" s="13">
        <f t="shared" si="100"/>
        <v>0</v>
      </c>
      <c r="R913" s="13">
        <f t="shared" si="101"/>
        <v>0</v>
      </c>
      <c r="S913" s="13">
        <f t="shared" si="102"/>
        <v>0</v>
      </c>
      <c r="T913" s="13">
        <f t="shared" si="103"/>
        <v>0</v>
      </c>
      <c r="U913" s="15" t="str">
        <f t="shared" si="104"/>
        <v/>
      </c>
    </row>
    <row r="914" spans="12:21" x14ac:dyDescent="0.25">
      <c r="L914" s="20">
        <f t="shared" si="99"/>
        <v>0</v>
      </c>
      <c r="M914" s="14" t="e">
        <f>VLOOKUP(G914,Sell!G:L,1,0)</f>
        <v>#N/A</v>
      </c>
      <c r="N914" s="14">
        <f>IFERROR(VLOOKUP(G914,Sell!G:L,2,0),0)</f>
        <v>0</v>
      </c>
      <c r="O914" s="13">
        <f>IFERROR(VLOOKUP(G914,Sell!G:L,6,0),0)</f>
        <v>0</v>
      </c>
      <c r="P914" s="14">
        <f t="shared" si="98"/>
        <v>0</v>
      </c>
      <c r="Q914" s="13">
        <f t="shared" si="100"/>
        <v>0</v>
      </c>
      <c r="R914" s="13">
        <f t="shared" si="101"/>
        <v>0</v>
      </c>
      <c r="S914" s="13">
        <f t="shared" si="102"/>
        <v>0</v>
      </c>
      <c r="T914" s="13">
        <f t="shared" si="103"/>
        <v>0</v>
      </c>
      <c r="U914" s="15" t="str">
        <f t="shared" si="104"/>
        <v/>
      </c>
    </row>
    <row r="915" spans="12:21" x14ac:dyDescent="0.25">
      <c r="L915" s="20">
        <f t="shared" si="99"/>
        <v>0</v>
      </c>
      <c r="M915" s="14" t="e">
        <f>VLOOKUP(G915,Sell!G:L,1,0)</f>
        <v>#N/A</v>
      </c>
      <c r="N915" s="14">
        <f>IFERROR(VLOOKUP(G915,Sell!G:L,2,0),0)</f>
        <v>0</v>
      </c>
      <c r="O915" s="13">
        <f>IFERROR(VLOOKUP(G915,Sell!G:L,6,0),0)</f>
        <v>0</v>
      </c>
      <c r="P915" s="14">
        <f t="shared" si="98"/>
        <v>0</v>
      </c>
      <c r="Q915" s="13">
        <f t="shared" si="100"/>
        <v>0</v>
      </c>
      <c r="R915" s="13">
        <f t="shared" si="101"/>
        <v>0</v>
      </c>
      <c r="S915" s="13">
        <f t="shared" si="102"/>
        <v>0</v>
      </c>
      <c r="T915" s="13">
        <f t="shared" si="103"/>
        <v>0</v>
      </c>
      <c r="U915" s="15" t="str">
        <f t="shared" si="104"/>
        <v/>
      </c>
    </row>
    <row r="916" spans="12:21" x14ac:dyDescent="0.25">
      <c r="L916" s="20">
        <f t="shared" si="99"/>
        <v>0</v>
      </c>
      <c r="M916" s="14" t="e">
        <f>VLOOKUP(G916,Sell!G:L,1,0)</f>
        <v>#N/A</v>
      </c>
      <c r="N916" s="14">
        <f>IFERROR(VLOOKUP(G916,Sell!G:L,2,0),0)</f>
        <v>0</v>
      </c>
      <c r="O916" s="13">
        <f>IFERROR(VLOOKUP(G916,Sell!G:L,6,0),0)</f>
        <v>0</v>
      </c>
      <c r="P916" s="14">
        <f t="shared" si="98"/>
        <v>0</v>
      </c>
      <c r="Q916" s="13">
        <f t="shared" si="100"/>
        <v>0</v>
      </c>
      <c r="R916" s="13">
        <f t="shared" si="101"/>
        <v>0</v>
      </c>
      <c r="S916" s="13">
        <f t="shared" si="102"/>
        <v>0</v>
      </c>
      <c r="T916" s="13">
        <f t="shared" si="103"/>
        <v>0</v>
      </c>
      <c r="U916" s="15" t="str">
        <f t="shared" si="104"/>
        <v/>
      </c>
    </row>
    <row r="917" spans="12:21" x14ac:dyDescent="0.25">
      <c r="L917" s="20">
        <f t="shared" si="99"/>
        <v>0</v>
      </c>
      <c r="M917" s="14" t="e">
        <f>VLOOKUP(G917,Sell!G:L,1,0)</f>
        <v>#N/A</v>
      </c>
      <c r="N917" s="14">
        <f>IFERROR(VLOOKUP(G917,Sell!G:L,2,0),0)</f>
        <v>0</v>
      </c>
      <c r="O917" s="13">
        <f>IFERROR(VLOOKUP(G917,Sell!G:L,6,0),0)</f>
        <v>0</v>
      </c>
      <c r="P917" s="14">
        <f t="shared" si="98"/>
        <v>0</v>
      </c>
      <c r="Q917" s="13">
        <f t="shared" si="100"/>
        <v>0</v>
      </c>
      <c r="R917" s="13">
        <f t="shared" si="101"/>
        <v>0</v>
      </c>
      <c r="S917" s="13">
        <f t="shared" si="102"/>
        <v>0</v>
      </c>
      <c r="T917" s="13">
        <f t="shared" si="103"/>
        <v>0</v>
      </c>
      <c r="U917" s="15" t="str">
        <f t="shared" si="104"/>
        <v/>
      </c>
    </row>
    <row r="918" spans="12:21" x14ac:dyDescent="0.25">
      <c r="L918" s="20">
        <f t="shared" si="99"/>
        <v>0</v>
      </c>
      <c r="M918" s="14" t="e">
        <f>VLOOKUP(G918,Sell!G:L,1,0)</f>
        <v>#N/A</v>
      </c>
      <c r="N918" s="14">
        <f>IFERROR(VLOOKUP(G918,Sell!G:L,2,0),0)</f>
        <v>0</v>
      </c>
      <c r="O918" s="13">
        <f>IFERROR(VLOOKUP(G918,Sell!G:L,6,0),0)</f>
        <v>0</v>
      </c>
      <c r="P918" s="14">
        <f t="shared" si="98"/>
        <v>0</v>
      </c>
      <c r="Q918" s="13">
        <f t="shared" si="100"/>
        <v>0</v>
      </c>
      <c r="R918" s="13">
        <f t="shared" si="101"/>
        <v>0</v>
      </c>
      <c r="S918" s="13">
        <f t="shared" si="102"/>
        <v>0</v>
      </c>
      <c r="T918" s="13">
        <f t="shared" si="103"/>
        <v>0</v>
      </c>
      <c r="U918" s="15" t="str">
        <f t="shared" si="104"/>
        <v/>
      </c>
    </row>
    <row r="919" spans="12:21" x14ac:dyDescent="0.25">
      <c r="L919" s="20">
        <f t="shared" si="99"/>
        <v>0</v>
      </c>
      <c r="M919" s="14" t="e">
        <f>VLOOKUP(G919,Sell!G:L,1,0)</f>
        <v>#N/A</v>
      </c>
      <c r="N919" s="14">
        <f>IFERROR(VLOOKUP(G919,Sell!G:L,2,0),0)</f>
        <v>0</v>
      </c>
      <c r="O919" s="13">
        <f>IFERROR(VLOOKUP(G919,Sell!G:L,6,0),0)</f>
        <v>0</v>
      </c>
      <c r="P919" s="14">
        <f t="shared" si="98"/>
        <v>0</v>
      </c>
      <c r="Q919" s="13">
        <f t="shared" si="100"/>
        <v>0</v>
      </c>
      <c r="R919" s="13">
        <f t="shared" si="101"/>
        <v>0</v>
      </c>
      <c r="S919" s="13">
        <f t="shared" si="102"/>
        <v>0</v>
      </c>
      <c r="T919" s="13">
        <f t="shared" si="103"/>
        <v>0</v>
      </c>
      <c r="U919" s="15" t="str">
        <f t="shared" si="104"/>
        <v/>
      </c>
    </row>
    <row r="920" spans="12:21" x14ac:dyDescent="0.25">
      <c r="L920" s="20">
        <f t="shared" si="99"/>
        <v>0</v>
      </c>
      <c r="M920" s="14" t="e">
        <f>VLOOKUP(G920,Sell!G:L,1,0)</f>
        <v>#N/A</v>
      </c>
      <c r="N920" s="14">
        <f>IFERROR(VLOOKUP(G920,Sell!G:L,2,0),0)</f>
        <v>0</v>
      </c>
      <c r="O920" s="13">
        <f>IFERROR(VLOOKUP(G920,Sell!G:L,6,0),0)</f>
        <v>0</v>
      </c>
      <c r="P920" s="14">
        <f t="shared" si="98"/>
        <v>0</v>
      </c>
      <c r="Q920" s="13">
        <f t="shared" si="100"/>
        <v>0</v>
      </c>
      <c r="R920" s="13">
        <f t="shared" si="101"/>
        <v>0</v>
      </c>
      <c r="S920" s="13">
        <f t="shared" si="102"/>
        <v>0</v>
      </c>
      <c r="T920" s="13">
        <f t="shared" si="103"/>
        <v>0</v>
      </c>
      <c r="U920" s="15" t="str">
        <f t="shared" si="104"/>
        <v/>
      </c>
    </row>
    <row r="921" spans="12:21" x14ac:dyDescent="0.25">
      <c r="L921" s="20">
        <f t="shared" si="99"/>
        <v>0</v>
      </c>
      <c r="M921" s="14" t="e">
        <f>VLOOKUP(G921,Sell!G:L,1,0)</f>
        <v>#N/A</v>
      </c>
      <c r="N921" s="14">
        <f>IFERROR(VLOOKUP(G921,Sell!G:L,2,0),0)</f>
        <v>0</v>
      </c>
      <c r="O921" s="13">
        <f>IFERROR(VLOOKUP(G921,Sell!G:L,6,0),0)</f>
        <v>0</v>
      </c>
      <c r="P921" s="14">
        <f t="shared" si="98"/>
        <v>0</v>
      </c>
      <c r="Q921" s="13">
        <f t="shared" si="100"/>
        <v>0</v>
      </c>
      <c r="R921" s="13">
        <f t="shared" si="101"/>
        <v>0</v>
      </c>
      <c r="S921" s="13">
        <f t="shared" si="102"/>
        <v>0</v>
      </c>
      <c r="T921" s="13">
        <f t="shared" si="103"/>
        <v>0</v>
      </c>
      <c r="U921" s="15" t="str">
        <f t="shared" si="104"/>
        <v/>
      </c>
    </row>
    <row r="922" spans="12:21" x14ac:dyDescent="0.25">
      <c r="L922" s="20">
        <f t="shared" si="99"/>
        <v>0</v>
      </c>
      <c r="M922" s="14" t="e">
        <f>VLOOKUP(G922,Sell!G:L,1,0)</f>
        <v>#N/A</v>
      </c>
      <c r="N922" s="14">
        <f>IFERROR(VLOOKUP(G922,Sell!G:L,2,0),0)</f>
        <v>0</v>
      </c>
      <c r="O922" s="13">
        <f>IFERROR(VLOOKUP(G922,Sell!G:L,6,0),0)</f>
        <v>0</v>
      </c>
      <c r="P922" s="14">
        <f t="shared" si="98"/>
        <v>0</v>
      </c>
      <c r="Q922" s="13">
        <f t="shared" si="100"/>
        <v>0</v>
      </c>
      <c r="R922" s="13">
        <f t="shared" si="101"/>
        <v>0</v>
      </c>
      <c r="S922" s="13">
        <f t="shared" si="102"/>
        <v>0</v>
      </c>
      <c r="T922" s="13">
        <f t="shared" si="103"/>
        <v>0</v>
      </c>
      <c r="U922" s="15" t="str">
        <f t="shared" si="104"/>
        <v/>
      </c>
    </row>
    <row r="923" spans="12:21" x14ac:dyDescent="0.25">
      <c r="L923" s="20">
        <f t="shared" si="99"/>
        <v>0</v>
      </c>
      <c r="M923" s="14" t="e">
        <f>VLOOKUP(G923,Sell!G:L,1,0)</f>
        <v>#N/A</v>
      </c>
      <c r="N923" s="14">
        <f>IFERROR(VLOOKUP(G923,Sell!G:L,2,0),0)</f>
        <v>0</v>
      </c>
      <c r="O923" s="13">
        <f>IFERROR(VLOOKUP(G923,Sell!G:L,6,0),0)</f>
        <v>0</v>
      </c>
      <c r="P923" s="14">
        <f t="shared" si="98"/>
        <v>0</v>
      </c>
      <c r="Q923" s="13">
        <f t="shared" si="100"/>
        <v>0</v>
      </c>
      <c r="R923" s="13">
        <f t="shared" si="101"/>
        <v>0</v>
      </c>
      <c r="S923" s="13">
        <f t="shared" si="102"/>
        <v>0</v>
      </c>
      <c r="T923" s="13">
        <f t="shared" si="103"/>
        <v>0</v>
      </c>
      <c r="U923" s="15" t="str">
        <f t="shared" si="104"/>
        <v/>
      </c>
    </row>
    <row r="924" spans="12:21" x14ac:dyDescent="0.25">
      <c r="L924" s="20">
        <f t="shared" si="99"/>
        <v>0</v>
      </c>
      <c r="M924" s="14" t="e">
        <f>VLOOKUP(G924,Sell!G:L,1,0)</f>
        <v>#N/A</v>
      </c>
      <c r="N924" s="14">
        <f>IFERROR(VLOOKUP(G924,Sell!G:L,2,0),0)</f>
        <v>0</v>
      </c>
      <c r="O924" s="13">
        <f>IFERROR(VLOOKUP(G924,Sell!G:L,6,0),0)</f>
        <v>0</v>
      </c>
      <c r="P924" s="14">
        <f t="shared" si="98"/>
        <v>0</v>
      </c>
      <c r="Q924" s="13">
        <f t="shared" si="100"/>
        <v>0</v>
      </c>
      <c r="R924" s="13">
        <f t="shared" si="101"/>
        <v>0</v>
      </c>
      <c r="S924" s="13">
        <f t="shared" si="102"/>
        <v>0</v>
      </c>
      <c r="T924" s="13">
        <f t="shared" si="103"/>
        <v>0</v>
      </c>
      <c r="U924" s="15" t="str">
        <f t="shared" si="104"/>
        <v/>
      </c>
    </row>
    <row r="925" spans="12:21" x14ac:dyDescent="0.25">
      <c r="L925" s="20">
        <f t="shared" si="99"/>
        <v>0</v>
      </c>
      <c r="M925" s="14" t="e">
        <f>VLOOKUP(G925,Sell!G:L,1,0)</f>
        <v>#N/A</v>
      </c>
      <c r="N925" s="14">
        <f>IFERROR(VLOOKUP(G925,Sell!G:L,2,0),0)</f>
        <v>0</v>
      </c>
      <c r="O925" s="13">
        <f>IFERROR(VLOOKUP(G925,Sell!G:L,6,0),0)</f>
        <v>0</v>
      </c>
      <c r="P925" s="14">
        <f t="shared" si="98"/>
        <v>0</v>
      </c>
      <c r="Q925" s="13">
        <f t="shared" si="100"/>
        <v>0</v>
      </c>
      <c r="R925" s="13">
        <f t="shared" si="101"/>
        <v>0</v>
      </c>
      <c r="S925" s="13">
        <f t="shared" si="102"/>
        <v>0</v>
      </c>
      <c r="T925" s="13">
        <f t="shared" si="103"/>
        <v>0</v>
      </c>
      <c r="U925" s="15" t="str">
        <f t="shared" si="104"/>
        <v/>
      </c>
    </row>
    <row r="926" spans="12:21" x14ac:dyDescent="0.25">
      <c r="L926" s="20">
        <f t="shared" si="99"/>
        <v>0</v>
      </c>
      <c r="M926" s="14" t="e">
        <f>VLOOKUP(G926,Sell!G:L,1,0)</f>
        <v>#N/A</v>
      </c>
      <c r="N926" s="14">
        <f>IFERROR(VLOOKUP(G926,Sell!G:L,2,0),0)</f>
        <v>0</v>
      </c>
      <c r="O926" s="13">
        <f>IFERROR(VLOOKUP(G926,Sell!G:L,6,0),0)</f>
        <v>0</v>
      </c>
      <c r="P926" s="14">
        <f t="shared" si="98"/>
        <v>0</v>
      </c>
      <c r="Q926" s="13">
        <f t="shared" si="100"/>
        <v>0</v>
      </c>
      <c r="R926" s="13">
        <f t="shared" si="101"/>
        <v>0</v>
      </c>
      <c r="S926" s="13">
        <f t="shared" si="102"/>
        <v>0</v>
      </c>
      <c r="T926" s="13">
        <f t="shared" si="103"/>
        <v>0</v>
      </c>
      <c r="U926" s="15" t="str">
        <f t="shared" si="104"/>
        <v/>
      </c>
    </row>
    <row r="927" spans="12:21" x14ac:dyDescent="0.25">
      <c r="L927" s="20">
        <f t="shared" si="99"/>
        <v>0</v>
      </c>
      <c r="M927" s="14" t="e">
        <f>VLOOKUP(G927,Sell!G:L,1,0)</f>
        <v>#N/A</v>
      </c>
      <c r="N927" s="14">
        <f>IFERROR(VLOOKUP(G927,Sell!G:L,2,0),0)</f>
        <v>0</v>
      </c>
      <c r="O927" s="13">
        <f>IFERROR(VLOOKUP(G927,Sell!G:L,6,0),0)</f>
        <v>0</v>
      </c>
      <c r="P927" s="14">
        <f t="shared" si="98"/>
        <v>0</v>
      </c>
      <c r="Q927" s="13">
        <f t="shared" si="100"/>
        <v>0</v>
      </c>
      <c r="R927" s="13">
        <f t="shared" si="101"/>
        <v>0</v>
      </c>
      <c r="S927" s="13">
        <f t="shared" si="102"/>
        <v>0</v>
      </c>
      <c r="T927" s="13">
        <f t="shared" si="103"/>
        <v>0</v>
      </c>
      <c r="U927" s="15" t="str">
        <f t="shared" si="104"/>
        <v/>
      </c>
    </row>
    <row r="928" spans="12:21" x14ac:dyDescent="0.25">
      <c r="L928" s="20">
        <f t="shared" si="99"/>
        <v>0</v>
      </c>
      <c r="M928" s="14" t="e">
        <f>VLOOKUP(G928,Sell!G:L,1,0)</f>
        <v>#N/A</v>
      </c>
      <c r="N928" s="14">
        <f>IFERROR(VLOOKUP(G928,Sell!G:L,2,0),0)</f>
        <v>0</v>
      </c>
      <c r="O928" s="13">
        <f>IFERROR(VLOOKUP(G928,Sell!G:L,6,0),0)</f>
        <v>0</v>
      </c>
      <c r="P928" s="14">
        <f t="shared" si="98"/>
        <v>0</v>
      </c>
      <c r="Q928" s="13">
        <f t="shared" si="100"/>
        <v>0</v>
      </c>
      <c r="R928" s="13">
        <f t="shared" si="101"/>
        <v>0</v>
      </c>
      <c r="S928" s="13">
        <f t="shared" si="102"/>
        <v>0</v>
      </c>
      <c r="T928" s="13">
        <f t="shared" si="103"/>
        <v>0</v>
      </c>
      <c r="U928" s="15" t="str">
        <f t="shared" si="104"/>
        <v/>
      </c>
    </row>
    <row r="929" spans="12:21" x14ac:dyDescent="0.25">
      <c r="L929" s="20">
        <f t="shared" si="99"/>
        <v>0</v>
      </c>
      <c r="M929" s="14" t="e">
        <f>VLOOKUP(G929,Sell!G:L,1,0)</f>
        <v>#N/A</v>
      </c>
      <c r="N929" s="14">
        <f>IFERROR(VLOOKUP(G929,Sell!G:L,2,0),0)</f>
        <v>0</v>
      </c>
      <c r="O929" s="13">
        <f>IFERROR(VLOOKUP(G929,Sell!G:L,6,0),0)</f>
        <v>0</v>
      </c>
      <c r="P929" s="14">
        <f t="shared" si="98"/>
        <v>0</v>
      </c>
      <c r="Q929" s="13">
        <f t="shared" si="100"/>
        <v>0</v>
      </c>
      <c r="R929" s="13">
        <f t="shared" si="101"/>
        <v>0</v>
      </c>
      <c r="S929" s="13">
        <f t="shared" si="102"/>
        <v>0</v>
      </c>
      <c r="T929" s="13">
        <f t="shared" si="103"/>
        <v>0</v>
      </c>
      <c r="U929" s="15" t="str">
        <f t="shared" si="104"/>
        <v/>
      </c>
    </row>
    <row r="930" spans="12:21" x14ac:dyDescent="0.25">
      <c r="L930" s="20">
        <f t="shared" si="99"/>
        <v>0</v>
      </c>
      <c r="M930" s="14" t="e">
        <f>VLOOKUP(G930,Sell!G:L,1,0)</f>
        <v>#N/A</v>
      </c>
      <c r="N930" s="14">
        <f>IFERROR(VLOOKUP(G930,Sell!G:L,2,0),0)</f>
        <v>0</v>
      </c>
      <c r="O930" s="13">
        <f>IFERROR(VLOOKUP(G930,Sell!G:L,6,0),0)</f>
        <v>0</v>
      </c>
      <c r="P930" s="14">
        <f t="shared" si="98"/>
        <v>0</v>
      </c>
      <c r="Q930" s="13">
        <f t="shared" si="100"/>
        <v>0</v>
      </c>
      <c r="R930" s="13">
        <f t="shared" si="101"/>
        <v>0</v>
      </c>
      <c r="S930" s="13">
        <f t="shared" si="102"/>
        <v>0</v>
      </c>
      <c r="T930" s="13">
        <f t="shared" si="103"/>
        <v>0</v>
      </c>
      <c r="U930" s="15" t="str">
        <f t="shared" si="104"/>
        <v/>
      </c>
    </row>
    <row r="931" spans="12:21" x14ac:dyDescent="0.25">
      <c r="L931" s="20">
        <f t="shared" si="99"/>
        <v>0</v>
      </c>
      <c r="M931" s="14" t="e">
        <f>VLOOKUP(G931,Sell!G:L,1,0)</f>
        <v>#N/A</v>
      </c>
      <c r="N931" s="14">
        <f>IFERROR(VLOOKUP(G931,Sell!G:L,2,0),0)</f>
        <v>0</v>
      </c>
      <c r="O931" s="13">
        <f>IFERROR(VLOOKUP(G931,Sell!G:L,6,0),0)</f>
        <v>0</v>
      </c>
      <c r="P931" s="14">
        <f t="shared" si="98"/>
        <v>0</v>
      </c>
      <c r="Q931" s="13">
        <f t="shared" si="100"/>
        <v>0</v>
      </c>
      <c r="R931" s="13">
        <f t="shared" si="101"/>
        <v>0</v>
      </c>
      <c r="S931" s="13">
        <f t="shared" si="102"/>
        <v>0</v>
      </c>
      <c r="T931" s="13">
        <f t="shared" si="103"/>
        <v>0</v>
      </c>
      <c r="U931" s="15" t="str">
        <f t="shared" si="104"/>
        <v/>
      </c>
    </row>
    <row r="932" spans="12:21" x14ac:dyDescent="0.25">
      <c r="L932" s="20">
        <f t="shared" si="99"/>
        <v>0</v>
      </c>
      <c r="M932" s="14" t="e">
        <f>VLOOKUP(G932,Sell!G:L,1,0)</f>
        <v>#N/A</v>
      </c>
      <c r="N932" s="14">
        <f>IFERROR(VLOOKUP(G932,Sell!G:L,2,0),0)</f>
        <v>0</v>
      </c>
      <c r="O932" s="13">
        <f>IFERROR(VLOOKUP(G932,Sell!G:L,6,0),0)</f>
        <v>0</v>
      </c>
      <c r="P932" s="14">
        <f t="shared" si="98"/>
        <v>0</v>
      </c>
      <c r="Q932" s="13">
        <f t="shared" si="100"/>
        <v>0</v>
      </c>
      <c r="R932" s="13">
        <f t="shared" si="101"/>
        <v>0</v>
      </c>
      <c r="S932" s="13">
        <f t="shared" si="102"/>
        <v>0</v>
      </c>
      <c r="T932" s="13">
        <f t="shared" si="103"/>
        <v>0</v>
      </c>
      <c r="U932" s="15" t="str">
        <f t="shared" si="104"/>
        <v/>
      </c>
    </row>
    <row r="933" spans="12:21" x14ac:dyDescent="0.25">
      <c r="L933" s="20">
        <f t="shared" si="99"/>
        <v>0</v>
      </c>
      <c r="M933" s="14" t="e">
        <f>VLOOKUP(G933,Sell!G:L,1,0)</f>
        <v>#N/A</v>
      </c>
      <c r="N933" s="14">
        <f>IFERROR(VLOOKUP(G933,Sell!G:L,2,0),0)</f>
        <v>0</v>
      </c>
      <c r="O933" s="13">
        <f>IFERROR(VLOOKUP(G933,Sell!G:L,6,0),0)</f>
        <v>0</v>
      </c>
      <c r="P933" s="14">
        <f t="shared" si="98"/>
        <v>0</v>
      </c>
      <c r="Q933" s="13">
        <f t="shared" si="100"/>
        <v>0</v>
      </c>
      <c r="R933" s="13">
        <f t="shared" si="101"/>
        <v>0</v>
      </c>
      <c r="S933" s="13">
        <f t="shared" si="102"/>
        <v>0</v>
      </c>
      <c r="T933" s="13">
        <f t="shared" si="103"/>
        <v>0</v>
      </c>
      <c r="U933" s="15" t="str">
        <f t="shared" si="104"/>
        <v/>
      </c>
    </row>
    <row r="934" spans="12:21" x14ac:dyDescent="0.25">
      <c r="L934" s="20">
        <f t="shared" si="99"/>
        <v>0</v>
      </c>
      <c r="M934" s="14" t="e">
        <f>VLOOKUP(G934,Sell!G:L,1,0)</f>
        <v>#N/A</v>
      </c>
      <c r="N934" s="14">
        <f>IFERROR(VLOOKUP(G934,Sell!G:L,2,0),0)</f>
        <v>0</v>
      </c>
      <c r="O934" s="13">
        <f>IFERROR(VLOOKUP(G934,Sell!G:L,6,0),0)</f>
        <v>0</v>
      </c>
      <c r="P934" s="14">
        <f t="shared" si="98"/>
        <v>0</v>
      </c>
      <c r="Q934" s="13">
        <f t="shared" si="100"/>
        <v>0</v>
      </c>
      <c r="R934" s="13">
        <f t="shared" si="101"/>
        <v>0</v>
      </c>
      <c r="S934" s="13">
        <f t="shared" si="102"/>
        <v>0</v>
      </c>
      <c r="T934" s="13">
        <f t="shared" si="103"/>
        <v>0</v>
      </c>
      <c r="U934" s="15" t="str">
        <f t="shared" si="104"/>
        <v/>
      </c>
    </row>
    <row r="935" spans="12:21" x14ac:dyDescent="0.25">
      <c r="L935" s="20">
        <f t="shared" si="99"/>
        <v>0</v>
      </c>
      <c r="M935" s="14" t="e">
        <f>VLOOKUP(G935,Sell!G:L,1,0)</f>
        <v>#N/A</v>
      </c>
      <c r="N935" s="14">
        <f>IFERROR(VLOOKUP(G935,Sell!G:L,2,0),0)</f>
        <v>0</v>
      </c>
      <c r="O935" s="13">
        <f>IFERROR(VLOOKUP(G935,Sell!G:L,6,0),0)</f>
        <v>0</v>
      </c>
      <c r="P935" s="14">
        <f t="shared" si="98"/>
        <v>0</v>
      </c>
      <c r="Q935" s="13">
        <f t="shared" si="100"/>
        <v>0</v>
      </c>
      <c r="R935" s="13">
        <f t="shared" si="101"/>
        <v>0</v>
      </c>
      <c r="S935" s="13">
        <f t="shared" si="102"/>
        <v>0</v>
      </c>
      <c r="T935" s="13">
        <f t="shared" si="103"/>
        <v>0</v>
      </c>
      <c r="U935" s="15" t="str">
        <f t="shared" si="104"/>
        <v/>
      </c>
    </row>
    <row r="936" spans="12:21" x14ac:dyDescent="0.25">
      <c r="L936" s="20">
        <f t="shared" si="99"/>
        <v>0</v>
      </c>
      <c r="M936" s="14" t="e">
        <f>VLOOKUP(G936,Sell!G:L,1,0)</f>
        <v>#N/A</v>
      </c>
      <c r="N936" s="14">
        <f>IFERROR(VLOOKUP(G936,Sell!G:L,2,0),0)</f>
        <v>0</v>
      </c>
      <c r="O936" s="13">
        <f>IFERROR(VLOOKUP(G936,Sell!G:L,6,0),0)</f>
        <v>0</v>
      </c>
      <c r="P936" s="14">
        <f t="shared" si="98"/>
        <v>0</v>
      </c>
      <c r="Q936" s="13">
        <f t="shared" si="100"/>
        <v>0</v>
      </c>
      <c r="R936" s="13">
        <f t="shared" si="101"/>
        <v>0</v>
      </c>
      <c r="S936" s="13">
        <f t="shared" si="102"/>
        <v>0</v>
      </c>
      <c r="T936" s="13">
        <f t="shared" si="103"/>
        <v>0</v>
      </c>
      <c r="U936" s="15" t="str">
        <f t="shared" si="104"/>
        <v/>
      </c>
    </row>
    <row r="937" spans="12:21" x14ac:dyDescent="0.25">
      <c r="L937" s="20">
        <f t="shared" si="99"/>
        <v>0</v>
      </c>
      <c r="M937" s="14" t="e">
        <f>VLOOKUP(G937,Sell!G:L,1,0)</f>
        <v>#N/A</v>
      </c>
      <c r="N937" s="14">
        <f>IFERROR(VLOOKUP(G937,Sell!G:L,2,0),0)</f>
        <v>0</v>
      </c>
      <c r="O937" s="13">
        <f>IFERROR(VLOOKUP(G937,Sell!G:L,6,0),0)</f>
        <v>0</v>
      </c>
      <c r="P937" s="14">
        <f t="shared" si="98"/>
        <v>0</v>
      </c>
      <c r="Q937" s="13">
        <f t="shared" si="100"/>
        <v>0</v>
      </c>
      <c r="R937" s="13">
        <f t="shared" si="101"/>
        <v>0</v>
      </c>
      <c r="S937" s="13">
        <f t="shared" si="102"/>
        <v>0</v>
      </c>
      <c r="T937" s="13">
        <f t="shared" si="103"/>
        <v>0</v>
      </c>
      <c r="U937" s="15" t="str">
        <f t="shared" si="104"/>
        <v/>
      </c>
    </row>
    <row r="938" spans="12:21" x14ac:dyDescent="0.25">
      <c r="L938" s="20">
        <f t="shared" si="99"/>
        <v>0</v>
      </c>
      <c r="M938" s="14" t="e">
        <f>VLOOKUP(G938,Sell!G:L,1,0)</f>
        <v>#N/A</v>
      </c>
      <c r="N938" s="14">
        <f>IFERROR(VLOOKUP(G938,Sell!G:L,2,0),0)</f>
        <v>0</v>
      </c>
      <c r="O938" s="13">
        <f>IFERROR(VLOOKUP(G938,Sell!G:L,6,0),0)</f>
        <v>0</v>
      </c>
      <c r="P938" s="14">
        <f t="shared" si="98"/>
        <v>0</v>
      </c>
      <c r="Q938" s="13">
        <f t="shared" si="100"/>
        <v>0</v>
      </c>
      <c r="R938" s="13">
        <f t="shared" si="101"/>
        <v>0</v>
      </c>
      <c r="S938" s="13">
        <f t="shared" si="102"/>
        <v>0</v>
      </c>
      <c r="T938" s="13">
        <f t="shared" si="103"/>
        <v>0</v>
      </c>
      <c r="U938" s="15" t="str">
        <f t="shared" si="104"/>
        <v/>
      </c>
    </row>
    <row r="939" spans="12:21" x14ac:dyDescent="0.25">
      <c r="L939" s="20">
        <f t="shared" si="99"/>
        <v>0</v>
      </c>
      <c r="M939" s="14" t="e">
        <f>VLOOKUP(G939,Sell!G:L,1,0)</f>
        <v>#N/A</v>
      </c>
      <c r="N939" s="14">
        <f>IFERROR(VLOOKUP(G939,Sell!G:L,2,0),0)</f>
        <v>0</v>
      </c>
      <c r="O939" s="13">
        <f>IFERROR(VLOOKUP(G939,Sell!G:L,6,0),0)</f>
        <v>0</v>
      </c>
      <c r="P939" s="14">
        <f t="shared" si="98"/>
        <v>0</v>
      </c>
      <c r="Q939" s="13">
        <f t="shared" si="100"/>
        <v>0</v>
      </c>
      <c r="R939" s="13">
        <f t="shared" si="101"/>
        <v>0</v>
      </c>
      <c r="S939" s="13">
        <f t="shared" si="102"/>
        <v>0</v>
      </c>
      <c r="T939" s="13">
        <f t="shared" si="103"/>
        <v>0</v>
      </c>
      <c r="U939" s="15" t="str">
        <f t="shared" si="104"/>
        <v/>
      </c>
    </row>
    <row r="940" spans="12:21" x14ac:dyDescent="0.25">
      <c r="L940" s="20">
        <f t="shared" si="99"/>
        <v>0</v>
      </c>
      <c r="M940" s="14" t="e">
        <f>VLOOKUP(G940,Sell!G:L,1,0)</f>
        <v>#N/A</v>
      </c>
      <c r="N940" s="14">
        <f>IFERROR(VLOOKUP(G940,Sell!G:L,2,0),0)</f>
        <v>0</v>
      </c>
      <c r="O940" s="13">
        <f>IFERROR(VLOOKUP(G940,Sell!G:L,6,0),0)</f>
        <v>0</v>
      </c>
      <c r="P940" s="14">
        <f t="shared" si="98"/>
        <v>0</v>
      </c>
      <c r="Q940" s="13">
        <f t="shared" si="100"/>
        <v>0</v>
      </c>
      <c r="R940" s="13">
        <f t="shared" si="101"/>
        <v>0</v>
      </c>
      <c r="S940" s="13">
        <f t="shared" si="102"/>
        <v>0</v>
      </c>
      <c r="T940" s="13">
        <f t="shared" si="103"/>
        <v>0</v>
      </c>
      <c r="U940" s="15" t="str">
        <f t="shared" si="104"/>
        <v/>
      </c>
    </row>
    <row r="941" spans="12:21" x14ac:dyDescent="0.25">
      <c r="L941" s="20">
        <f t="shared" si="99"/>
        <v>0</v>
      </c>
      <c r="M941" s="14" t="e">
        <f>VLOOKUP(G941,Sell!G:L,1,0)</f>
        <v>#N/A</v>
      </c>
      <c r="N941" s="14">
        <f>IFERROR(VLOOKUP(G941,Sell!G:L,2,0),0)</f>
        <v>0</v>
      </c>
      <c r="O941" s="13">
        <f>IFERROR(VLOOKUP(G941,Sell!G:L,6,0),0)</f>
        <v>0</v>
      </c>
      <c r="P941" s="14">
        <f t="shared" si="98"/>
        <v>0</v>
      </c>
      <c r="Q941" s="13">
        <f t="shared" si="100"/>
        <v>0</v>
      </c>
      <c r="R941" s="13">
        <f t="shared" si="101"/>
        <v>0</v>
      </c>
      <c r="S941" s="13">
        <f t="shared" si="102"/>
        <v>0</v>
      </c>
      <c r="T941" s="13">
        <f t="shared" si="103"/>
        <v>0</v>
      </c>
      <c r="U941" s="15" t="str">
        <f t="shared" si="104"/>
        <v/>
      </c>
    </row>
    <row r="942" spans="12:21" x14ac:dyDescent="0.25">
      <c r="L942" s="20">
        <f t="shared" si="99"/>
        <v>0</v>
      </c>
      <c r="M942" s="14" t="e">
        <f>VLOOKUP(G942,Sell!G:L,1,0)</f>
        <v>#N/A</v>
      </c>
      <c r="N942" s="14">
        <f>IFERROR(VLOOKUP(G942,Sell!G:L,2,0),0)</f>
        <v>0</v>
      </c>
      <c r="O942" s="13">
        <f>IFERROR(VLOOKUP(G942,Sell!G:L,6,0),0)</f>
        <v>0</v>
      </c>
      <c r="P942" s="14">
        <f t="shared" si="98"/>
        <v>0</v>
      </c>
      <c r="Q942" s="13">
        <f t="shared" si="100"/>
        <v>0</v>
      </c>
      <c r="R942" s="13">
        <f t="shared" si="101"/>
        <v>0</v>
      </c>
      <c r="S942" s="13">
        <f t="shared" si="102"/>
        <v>0</v>
      </c>
      <c r="T942" s="13">
        <f t="shared" si="103"/>
        <v>0</v>
      </c>
      <c r="U942" s="15" t="str">
        <f t="shared" si="104"/>
        <v/>
      </c>
    </row>
    <row r="943" spans="12:21" x14ac:dyDescent="0.25">
      <c r="L943" s="20">
        <f t="shared" si="99"/>
        <v>0</v>
      </c>
      <c r="M943" s="14" t="e">
        <f>VLOOKUP(G943,Sell!G:L,1,0)</f>
        <v>#N/A</v>
      </c>
      <c r="N943" s="14">
        <f>IFERROR(VLOOKUP(G943,Sell!G:L,2,0),0)</f>
        <v>0</v>
      </c>
      <c r="O943" s="13">
        <f>IFERROR(VLOOKUP(G943,Sell!G:L,6,0),0)</f>
        <v>0</v>
      </c>
      <c r="P943" s="14">
        <f t="shared" si="98"/>
        <v>0</v>
      </c>
      <c r="Q943" s="13">
        <f t="shared" si="100"/>
        <v>0</v>
      </c>
      <c r="R943" s="13">
        <f t="shared" si="101"/>
        <v>0</v>
      </c>
      <c r="S943" s="13">
        <f t="shared" si="102"/>
        <v>0</v>
      </c>
      <c r="T943" s="13">
        <f t="shared" si="103"/>
        <v>0</v>
      </c>
      <c r="U943" s="15" t="str">
        <f t="shared" si="104"/>
        <v/>
      </c>
    </row>
    <row r="944" spans="12:21" x14ac:dyDescent="0.25">
      <c r="L944" s="20">
        <f t="shared" si="99"/>
        <v>0</v>
      </c>
      <c r="M944" s="14" t="e">
        <f>VLOOKUP(G944,Sell!G:L,1,0)</f>
        <v>#N/A</v>
      </c>
      <c r="N944" s="14">
        <f>IFERROR(VLOOKUP(G944,Sell!G:L,2,0),0)</f>
        <v>0</v>
      </c>
      <c r="O944" s="13">
        <f>IFERROR(VLOOKUP(G944,Sell!G:L,6,0),0)</f>
        <v>0</v>
      </c>
      <c r="P944" s="14">
        <f t="shared" si="98"/>
        <v>0</v>
      </c>
      <c r="Q944" s="13">
        <f t="shared" si="100"/>
        <v>0</v>
      </c>
      <c r="R944" s="13">
        <f t="shared" si="101"/>
        <v>0</v>
      </c>
      <c r="S944" s="13">
        <f t="shared" si="102"/>
        <v>0</v>
      </c>
      <c r="T944" s="13">
        <f t="shared" si="103"/>
        <v>0</v>
      </c>
      <c r="U944" s="15" t="str">
        <f t="shared" si="104"/>
        <v/>
      </c>
    </row>
    <row r="945" spans="12:21" x14ac:dyDescent="0.25">
      <c r="L945" s="20">
        <f t="shared" si="99"/>
        <v>0</v>
      </c>
      <c r="M945" s="14" t="e">
        <f>VLOOKUP(G945,Sell!G:L,1,0)</f>
        <v>#N/A</v>
      </c>
      <c r="N945" s="14">
        <f>IFERROR(VLOOKUP(G945,Sell!G:L,2,0),0)</f>
        <v>0</v>
      </c>
      <c r="O945" s="13">
        <f>IFERROR(VLOOKUP(G945,Sell!G:L,6,0),0)</f>
        <v>0</v>
      </c>
      <c r="P945" s="14">
        <f t="shared" si="98"/>
        <v>0</v>
      </c>
      <c r="Q945" s="13">
        <f t="shared" si="100"/>
        <v>0</v>
      </c>
      <c r="R945" s="13">
        <f t="shared" si="101"/>
        <v>0</v>
      </c>
      <c r="S945" s="13">
        <f t="shared" si="102"/>
        <v>0</v>
      </c>
      <c r="T945" s="13">
        <f t="shared" si="103"/>
        <v>0</v>
      </c>
      <c r="U945" s="15" t="str">
        <f t="shared" si="104"/>
        <v/>
      </c>
    </row>
    <row r="946" spans="12:21" x14ac:dyDescent="0.25">
      <c r="L946" s="20">
        <f t="shared" si="99"/>
        <v>0</v>
      </c>
      <c r="M946" s="14" t="e">
        <f>VLOOKUP(G946,Sell!G:L,1,0)</f>
        <v>#N/A</v>
      </c>
      <c r="N946" s="14">
        <f>IFERROR(VLOOKUP(G946,Sell!G:L,2,0),0)</f>
        <v>0</v>
      </c>
      <c r="O946" s="13">
        <f>IFERROR(VLOOKUP(G946,Sell!G:L,6,0),0)</f>
        <v>0</v>
      </c>
      <c r="P946" s="14">
        <f t="shared" si="98"/>
        <v>0</v>
      </c>
      <c r="Q946" s="13">
        <f t="shared" si="100"/>
        <v>0</v>
      </c>
      <c r="R946" s="13">
        <f t="shared" si="101"/>
        <v>0</v>
      </c>
      <c r="S946" s="13">
        <f t="shared" si="102"/>
        <v>0</v>
      </c>
      <c r="T946" s="13">
        <f t="shared" si="103"/>
        <v>0</v>
      </c>
      <c r="U946" s="15" t="str">
        <f t="shared" si="104"/>
        <v/>
      </c>
    </row>
    <row r="947" spans="12:21" x14ac:dyDescent="0.25">
      <c r="L947" s="20">
        <f t="shared" si="99"/>
        <v>0</v>
      </c>
      <c r="M947" s="14" t="e">
        <f>VLOOKUP(G947,Sell!G:L,1,0)</f>
        <v>#N/A</v>
      </c>
      <c r="N947" s="14">
        <f>IFERROR(VLOOKUP(G947,Sell!G:L,2,0),0)</f>
        <v>0</v>
      </c>
      <c r="O947" s="13">
        <f>IFERROR(VLOOKUP(G947,Sell!G:L,6,0),0)</f>
        <v>0</v>
      </c>
      <c r="P947" s="14">
        <f t="shared" si="98"/>
        <v>0</v>
      </c>
      <c r="Q947" s="13">
        <f t="shared" si="100"/>
        <v>0</v>
      </c>
      <c r="R947" s="13">
        <f t="shared" si="101"/>
        <v>0</v>
      </c>
      <c r="S947" s="13">
        <f t="shared" si="102"/>
        <v>0</v>
      </c>
      <c r="T947" s="13">
        <f t="shared" si="103"/>
        <v>0</v>
      </c>
      <c r="U947" s="15" t="str">
        <f t="shared" si="104"/>
        <v/>
      </c>
    </row>
    <row r="948" spans="12:21" x14ac:dyDescent="0.25">
      <c r="L948" s="20">
        <f t="shared" si="99"/>
        <v>0</v>
      </c>
      <c r="M948" s="14" t="e">
        <f>VLOOKUP(G948,Sell!G:L,1,0)</f>
        <v>#N/A</v>
      </c>
      <c r="N948" s="14">
        <f>IFERROR(VLOOKUP(G948,Sell!G:L,2,0),0)</f>
        <v>0</v>
      </c>
      <c r="O948" s="13">
        <f>IFERROR(VLOOKUP(G948,Sell!G:L,6,0),0)</f>
        <v>0</v>
      </c>
      <c r="P948" s="14">
        <f t="shared" si="98"/>
        <v>0</v>
      </c>
      <c r="Q948" s="13">
        <f t="shared" si="100"/>
        <v>0</v>
      </c>
      <c r="R948" s="13">
        <f t="shared" si="101"/>
        <v>0</v>
      </c>
      <c r="S948" s="13">
        <f t="shared" si="102"/>
        <v>0</v>
      </c>
      <c r="T948" s="13">
        <f t="shared" si="103"/>
        <v>0</v>
      </c>
      <c r="U948" s="15" t="str">
        <f t="shared" si="104"/>
        <v/>
      </c>
    </row>
    <row r="949" spans="12:21" x14ac:dyDescent="0.25">
      <c r="L949" s="20">
        <f t="shared" si="99"/>
        <v>0</v>
      </c>
      <c r="M949" s="14" t="e">
        <f>VLOOKUP(G949,Sell!G:L,1,0)</f>
        <v>#N/A</v>
      </c>
      <c r="N949" s="14">
        <f>IFERROR(VLOOKUP(G949,Sell!G:L,2,0),0)</f>
        <v>0</v>
      </c>
      <c r="O949" s="13">
        <f>IFERROR(VLOOKUP(G949,Sell!G:L,6,0),0)</f>
        <v>0</v>
      </c>
      <c r="P949" s="14">
        <f t="shared" si="98"/>
        <v>0</v>
      </c>
      <c r="Q949" s="13">
        <f t="shared" si="100"/>
        <v>0</v>
      </c>
      <c r="R949" s="13">
        <f t="shared" si="101"/>
        <v>0</v>
      </c>
      <c r="S949" s="13">
        <f t="shared" si="102"/>
        <v>0</v>
      </c>
      <c r="T949" s="13">
        <f t="shared" si="103"/>
        <v>0</v>
      </c>
      <c r="U949" s="15" t="str">
        <f t="shared" si="104"/>
        <v/>
      </c>
    </row>
    <row r="950" spans="12:21" x14ac:dyDescent="0.25">
      <c r="L950" s="20">
        <f t="shared" si="99"/>
        <v>0</v>
      </c>
      <c r="M950" s="14" t="e">
        <f>VLOOKUP(G950,Sell!G:L,1,0)</f>
        <v>#N/A</v>
      </c>
      <c r="N950" s="14">
        <f>IFERROR(VLOOKUP(G950,Sell!G:L,2,0),0)</f>
        <v>0</v>
      </c>
      <c r="O950" s="13">
        <f>IFERROR(VLOOKUP(G950,Sell!G:L,6,0),0)</f>
        <v>0</v>
      </c>
      <c r="P950" s="14">
        <f t="shared" si="98"/>
        <v>0</v>
      </c>
      <c r="Q950" s="13">
        <f t="shared" si="100"/>
        <v>0</v>
      </c>
      <c r="R950" s="13">
        <f t="shared" si="101"/>
        <v>0</v>
      </c>
      <c r="S950" s="13">
        <f t="shared" si="102"/>
        <v>0</v>
      </c>
      <c r="T950" s="13">
        <f t="shared" si="103"/>
        <v>0</v>
      </c>
      <c r="U950" s="15" t="str">
        <f t="shared" si="104"/>
        <v/>
      </c>
    </row>
    <row r="951" spans="12:21" x14ac:dyDescent="0.25">
      <c r="L951" s="20">
        <f t="shared" si="99"/>
        <v>0</v>
      </c>
      <c r="M951" s="14" t="e">
        <f>VLOOKUP(G951,Sell!G:L,1,0)</f>
        <v>#N/A</v>
      </c>
      <c r="N951" s="14">
        <f>IFERROR(VLOOKUP(G951,Sell!G:L,2,0),0)</f>
        <v>0</v>
      </c>
      <c r="O951" s="13">
        <f>IFERROR(VLOOKUP(G951,Sell!G:L,6,0),0)</f>
        <v>0</v>
      </c>
      <c r="P951" s="14">
        <f t="shared" si="98"/>
        <v>0</v>
      </c>
      <c r="Q951" s="13">
        <f t="shared" si="100"/>
        <v>0</v>
      </c>
      <c r="R951" s="13">
        <f t="shared" si="101"/>
        <v>0</v>
      </c>
      <c r="S951" s="13">
        <f t="shared" si="102"/>
        <v>0</v>
      </c>
      <c r="T951" s="13">
        <f t="shared" si="103"/>
        <v>0</v>
      </c>
      <c r="U951" s="15" t="str">
        <f t="shared" si="104"/>
        <v/>
      </c>
    </row>
    <row r="952" spans="12:21" x14ac:dyDescent="0.25">
      <c r="L952" s="20">
        <f t="shared" si="99"/>
        <v>0</v>
      </c>
      <c r="M952" s="14" t="e">
        <f>VLOOKUP(G952,Sell!G:L,1,0)</f>
        <v>#N/A</v>
      </c>
      <c r="N952" s="14">
        <f>IFERROR(VLOOKUP(G952,Sell!G:L,2,0),0)</f>
        <v>0</v>
      </c>
      <c r="O952" s="13">
        <f>IFERROR(VLOOKUP(G952,Sell!G:L,6,0),0)</f>
        <v>0</v>
      </c>
      <c r="P952" s="14">
        <f t="shared" si="98"/>
        <v>0</v>
      </c>
      <c r="Q952" s="13">
        <f t="shared" si="100"/>
        <v>0</v>
      </c>
      <c r="R952" s="13">
        <f t="shared" si="101"/>
        <v>0</v>
      </c>
      <c r="S952" s="13">
        <f t="shared" si="102"/>
        <v>0</v>
      </c>
      <c r="T952" s="13">
        <f t="shared" si="103"/>
        <v>0</v>
      </c>
      <c r="U952" s="15" t="str">
        <f t="shared" si="104"/>
        <v/>
      </c>
    </row>
    <row r="953" spans="12:21" x14ac:dyDescent="0.25">
      <c r="L953" s="20">
        <f t="shared" si="99"/>
        <v>0</v>
      </c>
      <c r="M953" s="14" t="e">
        <f>VLOOKUP(G953,Sell!G:L,1,0)</f>
        <v>#N/A</v>
      </c>
      <c r="N953" s="14">
        <f>IFERROR(VLOOKUP(G953,Sell!G:L,2,0),0)</f>
        <v>0</v>
      </c>
      <c r="O953" s="13">
        <f>IFERROR(VLOOKUP(G953,Sell!G:L,6,0),0)</f>
        <v>0</v>
      </c>
      <c r="P953" s="14">
        <f t="shared" si="98"/>
        <v>0</v>
      </c>
      <c r="Q953" s="13">
        <f t="shared" si="100"/>
        <v>0</v>
      </c>
      <c r="R953" s="13">
        <f t="shared" si="101"/>
        <v>0</v>
      </c>
      <c r="S953" s="13">
        <f t="shared" si="102"/>
        <v>0</v>
      </c>
      <c r="T953" s="13">
        <f t="shared" si="103"/>
        <v>0</v>
      </c>
      <c r="U953" s="15" t="str">
        <f t="shared" si="104"/>
        <v/>
      </c>
    </row>
    <row r="954" spans="12:21" x14ac:dyDescent="0.25">
      <c r="L954" s="20">
        <f t="shared" si="99"/>
        <v>0</v>
      </c>
      <c r="M954" s="14" t="e">
        <f>VLOOKUP(G954,Sell!G:L,1,0)</f>
        <v>#N/A</v>
      </c>
      <c r="N954" s="14">
        <f>IFERROR(VLOOKUP(G954,Sell!G:L,2,0),0)</f>
        <v>0</v>
      </c>
      <c r="O954" s="13">
        <f>IFERROR(VLOOKUP(G954,Sell!G:L,6,0),0)</f>
        <v>0</v>
      </c>
      <c r="P954" s="14">
        <f t="shared" si="98"/>
        <v>0</v>
      </c>
      <c r="Q954" s="13">
        <f t="shared" si="100"/>
        <v>0</v>
      </c>
      <c r="R954" s="13">
        <f t="shared" si="101"/>
        <v>0</v>
      </c>
      <c r="S954" s="13">
        <f t="shared" si="102"/>
        <v>0</v>
      </c>
      <c r="T954" s="13">
        <f t="shared" si="103"/>
        <v>0</v>
      </c>
      <c r="U954" s="15" t="str">
        <f t="shared" si="104"/>
        <v/>
      </c>
    </row>
    <row r="955" spans="12:21" x14ac:dyDescent="0.25">
      <c r="L955" s="20">
        <f t="shared" si="99"/>
        <v>0</v>
      </c>
      <c r="M955" s="14" t="e">
        <f>VLOOKUP(G955,Sell!G:L,1,0)</f>
        <v>#N/A</v>
      </c>
      <c r="N955" s="14">
        <f>IFERROR(VLOOKUP(G955,Sell!G:L,2,0),0)</f>
        <v>0</v>
      </c>
      <c r="O955" s="13">
        <f>IFERROR(VLOOKUP(G955,Sell!G:L,6,0),0)</f>
        <v>0</v>
      </c>
      <c r="P955" s="14">
        <f t="shared" si="98"/>
        <v>0</v>
      </c>
      <c r="Q955" s="13">
        <f t="shared" si="100"/>
        <v>0</v>
      </c>
      <c r="R955" s="13">
        <f t="shared" si="101"/>
        <v>0</v>
      </c>
      <c r="S955" s="13">
        <f t="shared" si="102"/>
        <v>0</v>
      </c>
      <c r="T955" s="13">
        <f t="shared" si="103"/>
        <v>0</v>
      </c>
      <c r="U955" s="15" t="str">
        <f t="shared" si="104"/>
        <v/>
      </c>
    </row>
    <row r="956" spans="12:21" x14ac:dyDescent="0.25">
      <c r="L956" s="20">
        <f t="shared" si="99"/>
        <v>0</v>
      </c>
      <c r="M956" s="14" t="e">
        <f>VLOOKUP(G956,Sell!G:L,1,0)</f>
        <v>#N/A</v>
      </c>
      <c r="N956" s="14">
        <f>IFERROR(VLOOKUP(G956,Sell!G:L,2,0),0)</f>
        <v>0</v>
      </c>
      <c r="O956" s="13">
        <f>IFERROR(VLOOKUP(G956,Sell!G:L,6,0),0)</f>
        <v>0</v>
      </c>
      <c r="P956" s="14">
        <f t="shared" si="98"/>
        <v>0</v>
      </c>
      <c r="Q956" s="13">
        <f t="shared" si="100"/>
        <v>0</v>
      </c>
      <c r="R956" s="13">
        <f t="shared" si="101"/>
        <v>0</v>
      </c>
      <c r="S956" s="13">
        <f t="shared" si="102"/>
        <v>0</v>
      </c>
      <c r="T956" s="13">
        <f t="shared" si="103"/>
        <v>0</v>
      </c>
      <c r="U956" s="15" t="str">
        <f t="shared" si="104"/>
        <v/>
      </c>
    </row>
    <row r="957" spans="12:21" x14ac:dyDescent="0.25">
      <c r="L957" s="20">
        <f t="shared" si="99"/>
        <v>0</v>
      </c>
      <c r="M957" s="14" t="e">
        <f>VLOOKUP(G957,Sell!G:L,1,0)</f>
        <v>#N/A</v>
      </c>
      <c r="N957" s="14">
        <f>IFERROR(VLOOKUP(G957,Sell!G:L,2,0),0)</f>
        <v>0</v>
      </c>
      <c r="O957" s="13">
        <f>IFERROR(VLOOKUP(G957,Sell!G:L,6,0),0)</f>
        <v>0</v>
      </c>
      <c r="P957" s="14">
        <f t="shared" si="98"/>
        <v>0</v>
      </c>
      <c r="Q957" s="13">
        <f t="shared" si="100"/>
        <v>0</v>
      </c>
      <c r="R957" s="13">
        <f t="shared" si="101"/>
        <v>0</v>
      </c>
      <c r="S957" s="13">
        <f t="shared" si="102"/>
        <v>0</v>
      </c>
      <c r="T957" s="13">
        <f t="shared" si="103"/>
        <v>0</v>
      </c>
      <c r="U957" s="15" t="str">
        <f t="shared" si="104"/>
        <v/>
      </c>
    </row>
    <row r="958" spans="12:21" x14ac:dyDescent="0.25">
      <c r="L958" s="20">
        <f t="shared" si="99"/>
        <v>0</v>
      </c>
      <c r="M958" s="14" t="e">
        <f>VLOOKUP(G958,Sell!G:L,1,0)</f>
        <v>#N/A</v>
      </c>
      <c r="N958" s="14">
        <f>IFERROR(VLOOKUP(G958,Sell!G:L,2,0),0)</f>
        <v>0</v>
      </c>
      <c r="O958" s="13">
        <f>IFERROR(VLOOKUP(G958,Sell!G:L,6,0),0)</f>
        <v>0</v>
      </c>
      <c r="P958" s="14">
        <f t="shared" si="98"/>
        <v>0</v>
      </c>
      <c r="Q958" s="13">
        <f t="shared" si="100"/>
        <v>0</v>
      </c>
      <c r="R958" s="13">
        <f t="shared" si="101"/>
        <v>0</v>
      </c>
      <c r="S958" s="13">
        <f t="shared" si="102"/>
        <v>0</v>
      </c>
      <c r="T958" s="13">
        <f t="shared" si="103"/>
        <v>0</v>
      </c>
      <c r="U958" s="15" t="str">
        <f t="shared" si="104"/>
        <v/>
      </c>
    </row>
    <row r="959" spans="12:21" x14ac:dyDescent="0.25">
      <c r="L959" s="20">
        <f t="shared" si="99"/>
        <v>0</v>
      </c>
      <c r="M959" s="14" t="e">
        <f>VLOOKUP(G959,Sell!G:L,1,0)</f>
        <v>#N/A</v>
      </c>
      <c r="N959" s="14">
        <f>IFERROR(VLOOKUP(G959,Sell!G:L,2,0),0)</f>
        <v>0</v>
      </c>
      <c r="O959" s="13">
        <f>IFERROR(VLOOKUP(G959,Sell!G:L,6,0),0)</f>
        <v>0</v>
      </c>
      <c r="P959" s="14">
        <f t="shared" si="98"/>
        <v>0</v>
      </c>
      <c r="Q959" s="13">
        <f t="shared" si="100"/>
        <v>0</v>
      </c>
      <c r="R959" s="13">
        <f t="shared" si="101"/>
        <v>0</v>
      </c>
      <c r="S959" s="13">
        <f t="shared" si="102"/>
        <v>0</v>
      </c>
      <c r="T959" s="13">
        <f t="shared" si="103"/>
        <v>0</v>
      </c>
      <c r="U959" s="15" t="str">
        <f t="shared" si="104"/>
        <v/>
      </c>
    </row>
    <row r="960" spans="12:21" x14ac:dyDescent="0.25">
      <c r="L960" s="20">
        <f t="shared" si="99"/>
        <v>0</v>
      </c>
      <c r="M960" s="14" t="e">
        <f>VLOOKUP(G960,Sell!G:L,1,0)</f>
        <v>#N/A</v>
      </c>
      <c r="N960" s="14">
        <f>IFERROR(VLOOKUP(G960,Sell!G:L,2,0),0)</f>
        <v>0</v>
      </c>
      <c r="O960" s="13">
        <f>IFERROR(VLOOKUP(G960,Sell!G:L,6,0),0)</f>
        <v>0</v>
      </c>
      <c r="P960" s="14">
        <f t="shared" si="98"/>
        <v>0</v>
      </c>
      <c r="Q960" s="13">
        <f t="shared" si="100"/>
        <v>0</v>
      </c>
      <c r="R960" s="13">
        <f t="shared" si="101"/>
        <v>0</v>
      </c>
      <c r="S960" s="13">
        <f t="shared" si="102"/>
        <v>0</v>
      </c>
      <c r="T960" s="13">
        <f t="shared" si="103"/>
        <v>0</v>
      </c>
      <c r="U960" s="15" t="str">
        <f t="shared" si="104"/>
        <v/>
      </c>
    </row>
    <row r="961" spans="12:21" x14ac:dyDescent="0.25">
      <c r="L961" s="20">
        <f t="shared" si="99"/>
        <v>0</v>
      </c>
      <c r="M961" s="14" t="e">
        <f>VLOOKUP(G961,Sell!G:L,1,0)</f>
        <v>#N/A</v>
      </c>
      <c r="N961" s="14">
        <f>IFERROR(VLOOKUP(G961,Sell!G:L,2,0),0)</f>
        <v>0</v>
      </c>
      <c r="O961" s="13">
        <f>IFERROR(VLOOKUP(G961,Sell!G:L,6,0),0)</f>
        <v>0</v>
      </c>
      <c r="P961" s="14">
        <f t="shared" si="98"/>
        <v>0</v>
      </c>
      <c r="Q961" s="13">
        <f t="shared" si="100"/>
        <v>0</v>
      </c>
      <c r="R961" s="13">
        <f t="shared" si="101"/>
        <v>0</v>
      </c>
      <c r="S961" s="13">
        <f t="shared" si="102"/>
        <v>0</v>
      </c>
      <c r="T961" s="13">
        <f t="shared" si="103"/>
        <v>0</v>
      </c>
      <c r="U961" s="15" t="str">
        <f t="shared" si="104"/>
        <v/>
      </c>
    </row>
    <row r="962" spans="12:21" x14ac:dyDescent="0.25">
      <c r="L962" s="20">
        <f t="shared" si="99"/>
        <v>0</v>
      </c>
      <c r="M962" s="14" t="e">
        <f>VLOOKUP(G962,Sell!G:L,1,0)</f>
        <v>#N/A</v>
      </c>
      <c r="N962" s="14">
        <f>IFERROR(VLOOKUP(G962,Sell!G:L,2,0),0)</f>
        <v>0</v>
      </c>
      <c r="O962" s="13">
        <f>IFERROR(VLOOKUP(G962,Sell!G:L,6,0),0)</f>
        <v>0</v>
      </c>
      <c r="P962" s="14">
        <f t="shared" si="98"/>
        <v>0</v>
      </c>
      <c r="Q962" s="13">
        <f t="shared" si="100"/>
        <v>0</v>
      </c>
      <c r="R962" s="13">
        <f t="shared" si="101"/>
        <v>0</v>
      </c>
      <c r="S962" s="13">
        <f t="shared" si="102"/>
        <v>0</v>
      </c>
      <c r="T962" s="13">
        <f t="shared" si="103"/>
        <v>0</v>
      </c>
      <c r="U962" s="15" t="str">
        <f t="shared" si="104"/>
        <v/>
      </c>
    </row>
    <row r="963" spans="12:21" x14ac:dyDescent="0.25">
      <c r="L963" s="20">
        <f t="shared" si="99"/>
        <v>0</v>
      </c>
      <c r="M963" s="14" t="e">
        <f>VLOOKUP(G963,Sell!G:L,1,0)</f>
        <v>#N/A</v>
      </c>
      <c r="N963" s="14">
        <f>IFERROR(VLOOKUP(G963,Sell!G:L,2,0),0)</f>
        <v>0</v>
      </c>
      <c r="O963" s="13">
        <f>IFERROR(VLOOKUP(G963,Sell!G:L,6,0),0)</f>
        <v>0</v>
      </c>
      <c r="P963" s="14">
        <f t="shared" si="98"/>
        <v>0</v>
      </c>
      <c r="Q963" s="13">
        <f t="shared" si="100"/>
        <v>0</v>
      </c>
      <c r="R963" s="13">
        <f t="shared" si="101"/>
        <v>0</v>
      </c>
      <c r="S963" s="13">
        <f t="shared" si="102"/>
        <v>0</v>
      </c>
      <c r="T963" s="13">
        <f t="shared" si="103"/>
        <v>0</v>
      </c>
      <c r="U963" s="15" t="str">
        <f t="shared" si="104"/>
        <v/>
      </c>
    </row>
    <row r="964" spans="12:21" x14ac:dyDescent="0.25">
      <c r="L964" s="20">
        <f t="shared" si="99"/>
        <v>0</v>
      </c>
      <c r="M964" s="14" t="e">
        <f>VLOOKUP(G964,Sell!G:L,1,0)</f>
        <v>#N/A</v>
      </c>
      <c r="N964" s="14">
        <f>IFERROR(VLOOKUP(G964,Sell!G:L,2,0),0)</f>
        <v>0</v>
      </c>
      <c r="O964" s="13">
        <f>IFERROR(VLOOKUP(G964,Sell!G:L,6,0),0)</f>
        <v>0</v>
      </c>
      <c r="P964" s="14">
        <f t="shared" si="98"/>
        <v>0</v>
      </c>
      <c r="Q964" s="13">
        <f t="shared" si="100"/>
        <v>0</v>
      </c>
      <c r="R964" s="13">
        <f t="shared" si="101"/>
        <v>0</v>
      </c>
      <c r="S964" s="13">
        <f t="shared" si="102"/>
        <v>0</v>
      </c>
      <c r="T964" s="13">
        <f t="shared" si="103"/>
        <v>0</v>
      </c>
      <c r="U964" s="15" t="str">
        <f t="shared" si="104"/>
        <v/>
      </c>
    </row>
    <row r="965" spans="12:21" x14ac:dyDescent="0.25">
      <c r="L965" s="20">
        <f t="shared" si="99"/>
        <v>0</v>
      </c>
      <c r="M965" s="14" t="e">
        <f>VLOOKUP(G965,Sell!G:L,1,0)</f>
        <v>#N/A</v>
      </c>
      <c r="N965" s="14">
        <f>IFERROR(VLOOKUP(G965,Sell!G:L,2,0),0)</f>
        <v>0</v>
      </c>
      <c r="O965" s="13">
        <f>IFERROR(VLOOKUP(G965,Sell!G:L,6,0),0)</f>
        <v>0</v>
      </c>
      <c r="P965" s="14">
        <f t="shared" si="98"/>
        <v>0</v>
      </c>
      <c r="Q965" s="13">
        <f t="shared" si="100"/>
        <v>0</v>
      </c>
      <c r="R965" s="13">
        <f t="shared" si="101"/>
        <v>0</v>
      </c>
      <c r="S965" s="13">
        <f t="shared" si="102"/>
        <v>0</v>
      </c>
      <c r="T965" s="13">
        <f t="shared" si="103"/>
        <v>0</v>
      </c>
      <c r="U965" s="15" t="str">
        <f t="shared" si="104"/>
        <v/>
      </c>
    </row>
    <row r="966" spans="12:21" x14ac:dyDescent="0.25">
      <c r="L966" s="20">
        <f t="shared" si="99"/>
        <v>0</v>
      </c>
      <c r="M966" s="14" t="e">
        <f>VLOOKUP(G966,Sell!G:L,1,0)</f>
        <v>#N/A</v>
      </c>
      <c r="N966" s="14">
        <f>IFERROR(VLOOKUP(G966,Sell!G:L,2,0),0)</f>
        <v>0</v>
      </c>
      <c r="O966" s="13">
        <f>IFERROR(VLOOKUP(G966,Sell!G:L,6,0),0)</f>
        <v>0</v>
      </c>
      <c r="P966" s="14">
        <f t="shared" si="98"/>
        <v>0</v>
      </c>
      <c r="Q966" s="13">
        <f t="shared" si="100"/>
        <v>0</v>
      </c>
      <c r="R966" s="13">
        <f t="shared" si="101"/>
        <v>0</v>
      </c>
      <c r="S966" s="13">
        <f t="shared" si="102"/>
        <v>0</v>
      </c>
      <c r="T966" s="13">
        <f t="shared" si="103"/>
        <v>0</v>
      </c>
      <c r="U966" s="15" t="str">
        <f t="shared" si="104"/>
        <v/>
      </c>
    </row>
    <row r="967" spans="12:21" x14ac:dyDescent="0.25">
      <c r="L967" s="20">
        <f t="shared" si="99"/>
        <v>0</v>
      </c>
      <c r="M967" s="14" t="e">
        <f>VLOOKUP(G967,Sell!G:L,1,0)</f>
        <v>#N/A</v>
      </c>
      <c r="N967" s="14">
        <f>IFERROR(VLOOKUP(G967,Sell!G:L,2,0),0)</f>
        <v>0</v>
      </c>
      <c r="O967" s="13">
        <f>IFERROR(VLOOKUP(G967,Sell!G:L,6,0),0)</f>
        <v>0</v>
      </c>
      <c r="P967" s="14">
        <f t="shared" si="98"/>
        <v>0</v>
      </c>
      <c r="Q967" s="13">
        <f t="shared" si="100"/>
        <v>0</v>
      </c>
      <c r="R967" s="13">
        <f t="shared" si="101"/>
        <v>0</v>
      </c>
      <c r="S967" s="13">
        <f t="shared" si="102"/>
        <v>0</v>
      </c>
      <c r="T967" s="13">
        <f t="shared" si="103"/>
        <v>0</v>
      </c>
      <c r="U967" s="15" t="str">
        <f t="shared" si="104"/>
        <v/>
      </c>
    </row>
    <row r="968" spans="12:21" x14ac:dyDescent="0.25">
      <c r="L968" s="20">
        <f t="shared" si="99"/>
        <v>0</v>
      </c>
      <c r="M968" s="14" t="e">
        <f>VLOOKUP(G968,Sell!G:L,1,0)</f>
        <v>#N/A</v>
      </c>
      <c r="N968" s="14">
        <f>IFERROR(VLOOKUP(G968,Sell!G:L,2,0),0)</f>
        <v>0</v>
      </c>
      <c r="O968" s="13">
        <f>IFERROR(VLOOKUP(G968,Sell!G:L,6,0),0)</f>
        <v>0</v>
      </c>
      <c r="P968" s="14">
        <f t="shared" si="98"/>
        <v>0</v>
      </c>
      <c r="Q968" s="13">
        <f t="shared" si="100"/>
        <v>0</v>
      </c>
      <c r="R968" s="13">
        <f t="shared" si="101"/>
        <v>0</v>
      </c>
      <c r="S968" s="13">
        <f t="shared" si="102"/>
        <v>0</v>
      </c>
      <c r="T968" s="13">
        <f t="shared" si="103"/>
        <v>0</v>
      </c>
      <c r="U968" s="15" t="str">
        <f t="shared" si="104"/>
        <v/>
      </c>
    </row>
    <row r="969" spans="12:21" x14ac:dyDescent="0.25">
      <c r="L969" s="20">
        <f t="shared" si="99"/>
        <v>0</v>
      </c>
      <c r="M969" s="14" t="e">
        <f>VLOOKUP(G969,Sell!G:L,1,0)</f>
        <v>#N/A</v>
      </c>
      <c r="N969" s="14">
        <f>IFERROR(VLOOKUP(G969,Sell!G:L,2,0),0)</f>
        <v>0</v>
      </c>
      <c r="O969" s="13">
        <f>IFERROR(VLOOKUP(G969,Sell!G:L,6,0),0)</f>
        <v>0</v>
      </c>
      <c r="P969" s="14">
        <f t="shared" si="98"/>
        <v>0</v>
      </c>
      <c r="Q969" s="13">
        <f t="shared" si="100"/>
        <v>0</v>
      </c>
      <c r="R969" s="13">
        <f t="shared" si="101"/>
        <v>0</v>
      </c>
      <c r="S969" s="13">
        <f t="shared" si="102"/>
        <v>0</v>
      </c>
      <c r="T969" s="13">
        <f t="shared" si="103"/>
        <v>0</v>
      </c>
      <c r="U969" s="15" t="str">
        <f t="shared" si="104"/>
        <v/>
      </c>
    </row>
    <row r="970" spans="12:21" x14ac:dyDescent="0.25">
      <c r="L970" s="20">
        <f t="shared" si="99"/>
        <v>0</v>
      </c>
      <c r="M970" s="14" t="e">
        <f>VLOOKUP(G970,Sell!G:L,1,0)</f>
        <v>#N/A</v>
      </c>
      <c r="N970" s="14">
        <f>IFERROR(VLOOKUP(G970,Sell!G:L,2,0),0)</f>
        <v>0</v>
      </c>
      <c r="O970" s="13">
        <f>IFERROR(VLOOKUP(G970,Sell!G:L,6,0),0)</f>
        <v>0</v>
      </c>
      <c r="P970" s="14">
        <f t="shared" ref="P970:P1000" si="105">H970-N970</f>
        <v>0</v>
      </c>
      <c r="Q970" s="13">
        <f t="shared" si="100"/>
        <v>0</v>
      </c>
      <c r="R970" s="13">
        <f t="shared" si="101"/>
        <v>0</v>
      </c>
      <c r="S970" s="13">
        <f t="shared" si="102"/>
        <v>0</v>
      </c>
      <c r="T970" s="13">
        <f t="shared" si="103"/>
        <v>0</v>
      </c>
      <c r="U970" s="15" t="str">
        <f t="shared" si="104"/>
        <v/>
      </c>
    </row>
    <row r="971" spans="12:21" x14ac:dyDescent="0.25">
      <c r="L971" s="20">
        <f t="shared" ref="L971:L1000" si="106">J971+K971</f>
        <v>0</v>
      </c>
      <c r="M971" s="14" t="e">
        <f>VLOOKUP(G971,Sell!G:L,1,0)</f>
        <v>#N/A</v>
      </c>
      <c r="N971" s="14">
        <f>IFERROR(VLOOKUP(G971,Sell!G:L,2,0),0)</f>
        <v>0</v>
      </c>
      <c r="O971" s="13">
        <f>IFERROR(VLOOKUP(G971,Sell!G:L,6,0),0)</f>
        <v>0</v>
      </c>
      <c r="P971" s="14">
        <f t="shared" si="105"/>
        <v>0</v>
      </c>
      <c r="Q971" s="13">
        <f t="shared" ref="Q971:Q1000" si="107">O971-L971</f>
        <v>0</v>
      </c>
      <c r="R971" s="13">
        <f t="shared" ref="R971:R1000" si="108">IF(P971=0,Q971,0)</f>
        <v>0</v>
      </c>
      <c r="S971" s="13">
        <f t="shared" ref="S971:S1000" si="109">IF(R971&gt;0,R971,0)</f>
        <v>0</v>
      </c>
      <c r="T971" s="13">
        <f t="shared" ref="T971:T1000" si="110">IF(R971&gt;0,0,R971)</f>
        <v>0</v>
      </c>
      <c r="U971" s="15" t="str">
        <f t="shared" ref="U971:U1000" si="111">IF(AND(LEN(G971)&gt;0,R971=0),"Open","")</f>
        <v/>
      </c>
    </row>
    <row r="972" spans="12:21" x14ac:dyDescent="0.25">
      <c r="L972" s="20">
        <f t="shared" si="106"/>
        <v>0</v>
      </c>
      <c r="M972" s="14" t="e">
        <f>VLOOKUP(G972,Sell!G:L,1,0)</f>
        <v>#N/A</v>
      </c>
      <c r="N972" s="14">
        <f>IFERROR(VLOOKUP(G972,Sell!G:L,2,0),0)</f>
        <v>0</v>
      </c>
      <c r="O972" s="13">
        <f>IFERROR(VLOOKUP(G972,Sell!G:L,6,0),0)</f>
        <v>0</v>
      </c>
      <c r="P972" s="14">
        <f t="shared" si="105"/>
        <v>0</v>
      </c>
      <c r="Q972" s="13">
        <f t="shared" si="107"/>
        <v>0</v>
      </c>
      <c r="R972" s="13">
        <f t="shared" si="108"/>
        <v>0</v>
      </c>
      <c r="S972" s="13">
        <f t="shared" si="109"/>
        <v>0</v>
      </c>
      <c r="T972" s="13">
        <f t="shared" si="110"/>
        <v>0</v>
      </c>
      <c r="U972" s="15" t="str">
        <f t="shared" si="111"/>
        <v/>
      </c>
    </row>
    <row r="973" spans="12:21" x14ac:dyDescent="0.25">
      <c r="L973" s="20">
        <f t="shared" si="106"/>
        <v>0</v>
      </c>
      <c r="M973" s="14" t="e">
        <f>VLOOKUP(G973,Sell!G:L,1,0)</f>
        <v>#N/A</v>
      </c>
      <c r="N973" s="14">
        <f>IFERROR(VLOOKUP(G973,Sell!G:L,2,0),0)</f>
        <v>0</v>
      </c>
      <c r="O973" s="13">
        <f>IFERROR(VLOOKUP(G973,Sell!G:L,6,0),0)</f>
        <v>0</v>
      </c>
      <c r="P973" s="14">
        <f t="shared" si="105"/>
        <v>0</v>
      </c>
      <c r="Q973" s="13">
        <f t="shared" si="107"/>
        <v>0</v>
      </c>
      <c r="R973" s="13">
        <f t="shared" si="108"/>
        <v>0</v>
      </c>
      <c r="S973" s="13">
        <f t="shared" si="109"/>
        <v>0</v>
      </c>
      <c r="T973" s="13">
        <f t="shared" si="110"/>
        <v>0</v>
      </c>
      <c r="U973" s="15" t="str">
        <f t="shared" si="111"/>
        <v/>
      </c>
    </row>
    <row r="974" spans="12:21" x14ac:dyDescent="0.25">
      <c r="L974" s="20">
        <f t="shared" si="106"/>
        <v>0</v>
      </c>
      <c r="M974" s="14" t="e">
        <f>VLOOKUP(G974,Sell!G:L,1,0)</f>
        <v>#N/A</v>
      </c>
      <c r="N974" s="14">
        <f>IFERROR(VLOOKUP(G974,Sell!G:L,2,0),0)</f>
        <v>0</v>
      </c>
      <c r="O974" s="13">
        <f>IFERROR(VLOOKUP(G974,Sell!G:L,6,0),0)</f>
        <v>0</v>
      </c>
      <c r="P974" s="14">
        <f t="shared" si="105"/>
        <v>0</v>
      </c>
      <c r="Q974" s="13">
        <f t="shared" si="107"/>
        <v>0</v>
      </c>
      <c r="R974" s="13">
        <f t="shared" si="108"/>
        <v>0</v>
      </c>
      <c r="S974" s="13">
        <f t="shared" si="109"/>
        <v>0</v>
      </c>
      <c r="T974" s="13">
        <f t="shared" si="110"/>
        <v>0</v>
      </c>
      <c r="U974" s="15" t="str">
        <f t="shared" si="111"/>
        <v/>
      </c>
    </row>
    <row r="975" spans="12:21" x14ac:dyDescent="0.25">
      <c r="L975" s="20">
        <f t="shared" si="106"/>
        <v>0</v>
      </c>
      <c r="M975" s="14" t="e">
        <f>VLOOKUP(G975,Sell!G:L,1,0)</f>
        <v>#N/A</v>
      </c>
      <c r="N975" s="14">
        <f>IFERROR(VLOOKUP(G975,Sell!G:L,2,0),0)</f>
        <v>0</v>
      </c>
      <c r="O975" s="13">
        <f>IFERROR(VLOOKUP(G975,Sell!G:L,6,0),0)</f>
        <v>0</v>
      </c>
      <c r="P975" s="14">
        <f t="shared" si="105"/>
        <v>0</v>
      </c>
      <c r="Q975" s="13">
        <f t="shared" si="107"/>
        <v>0</v>
      </c>
      <c r="R975" s="13">
        <f t="shared" si="108"/>
        <v>0</v>
      </c>
      <c r="S975" s="13">
        <f t="shared" si="109"/>
        <v>0</v>
      </c>
      <c r="T975" s="13">
        <f t="shared" si="110"/>
        <v>0</v>
      </c>
      <c r="U975" s="15" t="str">
        <f t="shared" si="111"/>
        <v/>
      </c>
    </row>
    <row r="976" spans="12:21" x14ac:dyDescent="0.25">
      <c r="L976" s="20">
        <f t="shared" si="106"/>
        <v>0</v>
      </c>
      <c r="M976" s="14" t="e">
        <f>VLOOKUP(G976,Sell!G:L,1,0)</f>
        <v>#N/A</v>
      </c>
      <c r="N976" s="14">
        <f>IFERROR(VLOOKUP(G976,Sell!G:L,2,0),0)</f>
        <v>0</v>
      </c>
      <c r="O976" s="13">
        <f>IFERROR(VLOOKUP(G976,Sell!G:L,6,0),0)</f>
        <v>0</v>
      </c>
      <c r="P976" s="14">
        <f t="shared" si="105"/>
        <v>0</v>
      </c>
      <c r="Q976" s="13">
        <f t="shared" si="107"/>
        <v>0</v>
      </c>
      <c r="R976" s="13">
        <f t="shared" si="108"/>
        <v>0</v>
      </c>
      <c r="S976" s="13">
        <f t="shared" si="109"/>
        <v>0</v>
      </c>
      <c r="T976" s="13">
        <f t="shared" si="110"/>
        <v>0</v>
      </c>
      <c r="U976" s="15" t="str">
        <f t="shared" si="111"/>
        <v/>
      </c>
    </row>
    <row r="977" spans="12:21" x14ac:dyDescent="0.25">
      <c r="L977" s="20">
        <f t="shared" si="106"/>
        <v>0</v>
      </c>
      <c r="M977" s="14" t="e">
        <f>VLOOKUP(G977,Sell!G:L,1,0)</f>
        <v>#N/A</v>
      </c>
      <c r="N977" s="14">
        <f>IFERROR(VLOOKUP(G977,Sell!G:L,2,0),0)</f>
        <v>0</v>
      </c>
      <c r="O977" s="13">
        <f>IFERROR(VLOOKUP(G977,Sell!G:L,6,0),0)</f>
        <v>0</v>
      </c>
      <c r="P977" s="14">
        <f t="shared" si="105"/>
        <v>0</v>
      </c>
      <c r="Q977" s="13">
        <f t="shared" si="107"/>
        <v>0</v>
      </c>
      <c r="R977" s="13">
        <f t="shared" si="108"/>
        <v>0</v>
      </c>
      <c r="S977" s="13">
        <f t="shared" si="109"/>
        <v>0</v>
      </c>
      <c r="T977" s="13">
        <f t="shared" si="110"/>
        <v>0</v>
      </c>
      <c r="U977" s="15" t="str">
        <f t="shared" si="111"/>
        <v/>
      </c>
    </row>
    <row r="978" spans="12:21" x14ac:dyDescent="0.25">
      <c r="L978" s="20">
        <f t="shared" si="106"/>
        <v>0</v>
      </c>
      <c r="M978" s="14" t="e">
        <f>VLOOKUP(G978,Sell!G:L,1,0)</f>
        <v>#N/A</v>
      </c>
      <c r="N978" s="14">
        <f>IFERROR(VLOOKUP(G978,Sell!G:L,2,0),0)</f>
        <v>0</v>
      </c>
      <c r="O978" s="13">
        <f>IFERROR(VLOOKUP(G978,Sell!G:L,6,0),0)</f>
        <v>0</v>
      </c>
      <c r="P978" s="14">
        <f t="shared" si="105"/>
        <v>0</v>
      </c>
      <c r="Q978" s="13">
        <f t="shared" si="107"/>
        <v>0</v>
      </c>
      <c r="R978" s="13">
        <f t="shared" si="108"/>
        <v>0</v>
      </c>
      <c r="S978" s="13">
        <f t="shared" si="109"/>
        <v>0</v>
      </c>
      <c r="T978" s="13">
        <f t="shared" si="110"/>
        <v>0</v>
      </c>
      <c r="U978" s="15" t="str">
        <f t="shared" si="111"/>
        <v/>
      </c>
    </row>
    <row r="979" spans="12:21" x14ac:dyDescent="0.25">
      <c r="L979" s="20">
        <f t="shared" si="106"/>
        <v>0</v>
      </c>
      <c r="M979" s="14" t="e">
        <f>VLOOKUP(G979,Sell!G:L,1,0)</f>
        <v>#N/A</v>
      </c>
      <c r="N979" s="14">
        <f>IFERROR(VLOOKUP(G979,Sell!G:L,2,0),0)</f>
        <v>0</v>
      </c>
      <c r="O979" s="13">
        <f>IFERROR(VLOOKUP(G979,Sell!G:L,6,0),0)</f>
        <v>0</v>
      </c>
      <c r="P979" s="14">
        <f t="shared" si="105"/>
        <v>0</v>
      </c>
      <c r="Q979" s="13">
        <f t="shared" si="107"/>
        <v>0</v>
      </c>
      <c r="R979" s="13">
        <f t="shared" si="108"/>
        <v>0</v>
      </c>
      <c r="S979" s="13">
        <f t="shared" si="109"/>
        <v>0</v>
      </c>
      <c r="T979" s="13">
        <f t="shared" si="110"/>
        <v>0</v>
      </c>
      <c r="U979" s="15" t="str">
        <f t="shared" si="111"/>
        <v/>
      </c>
    </row>
    <row r="980" spans="12:21" x14ac:dyDescent="0.25">
      <c r="L980" s="20">
        <f t="shared" si="106"/>
        <v>0</v>
      </c>
      <c r="M980" s="14" t="e">
        <f>VLOOKUP(G980,Sell!G:L,1,0)</f>
        <v>#N/A</v>
      </c>
      <c r="N980" s="14">
        <f>IFERROR(VLOOKUP(G980,Sell!G:L,2,0),0)</f>
        <v>0</v>
      </c>
      <c r="O980" s="13">
        <f>IFERROR(VLOOKUP(G980,Sell!G:L,6,0),0)</f>
        <v>0</v>
      </c>
      <c r="P980" s="14">
        <f t="shared" si="105"/>
        <v>0</v>
      </c>
      <c r="Q980" s="13">
        <f t="shared" si="107"/>
        <v>0</v>
      </c>
      <c r="R980" s="13">
        <f t="shared" si="108"/>
        <v>0</v>
      </c>
      <c r="S980" s="13">
        <f t="shared" si="109"/>
        <v>0</v>
      </c>
      <c r="T980" s="13">
        <f t="shared" si="110"/>
        <v>0</v>
      </c>
      <c r="U980" s="15" t="str">
        <f t="shared" si="111"/>
        <v/>
      </c>
    </row>
    <row r="981" spans="12:21" x14ac:dyDescent="0.25">
      <c r="L981" s="20">
        <f t="shared" si="106"/>
        <v>0</v>
      </c>
      <c r="M981" s="14" t="e">
        <f>VLOOKUP(G981,Sell!G:L,1,0)</f>
        <v>#N/A</v>
      </c>
      <c r="N981" s="14">
        <f>IFERROR(VLOOKUP(G981,Sell!G:L,2,0),0)</f>
        <v>0</v>
      </c>
      <c r="O981" s="13">
        <f>IFERROR(VLOOKUP(G981,Sell!G:L,6,0),0)</f>
        <v>0</v>
      </c>
      <c r="P981" s="14">
        <f t="shared" si="105"/>
        <v>0</v>
      </c>
      <c r="Q981" s="13">
        <f t="shared" si="107"/>
        <v>0</v>
      </c>
      <c r="R981" s="13">
        <f t="shared" si="108"/>
        <v>0</v>
      </c>
      <c r="S981" s="13">
        <f t="shared" si="109"/>
        <v>0</v>
      </c>
      <c r="T981" s="13">
        <f t="shared" si="110"/>
        <v>0</v>
      </c>
      <c r="U981" s="15" t="str">
        <f t="shared" si="111"/>
        <v/>
      </c>
    </row>
    <row r="982" spans="12:21" x14ac:dyDescent="0.25">
      <c r="L982" s="20">
        <f t="shared" si="106"/>
        <v>0</v>
      </c>
      <c r="M982" s="14" t="e">
        <f>VLOOKUP(G982,Sell!G:L,1,0)</f>
        <v>#N/A</v>
      </c>
      <c r="N982" s="14">
        <f>IFERROR(VLOOKUP(G982,Sell!G:L,2,0),0)</f>
        <v>0</v>
      </c>
      <c r="O982" s="13">
        <f>IFERROR(VLOOKUP(G982,Sell!G:L,6,0),0)</f>
        <v>0</v>
      </c>
      <c r="P982" s="14">
        <f t="shared" si="105"/>
        <v>0</v>
      </c>
      <c r="Q982" s="13">
        <f t="shared" si="107"/>
        <v>0</v>
      </c>
      <c r="R982" s="13">
        <f t="shared" si="108"/>
        <v>0</v>
      </c>
      <c r="S982" s="13">
        <f t="shared" si="109"/>
        <v>0</v>
      </c>
      <c r="T982" s="13">
        <f t="shared" si="110"/>
        <v>0</v>
      </c>
      <c r="U982" s="15" t="str">
        <f t="shared" si="111"/>
        <v/>
      </c>
    </row>
    <row r="983" spans="12:21" x14ac:dyDescent="0.25">
      <c r="L983" s="20">
        <f t="shared" si="106"/>
        <v>0</v>
      </c>
      <c r="M983" s="14" t="e">
        <f>VLOOKUP(G983,Sell!G:L,1,0)</f>
        <v>#N/A</v>
      </c>
      <c r="N983" s="14">
        <f>IFERROR(VLOOKUP(G983,Sell!G:L,2,0),0)</f>
        <v>0</v>
      </c>
      <c r="O983" s="13">
        <f>IFERROR(VLOOKUP(G983,Sell!G:L,6,0),0)</f>
        <v>0</v>
      </c>
      <c r="P983" s="14">
        <f t="shared" si="105"/>
        <v>0</v>
      </c>
      <c r="Q983" s="13">
        <f t="shared" si="107"/>
        <v>0</v>
      </c>
      <c r="R983" s="13">
        <f t="shared" si="108"/>
        <v>0</v>
      </c>
      <c r="S983" s="13">
        <f t="shared" si="109"/>
        <v>0</v>
      </c>
      <c r="T983" s="13">
        <f t="shared" si="110"/>
        <v>0</v>
      </c>
      <c r="U983" s="15" t="str">
        <f t="shared" si="111"/>
        <v/>
      </c>
    </row>
    <row r="984" spans="12:21" x14ac:dyDescent="0.25">
      <c r="L984" s="20">
        <f t="shared" si="106"/>
        <v>0</v>
      </c>
      <c r="M984" s="14" t="e">
        <f>VLOOKUP(G984,Sell!G:L,1,0)</f>
        <v>#N/A</v>
      </c>
      <c r="N984" s="14">
        <f>IFERROR(VLOOKUP(G984,Sell!G:L,2,0),0)</f>
        <v>0</v>
      </c>
      <c r="O984" s="13">
        <f>IFERROR(VLOOKUP(G984,Sell!G:L,6,0),0)</f>
        <v>0</v>
      </c>
      <c r="P984" s="14">
        <f t="shared" si="105"/>
        <v>0</v>
      </c>
      <c r="Q984" s="13">
        <f t="shared" si="107"/>
        <v>0</v>
      </c>
      <c r="R984" s="13">
        <f t="shared" si="108"/>
        <v>0</v>
      </c>
      <c r="S984" s="13">
        <f t="shared" si="109"/>
        <v>0</v>
      </c>
      <c r="T984" s="13">
        <f t="shared" si="110"/>
        <v>0</v>
      </c>
      <c r="U984" s="15" t="str">
        <f t="shared" si="111"/>
        <v/>
      </c>
    </row>
    <row r="985" spans="12:21" x14ac:dyDescent="0.25">
      <c r="L985" s="20">
        <f t="shared" si="106"/>
        <v>0</v>
      </c>
      <c r="M985" s="14" t="e">
        <f>VLOOKUP(G985,Sell!G:L,1,0)</f>
        <v>#N/A</v>
      </c>
      <c r="N985" s="14">
        <f>IFERROR(VLOOKUP(G985,Sell!G:L,2,0),0)</f>
        <v>0</v>
      </c>
      <c r="O985" s="13">
        <f>IFERROR(VLOOKUP(G985,Sell!G:L,6,0),0)</f>
        <v>0</v>
      </c>
      <c r="P985" s="14">
        <f t="shared" si="105"/>
        <v>0</v>
      </c>
      <c r="Q985" s="13">
        <f t="shared" si="107"/>
        <v>0</v>
      </c>
      <c r="R985" s="13">
        <f t="shared" si="108"/>
        <v>0</v>
      </c>
      <c r="S985" s="13">
        <f t="shared" si="109"/>
        <v>0</v>
      </c>
      <c r="T985" s="13">
        <f t="shared" si="110"/>
        <v>0</v>
      </c>
      <c r="U985" s="15" t="str">
        <f t="shared" si="111"/>
        <v/>
      </c>
    </row>
    <row r="986" spans="12:21" x14ac:dyDescent="0.25">
      <c r="L986" s="20">
        <f t="shared" si="106"/>
        <v>0</v>
      </c>
      <c r="M986" s="14" t="e">
        <f>VLOOKUP(G986,Sell!G:L,1,0)</f>
        <v>#N/A</v>
      </c>
      <c r="N986" s="14">
        <f>IFERROR(VLOOKUP(G986,Sell!G:L,2,0),0)</f>
        <v>0</v>
      </c>
      <c r="O986" s="13">
        <f>IFERROR(VLOOKUP(G986,Sell!G:L,6,0),0)</f>
        <v>0</v>
      </c>
      <c r="P986" s="14">
        <f t="shared" si="105"/>
        <v>0</v>
      </c>
      <c r="Q986" s="13">
        <f t="shared" si="107"/>
        <v>0</v>
      </c>
      <c r="R986" s="13">
        <f t="shared" si="108"/>
        <v>0</v>
      </c>
      <c r="S986" s="13">
        <f t="shared" si="109"/>
        <v>0</v>
      </c>
      <c r="T986" s="13">
        <f t="shared" si="110"/>
        <v>0</v>
      </c>
      <c r="U986" s="15" t="str">
        <f t="shared" si="111"/>
        <v/>
      </c>
    </row>
    <row r="987" spans="12:21" x14ac:dyDescent="0.25">
      <c r="L987" s="20">
        <f t="shared" si="106"/>
        <v>0</v>
      </c>
      <c r="M987" s="14" t="e">
        <f>VLOOKUP(G987,Sell!G:L,1,0)</f>
        <v>#N/A</v>
      </c>
      <c r="N987" s="14">
        <f>IFERROR(VLOOKUP(G987,Sell!G:L,2,0),0)</f>
        <v>0</v>
      </c>
      <c r="O987" s="13">
        <f>IFERROR(VLOOKUP(G987,Sell!G:L,6,0),0)</f>
        <v>0</v>
      </c>
      <c r="P987" s="14">
        <f t="shared" si="105"/>
        <v>0</v>
      </c>
      <c r="Q987" s="13">
        <f t="shared" si="107"/>
        <v>0</v>
      </c>
      <c r="R987" s="13">
        <f t="shared" si="108"/>
        <v>0</v>
      </c>
      <c r="S987" s="13">
        <f t="shared" si="109"/>
        <v>0</v>
      </c>
      <c r="T987" s="13">
        <f t="shared" si="110"/>
        <v>0</v>
      </c>
      <c r="U987" s="15" t="str">
        <f t="shared" si="111"/>
        <v/>
      </c>
    </row>
    <row r="988" spans="12:21" x14ac:dyDescent="0.25">
      <c r="L988" s="20">
        <f t="shared" si="106"/>
        <v>0</v>
      </c>
      <c r="M988" s="14" t="e">
        <f>VLOOKUP(G988,Sell!G:L,1,0)</f>
        <v>#N/A</v>
      </c>
      <c r="N988" s="14">
        <f>IFERROR(VLOOKUP(G988,Sell!G:L,2,0),0)</f>
        <v>0</v>
      </c>
      <c r="O988" s="13">
        <f>IFERROR(VLOOKUP(G988,Sell!G:L,6,0),0)</f>
        <v>0</v>
      </c>
      <c r="P988" s="14">
        <f t="shared" si="105"/>
        <v>0</v>
      </c>
      <c r="Q988" s="13">
        <f t="shared" si="107"/>
        <v>0</v>
      </c>
      <c r="R988" s="13">
        <f t="shared" si="108"/>
        <v>0</v>
      </c>
      <c r="S988" s="13">
        <f t="shared" si="109"/>
        <v>0</v>
      </c>
      <c r="T988" s="13">
        <f t="shared" si="110"/>
        <v>0</v>
      </c>
      <c r="U988" s="15" t="str">
        <f t="shared" si="111"/>
        <v/>
      </c>
    </row>
    <row r="989" spans="12:21" x14ac:dyDescent="0.25">
      <c r="L989" s="20">
        <f t="shared" si="106"/>
        <v>0</v>
      </c>
      <c r="M989" s="14" t="e">
        <f>VLOOKUP(G989,Sell!G:L,1,0)</f>
        <v>#N/A</v>
      </c>
      <c r="N989" s="14">
        <f>IFERROR(VLOOKUP(G989,Sell!G:L,2,0),0)</f>
        <v>0</v>
      </c>
      <c r="O989" s="13">
        <f>IFERROR(VLOOKUP(G989,Sell!G:L,6,0),0)</f>
        <v>0</v>
      </c>
      <c r="P989" s="14">
        <f t="shared" si="105"/>
        <v>0</v>
      </c>
      <c r="Q989" s="13">
        <f t="shared" si="107"/>
        <v>0</v>
      </c>
      <c r="R989" s="13">
        <f t="shared" si="108"/>
        <v>0</v>
      </c>
      <c r="S989" s="13">
        <f t="shared" si="109"/>
        <v>0</v>
      </c>
      <c r="T989" s="13">
        <f t="shared" si="110"/>
        <v>0</v>
      </c>
      <c r="U989" s="15" t="str">
        <f t="shared" si="111"/>
        <v/>
      </c>
    </row>
    <row r="990" spans="12:21" x14ac:dyDescent="0.25">
      <c r="L990" s="20">
        <f t="shared" si="106"/>
        <v>0</v>
      </c>
      <c r="M990" s="14" t="e">
        <f>VLOOKUP(G990,Sell!G:L,1,0)</f>
        <v>#N/A</v>
      </c>
      <c r="N990" s="14">
        <f>IFERROR(VLOOKUP(G990,Sell!G:L,2,0),0)</f>
        <v>0</v>
      </c>
      <c r="O990" s="13">
        <f>IFERROR(VLOOKUP(G990,Sell!G:L,6,0),0)</f>
        <v>0</v>
      </c>
      <c r="P990" s="14">
        <f t="shared" si="105"/>
        <v>0</v>
      </c>
      <c r="Q990" s="13">
        <f t="shared" si="107"/>
        <v>0</v>
      </c>
      <c r="R990" s="13">
        <f t="shared" si="108"/>
        <v>0</v>
      </c>
      <c r="S990" s="13">
        <f t="shared" si="109"/>
        <v>0</v>
      </c>
      <c r="T990" s="13">
        <f t="shared" si="110"/>
        <v>0</v>
      </c>
      <c r="U990" s="15" t="str">
        <f t="shared" si="111"/>
        <v/>
      </c>
    </row>
    <row r="991" spans="12:21" x14ac:dyDescent="0.25">
      <c r="L991" s="20">
        <f t="shared" si="106"/>
        <v>0</v>
      </c>
      <c r="M991" s="14" t="e">
        <f>VLOOKUP(G991,Sell!G:L,1,0)</f>
        <v>#N/A</v>
      </c>
      <c r="N991" s="14">
        <f>IFERROR(VLOOKUP(G991,Sell!G:L,2,0),0)</f>
        <v>0</v>
      </c>
      <c r="O991" s="13">
        <f>IFERROR(VLOOKUP(G991,Sell!G:L,6,0),0)</f>
        <v>0</v>
      </c>
      <c r="P991" s="14">
        <f t="shared" si="105"/>
        <v>0</v>
      </c>
      <c r="Q991" s="13">
        <f t="shared" si="107"/>
        <v>0</v>
      </c>
      <c r="R991" s="13">
        <f t="shared" si="108"/>
        <v>0</v>
      </c>
      <c r="S991" s="13">
        <f t="shared" si="109"/>
        <v>0</v>
      </c>
      <c r="T991" s="13">
        <f t="shared" si="110"/>
        <v>0</v>
      </c>
      <c r="U991" s="15" t="str">
        <f t="shared" si="111"/>
        <v/>
      </c>
    </row>
    <row r="992" spans="12:21" x14ac:dyDescent="0.25">
      <c r="L992" s="20">
        <f t="shared" si="106"/>
        <v>0</v>
      </c>
      <c r="M992" s="14" t="e">
        <f>VLOOKUP(G992,Sell!G:L,1,0)</f>
        <v>#N/A</v>
      </c>
      <c r="N992" s="14">
        <f>IFERROR(VLOOKUP(G992,Sell!G:L,2,0),0)</f>
        <v>0</v>
      </c>
      <c r="O992" s="13">
        <f>IFERROR(VLOOKUP(G992,Sell!G:L,6,0),0)</f>
        <v>0</v>
      </c>
      <c r="P992" s="14">
        <f t="shared" si="105"/>
        <v>0</v>
      </c>
      <c r="Q992" s="13">
        <f t="shared" si="107"/>
        <v>0</v>
      </c>
      <c r="R992" s="13">
        <f t="shared" si="108"/>
        <v>0</v>
      </c>
      <c r="S992" s="13">
        <f t="shared" si="109"/>
        <v>0</v>
      </c>
      <c r="T992" s="13">
        <f t="shared" si="110"/>
        <v>0</v>
      </c>
      <c r="U992" s="15" t="str">
        <f t="shared" si="111"/>
        <v/>
      </c>
    </row>
    <row r="993" spans="12:21" x14ac:dyDescent="0.25">
      <c r="L993" s="20">
        <f t="shared" si="106"/>
        <v>0</v>
      </c>
      <c r="M993" s="14" t="e">
        <f>VLOOKUP(G993,Sell!G:L,1,0)</f>
        <v>#N/A</v>
      </c>
      <c r="N993" s="14">
        <f>IFERROR(VLOOKUP(G993,Sell!G:L,2,0),0)</f>
        <v>0</v>
      </c>
      <c r="O993" s="13">
        <f>IFERROR(VLOOKUP(G993,Sell!G:L,6,0),0)</f>
        <v>0</v>
      </c>
      <c r="P993" s="14">
        <f t="shared" si="105"/>
        <v>0</v>
      </c>
      <c r="Q993" s="13">
        <f t="shared" si="107"/>
        <v>0</v>
      </c>
      <c r="R993" s="13">
        <f t="shared" si="108"/>
        <v>0</v>
      </c>
      <c r="S993" s="13">
        <f t="shared" si="109"/>
        <v>0</v>
      </c>
      <c r="T993" s="13">
        <f t="shared" si="110"/>
        <v>0</v>
      </c>
      <c r="U993" s="15" t="str">
        <f t="shared" si="111"/>
        <v/>
      </c>
    </row>
    <row r="994" spans="12:21" x14ac:dyDescent="0.25">
      <c r="L994" s="20">
        <f t="shared" si="106"/>
        <v>0</v>
      </c>
      <c r="M994" s="14" t="e">
        <f>VLOOKUP(G994,Sell!G:L,1,0)</f>
        <v>#N/A</v>
      </c>
      <c r="N994" s="14">
        <f>IFERROR(VLOOKUP(G994,Sell!G:L,2,0),0)</f>
        <v>0</v>
      </c>
      <c r="O994" s="13">
        <f>IFERROR(VLOOKUP(G994,Sell!G:L,6,0),0)</f>
        <v>0</v>
      </c>
      <c r="P994" s="14">
        <f t="shared" si="105"/>
        <v>0</v>
      </c>
      <c r="Q994" s="13">
        <f t="shared" si="107"/>
        <v>0</v>
      </c>
      <c r="R994" s="13">
        <f t="shared" si="108"/>
        <v>0</v>
      </c>
      <c r="S994" s="13">
        <f t="shared" si="109"/>
        <v>0</v>
      </c>
      <c r="T994" s="13">
        <f t="shared" si="110"/>
        <v>0</v>
      </c>
      <c r="U994" s="15" t="str">
        <f t="shared" si="111"/>
        <v/>
      </c>
    </row>
    <row r="995" spans="12:21" x14ac:dyDescent="0.25">
      <c r="L995" s="20">
        <f t="shared" si="106"/>
        <v>0</v>
      </c>
      <c r="M995" s="14" t="e">
        <f>VLOOKUP(G995,Sell!G:L,1,0)</f>
        <v>#N/A</v>
      </c>
      <c r="N995" s="14">
        <f>IFERROR(VLOOKUP(G995,Sell!G:L,2,0),0)</f>
        <v>0</v>
      </c>
      <c r="O995" s="13">
        <f>IFERROR(VLOOKUP(G995,Sell!G:L,6,0),0)</f>
        <v>0</v>
      </c>
      <c r="P995" s="14">
        <f t="shared" si="105"/>
        <v>0</v>
      </c>
      <c r="Q995" s="13">
        <f t="shared" si="107"/>
        <v>0</v>
      </c>
      <c r="R995" s="13">
        <f t="shared" si="108"/>
        <v>0</v>
      </c>
      <c r="S995" s="13">
        <f t="shared" si="109"/>
        <v>0</v>
      </c>
      <c r="T995" s="13">
        <f t="shared" si="110"/>
        <v>0</v>
      </c>
      <c r="U995" s="15" t="str">
        <f t="shared" si="111"/>
        <v/>
      </c>
    </row>
    <row r="996" spans="12:21" x14ac:dyDescent="0.25">
      <c r="L996" s="20">
        <f t="shared" si="106"/>
        <v>0</v>
      </c>
      <c r="M996" s="14" t="e">
        <f>VLOOKUP(G996,Sell!G:L,1,0)</f>
        <v>#N/A</v>
      </c>
      <c r="N996" s="14">
        <f>IFERROR(VLOOKUP(G996,Sell!G:L,2,0),0)</f>
        <v>0</v>
      </c>
      <c r="O996" s="13">
        <f>IFERROR(VLOOKUP(G996,Sell!G:L,6,0),0)</f>
        <v>0</v>
      </c>
      <c r="P996" s="14">
        <f t="shared" si="105"/>
        <v>0</v>
      </c>
      <c r="Q996" s="13">
        <f t="shared" si="107"/>
        <v>0</v>
      </c>
      <c r="R996" s="13">
        <f t="shared" si="108"/>
        <v>0</v>
      </c>
      <c r="S996" s="13">
        <f t="shared" si="109"/>
        <v>0</v>
      </c>
      <c r="T996" s="13">
        <f t="shared" si="110"/>
        <v>0</v>
      </c>
      <c r="U996" s="15" t="str">
        <f t="shared" si="111"/>
        <v/>
      </c>
    </row>
    <row r="997" spans="12:21" x14ac:dyDescent="0.25">
      <c r="L997" s="20">
        <f t="shared" si="106"/>
        <v>0</v>
      </c>
      <c r="M997" s="14" t="e">
        <f>VLOOKUP(G997,Sell!G:L,1,0)</f>
        <v>#N/A</v>
      </c>
      <c r="N997" s="14">
        <f>IFERROR(VLOOKUP(G997,Sell!G:L,2,0),0)</f>
        <v>0</v>
      </c>
      <c r="O997" s="13">
        <f>IFERROR(VLOOKUP(G997,Sell!G:L,6,0),0)</f>
        <v>0</v>
      </c>
      <c r="P997" s="14">
        <f t="shared" si="105"/>
        <v>0</v>
      </c>
      <c r="Q997" s="13">
        <f t="shared" si="107"/>
        <v>0</v>
      </c>
      <c r="R997" s="13">
        <f t="shared" si="108"/>
        <v>0</v>
      </c>
      <c r="S997" s="13">
        <f t="shared" si="109"/>
        <v>0</v>
      </c>
      <c r="T997" s="13">
        <f t="shared" si="110"/>
        <v>0</v>
      </c>
      <c r="U997" s="15" t="str">
        <f t="shared" si="111"/>
        <v/>
      </c>
    </row>
    <row r="998" spans="12:21" x14ac:dyDescent="0.25">
      <c r="L998" s="20">
        <f t="shared" si="106"/>
        <v>0</v>
      </c>
      <c r="M998" s="14" t="e">
        <f>VLOOKUP(G998,Sell!G:L,1,0)</f>
        <v>#N/A</v>
      </c>
      <c r="N998" s="14">
        <f>IFERROR(VLOOKUP(G998,Sell!G:L,2,0),0)</f>
        <v>0</v>
      </c>
      <c r="O998" s="13">
        <f>IFERROR(VLOOKUP(G998,Sell!G:L,6,0),0)</f>
        <v>0</v>
      </c>
      <c r="P998" s="14">
        <f t="shared" si="105"/>
        <v>0</v>
      </c>
      <c r="Q998" s="13">
        <f t="shared" si="107"/>
        <v>0</v>
      </c>
      <c r="R998" s="13">
        <f t="shared" si="108"/>
        <v>0</v>
      </c>
      <c r="S998" s="13">
        <f t="shared" si="109"/>
        <v>0</v>
      </c>
      <c r="T998" s="13">
        <f t="shared" si="110"/>
        <v>0</v>
      </c>
      <c r="U998" s="15" t="str">
        <f t="shared" si="111"/>
        <v/>
      </c>
    </row>
    <row r="999" spans="12:21" x14ac:dyDescent="0.25">
      <c r="L999" s="20">
        <f t="shared" si="106"/>
        <v>0</v>
      </c>
      <c r="M999" s="14" t="e">
        <f>VLOOKUP(G999,Sell!G:L,1,0)</f>
        <v>#N/A</v>
      </c>
      <c r="N999" s="14">
        <f>IFERROR(VLOOKUP(G999,Sell!G:L,2,0),0)</f>
        <v>0</v>
      </c>
      <c r="O999" s="13">
        <f>IFERROR(VLOOKUP(G999,Sell!G:L,6,0),0)</f>
        <v>0</v>
      </c>
      <c r="P999" s="14">
        <f t="shared" si="105"/>
        <v>0</v>
      </c>
      <c r="Q999" s="13">
        <f t="shared" si="107"/>
        <v>0</v>
      </c>
      <c r="R999" s="13">
        <f t="shared" si="108"/>
        <v>0</v>
      </c>
      <c r="S999" s="13">
        <f t="shared" si="109"/>
        <v>0</v>
      </c>
      <c r="T999" s="13">
        <f t="shared" si="110"/>
        <v>0</v>
      </c>
      <c r="U999" s="15" t="str">
        <f t="shared" si="111"/>
        <v/>
      </c>
    </row>
    <row r="1000" spans="12:21" x14ac:dyDescent="0.25">
      <c r="L1000" s="20">
        <f t="shared" si="106"/>
        <v>0</v>
      </c>
      <c r="M1000" s="14" t="e">
        <f>VLOOKUP(G1000,Sell!G:L,1,0)</f>
        <v>#N/A</v>
      </c>
      <c r="N1000" s="14">
        <f>IFERROR(VLOOKUP(G1000,Sell!G:L,2,0),0)</f>
        <v>0</v>
      </c>
      <c r="O1000" s="13">
        <f>IFERROR(VLOOKUP(G1000,Sell!G:L,6,0),0)</f>
        <v>0</v>
      </c>
      <c r="P1000" s="14">
        <f t="shared" si="105"/>
        <v>0</v>
      </c>
      <c r="Q1000" s="13">
        <f t="shared" si="107"/>
        <v>0</v>
      </c>
      <c r="R1000" s="13">
        <f t="shared" si="108"/>
        <v>0</v>
      </c>
      <c r="S1000" s="13">
        <f t="shared" si="109"/>
        <v>0</v>
      </c>
      <c r="T1000" s="13">
        <f t="shared" si="110"/>
        <v>0</v>
      </c>
      <c r="U1000" s="15" t="str">
        <f t="shared" si="111"/>
        <v/>
      </c>
    </row>
  </sheetData>
  <mergeCells count="2">
    <mergeCell ref="M8:O8"/>
    <mergeCell ref="P8:U8"/>
  </mergeCells>
  <conditionalFormatting sqref="R4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opLeftCell="A91" workbookViewId="0">
      <selection activeCell="G118" sqref="G118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12" bestFit="1" customWidth="1"/>
    <col min="4" max="4" width="18.42578125" bestFit="1" customWidth="1"/>
    <col min="5" max="5" width="26.42578125" bestFit="1" customWidth="1"/>
    <col min="7" max="7" width="11.28515625" bestFit="1" customWidth="1"/>
    <col min="8" max="8" width="10.7109375" bestFit="1" customWidth="1"/>
    <col min="9" max="9" width="12" bestFit="1" customWidth="1"/>
    <col min="10" max="10" width="18.42578125" bestFit="1" customWidth="1"/>
    <col min="11" max="11" width="26.42578125" bestFit="1" customWidth="1"/>
  </cols>
  <sheetData>
    <row r="1" spans="1:12" x14ac:dyDescent="0.25">
      <c r="A1" s="1" t="s">
        <v>2</v>
      </c>
      <c r="B1" s="25" t="s">
        <v>23</v>
      </c>
    </row>
    <row r="3" spans="1:12" x14ac:dyDescent="0.25">
      <c r="B3" s="1" t="s">
        <v>157</v>
      </c>
      <c r="G3" s="4"/>
      <c r="H3" s="4" t="s">
        <v>157</v>
      </c>
      <c r="I3" s="4"/>
      <c r="J3" s="4"/>
      <c r="K3" s="4"/>
    </row>
    <row r="4" spans="1:12" x14ac:dyDescent="0.25">
      <c r="A4" s="1" t="s">
        <v>154</v>
      </c>
      <c r="B4" s="25" t="s">
        <v>159</v>
      </c>
      <c r="C4" s="25" t="s">
        <v>160</v>
      </c>
      <c r="D4" s="25" t="s">
        <v>156</v>
      </c>
      <c r="E4" s="25" t="s">
        <v>158</v>
      </c>
      <c r="G4" s="5" t="s">
        <v>154</v>
      </c>
      <c r="H4" s="5" t="s">
        <v>159</v>
      </c>
      <c r="I4" s="5" t="s">
        <v>160</v>
      </c>
      <c r="J4" s="5" t="s">
        <v>156</v>
      </c>
      <c r="K4" s="5" t="s">
        <v>158</v>
      </c>
      <c r="L4" s="9" t="s">
        <v>165</v>
      </c>
    </row>
    <row r="5" spans="1:12" x14ac:dyDescent="0.25">
      <c r="A5" s="2" t="s">
        <v>54</v>
      </c>
      <c r="B5" s="3">
        <v>100</v>
      </c>
      <c r="C5" s="3">
        <v>373</v>
      </c>
      <c r="D5" s="3">
        <v>37300</v>
      </c>
      <c r="E5" s="3">
        <v>278.15089999999998</v>
      </c>
      <c r="G5" s="2" t="s">
        <v>54</v>
      </c>
      <c r="H5" s="3">
        <v>100</v>
      </c>
      <c r="I5" s="3">
        <v>373</v>
      </c>
      <c r="J5" s="3">
        <v>37300</v>
      </c>
      <c r="K5" s="3">
        <v>278.15089999999998</v>
      </c>
      <c r="L5" s="8">
        <f>J5-K5</f>
        <v>37021.849099999999</v>
      </c>
    </row>
    <row r="6" spans="1:12" x14ac:dyDescent="0.25">
      <c r="A6" s="2" t="s">
        <v>100</v>
      </c>
      <c r="B6" s="3">
        <v>20950</v>
      </c>
      <c r="C6" s="3">
        <v>1346.24</v>
      </c>
      <c r="D6" s="3">
        <v>2012879.8</v>
      </c>
      <c r="E6" s="3">
        <v>2031.7755</v>
      </c>
      <c r="G6" s="2" t="s">
        <v>100</v>
      </c>
      <c r="H6" s="3">
        <v>20950</v>
      </c>
      <c r="I6" s="3">
        <v>1346.24</v>
      </c>
      <c r="J6" s="3">
        <v>2012879.8</v>
      </c>
      <c r="K6" s="3">
        <v>2031.7755</v>
      </c>
      <c r="L6" s="8">
        <f t="shared" ref="L6:L69" si="0">J6-K6</f>
        <v>2010848.0245000001</v>
      </c>
    </row>
    <row r="7" spans="1:12" x14ac:dyDescent="0.25">
      <c r="A7" s="2" t="s">
        <v>98</v>
      </c>
      <c r="B7" s="3">
        <v>5349</v>
      </c>
      <c r="C7" s="3">
        <v>182.81</v>
      </c>
      <c r="D7" s="3">
        <v>145972.75</v>
      </c>
      <c r="E7" s="3">
        <v>332.25009999999997</v>
      </c>
      <c r="G7" s="2" t="s">
        <v>98</v>
      </c>
      <c r="H7" s="3">
        <v>5349</v>
      </c>
      <c r="I7" s="3">
        <v>182.81</v>
      </c>
      <c r="J7" s="3">
        <v>145972.75</v>
      </c>
      <c r="K7" s="3">
        <v>332.25009999999997</v>
      </c>
      <c r="L7" s="8">
        <f t="shared" si="0"/>
        <v>145640.4999</v>
      </c>
    </row>
    <row r="8" spans="1:12" x14ac:dyDescent="0.25">
      <c r="A8" s="2" t="s">
        <v>26</v>
      </c>
      <c r="B8" s="3">
        <v>13139</v>
      </c>
      <c r="C8" s="3">
        <v>2026.9799999999998</v>
      </c>
      <c r="D8" s="3">
        <v>1703019.5999999999</v>
      </c>
      <c r="E8" s="3">
        <v>3889.2426</v>
      </c>
      <c r="G8" s="2" t="s">
        <v>26</v>
      </c>
      <c r="H8" s="3">
        <v>13139</v>
      </c>
      <c r="I8" s="3">
        <v>2026.9799999999998</v>
      </c>
      <c r="J8" s="3">
        <v>1703019.5999999999</v>
      </c>
      <c r="K8" s="3">
        <v>3889.2426</v>
      </c>
      <c r="L8" s="8">
        <f t="shared" si="0"/>
        <v>1699130.3573999999</v>
      </c>
    </row>
    <row r="9" spans="1:12" x14ac:dyDescent="0.25">
      <c r="A9" s="2" t="s">
        <v>29</v>
      </c>
      <c r="B9" s="3">
        <v>25325</v>
      </c>
      <c r="C9" s="3">
        <v>145.36000000000001</v>
      </c>
      <c r="D9" s="3">
        <v>421590</v>
      </c>
      <c r="E9" s="3">
        <v>2132.6961999999999</v>
      </c>
      <c r="G9" s="2" t="s">
        <v>29</v>
      </c>
      <c r="H9" s="3">
        <v>25325</v>
      </c>
      <c r="I9" s="3">
        <v>145.36000000000001</v>
      </c>
      <c r="J9" s="3">
        <v>421590</v>
      </c>
      <c r="K9" s="3">
        <v>2132.6961999999999</v>
      </c>
      <c r="L9" s="8">
        <f t="shared" si="0"/>
        <v>419457.30379999999</v>
      </c>
    </row>
    <row r="10" spans="1:12" x14ac:dyDescent="0.25">
      <c r="A10" s="2" t="s">
        <v>119</v>
      </c>
      <c r="B10" s="3">
        <v>500</v>
      </c>
      <c r="C10" s="3">
        <v>81</v>
      </c>
      <c r="D10" s="3">
        <v>40500</v>
      </c>
      <c r="E10" s="3">
        <v>299.58800000000002</v>
      </c>
      <c r="G10" s="2" t="s">
        <v>119</v>
      </c>
      <c r="H10" s="3">
        <v>500</v>
      </c>
      <c r="I10" s="3">
        <v>81</v>
      </c>
      <c r="J10" s="3">
        <v>40500</v>
      </c>
      <c r="K10" s="3">
        <v>299.58800000000002</v>
      </c>
      <c r="L10" s="8">
        <f t="shared" si="0"/>
        <v>40200.411999999997</v>
      </c>
    </row>
    <row r="11" spans="1:12" x14ac:dyDescent="0.25">
      <c r="A11" s="2" t="s">
        <v>74</v>
      </c>
      <c r="B11" s="3">
        <v>300</v>
      </c>
      <c r="C11" s="3">
        <v>2702</v>
      </c>
      <c r="D11" s="3">
        <v>270200</v>
      </c>
      <c r="E11" s="3">
        <v>1003.6591999999999</v>
      </c>
      <c r="G11" s="2" t="s">
        <v>74</v>
      </c>
      <c r="H11" s="3">
        <v>300</v>
      </c>
      <c r="I11" s="3">
        <v>2702</v>
      </c>
      <c r="J11" s="3">
        <v>270200</v>
      </c>
      <c r="K11" s="3">
        <v>1003.6591999999999</v>
      </c>
      <c r="L11" s="8">
        <f t="shared" si="0"/>
        <v>269196.34080000001</v>
      </c>
    </row>
    <row r="12" spans="1:12" x14ac:dyDescent="0.25">
      <c r="A12" s="2" t="s">
        <v>115</v>
      </c>
      <c r="B12" s="3">
        <v>500</v>
      </c>
      <c r="C12" s="3">
        <v>83.5</v>
      </c>
      <c r="D12" s="3">
        <v>41750</v>
      </c>
      <c r="E12" s="3">
        <v>305.56270000000001</v>
      </c>
      <c r="G12" s="2" t="s">
        <v>115</v>
      </c>
      <c r="H12" s="3">
        <v>500</v>
      </c>
      <c r="I12" s="3">
        <v>83.5</v>
      </c>
      <c r="J12" s="3">
        <v>41750</v>
      </c>
      <c r="K12" s="3">
        <v>305.56270000000001</v>
      </c>
      <c r="L12" s="8">
        <f t="shared" si="0"/>
        <v>41444.437299999998</v>
      </c>
    </row>
    <row r="13" spans="1:12" x14ac:dyDescent="0.25">
      <c r="A13" s="2" t="s">
        <v>89</v>
      </c>
      <c r="B13" s="3">
        <v>3000</v>
      </c>
      <c r="C13" s="3">
        <v>23.4</v>
      </c>
      <c r="D13" s="3">
        <v>33750</v>
      </c>
      <c r="E13" s="3">
        <v>250.9846</v>
      </c>
      <c r="G13" s="2" t="s">
        <v>89</v>
      </c>
      <c r="H13" s="3">
        <v>3000</v>
      </c>
      <c r="I13" s="3">
        <v>23.4</v>
      </c>
      <c r="J13" s="3">
        <v>33750</v>
      </c>
      <c r="K13" s="3">
        <v>250.9846</v>
      </c>
      <c r="L13" s="8">
        <f t="shared" si="0"/>
        <v>33499.015399999997</v>
      </c>
    </row>
    <row r="14" spans="1:12" x14ac:dyDescent="0.25">
      <c r="A14" s="2" t="s">
        <v>51</v>
      </c>
      <c r="B14" s="3">
        <v>1381</v>
      </c>
      <c r="C14" s="3">
        <v>1615.44</v>
      </c>
      <c r="D14" s="3">
        <v>424303.55</v>
      </c>
      <c r="E14" s="3">
        <v>832.78390000000002</v>
      </c>
      <c r="G14" s="2" t="s">
        <v>51</v>
      </c>
      <c r="H14" s="3">
        <v>1381</v>
      </c>
      <c r="I14" s="3">
        <v>1615.44</v>
      </c>
      <c r="J14" s="3">
        <v>424303.55</v>
      </c>
      <c r="K14" s="3">
        <v>832.78390000000002</v>
      </c>
      <c r="L14" s="8">
        <f t="shared" si="0"/>
        <v>423470.76610000001</v>
      </c>
    </row>
    <row r="15" spans="1:12" x14ac:dyDescent="0.25">
      <c r="A15" s="2" t="s">
        <v>22</v>
      </c>
      <c r="B15" s="3">
        <v>1000</v>
      </c>
      <c r="C15" s="3">
        <v>71.349999999999994</v>
      </c>
      <c r="D15" s="3">
        <v>71345.05</v>
      </c>
      <c r="E15" s="3">
        <v>539.16869999999994</v>
      </c>
      <c r="G15" s="2" t="s">
        <v>22</v>
      </c>
      <c r="H15" s="3">
        <v>1000</v>
      </c>
      <c r="I15" s="3">
        <v>71.349999999999994</v>
      </c>
      <c r="J15" s="3">
        <v>71345.05</v>
      </c>
      <c r="K15" s="3">
        <v>539.16869999999994</v>
      </c>
      <c r="L15" s="8">
        <f t="shared" si="0"/>
        <v>70805.881300000008</v>
      </c>
    </row>
    <row r="16" spans="1:12" x14ac:dyDescent="0.25">
      <c r="A16" s="2" t="s">
        <v>131</v>
      </c>
      <c r="B16" s="3">
        <v>3000</v>
      </c>
      <c r="C16" s="3">
        <v>14.6</v>
      </c>
      <c r="D16" s="3">
        <v>21200</v>
      </c>
      <c r="E16" s="3">
        <v>188.14319999999998</v>
      </c>
      <c r="G16" s="2" t="s">
        <v>131</v>
      </c>
      <c r="H16" s="3">
        <v>3000</v>
      </c>
      <c r="I16" s="3">
        <v>14.6</v>
      </c>
      <c r="J16" s="3">
        <v>21200</v>
      </c>
      <c r="K16" s="3">
        <v>188.14319999999998</v>
      </c>
      <c r="L16" s="8">
        <f t="shared" si="0"/>
        <v>21011.856800000001</v>
      </c>
    </row>
    <row r="17" spans="1:12" x14ac:dyDescent="0.25">
      <c r="A17" s="2" t="s">
        <v>16</v>
      </c>
      <c r="B17" s="3">
        <v>48250</v>
      </c>
      <c r="C17" s="3">
        <v>1002.0700000000002</v>
      </c>
      <c r="D17" s="3">
        <v>1677881.8</v>
      </c>
      <c r="E17" s="3">
        <v>3268.6951000000004</v>
      </c>
      <c r="G17" s="2" t="s">
        <v>16</v>
      </c>
      <c r="H17" s="3">
        <v>48250</v>
      </c>
      <c r="I17" s="3">
        <v>1002.0700000000002</v>
      </c>
      <c r="J17" s="3">
        <v>1677881.8</v>
      </c>
      <c r="K17" s="3">
        <v>3268.6951000000004</v>
      </c>
      <c r="L17" s="8">
        <f t="shared" si="0"/>
        <v>1674613.1049000002</v>
      </c>
    </row>
    <row r="18" spans="1:12" x14ac:dyDescent="0.25">
      <c r="A18" s="2" t="s">
        <v>46</v>
      </c>
      <c r="B18" s="3">
        <v>100</v>
      </c>
      <c r="C18" s="3">
        <v>97.5</v>
      </c>
      <c r="D18" s="3">
        <v>9750</v>
      </c>
      <c r="E18" s="3">
        <v>79.5017</v>
      </c>
      <c r="G18" s="2" t="s">
        <v>46</v>
      </c>
      <c r="H18" s="3">
        <v>100</v>
      </c>
      <c r="I18" s="3">
        <v>97.5</v>
      </c>
      <c r="J18" s="3">
        <v>9750</v>
      </c>
      <c r="K18" s="3">
        <v>79.5017</v>
      </c>
      <c r="L18" s="8">
        <f t="shared" si="0"/>
        <v>9670.4982999999993</v>
      </c>
    </row>
    <row r="19" spans="1:12" x14ac:dyDescent="0.25">
      <c r="A19" s="2" t="s">
        <v>56</v>
      </c>
      <c r="B19" s="3">
        <v>1920</v>
      </c>
      <c r="C19" s="3">
        <v>6358.36</v>
      </c>
      <c r="D19" s="3">
        <v>1728108.3499999999</v>
      </c>
      <c r="E19" s="3">
        <v>2378.8755000000001</v>
      </c>
      <c r="G19" s="2" t="s">
        <v>56</v>
      </c>
      <c r="H19" s="3">
        <v>1920</v>
      </c>
      <c r="I19" s="3">
        <v>6358.36</v>
      </c>
      <c r="J19" s="3">
        <v>1728108.3499999999</v>
      </c>
      <c r="K19" s="3">
        <v>2378.8755000000001</v>
      </c>
      <c r="L19" s="8">
        <f t="shared" si="0"/>
        <v>1725729.4744999998</v>
      </c>
    </row>
    <row r="20" spans="1:12" x14ac:dyDescent="0.25">
      <c r="A20" s="2" t="s">
        <v>128</v>
      </c>
      <c r="B20" s="3">
        <v>4823</v>
      </c>
      <c r="C20" s="3">
        <v>3316.57</v>
      </c>
      <c r="D20" s="3">
        <v>1928358.4</v>
      </c>
      <c r="E20" s="3">
        <v>5032.0422999999992</v>
      </c>
      <c r="G20" s="2" t="s">
        <v>128</v>
      </c>
      <c r="H20" s="3">
        <v>4823</v>
      </c>
      <c r="I20" s="3">
        <v>3316.57</v>
      </c>
      <c r="J20" s="3">
        <v>1928358.4</v>
      </c>
      <c r="K20" s="3">
        <v>5032.0422999999992</v>
      </c>
      <c r="L20" s="8">
        <f t="shared" si="0"/>
        <v>1923326.3576999998</v>
      </c>
    </row>
    <row r="21" spans="1:12" x14ac:dyDescent="0.25">
      <c r="A21" s="2" t="s">
        <v>122</v>
      </c>
      <c r="B21" s="3">
        <v>700</v>
      </c>
      <c r="C21" s="3">
        <v>20.399999999999999</v>
      </c>
      <c r="D21" s="3">
        <v>14280</v>
      </c>
      <c r="E21" s="3">
        <v>103.0441</v>
      </c>
      <c r="G21" s="2" t="s">
        <v>122</v>
      </c>
      <c r="H21" s="3">
        <v>700</v>
      </c>
      <c r="I21" s="3">
        <v>20.399999999999999</v>
      </c>
      <c r="J21" s="3">
        <v>14280</v>
      </c>
      <c r="K21" s="3">
        <v>103.0441</v>
      </c>
      <c r="L21" s="8">
        <f t="shared" si="0"/>
        <v>14176.955900000001</v>
      </c>
    </row>
    <row r="22" spans="1:12" x14ac:dyDescent="0.25">
      <c r="A22" s="2" t="s">
        <v>65</v>
      </c>
      <c r="B22" s="3">
        <v>5500</v>
      </c>
      <c r="C22" s="3">
        <v>544.1</v>
      </c>
      <c r="D22" s="3">
        <v>475868.89999999997</v>
      </c>
      <c r="E22" s="3">
        <v>878.03850000000011</v>
      </c>
      <c r="G22" s="2" t="s">
        <v>65</v>
      </c>
      <c r="H22" s="3">
        <v>5500</v>
      </c>
      <c r="I22" s="3">
        <v>544.1</v>
      </c>
      <c r="J22" s="3">
        <v>475868.89999999997</v>
      </c>
      <c r="K22" s="3">
        <v>878.03850000000011</v>
      </c>
      <c r="L22" s="8">
        <f t="shared" si="0"/>
        <v>474990.86149999994</v>
      </c>
    </row>
    <row r="23" spans="1:12" x14ac:dyDescent="0.25">
      <c r="A23" s="2" t="s">
        <v>35</v>
      </c>
      <c r="B23" s="3">
        <v>11500</v>
      </c>
      <c r="C23" s="3">
        <v>617.76</v>
      </c>
      <c r="D23" s="3">
        <v>730813</v>
      </c>
      <c r="E23" s="3">
        <v>4972.6286</v>
      </c>
      <c r="G23" s="2" t="s">
        <v>35</v>
      </c>
      <c r="H23" s="3">
        <v>11500</v>
      </c>
      <c r="I23" s="3">
        <v>617.76</v>
      </c>
      <c r="J23" s="3">
        <v>730813</v>
      </c>
      <c r="K23" s="3">
        <v>4972.6286</v>
      </c>
      <c r="L23" s="8">
        <f t="shared" si="0"/>
        <v>725840.37139999995</v>
      </c>
    </row>
    <row r="24" spans="1:12" x14ac:dyDescent="0.25">
      <c r="A24" s="2" t="s">
        <v>105</v>
      </c>
      <c r="B24" s="3">
        <v>575</v>
      </c>
      <c r="C24" s="3">
        <v>66.099999999999994</v>
      </c>
      <c r="D24" s="3">
        <v>38007.5</v>
      </c>
      <c r="E24" s="3">
        <v>274.29629999999997</v>
      </c>
      <c r="G24" s="2" t="s">
        <v>105</v>
      </c>
      <c r="H24" s="3">
        <v>575</v>
      </c>
      <c r="I24" s="3">
        <v>66.099999999999994</v>
      </c>
      <c r="J24" s="3">
        <v>38007.5</v>
      </c>
      <c r="K24" s="3">
        <v>274.29629999999997</v>
      </c>
      <c r="L24" s="8">
        <f t="shared" si="0"/>
        <v>37733.203699999998</v>
      </c>
    </row>
    <row r="25" spans="1:12" x14ac:dyDescent="0.25">
      <c r="A25" s="2" t="s">
        <v>80</v>
      </c>
      <c r="B25" s="3">
        <v>410</v>
      </c>
      <c r="C25" s="3">
        <v>1200.3</v>
      </c>
      <c r="D25" s="3">
        <v>124055.5</v>
      </c>
      <c r="E25" s="3">
        <v>713.83339999999998</v>
      </c>
      <c r="G25" s="2" t="s">
        <v>80</v>
      </c>
      <c r="H25" s="3">
        <v>410</v>
      </c>
      <c r="I25" s="3">
        <v>1200.3</v>
      </c>
      <c r="J25" s="3">
        <v>124055.5</v>
      </c>
      <c r="K25" s="3">
        <v>713.83339999999998</v>
      </c>
      <c r="L25" s="8">
        <f t="shared" si="0"/>
        <v>123341.6666</v>
      </c>
    </row>
    <row r="26" spans="1:12" x14ac:dyDescent="0.25">
      <c r="A26" s="2" t="s">
        <v>111</v>
      </c>
      <c r="B26" s="3">
        <v>2990</v>
      </c>
      <c r="C26" s="3">
        <v>5409.4500000000007</v>
      </c>
      <c r="D26" s="3">
        <v>1307808.95</v>
      </c>
      <c r="E26" s="3">
        <v>1397.8392999999999</v>
      </c>
      <c r="G26" s="2" t="s">
        <v>111</v>
      </c>
      <c r="H26" s="3">
        <v>2990</v>
      </c>
      <c r="I26" s="3">
        <v>5409.4500000000007</v>
      </c>
      <c r="J26" s="3">
        <v>1307808.95</v>
      </c>
      <c r="K26" s="3">
        <v>1397.8392999999999</v>
      </c>
      <c r="L26" s="8">
        <f t="shared" si="0"/>
        <v>1306411.1106999998</v>
      </c>
    </row>
    <row r="27" spans="1:12" x14ac:dyDescent="0.25">
      <c r="A27" s="2" t="s">
        <v>68</v>
      </c>
      <c r="B27" s="3">
        <v>1000</v>
      </c>
      <c r="C27" s="3">
        <v>130.94999999999999</v>
      </c>
      <c r="D27" s="3">
        <v>70195.25</v>
      </c>
      <c r="E27" s="3">
        <v>532.2165</v>
      </c>
      <c r="G27" s="2" t="s">
        <v>68</v>
      </c>
      <c r="H27" s="3">
        <v>1000</v>
      </c>
      <c r="I27" s="3">
        <v>130.94999999999999</v>
      </c>
      <c r="J27" s="3">
        <v>70195.25</v>
      </c>
      <c r="K27" s="3">
        <v>532.2165</v>
      </c>
      <c r="L27" s="8">
        <f t="shared" si="0"/>
        <v>69663.033500000005</v>
      </c>
    </row>
    <row r="28" spans="1:12" x14ac:dyDescent="0.25">
      <c r="A28" s="2" t="s">
        <v>49</v>
      </c>
      <c r="B28" s="3">
        <v>200</v>
      </c>
      <c r="C28" s="3">
        <v>799.21</v>
      </c>
      <c r="D28" s="3">
        <v>79920.600000000006</v>
      </c>
      <c r="E28" s="3">
        <v>588.06740000000002</v>
      </c>
      <c r="G28" s="2" t="s">
        <v>49</v>
      </c>
      <c r="H28" s="3">
        <v>200</v>
      </c>
      <c r="I28" s="3">
        <v>799.21</v>
      </c>
      <c r="J28" s="3">
        <v>79920.600000000006</v>
      </c>
      <c r="K28" s="3">
        <v>588.06740000000002</v>
      </c>
      <c r="L28" s="8">
        <f t="shared" si="0"/>
        <v>79332.532600000006</v>
      </c>
    </row>
    <row r="29" spans="1:12" x14ac:dyDescent="0.25">
      <c r="A29" s="2" t="s">
        <v>177</v>
      </c>
      <c r="B29" s="3">
        <v>27500</v>
      </c>
      <c r="C29" s="3">
        <v>126.4</v>
      </c>
      <c r="D29" s="3">
        <v>438504.3</v>
      </c>
      <c r="E29" s="3">
        <v>2249.1113999999998</v>
      </c>
      <c r="G29" s="2" t="s">
        <v>177</v>
      </c>
      <c r="H29" s="3">
        <v>27500</v>
      </c>
      <c r="I29" s="3">
        <v>126.4</v>
      </c>
      <c r="J29" s="3">
        <v>438504.3</v>
      </c>
      <c r="K29" s="3">
        <v>2249.1113999999998</v>
      </c>
      <c r="L29" s="8">
        <f t="shared" si="0"/>
        <v>436255.18859999999</v>
      </c>
    </row>
    <row r="30" spans="1:12" x14ac:dyDescent="0.25">
      <c r="A30" s="2" t="s">
        <v>179</v>
      </c>
      <c r="B30" s="3">
        <v>9850</v>
      </c>
      <c r="C30" s="3">
        <v>550.4</v>
      </c>
      <c r="D30" s="3">
        <v>692380</v>
      </c>
      <c r="E30" s="3">
        <v>3336.6655000000001</v>
      </c>
      <c r="G30" s="2" t="s">
        <v>179</v>
      </c>
      <c r="H30" s="3">
        <v>9850</v>
      </c>
      <c r="I30" s="3">
        <v>550.4</v>
      </c>
      <c r="J30" s="3">
        <v>692380</v>
      </c>
      <c r="K30" s="3">
        <v>3336.6655000000001</v>
      </c>
      <c r="L30" s="8">
        <f t="shared" si="0"/>
        <v>689043.3345</v>
      </c>
    </row>
    <row r="31" spans="1:12" x14ac:dyDescent="0.25">
      <c r="A31" s="2" t="s">
        <v>187</v>
      </c>
      <c r="B31" s="3">
        <v>5000</v>
      </c>
      <c r="C31" s="3">
        <v>23.65</v>
      </c>
      <c r="D31" s="3">
        <v>118250</v>
      </c>
      <c r="E31" s="3">
        <v>104.3032</v>
      </c>
      <c r="G31" s="2" t="s">
        <v>187</v>
      </c>
      <c r="H31" s="3">
        <v>5000</v>
      </c>
      <c r="I31" s="3">
        <v>23.65</v>
      </c>
      <c r="J31" s="3">
        <v>118250</v>
      </c>
      <c r="K31" s="3">
        <v>104.3032</v>
      </c>
      <c r="L31" s="8">
        <f t="shared" si="0"/>
        <v>118145.69680000001</v>
      </c>
    </row>
    <row r="32" spans="1:12" x14ac:dyDescent="0.25">
      <c r="A32" s="2" t="s">
        <v>190</v>
      </c>
      <c r="B32" s="3">
        <v>10000</v>
      </c>
      <c r="C32" s="3">
        <v>17.579999999999998</v>
      </c>
      <c r="D32" s="3">
        <v>87900</v>
      </c>
      <c r="E32" s="3">
        <v>823.27449999999999</v>
      </c>
      <c r="G32" s="2" t="s">
        <v>190</v>
      </c>
      <c r="H32" s="3">
        <v>10000</v>
      </c>
      <c r="I32" s="3">
        <v>17.579999999999998</v>
      </c>
      <c r="J32" s="3">
        <v>87900</v>
      </c>
      <c r="K32" s="3">
        <v>823.27449999999999</v>
      </c>
      <c r="L32" s="8">
        <f t="shared" si="0"/>
        <v>87076.7255</v>
      </c>
    </row>
    <row r="33" spans="1:12" x14ac:dyDescent="0.25">
      <c r="A33" s="2" t="s">
        <v>192</v>
      </c>
      <c r="B33" s="3">
        <v>100</v>
      </c>
      <c r="C33" s="3">
        <v>37.6</v>
      </c>
      <c r="D33" s="3">
        <v>3760</v>
      </c>
      <c r="E33" s="3">
        <v>30.642199999999999</v>
      </c>
      <c r="G33" s="2" t="s">
        <v>192</v>
      </c>
      <c r="H33" s="3">
        <v>100</v>
      </c>
      <c r="I33" s="3">
        <v>37.6</v>
      </c>
      <c r="J33" s="3">
        <v>3760</v>
      </c>
      <c r="K33" s="3">
        <v>30.642199999999999</v>
      </c>
      <c r="L33" s="8">
        <f t="shared" si="0"/>
        <v>3729.3578000000002</v>
      </c>
    </row>
    <row r="34" spans="1:12" x14ac:dyDescent="0.25">
      <c r="A34" s="2" t="s">
        <v>195</v>
      </c>
      <c r="B34" s="3">
        <v>1000</v>
      </c>
      <c r="C34" s="3">
        <v>104</v>
      </c>
      <c r="D34" s="3">
        <v>104000</v>
      </c>
      <c r="E34" s="3">
        <v>782.95</v>
      </c>
      <c r="G34" s="2" t="s">
        <v>195</v>
      </c>
      <c r="H34" s="3">
        <v>1000</v>
      </c>
      <c r="I34" s="3">
        <v>104</v>
      </c>
      <c r="J34" s="3">
        <v>104000</v>
      </c>
      <c r="K34" s="3">
        <v>782.95</v>
      </c>
      <c r="L34" s="8">
        <f t="shared" si="0"/>
        <v>103217.05</v>
      </c>
    </row>
    <row r="35" spans="1:12" x14ac:dyDescent="0.25">
      <c r="A35" s="2" t="s">
        <v>205</v>
      </c>
      <c r="B35" s="3">
        <v>13780</v>
      </c>
      <c r="C35" s="3">
        <v>589.96999999999991</v>
      </c>
      <c r="D35" s="3">
        <v>798695.25000000012</v>
      </c>
      <c r="E35" s="3">
        <v>2469.7744000000002</v>
      </c>
      <c r="G35" s="2" t="s">
        <v>205</v>
      </c>
      <c r="H35" s="3">
        <v>13780</v>
      </c>
      <c r="I35" s="3">
        <v>589.96999999999991</v>
      </c>
      <c r="J35" s="3">
        <v>798695.25000000012</v>
      </c>
      <c r="K35" s="3">
        <v>2469.7744000000002</v>
      </c>
      <c r="L35" s="8">
        <f t="shared" si="0"/>
        <v>796225.47560000012</v>
      </c>
    </row>
    <row r="36" spans="1:12" x14ac:dyDescent="0.25">
      <c r="A36" s="2" t="s">
        <v>207</v>
      </c>
      <c r="B36" s="3">
        <v>1000</v>
      </c>
      <c r="C36" s="3">
        <v>79.25</v>
      </c>
      <c r="D36" s="3">
        <v>79250</v>
      </c>
      <c r="E36" s="3">
        <v>69.395600000000002</v>
      </c>
      <c r="G36" s="2" t="s">
        <v>207</v>
      </c>
      <c r="H36" s="3">
        <v>1000</v>
      </c>
      <c r="I36" s="3">
        <v>79.25</v>
      </c>
      <c r="J36" s="3">
        <v>79250</v>
      </c>
      <c r="K36" s="3">
        <v>69.395600000000002</v>
      </c>
      <c r="L36" s="8">
        <f t="shared" si="0"/>
        <v>79180.604399999997</v>
      </c>
    </row>
    <row r="37" spans="1:12" x14ac:dyDescent="0.25">
      <c r="A37" s="2" t="s">
        <v>214</v>
      </c>
      <c r="B37" s="3">
        <v>1000</v>
      </c>
      <c r="C37" s="3">
        <v>115.58</v>
      </c>
      <c r="D37" s="3">
        <v>115580</v>
      </c>
      <c r="E37" s="3">
        <v>101.3963</v>
      </c>
      <c r="G37" s="2" t="s">
        <v>214</v>
      </c>
      <c r="H37" s="3">
        <v>1000</v>
      </c>
      <c r="I37" s="3">
        <v>115.58</v>
      </c>
      <c r="J37" s="3">
        <v>115580</v>
      </c>
      <c r="K37" s="3">
        <v>101.3963</v>
      </c>
      <c r="L37" s="8">
        <f t="shared" si="0"/>
        <v>115478.60370000001</v>
      </c>
    </row>
    <row r="38" spans="1:12" x14ac:dyDescent="0.25">
      <c r="A38" s="2" t="s">
        <v>226</v>
      </c>
      <c r="B38" s="3">
        <v>6600</v>
      </c>
      <c r="C38" s="3">
        <v>2882.3500000000004</v>
      </c>
      <c r="D38" s="3">
        <v>2395476.25</v>
      </c>
      <c r="E38" s="3">
        <v>5746.6168000000007</v>
      </c>
      <c r="G38" s="2" t="s">
        <v>226</v>
      </c>
      <c r="H38" s="3">
        <v>6600</v>
      </c>
      <c r="I38" s="3">
        <v>2882.3500000000004</v>
      </c>
      <c r="J38" s="3">
        <v>2395476.25</v>
      </c>
      <c r="K38" s="3">
        <v>5746.6168000000007</v>
      </c>
      <c r="L38" s="8">
        <f t="shared" si="0"/>
        <v>2389729.6332</v>
      </c>
    </row>
    <row r="39" spans="1:12" x14ac:dyDescent="0.25">
      <c r="A39" s="2" t="s">
        <v>230</v>
      </c>
      <c r="B39" s="3">
        <v>1000</v>
      </c>
      <c r="C39" s="3">
        <v>62.88</v>
      </c>
      <c r="D39" s="3">
        <v>62875</v>
      </c>
      <c r="E39" s="3">
        <v>55.363599999999998</v>
      </c>
      <c r="G39" s="2" t="s">
        <v>230</v>
      </c>
      <c r="H39" s="3">
        <v>1000</v>
      </c>
      <c r="I39" s="3">
        <v>62.88</v>
      </c>
      <c r="J39" s="3">
        <v>62875</v>
      </c>
      <c r="K39" s="3">
        <v>55.363599999999998</v>
      </c>
      <c r="L39" s="8">
        <f t="shared" si="0"/>
        <v>62819.636400000003</v>
      </c>
    </row>
    <row r="40" spans="1:12" x14ac:dyDescent="0.25">
      <c r="A40" s="2" t="s">
        <v>233</v>
      </c>
      <c r="B40" s="3">
        <v>110</v>
      </c>
      <c r="C40" s="3">
        <v>2277</v>
      </c>
      <c r="D40" s="3">
        <v>108630</v>
      </c>
      <c r="E40" s="3">
        <v>117.18680000000001</v>
      </c>
      <c r="G40" s="2" t="s">
        <v>233</v>
      </c>
      <c r="H40" s="3">
        <v>110</v>
      </c>
      <c r="I40" s="3">
        <v>2277</v>
      </c>
      <c r="J40" s="3">
        <v>108630</v>
      </c>
      <c r="K40" s="3">
        <v>117.18680000000001</v>
      </c>
      <c r="L40" s="8">
        <f t="shared" si="0"/>
        <v>108512.8132</v>
      </c>
    </row>
    <row r="41" spans="1:12" x14ac:dyDescent="0.25">
      <c r="A41" s="2" t="s">
        <v>237</v>
      </c>
      <c r="B41" s="3">
        <v>11500</v>
      </c>
      <c r="C41" s="3">
        <v>3263.7700000000004</v>
      </c>
      <c r="D41" s="3">
        <v>3070035.05</v>
      </c>
      <c r="E41" s="3">
        <v>2719.2570999999994</v>
      </c>
      <c r="G41" s="2" t="s">
        <v>237</v>
      </c>
      <c r="H41" s="3">
        <v>11500</v>
      </c>
      <c r="I41" s="3">
        <v>3263.7700000000004</v>
      </c>
      <c r="J41" s="3">
        <v>3070035.05</v>
      </c>
      <c r="K41" s="3">
        <v>2719.2570999999994</v>
      </c>
      <c r="L41" s="8">
        <f t="shared" si="0"/>
        <v>3067315.7928999998</v>
      </c>
    </row>
    <row r="42" spans="1:12" x14ac:dyDescent="0.25">
      <c r="A42" s="2" t="s">
        <v>245</v>
      </c>
      <c r="B42" s="3">
        <v>1000</v>
      </c>
      <c r="C42" s="3">
        <v>100.98</v>
      </c>
      <c r="D42" s="3">
        <v>100979.45</v>
      </c>
      <c r="E42" s="3">
        <v>809.62170000000003</v>
      </c>
      <c r="G42" s="2" t="s">
        <v>245</v>
      </c>
      <c r="H42" s="3">
        <v>1000</v>
      </c>
      <c r="I42" s="3">
        <v>100.98</v>
      </c>
      <c r="J42" s="3">
        <v>100979.45</v>
      </c>
      <c r="K42" s="3">
        <v>809.62170000000003</v>
      </c>
      <c r="L42" s="8">
        <f t="shared" si="0"/>
        <v>100169.82829999999</v>
      </c>
    </row>
    <row r="43" spans="1:12" x14ac:dyDescent="0.25">
      <c r="A43" s="2" t="s">
        <v>247</v>
      </c>
      <c r="B43" s="3">
        <v>1852</v>
      </c>
      <c r="C43" s="3">
        <v>2512.81</v>
      </c>
      <c r="D43" s="3">
        <v>698017.15</v>
      </c>
      <c r="E43" s="3">
        <v>692.02920000000006</v>
      </c>
      <c r="G43" s="2" t="s">
        <v>247</v>
      </c>
      <c r="H43" s="3">
        <v>1852</v>
      </c>
      <c r="I43" s="3">
        <v>2512.81</v>
      </c>
      <c r="J43" s="3">
        <v>698017.15</v>
      </c>
      <c r="K43" s="3">
        <v>692.02920000000006</v>
      </c>
      <c r="L43" s="8">
        <f t="shared" si="0"/>
        <v>697325.12080000003</v>
      </c>
    </row>
    <row r="44" spans="1:12" x14ac:dyDescent="0.25">
      <c r="A44" s="2" t="s">
        <v>251</v>
      </c>
      <c r="B44" s="3">
        <v>1000</v>
      </c>
      <c r="C44" s="3">
        <v>241.76</v>
      </c>
      <c r="D44" s="3">
        <v>241762.5</v>
      </c>
      <c r="E44" s="3">
        <v>213.91739999999999</v>
      </c>
      <c r="G44" s="2" t="s">
        <v>251</v>
      </c>
      <c r="H44" s="3">
        <v>1000</v>
      </c>
      <c r="I44" s="3">
        <v>241.76</v>
      </c>
      <c r="J44" s="3">
        <v>241762.5</v>
      </c>
      <c r="K44" s="3">
        <v>213.91739999999999</v>
      </c>
      <c r="L44" s="8">
        <f t="shared" si="0"/>
        <v>241548.58259999999</v>
      </c>
    </row>
    <row r="45" spans="1:12" x14ac:dyDescent="0.25">
      <c r="A45" s="2" t="s">
        <v>256</v>
      </c>
      <c r="B45" s="3">
        <v>7587</v>
      </c>
      <c r="C45" s="3">
        <v>4186.6499999999996</v>
      </c>
      <c r="D45" s="3">
        <v>3108341.9</v>
      </c>
      <c r="E45" s="3">
        <v>2766.6851999999999</v>
      </c>
      <c r="G45" s="2" t="s">
        <v>256</v>
      </c>
      <c r="H45" s="3">
        <v>7587</v>
      </c>
      <c r="I45" s="3">
        <v>4186.6499999999996</v>
      </c>
      <c r="J45" s="3">
        <v>3108341.9</v>
      </c>
      <c r="K45" s="3">
        <v>2766.6851999999999</v>
      </c>
      <c r="L45" s="8">
        <f t="shared" si="0"/>
        <v>3105575.2147999997</v>
      </c>
    </row>
    <row r="46" spans="1:12" x14ac:dyDescent="0.25">
      <c r="A46" s="2" t="s">
        <v>268</v>
      </c>
      <c r="B46" s="3">
        <v>34011</v>
      </c>
      <c r="C46" s="3">
        <v>12124.960000000001</v>
      </c>
      <c r="D46" s="3">
        <v>10443249.800000001</v>
      </c>
      <c r="E46" s="3">
        <v>9122.5133999999998</v>
      </c>
      <c r="G46" s="2" t="s">
        <v>268</v>
      </c>
      <c r="H46" s="3">
        <v>34011</v>
      </c>
      <c r="I46" s="3">
        <v>12124.960000000001</v>
      </c>
      <c r="J46" s="3">
        <v>10443249.800000001</v>
      </c>
      <c r="K46" s="3">
        <v>9122.5133999999998</v>
      </c>
      <c r="L46" s="8">
        <f t="shared" si="0"/>
        <v>10434127.286600001</v>
      </c>
    </row>
    <row r="47" spans="1:12" x14ac:dyDescent="0.25">
      <c r="A47" s="2" t="s">
        <v>270</v>
      </c>
      <c r="B47" s="3">
        <v>7850</v>
      </c>
      <c r="C47" s="3">
        <v>1424.1</v>
      </c>
      <c r="D47" s="3">
        <v>982400</v>
      </c>
      <c r="E47" s="3">
        <v>968.76810000000012</v>
      </c>
      <c r="G47" s="2" t="s">
        <v>270</v>
      </c>
      <c r="H47" s="3">
        <v>7850</v>
      </c>
      <c r="I47" s="3">
        <v>1424.1</v>
      </c>
      <c r="J47" s="3">
        <v>982400</v>
      </c>
      <c r="K47" s="3">
        <v>968.76810000000012</v>
      </c>
      <c r="L47" s="8">
        <f t="shared" si="0"/>
        <v>981431.23190000001</v>
      </c>
    </row>
    <row r="48" spans="1:12" x14ac:dyDescent="0.25">
      <c r="A48" s="2" t="s">
        <v>276</v>
      </c>
      <c r="B48" s="3">
        <v>2500</v>
      </c>
      <c r="C48" s="3">
        <v>118.26</v>
      </c>
      <c r="D48" s="3">
        <v>295649.8</v>
      </c>
      <c r="E48" s="3">
        <v>260.19830000000002</v>
      </c>
      <c r="G48" s="2" t="s">
        <v>276</v>
      </c>
      <c r="H48" s="3">
        <v>2500</v>
      </c>
      <c r="I48" s="3">
        <v>118.26</v>
      </c>
      <c r="J48" s="3">
        <v>295649.8</v>
      </c>
      <c r="K48" s="3">
        <v>260.19830000000002</v>
      </c>
      <c r="L48" s="8">
        <f t="shared" si="0"/>
        <v>295389.6017</v>
      </c>
    </row>
    <row r="49" spans="1:12" x14ac:dyDescent="0.25">
      <c r="A49" s="2" t="s">
        <v>279</v>
      </c>
      <c r="B49" s="3">
        <v>10550</v>
      </c>
      <c r="C49" s="3">
        <v>6038.69</v>
      </c>
      <c r="D49" s="3">
        <v>3284653.95</v>
      </c>
      <c r="E49" s="3">
        <v>2943.7910999999999</v>
      </c>
      <c r="G49" s="2" t="s">
        <v>279</v>
      </c>
      <c r="H49" s="3">
        <v>10550</v>
      </c>
      <c r="I49" s="3">
        <v>6038.69</v>
      </c>
      <c r="J49" s="3">
        <v>3284653.95</v>
      </c>
      <c r="K49" s="3">
        <v>2943.7910999999999</v>
      </c>
      <c r="L49" s="8">
        <f t="shared" si="0"/>
        <v>3281710.1589000002</v>
      </c>
    </row>
    <row r="50" spans="1:12" x14ac:dyDescent="0.25">
      <c r="A50" s="2" t="s">
        <v>282</v>
      </c>
      <c r="B50" s="3">
        <v>22150</v>
      </c>
      <c r="C50" s="3">
        <v>30256.719999999998</v>
      </c>
      <c r="D50" s="3">
        <v>11584300.950000001</v>
      </c>
      <c r="E50" s="3">
        <v>23610.723900000008</v>
      </c>
      <c r="G50" s="2" t="s">
        <v>282</v>
      </c>
      <c r="H50" s="3">
        <v>22150</v>
      </c>
      <c r="I50" s="3">
        <v>30256.719999999998</v>
      </c>
      <c r="J50" s="3">
        <v>11584300.950000001</v>
      </c>
      <c r="K50" s="3">
        <v>23610.723900000008</v>
      </c>
      <c r="L50" s="8">
        <f t="shared" si="0"/>
        <v>11560690.226100001</v>
      </c>
    </row>
    <row r="51" spans="1:12" x14ac:dyDescent="0.25">
      <c r="A51" s="2" t="s">
        <v>288</v>
      </c>
      <c r="B51" s="3">
        <v>600</v>
      </c>
      <c r="C51" s="3">
        <v>23.5</v>
      </c>
      <c r="D51" s="3">
        <v>14100</v>
      </c>
      <c r="E51" s="3">
        <v>106.1131</v>
      </c>
      <c r="G51" s="2" t="s">
        <v>288</v>
      </c>
      <c r="H51" s="3">
        <v>600</v>
      </c>
      <c r="I51" s="3">
        <v>23.5</v>
      </c>
      <c r="J51" s="3">
        <v>14100</v>
      </c>
      <c r="K51" s="3">
        <v>106.1131</v>
      </c>
      <c r="L51" s="8">
        <f t="shared" si="0"/>
        <v>13993.8869</v>
      </c>
    </row>
    <row r="52" spans="1:12" x14ac:dyDescent="0.25">
      <c r="A52" s="2" t="s">
        <v>291</v>
      </c>
      <c r="B52" s="3">
        <v>3500</v>
      </c>
      <c r="C52" s="3">
        <v>514.25</v>
      </c>
      <c r="D52" s="3">
        <v>420998.85</v>
      </c>
      <c r="E52" s="3">
        <v>1414.3364999999999</v>
      </c>
      <c r="G52" s="2" t="s">
        <v>291</v>
      </c>
      <c r="H52" s="3">
        <v>3500</v>
      </c>
      <c r="I52" s="3">
        <v>514.25</v>
      </c>
      <c r="J52" s="3">
        <v>420998.85</v>
      </c>
      <c r="K52" s="3">
        <v>1414.3364999999999</v>
      </c>
      <c r="L52" s="8">
        <f t="shared" si="0"/>
        <v>419584.5135</v>
      </c>
    </row>
    <row r="53" spans="1:12" x14ac:dyDescent="0.25">
      <c r="A53" s="2" t="s">
        <v>296</v>
      </c>
      <c r="B53" s="3">
        <v>750</v>
      </c>
      <c r="C53" s="3">
        <v>38.85</v>
      </c>
      <c r="D53" s="3">
        <v>29137.5</v>
      </c>
      <c r="E53" s="3">
        <v>219.2741</v>
      </c>
      <c r="G53" s="2" t="s">
        <v>296</v>
      </c>
      <c r="H53" s="3">
        <v>750</v>
      </c>
      <c r="I53" s="3">
        <v>38.85</v>
      </c>
      <c r="J53" s="3">
        <v>29137.5</v>
      </c>
      <c r="K53" s="3">
        <v>219.2741</v>
      </c>
      <c r="L53" s="8">
        <f t="shared" si="0"/>
        <v>28918.225900000001</v>
      </c>
    </row>
    <row r="54" spans="1:12" x14ac:dyDescent="0.25">
      <c r="A54" s="2" t="s">
        <v>321</v>
      </c>
      <c r="B54" s="3">
        <v>17775</v>
      </c>
      <c r="C54" s="3">
        <v>8811.43</v>
      </c>
      <c r="D54" s="3">
        <v>5181216.05</v>
      </c>
      <c r="E54" s="3">
        <v>6950.6158000000005</v>
      </c>
      <c r="G54" s="2" t="s">
        <v>321</v>
      </c>
      <c r="H54" s="3">
        <v>17775</v>
      </c>
      <c r="I54" s="3">
        <v>8811.43</v>
      </c>
      <c r="J54" s="3">
        <v>5181216.05</v>
      </c>
      <c r="K54" s="3">
        <v>6950.6158000000005</v>
      </c>
      <c r="L54" s="8">
        <f t="shared" si="0"/>
        <v>5174265.4342</v>
      </c>
    </row>
    <row r="55" spans="1:12" x14ac:dyDescent="0.25">
      <c r="A55" s="2" t="s">
        <v>324</v>
      </c>
      <c r="B55" s="3">
        <v>70</v>
      </c>
      <c r="C55" s="3">
        <v>1589.3</v>
      </c>
      <c r="D55" s="3">
        <v>55216</v>
      </c>
      <c r="E55" s="3">
        <v>162.60570000000001</v>
      </c>
      <c r="G55" s="2" t="s">
        <v>324</v>
      </c>
      <c r="H55" s="3">
        <v>70</v>
      </c>
      <c r="I55" s="3">
        <v>1589.3</v>
      </c>
      <c r="J55" s="3">
        <v>55216</v>
      </c>
      <c r="K55" s="3">
        <v>162.60570000000001</v>
      </c>
      <c r="L55" s="8">
        <f t="shared" si="0"/>
        <v>55053.3943</v>
      </c>
    </row>
    <row r="56" spans="1:12" x14ac:dyDescent="0.25">
      <c r="A56" s="2" t="s">
        <v>379</v>
      </c>
      <c r="B56" s="3">
        <v>8722</v>
      </c>
      <c r="C56" s="3">
        <v>2230.1799999999998</v>
      </c>
      <c r="D56" s="3">
        <v>1410109.75</v>
      </c>
      <c r="E56" s="3">
        <v>1314.7929000000001</v>
      </c>
      <c r="G56" s="2" t="s">
        <v>379</v>
      </c>
      <c r="H56" s="3">
        <v>8722</v>
      </c>
      <c r="I56" s="3">
        <v>2230.1799999999998</v>
      </c>
      <c r="J56" s="3">
        <v>1410109.75</v>
      </c>
      <c r="K56" s="3">
        <v>1314.7929000000001</v>
      </c>
      <c r="L56" s="8">
        <f t="shared" si="0"/>
        <v>1408794.9571</v>
      </c>
    </row>
    <row r="57" spans="1:12" x14ac:dyDescent="0.25">
      <c r="A57" s="2" t="s">
        <v>387</v>
      </c>
      <c r="B57" s="3">
        <v>1000</v>
      </c>
      <c r="C57" s="3">
        <v>62.71</v>
      </c>
      <c r="D57" s="3">
        <v>62705.9</v>
      </c>
      <c r="E57" s="3">
        <v>55.071399999999997</v>
      </c>
      <c r="G57" s="2" t="s">
        <v>387</v>
      </c>
      <c r="H57" s="3">
        <v>1000</v>
      </c>
      <c r="I57" s="3">
        <v>62.71</v>
      </c>
      <c r="J57" s="3">
        <v>62705.9</v>
      </c>
      <c r="K57" s="3">
        <v>55.071399999999997</v>
      </c>
      <c r="L57" s="8">
        <f t="shared" si="0"/>
        <v>62650.828600000001</v>
      </c>
    </row>
    <row r="58" spans="1:12" x14ac:dyDescent="0.25">
      <c r="A58" s="2" t="s">
        <v>392</v>
      </c>
      <c r="B58" s="3">
        <v>25</v>
      </c>
      <c r="C58" s="3">
        <v>1830.7</v>
      </c>
      <c r="D58" s="3">
        <v>45767.5</v>
      </c>
      <c r="E58" s="3">
        <v>42.603000000000002</v>
      </c>
      <c r="G58" s="2" t="s">
        <v>392</v>
      </c>
      <c r="H58" s="3">
        <v>25</v>
      </c>
      <c r="I58" s="3">
        <v>1830.7</v>
      </c>
      <c r="J58" s="3">
        <v>45767.5</v>
      </c>
      <c r="K58" s="3">
        <v>42.603000000000002</v>
      </c>
      <c r="L58" s="8">
        <f t="shared" si="0"/>
        <v>45724.896999999997</v>
      </c>
    </row>
    <row r="59" spans="1:12" x14ac:dyDescent="0.25">
      <c r="A59" s="2" t="s">
        <v>397</v>
      </c>
      <c r="B59" s="3">
        <v>4292</v>
      </c>
      <c r="C59" s="3">
        <v>3914.3199999999997</v>
      </c>
      <c r="D59" s="3">
        <v>1139530.5</v>
      </c>
      <c r="E59" s="3">
        <v>1554.3999999999999</v>
      </c>
      <c r="G59" s="2" t="s">
        <v>397</v>
      </c>
      <c r="H59" s="3">
        <v>4292</v>
      </c>
      <c r="I59" s="3">
        <v>3914.3199999999997</v>
      </c>
      <c r="J59" s="3">
        <v>1139530.5</v>
      </c>
      <c r="K59" s="3">
        <v>1554.3999999999999</v>
      </c>
      <c r="L59" s="8">
        <f t="shared" si="0"/>
        <v>1137976.1000000001</v>
      </c>
    </row>
    <row r="60" spans="1:12" x14ac:dyDescent="0.25">
      <c r="A60" s="2" t="s">
        <v>404</v>
      </c>
      <c r="B60" s="3">
        <v>10</v>
      </c>
      <c r="C60" s="3">
        <v>285.55</v>
      </c>
      <c r="D60" s="3">
        <v>2855.5</v>
      </c>
      <c r="E60" s="3">
        <v>44.265700000000002</v>
      </c>
      <c r="G60" s="2" t="s">
        <v>404</v>
      </c>
      <c r="H60" s="3">
        <v>10</v>
      </c>
      <c r="I60" s="3">
        <v>285.55</v>
      </c>
      <c r="J60" s="3">
        <v>2855.5</v>
      </c>
      <c r="K60" s="3">
        <v>44.265700000000002</v>
      </c>
      <c r="L60" s="8">
        <f t="shared" si="0"/>
        <v>2811.2343000000001</v>
      </c>
    </row>
    <row r="61" spans="1:12" x14ac:dyDescent="0.25">
      <c r="A61" s="2" t="s">
        <v>433</v>
      </c>
      <c r="B61" s="3">
        <v>79200</v>
      </c>
      <c r="C61" s="3">
        <v>368.7</v>
      </c>
      <c r="D61" s="3">
        <v>1340399.5999999999</v>
      </c>
      <c r="E61" s="3">
        <v>3815.3447999999999</v>
      </c>
      <c r="G61" s="2" t="s">
        <v>433</v>
      </c>
      <c r="H61" s="3">
        <v>79200</v>
      </c>
      <c r="I61" s="3">
        <v>368.7</v>
      </c>
      <c r="J61" s="3">
        <v>1340399.5999999999</v>
      </c>
      <c r="K61" s="3">
        <v>3815.3447999999999</v>
      </c>
      <c r="L61" s="8">
        <f t="shared" si="0"/>
        <v>1336584.2551999998</v>
      </c>
    </row>
    <row r="62" spans="1:12" x14ac:dyDescent="0.25">
      <c r="A62" s="2" t="s">
        <v>471</v>
      </c>
      <c r="B62" s="3">
        <v>4000</v>
      </c>
      <c r="C62" s="3">
        <v>183.85</v>
      </c>
      <c r="D62" s="3">
        <v>367625</v>
      </c>
      <c r="E62" s="3">
        <v>335.75800000000004</v>
      </c>
      <c r="G62" s="2" t="s">
        <v>471</v>
      </c>
      <c r="H62" s="3">
        <v>4000</v>
      </c>
      <c r="I62" s="3">
        <v>183.85</v>
      </c>
      <c r="J62" s="3">
        <v>367625</v>
      </c>
      <c r="K62" s="3">
        <v>335.75800000000004</v>
      </c>
      <c r="L62" s="8">
        <f t="shared" si="0"/>
        <v>367289.24200000003</v>
      </c>
    </row>
    <row r="63" spans="1:12" x14ac:dyDescent="0.25">
      <c r="A63" s="2" t="s">
        <v>480</v>
      </c>
      <c r="B63" s="3">
        <v>98750</v>
      </c>
      <c r="C63" s="3">
        <v>3361.05</v>
      </c>
      <c r="D63" s="3">
        <v>8208516.3999999994</v>
      </c>
      <c r="E63" s="3">
        <v>7473.2483000000002</v>
      </c>
      <c r="G63" s="2" t="s">
        <v>480</v>
      </c>
      <c r="H63" s="3">
        <v>98750</v>
      </c>
      <c r="I63" s="3">
        <v>3361.05</v>
      </c>
      <c r="J63" s="3">
        <v>8208516.3999999994</v>
      </c>
      <c r="K63" s="3">
        <v>7473.2483000000002</v>
      </c>
      <c r="L63" s="8">
        <f t="shared" si="0"/>
        <v>8201043.1516999993</v>
      </c>
    </row>
    <row r="64" spans="1:12" x14ac:dyDescent="0.25">
      <c r="A64" s="2" t="s">
        <v>575</v>
      </c>
      <c r="B64" s="3">
        <v>1100</v>
      </c>
      <c r="C64" s="3">
        <v>62.4</v>
      </c>
      <c r="D64" s="3">
        <v>68640</v>
      </c>
      <c r="E64" s="3">
        <v>60.069200000000002</v>
      </c>
      <c r="G64" s="2" t="s">
        <v>575</v>
      </c>
      <c r="H64" s="3">
        <v>1100</v>
      </c>
      <c r="I64" s="3">
        <v>62.4</v>
      </c>
      <c r="J64" s="3">
        <v>68640</v>
      </c>
      <c r="K64" s="3">
        <v>60.069200000000002</v>
      </c>
      <c r="L64" s="8">
        <f t="shared" si="0"/>
        <v>68579.930800000002</v>
      </c>
    </row>
    <row r="65" spans="1:12" x14ac:dyDescent="0.25">
      <c r="A65" s="2" t="s">
        <v>594</v>
      </c>
      <c r="B65" s="3">
        <v>10</v>
      </c>
      <c r="C65" s="3">
        <v>130.9</v>
      </c>
      <c r="D65" s="3">
        <v>1309</v>
      </c>
      <c r="E65" s="3">
        <v>39.959299999999999</v>
      </c>
      <c r="G65" s="2" t="s">
        <v>594</v>
      </c>
      <c r="H65" s="3">
        <v>10</v>
      </c>
      <c r="I65" s="3">
        <v>130.9</v>
      </c>
      <c r="J65" s="3">
        <v>1309</v>
      </c>
      <c r="K65" s="3">
        <v>39.959299999999999</v>
      </c>
      <c r="L65" s="8">
        <f t="shared" si="0"/>
        <v>1269.0407</v>
      </c>
    </row>
    <row r="66" spans="1:12" x14ac:dyDescent="0.25">
      <c r="A66" s="2" t="s">
        <v>644</v>
      </c>
      <c r="B66" s="3">
        <v>1500</v>
      </c>
      <c r="C66" s="3">
        <v>57.85</v>
      </c>
      <c r="D66" s="3">
        <v>86775</v>
      </c>
      <c r="E66" s="3">
        <v>76.273300000000006</v>
      </c>
      <c r="G66" s="2" t="s">
        <v>644</v>
      </c>
      <c r="H66" s="3">
        <v>1500</v>
      </c>
      <c r="I66" s="3">
        <v>57.85</v>
      </c>
      <c r="J66" s="3">
        <v>86775</v>
      </c>
      <c r="K66" s="3">
        <v>76.273300000000006</v>
      </c>
      <c r="L66" s="8">
        <f t="shared" si="0"/>
        <v>86698.726699999999</v>
      </c>
    </row>
    <row r="67" spans="1:12" x14ac:dyDescent="0.25">
      <c r="A67" s="2" t="s">
        <v>659</v>
      </c>
      <c r="B67" s="3">
        <v>22350</v>
      </c>
      <c r="C67" s="3">
        <v>1685.2</v>
      </c>
      <c r="D67" s="3">
        <v>2313240.0499999998</v>
      </c>
      <c r="E67" s="3">
        <v>3742.1718000000001</v>
      </c>
      <c r="G67" s="2" t="s">
        <v>659</v>
      </c>
      <c r="H67" s="3">
        <v>22350</v>
      </c>
      <c r="I67" s="3">
        <v>1685.2</v>
      </c>
      <c r="J67" s="3">
        <v>2313240.0499999998</v>
      </c>
      <c r="K67" s="3">
        <v>3742.1718000000001</v>
      </c>
      <c r="L67" s="8">
        <f t="shared" si="0"/>
        <v>2309497.8781999997</v>
      </c>
    </row>
    <row r="68" spans="1:12" x14ac:dyDescent="0.25">
      <c r="A68" s="2" t="s">
        <v>665</v>
      </c>
      <c r="B68" s="3">
        <v>2900</v>
      </c>
      <c r="C68" s="3">
        <v>1155.3499999999999</v>
      </c>
      <c r="D68" s="3">
        <v>249365.7</v>
      </c>
      <c r="E68" s="3">
        <v>278.1397</v>
      </c>
      <c r="G68" s="2" t="s">
        <v>665</v>
      </c>
      <c r="H68" s="3">
        <v>2900</v>
      </c>
      <c r="I68" s="3">
        <v>1155.3499999999999</v>
      </c>
      <c r="J68" s="3">
        <v>249365.7</v>
      </c>
      <c r="K68" s="3">
        <v>278.1397</v>
      </c>
      <c r="L68" s="8">
        <f t="shared" si="0"/>
        <v>249087.56030000001</v>
      </c>
    </row>
    <row r="69" spans="1:12" x14ac:dyDescent="0.25">
      <c r="A69" s="2" t="s">
        <v>677</v>
      </c>
      <c r="B69" s="3">
        <v>2050</v>
      </c>
      <c r="C69" s="3">
        <v>1726.4299999999998</v>
      </c>
      <c r="D69" s="3">
        <v>467903.44999999995</v>
      </c>
      <c r="E69" s="3">
        <v>504.89850000000007</v>
      </c>
      <c r="G69" s="2" t="s">
        <v>677</v>
      </c>
      <c r="H69" s="3">
        <v>2050</v>
      </c>
      <c r="I69" s="3">
        <v>1726.4299999999998</v>
      </c>
      <c r="J69" s="3">
        <v>467903.44999999995</v>
      </c>
      <c r="K69" s="3">
        <v>504.89850000000007</v>
      </c>
      <c r="L69" s="8">
        <f t="shared" si="0"/>
        <v>467398.55149999994</v>
      </c>
    </row>
    <row r="70" spans="1:12" x14ac:dyDescent="0.25">
      <c r="A70" s="2" t="s">
        <v>683</v>
      </c>
      <c r="B70" s="3">
        <v>10</v>
      </c>
      <c r="C70" s="3">
        <v>96.3</v>
      </c>
      <c r="D70" s="3">
        <v>963</v>
      </c>
      <c r="E70" s="3">
        <v>29.399000000000001</v>
      </c>
      <c r="G70" s="2" t="s">
        <v>683</v>
      </c>
      <c r="H70" s="3">
        <v>10</v>
      </c>
      <c r="I70" s="3">
        <v>96.3</v>
      </c>
      <c r="J70" s="3">
        <v>963</v>
      </c>
      <c r="K70" s="3">
        <v>29.399000000000001</v>
      </c>
      <c r="L70" s="8">
        <f t="shared" ref="L70:L133" si="1">J70-K70</f>
        <v>933.601</v>
      </c>
    </row>
    <row r="71" spans="1:12" x14ac:dyDescent="0.25">
      <c r="A71" s="2" t="s">
        <v>697</v>
      </c>
      <c r="B71" s="3">
        <v>1000</v>
      </c>
      <c r="C71" s="3">
        <v>39.6</v>
      </c>
      <c r="D71" s="3">
        <v>39600</v>
      </c>
      <c r="E71" s="3">
        <v>40.387999999999998</v>
      </c>
      <c r="G71" s="2" t="s">
        <v>697</v>
      </c>
      <c r="H71" s="3">
        <v>1000</v>
      </c>
      <c r="I71" s="3">
        <v>39.6</v>
      </c>
      <c r="J71" s="3">
        <v>39600</v>
      </c>
      <c r="K71" s="3">
        <v>40.387999999999998</v>
      </c>
      <c r="L71" s="8">
        <f t="shared" si="1"/>
        <v>39559.612000000001</v>
      </c>
    </row>
    <row r="72" spans="1:12" x14ac:dyDescent="0.25">
      <c r="A72" s="2" t="s">
        <v>706</v>
      </c>
      <c r="B72" s="3">
        <v>2000</v>
      </c>
      <c r="C72" s="3">
        <v>954</v>
      </c>
      <c r="D72" s="3">
        <v>954000</v>
      </c>
      <c r="E72" s="3">
        <v>893.17049999999995</v>
      </c>
      <c r="G72" s="2" t="s">
        <v>706</v>
      </c>
      <c r="H72" s="3">
        <v>2000</v>
      </c>
      <c r="I72" s="3">
        <v>954</v>
      </c>
      <c r="J72" s="3">
        <v>954000</v>
      </c>
      <c r="K72" s="3">
        <v>893.17049999999995</v>
      </c>
      <c r="L72" s="8">
        <f t="shared" si="1"/>
        <v>953106.82949999999</v>
      </c>
    </row>
    <row r="73" spans="1:12" x14ac:dyDescent="0.25">
      <c r="A73" s="2" t="s">
        <v>738</v>
      </c>
      <c r="B73" s="3">
        <v>84600</v>
      </c>
      <c r="C73" s="3">
        <v>14099.55</v>
      </c>
      <c r="D73" s="3">
        <v>30617528.649999995</v>
      </c>
      <c r="E73" s="3">
        <v>28414.06</v>
      </c>
      <c r="G73" s="2" t="s">
        <v>738</v>
      </c>
      <c r="H73" s="3">
        <v>84600</v>
      </c>
      <c r="I73" s="3">
        <v>14099.55</v>
      </c>
      <c r="J73" s="3">
        <v>30617528.649999995</v>
      </c>
      <c r="K73" s="3">
        <v>28414.06</v>
      </c>
      <c r="L73" s="8">
        <f t="shared" si="1"/>
        <v>30589114.589999996</v>
      </c>
    </row>
    <row r="74" spans="1:12" x14ac:dyDescent="0.25">
      <c r="A74" s="2" t="s">
        <v>800</v>
      </c>
      <c r="B74" s="3">
        <v>5100</v>
      </c>
      <c r="C74" s="3">
        <v>1923</v>
      </c>
      <c r="D74" s="3">
        <v>1614300</v>
      </c>
      <c r="E74" s="3">
        <v>1429.2492000000002</v>
      </c>
      <c r="G74" s="2" t="s">
        <v>800</v>
      </c>
      <c r="H74" s="3">
        <v>5100</v>
      </c>
      <c r="I74" s="3">
        <v>1923</v>
      </c>
      <c r="J74" s="3">
        <v>1614300</v>
      </c>
      <c r="K74" s="3">
        <v>1429.2492000000002</v>
      </c>
      <c r="L74" s="8">
        <f t="shared" si="1"/>
        <v>1612870.7508</v>
      </c>
    </row>
    <row r="75" spans="1:12" x14ac:dyDescent="0.25">
      <c r="A75" s="2" t="s">
        <v>849</v>
      </c>
      <c r="B75" s="3">
        <v>4220</v>
      </c>
      <c r="C75" s="3">
        <v>4068.76</v>
      </c>
      <c r="D75" s="3">
        <v>858192.2</v>
      </c>
      <c r="E75" s="3">
        <v>1022.1638999999999</v>
      </c>
      <c r="G75" s="2" t="s">
        <v>849</v>
      </c>
      <c r="H75" s="3">
        <v>4220</v>
      </c>
      <c r="I75" s="3">
        <v>4068.76</v>
      </c>
      <c r="J75" s="3">
        <v>858192.2</v>
      </c>
      <c r="K75" s="3">
        <v>1022.1638999999999</v>
      </c>
      <c r="L75" s="8">
        <f t="shared" si="1"/>
        <v>857170.03609999991</v>
      </c>
    </row>
    <row r="76" spans="1:12" x14ac:dyDescent="0.25">
      <c r="A76" s="2" t="s">
        <v>862</v>
      </c>
      <c r="B76" s="3">
        <v>2952</v>
      </c>
      <c r="C76" s="3">
        <v>3844.71</v>
      </c>
      <c r="D76" s="3">
        <v>821116.1</v>
      </c>
      <c r="E76" s="3">
        <v>861.46470000000011</v>
      </c>
      <c r="G76" s="2" t="s">
        <v>862</v>
      </c>
      <c r="H76" s="3">
        <v>2952</v>
      </c>
      <c r="I76" s="3">
        <v>3844.71</v>
      </c>
      <c r="J76" s="3">
        <v>821116.1</v>
      </c>
      <c r="K76" s="3">
        <v>861.46470000000011</v>
      </c>
      <c r="L76" s="8">
        <f t="shared" si="1"/>
        <v>820254.63529999997</v>
      </c>
    </row>
    <row r="77" spans="1:12" x14ac:dyDescent="0.25">
      <c r="A77" s="2" t="s">
        <v>871</v>
      </c>
      <c r="B77" s="3">
        <v>9450</v>
      </c>
      <c r="C77" s="3">
        <v>1488.66</v>
      </c>
      <c r="D77" s="3">
        <v>1558547.3</v>
      </c>
      <c r="E77" s="3">
        <v>1478.3088</v>
      </c>
      <c r="G77" s="2" t="s">
        <v>871</v>
      </c>
      <c r="H77" s="3">
        <v>9450</v>
      </c>
      <c r="I77" s="3">
        <v>1488.66</v>
      </c>
      <c r="J77" s="3">
        <v>1558547.3</v>
      </c>
      <c r="K77" s="3">
        <v>1478.3088</v>
      </c>
      <c r="L77" s="8">
        <f t="shared" si="1"/>
        <v>1557068.9912</v>
      </c>
    </row>
    <row r="78" spans="1:12" x14ac:dyDescent="0.25">
      <c r="A78" s="2" t="s">
        <v>888</v>
      </c>
      <c r="B78" s="3">
        <v>50</v>
      </c>
      <c r="C78" s="3">
        <v>1220.3</v>
      </c>
      <c r="D78" s="3">
        <v>61015</v>
      </c>
      <c r="E78" s="3">
        <v>53.078899999999997</v>
      </c>
      <c r="G78" s="2" t="s">
        <v>888</v>
      </c>
      <c r="H78" s="3">
        <v>50</v>
      </c>
      <c r="I78" s="3">
        <v>1220.3</v>
      </c>
      <c r="J78" s="3">
        <v>61015</v>
      </c>
      <c r="K78" s="3">
        <v>53.078899999999997</v>
      </c>
      <c r="L78" s="8">
        <f t="shared" si="1"/>
        <v>60961.9211</v>
      </c>
    </row>
    <row r="79" spans="1:12" x14ac:dyDescent="0.25">
      <c r="A79" s="2" t="s">
        <v>944</v>
      </c>
      <c r="B79" s="3">
        <v>1000</v>
      </c>
      <c r="C79" s="3">
        <v>55.15</v>
      </c>
      <c r="D79" s="3">
        <v>55150</v>
      </c>
      <c r="E79" s="3">
        <v>48.552999999999997</v>
      </c>
      <c r="G79" s="2" t="s">
        <v>944</v>
      </c>
      <c r="H79" s="3">
        <v>1000</v>
      </c>
      <c r="I79" s="3">
        <v>55.15</v>
      </c>
      <c r="J79" s="3">
        <v>55150</v>
      </c>
      <c r="K79" s="3">
        <v>48.552999999999997</v>
      </c>
      <c r="L79" s="8">
        <f t="shared" si="1"/>
        <v>55101.447</v>
      </c>
    </row>
    <row r="80" spans="1:12" x14ac:dyDescent="0.25">
      <c r="A80" s="2" t="s">
        <v>981</v>
      </c>
      <c r="B80" s="3">
        <v>13464</v>
      </c>
      <c r="C80" s="3">
        <v>3866.8700000000003</v>
      </c>
      <c r="D80" s="3">
        <v>2093139.35</v>
      </c>
      <c r="E80" s="3">
        <v>2047.7764000000002</v>
      </c>
      <c r="G80" s="2" t="s">
        <v>981</v>
      </c>
      <c r="H80" s="3">
        <v>13464</v>
      </c>
      <c r="I80" s="3">
        <v>3866.8700000000003</v>
      </c>
      <c r="J80" s="3">
        <v>2093139.35</v>
      </c>
      <c r="K80" s="3">
        <v>2047.7764000000002</v>
      </c>
      <c r="L80" s="8">
        <f t="shared" si="1"/>
        <v>2091091.5736</v>
      </c>
    </row>
    <row r="81" spans="1:12" x14ac:dyDescent="0.25">
      <c r="A81" s="2" t="s">
        <v>1023</v>
      </c>
      <c r="B81" s="3">
        <v>30500</v>
      </c>
      <c r="C81" s="3">
        <v>276.20000000000005</v>
      </c>
      <c r="D81" s="3">
        <v>852550</v>
      </c>
      <c r="E81" s="3">
        <v>832.07210000000009</v>
      </c>
      <c r="G81" s="2" t="s">
        <v>1023</v>
      </c>
      <c r="H81" s="3">
        <v>30500</v>
      </c>
      <c r="I81" s="3">
        <v>276.20000000000005</v>
      </c>
      <c r="J81" s="3">
        <v>852550</v>
      </c>
      <c r="K81" s="3">
        <v>832.07210000000009</v>
      </c>
      <c r="L81" s="8">
        <f t="shared" si="1"/>
        <v>851717.92790000001</v>
      </c>
    </row>
    <row r="82" spans="1:12" x14ac:dyDescent="0.25">
      <c r="A82" s="2" t="s">
        <v>1034</v>
      </c>
      <c r="B82" s="3">
        <v>5100</v>
      </c>
      <c r="C82" s="3">
        <v>766.4</v>
      </c>
      <c r="D82" s="3">
        <v>1388315.7</v>
      </c>
      <c r="E82" s="3">
        <v>1337.6895999999999</v>
      </c>
      <c r="G82" s="2" t="s">
        <v>1034</v>
      </c>
      <c r="H82" s="3">
        <v>5100</v>
      </c>
      <c r="I82" s="3">
        <v>766.4</v>
      </c>
      <c r="J82" s="3">
        <v>1388315.7</v>
      </c>
      <c r="K82" s="3">
        <v>1337.6895999999999</v>
      </c>
      <c r="L82" s="8">
        <f t="shared" si="1"/>
        <v>1386978.0104</v>
      </c>
    </row>
    <row r="83" spans="1:12" x14ac:dyDescent="0.25">
      <c r="A83" s="2" t="s">
        <v>1037</v>
      </c>
      <c r="B83" s="3">
        <v>900</v>
      </c>
      <c r="C83" s="3">
        <v>2925.49</v>
      </c>
      <c r="D83" s="3">
        <v>536247.65</v>
      </c>
      <c r="E83" s="3">
        <v>493.13440000000003</v>
      </c>
      <c r="G83" s="2" t="s">
        <v>1037</v>
      </c>
      <c r="H83" s="3">
        <v>900</v>
      </c>
      <c r="I83" s="3">
        <v>2925.49</v>
      </c>
      <c r="J83" s="3">
        <v>536247.65</v>
      </c>
      <c r="K83" s="3">
        <v>493.13440000000003</v>
      </c>
      <c r="L83" s="8">
        <f t="shared" si="1"/>
        <v>535754.51560000004</v>
      </c>
    </row>
    <row r="84" spans="1:12" x14ac:dyDescent="0.25">
      <c r="A84" s="2" t="s">
        <v>1050</v>
      </c>
      <c r="B84" s="3">
        <v>300</v>
      </c>
      <c r="C84" s="3">
        <v>357</v>
      </c>
      <c r="D84" s="3">
        <v>53600</v>
      </c>
      <c r="E84" s="3">
        <v>74.639600000000002</v>
      </c>
      <c r="G84" s="2" t="s">
        <v>1050</v>
      </c>
      <c r="H84" s="3">
        <v>300</v>
      </c>
      <c r="I84" s="3">
        <v>357</v>
      </c>
      <c r="J84" s="3">
        <v>53600</v>
      </c>
      <c r="K84" s="3">
        <v>74.639600000000002</v>
      </c>
      <c r="L84" s="8">
        <f t="shared" si="1"/>
        <v>53525.360399999998</v>
      </c>
    </row>
    <row r="85" spans="1:12" x14ac:dyDescent="0.25">
      <c r="A85" s="2" t="s">
        <v>1054</v>
      </c>
      <c r="B85" s="3">
        <v>3200</v>
      </c>
      <c r="C85" s="3">
        <v>1928.25</v>
      </c>
      <c r="D85" s="3">
        <v>1537250</v>
      </c>
      <c r="E85" s="3">
        <v>1422.1315</v>
      </c>
      <c r="G85" s="2" t="s">
        <v>1054</v>
      </c>
      <c r="H85" s="3">
        <v>3200</v>
      </c>
      <c r="I85" s="3">
        <v>1928.25</v>
      </c>
      <c r="J85" s="3">
        <v>1537250</v>
      </c>
      <c r="K85" s="3">
        <v>1422.1315</v>
      </c>
      <c r="L85" s="8">
        <f t="shared" si="1"/>
        <v>1535827.8685000001</v>
      </c>
    </row>
    <row r="86" spans="1:12" x14ac:dyDescent="0.25">
      <c r="A86" s="2" t="s">
        <v>1066</v>
      </c>
      <c r="B86" s="3">
        <v>500</v>
      </c>
      <c r="C86" s="3">
        <v>59.1</v>
      </c>
      <c r="D86" s="3">
        <v>29550</v>
      </c>
      <c r="E86" s="3">
        <v>38.093899999999998</v>
      </c>
      <c r="G86" s="2" t="s">
        <v>1066</v>
      </c>
      <c r="H86" s="3">
        <v>500</v>
      </c>
      <c r="I86" s="3">
        <v>59.1</v>
      </c>
      <c r="J86" s="3">
        <v>29550</v>
      </c>
      <c r="K86" s="3">
        <v>38.093899999999998</v>
      </c>
      <c r="L86" s="8">
        <f t="shared" si="1"/>
        <v>29511.9061</v>
      </c>
    </row>
    <row r="87" spans="1:12" x14ac:dyDescent="0.25">
      <c r="A87" s="2" t="s">
        <v>1077</v>
      </c>
      <c r="B87" s="3">
        <v>500</v>
      </c>
      <c r="C87" s="3">
        <v>104.5</v>
      </c>
      <c r="D87" s="3">
        <v>52250</v>
      </c>
      <c r="E87" s="3">
        <v>46.161099999999998</v>
      </c>
      <c r="G87" s="2" t="s">
        <v>1077</v>
      </c>
      <c r="H87" s="3">
        <v>500</v>
      </c>
      <c r="I87" s="3">
        <v>104.5</v>
      </c>
      <c r="J87" s="3">
        <v>52250</v>
      </c>
      <c r="K87" s="3">
        <v>46.161099999999998</v>
      </c>
      <c r="L87" s="8">
        <f t="shared" si="1"/>
        <v>52203.838900000002</v>
      </c>
    </row>
    <row r="88" spans="1:12" x14ac:dyDescent="0.25">
      <c r="A88" s="2" t="s">
        <v>1081</v>
      </c>
      <c r="B88" s="3">
        <v>8000</v>
      </c>
      <c r="C88" s="3">
        <v>265.10000000000002</v>
      </c>
      <c r="D88" s="3">
        <v>706200</v>
      </c>
      <c r="E88" s="3">
        <v>654.84319999999991</v>
      </c>
      <c r="G88" s="2" t="s">
        <v>1081</v>
      </c>
      <c r="H88" s="3">
        <v>8000</v>
      </c>
      <c r="I88" s="3">
        <v>265.10000000000002</v>
      </c>
      <c r="J88" s="3">
        <v>706200</v>
      </c>
      <c r="K88" s="3">
        <v>654.84319999999991</v>
      </c>
      <c r="L88" s="8">
        <f t="shared" si="1"/>
        <v>705545.1568</v>
      </c>
    </row>
    <row r="89" spans="1:12" x14ac:dyDescent="0.25">
      <c r="A89" s="2" t="s">
        <v>1086</v>
      </c>
      <c r="B89" s="3">
        <v>25500</v>
      </c>
      <c r="C89" s="3">
        <v>969.94999999999993</v>
      </c>
      <c r="D89" s="3">
        <v>1626330.4</v>
      </c>
      <c r="E89" s="3">
        <v>1434.0232000000001</v>
      </c>
      <c r="G89" s="2" t="s">
        <v>1086</v>
      </c>
      <c r="H89" s="3">
        <v>25500</v>
      </c>
      <c r="I89" s="3">
        <v>969.94999999999993</v>
      </c>
      <c r="J89" s="3">
        <v>1626330.4</v>
      </c>
      <c r="K89" s="3">
        <v>1434.0232000000001</v>
      </c>
      <c r="L89" s="8">
        <f t="shared" si="1"/>
        <v>1624896.3768</v>
      </c>
    </row>
    <row r="90" spans="1:12" x14ac:dyDescent="0.25">
      <c r="A90" s="2" t="s">
        <v>1091</v>
      </c>
      <c r="B90" s="3">
        <v>100</v>
      </c>
      <c r="C90" s="3">
        <v>327.23</v>
      </c>
      <c r="D90" s="3">
        <v>32723.25</v>
      </c>
      <c r="E90" s="3">
        <v>39.048000000000002</v>
      </c>
      <c r="G90" s="2" t="s">
        <v>1091</v>
      </c>
      <c r="H90" s="3">
        <v>100</v>
      </c>
      <c r="I90" s="3">
        <v>327.23</v>
      </c>
      <c r="J90" s="3">
        <v>32723.25</v>
      </c>
      <c r="K90" s="3">
        <v>39.048000000000002</v>
      </c>
      <c r="L90" s="8">
        <f t="shared" si="1"/>
        <v>32684.202000000001</v>
      </c>
    </row>
    <row r="91" spans="1:12" x14ac:dyDescent="0.25">
      <c r="A91" s="2" t="s">
        <v>1096</v>
      </c>
      <c r="B91" s="3">
        <v>10</v>
      </c>
      <c r="C91" s="3">
        <v>3511</v>
      </c>
      <c r="D91" s="3">
        <v>35110</v>
      </c>
      <c r="E91" s="3">
        <v>39.804000000000002</v>
      </c>
      <c r="G91" s="2" t="s">
        <v>1096</v>
      </c>
      <c r="H91" s="3">
        <v>10</v>
      </c>
      <c r="I91" s="3">
        <v>3511</v>
      </c>
      <c r="J91" s="3">
        <v>35110</v>
      </c>
      <c r="K91" s="3">
        <v>39.804000000000002</v>
      </c>
      <c r="L91" s="8">
        <f t="shared" si="1"/>
        <v>35070.196000000004</v>
      </c>
    </row>
    <row r="92" spans="1:12" x14ac:dyDescent="0.25">
      <c r="A92" s="2" t="s">
        <v>1098</v>
      </c>
      <c r="B92" s="3">
        <v>100</v>
      </c>
      <c r="C92" s="3">
        <v>2687</v>
      </c>
      <c r="D92" s="3">
        <v>134350</v>
      </c>
      <c r="E92" s="3">
        <v>118.5067</v>
      </c>
      <c r="G92" s="2" t="s">
        <v>1098</v>
      </c>
      <c r="H92" s="3">
        <v>100</v>
      </c>
      <c r="I92" s="3">
        <v>2687</v>
      </c>
      <c r="J92" s="3">
        <v>134350</v>
      </c>
      <c r="K92" s="3">
        <v>118.5067</v>
      </c>
      <c r="L92" s="8">
        <f t="shared" si="1"/>
        <v>134231.4933</v>
      </c>
    </row>
    <row r="93" spans="1:12" x14ac:dyDescent="0.25">
      <c r="A93" s="2" t="s">
        <v>1101</v>
      </c>
      <c r="B93" s="3">
        <v>100</v>
      </c>
      <c r="C93" s="3">
        <v>412</v>
      </c>
      <c r="D93" s="3">
        <v>41200</v>
      </c>
      <c r="E93" s="3">
        <v>41.533200000000001</v>
      </c>
      <c r="G93" s="2" t="s">
        <v>1101</v>
      </c>
      <c r="H93" s="3">
        <v>100</v>
      </c>
      <c r="I93" s="3">
        <v>412</v>
      </c>
      <c r="J93" s="3">
        <v>41200</v>
      </c>
      <c r="K93" s="3">
        <v>41.533200000000001</v>
      </c>
      <c r="L93" s="8">
        <f t="shared" si="1"/>
        <v>41158.466800000002</v>
      </c>
    </row>
    <row r="94" spans="1:12" x14ac:dyDescent="0.25">
      <c r="A94" s="2" t="s">
        <v>1105</v>
      </c>
      <c r="B94" s="3">
        <v>350</v>
      </c>
      <c r="C94" s="3">
        <v>3589.26</v>
      </c>
      <c r="D94" s="3">
        <v>312426.05</v>
      </c>
      <c r="E94" s="3">
        <v>283.51750000000004</v>
      </c>
      <c r="G94" s="2" t="s">
        <v>1105</v>
      </c>
      <c r="H94" s="3">
        <v>350</v>
      </c>
      <c r="I94" s="3">
        <v>3589.26</v>
      </c>
      <c r="J94" s="3">
        <v>312426.05</v>
      </c>
      <c r="K94" s="3">
        <v>283.51750000000004</v>
      </c>
      <c r="L94" s="8">
        <f t="shared" si="1"/>
        <v>312142.53249999997</v>
      </c>
    </row>
    <row r="95" spans="1:12" x14ac:dyDescent="0.25">
      <c r="A95" s="2" t="s">
        <v>1107</v>
      </c>
      <c r="B95" s="3">
        <v>590</v>
      </c>
      <c r="C95" s="3">
        <v>186.5</v>
      </c>
      <c r="D95" s="3">
        <v>110035</v>
      </c>
      <c r="E95" s="3">
        <v>97.131299999999996</v>
      </c>
      <c r="G95" s="2" t="s">
        <v>1107</v>
      </c>
      <c r="H95" s="3">
        <v>590</v>
      </c>
      <c r="I95" s="3">
        <v>186.5</v>
      </c>
      <c r="J95" s="3">
        <v>110035</v>
      </c>
      <c r="K95" s="3">
        <v>97.131299999999996</v>
      </c>
      <c r="L95" s="8">
        <f t="shared" si="1"/>
        <v>109937.86870000001</v>
      </c>
    </row>
    <row r="96" spans="1:12" x14ac:dyDescent="0.25">
      <c r="A96" s="2" t="s">
        <v>1109</v>
      </c>
      <c r="B96" s="3">
        <v>400</v>
      </c>
      <c r="C96" s="3">
        <v>314.5</v>
      </c>
      <c r="D96" s="3">
        <v>62900</v>
      </c>
      <c r="E96" s="3">
        <v>77.414400000000001</v>
      </c>
      <c r="G96" s="2" t="s">
        <v>1109</v>
      </c>
      <c r="H96" s="3">
        <v>400</v>
      </c>
      <c r="I96" s="3">
        <v>314.5</v>
      </c>
      <c r="J96" s="3">
        <v>62900</v>
      </c>
      <c r="K96" s="3">
        <v>77.414400000000001</v>
      </c>
      <c r="L96" s="8">
        <f t="shared" si="1"/>
        <v>62822.585599999999</v>
      </c>
    </row>
    <row r="97" spans="1:12" x14ac:dyDescent="0.25">
      <c r="A97" s="2" t="s">
        <v>1115</v>
      </c>
      <c r="B97" s="3">
        <v>574</v>
      </c>
      <c r="C97" s="3">
        <v>303.3</v>
      </c>
      <c r="D97" s="3">
        <v>87302.7</v>
      </c>
      <c r="E97" s="3">
        <v>99.863</v>
      </c>
      <c r="G97" s="2" t="s">
        <v>1115</v>
      </c>
      <c r="H97" s="3">
        <v>574</v>
      </c>
      <c r="I97" s="3">
        <v>303.3</v>
      </c>
      <c r="J97" s="3">
        <v>87302.7</v>
      </c>
      <c r="K97" s="3">
        <v>99.863</v>
      </c>
      <c r="L97" s="8">
        <f t="shared" si="1"/>
        <v>87202.837</v>
      </c>
    </row>
    <row r="98" spans="1:12" x14ac:dyDescent="0.25">
      <c r="A98" s="2" t="s">
        <v>1121</v>
      </c>
      <c r="B98" s="3">
        <v>325</v>
      </c>
      <c r="C98" s="3">
        <v>4874.21</v>
      </c>
      <c r="D98" s="3">
        <v>530747.80000000005</v>
      </c>
      <c r="E98" s="3">
        <v>483.1653</v>
      </c>
      <c r="G98" s="2" t="s">
        <v>1121</v>
      </c>
      <c r="H98" s="3">
        <v>325</v>
      </c>
      <c r="I98" s="3">
        <v>4874.21</v>
      </c>
      <c r="J98" s="3">
        <v>530747.80000000005</v>
      </c>
      <c r="K98" s="3">
        <v>483.1653</v>
      </c>
      <c r="L98" s="8">
        <f t="shared" si="1"/>
        <v>530264.63470000005</v>
      </c>
    </row>
    <row r="99" spans="1:12" x14ac:dyDescent="0.25">
      <c r="A99" s="2" t="s">
        <v>1128</v>
      </c>
      <c r="B99" s="3">
        <v>1500</v>
      </c>
      <c r="C99" s="3">
        <v>247.95</v>
      </c>
      <c r="D99" s="3">
        <v>179950</v>
      </c>
      <c r="E99" s="3">
        <v>158.37809999999999</v>
      </c>
      <c r="G99" s="2" t="s">
        <v>1128</v>
      </c>
      <c r="H99" s="3">
        <v>1500</v>
      </c>
      <c r="I99" s="3">
        <v>247.95</v>
      </c>
      <c r="J99" s="3">
        <v>179950</v>
      </c>
      <c r="K99" s="3">
        <v>158.37809999999999</v>
      </c>
      <c r="L99" s="8">
        <f t="shared" si="1"/>
        <v>179791.6219</v>
      </c>
    </row>
    <row r="100" spans="1:12" x14ac:dyDescent="0.25">
      <c r="A100" s="2" t="s">
        <v>1131</v>
      </c>
      <c r="B100" s="3">
        <v>1500</v>
      </c>
      <c r="C100" s="3">
        <v>375.75</v>
      </c>
      <c r="D100" s="3">
        <v>563625</v>
      </c>
      <c r="E100" s="3">
        <v>497.12079999999997</v>
      </c>
      <c r="G100" s="2" t="s">
        <v>1131</v>
      </c>
      <c r="H100" s="3">
        <v>1500</v>
      </c>
      <c r="I100" s="3">
        <v>375.75</v>
      </c>
      <c r="J100" s="3">
        <v>563625</v>
      </c>
      <c r="K100" s="3">
        <v>497.12079999999997</v>
      </c>
      <c r="L100" s="8">
        <f t="shared" si="1"/>
        <v>563127.87919999997</v>
      </c>
    </row>
    <row r="101" spans="1:12" x14ac:dyDescent="0.25">
      <c r="A101" s="2" t="s">
        <v>1136</v>
      </c>
      <c r="B101" s="3">
        <v>300</v>
      </c>
      <c r="C101" s="3">
        <v>478.3</v>
      </c>
      <c r="D101" s="3">
        <v>71710</v>
      </c>
      <c r="E101" s="3">
        <v>79.961700000000008</v>
      </c>
      <c r="G101" s="2" t="s">
        <v>1136</v>
      </c>
      <c r="H101" s="3">
        <v>300</v>
      </c>
      <c r="I101" s="3">
        <v>478.3</v>
      </c>
      <c r="J101" s="3">
        <v>71710</v>
      </c>
      <c r="K101" s="3">
        <v>79.961700000000008</v>
      </c>
      <c r="L101" s="8">
        <f t="shared" si="1"/>
        <v>71630.0383</v>
      </c>
    </row>
    <row r="102" spans="1:12" x14ac:dyDescent="0.25">
      <c r="A102" s="2" t="s">
        <v>1147</v>
      </c>
      <c r="B102" s="3">
        <v>1850</v>
      </c>
      <c r="C102" s="3">
        <v>638.5</v>
      </c>
      <c r="D102" s="3">
        <v>354025</v>
      </c>
      <c r="E102" s="3">
        <v>1861.7910999999999</v>
      </c>
      <c r="G102" s="2" t="s">
        <v>1147</v>
      </c>
      <c r="H102" s="3">
        <v>1850</v>
      </c>
      <c r="I102" s="3">
        <v>638.5</v>
      </c>
      <c r="J102" s="3">
        <v>354025</v>
      </c>
      <c r="K102" s="3">
        <v>1861.7910999999999</v>
      </c>
      <c r="L102" s="8">
        <f t="shared" si="1"/>
        <v>352163.20890000003</v>
      </c>
    </row>
    <row r="103" spans="1:12" x14ac:dyDescent="0.25">
      <c r="A103" s="2" t="s">
        <v>1153</v>
      </c>
      <c r="B103" s="3">
        <v>100</v>
      </c>
      <c r="C103" s="3">
        <v>1090.02</v>
      </c>
      <c r="D103" s="3">
        <v>109002.2</v>
      </c>
      <c r="E103" s="3">
        <v>127.0545</v>
      </c>
      <c r="G103" s="2" t="s">
        <v>1153</v>
      </c>
      <c r="H103" s="3">
        <v>100</v>
      </c>
      <c r="I103" s="3">
        <v>1090.02</v>
      </c>
      <c r="J103" s="3">
        <v>109002.2</v>
      </c>
      <c r="K103" s="3">
        <v>127.0545</v>
      </c>
      <c r="L103" s="8">
        <f t="shared" si="1"/>
        <v>108875.1455</v>
      </c>
    </row>
    <row r="104" spans="1:12" x14ac:dyDescent="0.25">
      <c r="A104" s="2" t="s">
        <v>1156</v>
      </c>
      <c r="B104" s="3">
        <v>43775</v>
      </c>
      <c r="C104" s="3">
        <v>1477.75</v>
      </c>
      <c r="D104" s="3">
        <v>2795463.75</v>
      </c>
      <c r="E104" s="3">
        <v>2520.7015999999999</v>
      </c>
      <c r="G104" s="2" t="s">
        <v>1156</v>
      </c>
      <c r="H104" s="3">
        <v>43775</v>
      </c>
      <c r="I104" s="3">
        <v>1477.75</v>
      </c>
      <c r="J104" s="3">
        <v>2795463.75</v>
      </c>
      <c r="K104" s="3">
        <v>2520.7015999999999</v>
      </c>
      <c r="L104" s="8">
        <f t="shared" si="1"/>
        <v>2792943.0484000002</v>
      </c>
    </row>
    <row r="105" spans="1:12" x14ac:dyDescent="0.25">
      <c r="A105" s="2" t="s">
        <v>1165</v>
      </c>
      <c r="B105" s="3">
        <v>300</v>
      </c>
      <c r="C105" s="3">
        <v>1071.5</v>
      </c>
      <c r="D105" s="3">
        <v>161100</v>
      </c>
      <c r="E105" s="3">
        <v>142.3296</v>
      </c>
      <c r="G105" s="2" t="s">
        <v>1165</v>
      </c>
      <c r="H105" s="3">
        <v>300</v>
      </c>
      <c r="I105" s="3">
        <v>1071.5</v>
      </c>
      <c r="J105" s="3">
        <v>161100</v>
      </c>
      <c r="K105" s="3">
        <v>142.3296</v>
      </c>
      <c r="L105" s="8">
        <f t="shared" si="1"/>
        <v>160957.6704</v>
      </c>
    </row>
    <row r="106" spans="1:12" x14ac:dyDescent="0.25">
      <c r="A106" s="2" t="s">
        <v>1174</v>
      </c>
      <c r="B106" s="3">
        <v>2000</v>
      </c>
      <c r="C106" s="3">
        <v>274.75</v>
      </c>
      <c r="D106" s="3">
        <v>170125</v>
      </c>
      <c r="E106" s="3">
        <v>159.83449999999999</v>
      </c>
      <c r="G106" s="2" t="s">
        <v>1174</v>
      </c>
      <c r="H106" s="3">
        <v>2000</v>
      </c>
      <c r="I106" s="3">
        <v>274.75</v>
      </c>
      <c r="J106" s="3">
        <v>170125</v>
      </c>
      <c r="K106" s="3">
        <v>159.83449999999999</v>
      </c>
      <c r="L106" s="8">
        <f t="shared" si="1"/>
        <v>169965.1655</v>
      </c>
    </row>
    <row r="107" spans="1:12" x14ac:dyDescent="0.25">
      <c r="A107" s="2" t="s">
        <v>1329</v>
      </c>
      <c r="B107" s="3">
        <v>500</v>
      </c>
      <c r="C107" s="3">
        <v>559.14</v>
      </c>
      <c r="D107" s="3">
        <v>93828.6</v>
      </c>
      <c r="E107" s="3">
        <v>114.5142</v>
      </c>
      <c r="G107" s="2" t="s">
        <v>1329</v>
      </c>
      <c r="H107" s="3">
        <v>500</v>
      </c>
      <c r="I107" s="3">
        <v>559.14</v>
      </c>
      <c r="J107" s="3">
        <v>93828.6</v>
      </c>
      <c r="K107" s="3">
        <v>114.5142</v>
      </c>
      <c r="L107" s="8">
        <f t="shared" si="1"/>
        <v>93714.085800000001</v>
      </c>
    </row>
    <row r="108" spans="1:12" x14ac:dyDescent="0.25">
      <c r="A108" s="2" t="s">
        <v>1366</v>
      </c>
      <c r="B108" s="3">
        <v>100</v>
      </c>
      <c r="C108" s="3">
        <v>772</v>
      </c>
      <c r="D108" s="3">
        <v>77200</v>
      </c>
      <c r="E108" s="3">
        <v>68.099199999999996</v>
      </c>
      <c r="G108" s="2" t="s">
        <v>1366</v>
      </c>
      <c r="H108" s="3">
        <v>100</v>
      </c>
      <c r="I108" s="3">
        <v>772</v>
      </c>
      <c r="J108" s="3">
        <v>77200</v>
      </c>
      <c r="K108" s="3">
        <v>68.099199999999996</v>
      </c>
      <c r="L108" s="8">
        <f t="shared" si="1"/>
        <v>77131.900800000003</v>
      </c>
    </row>
    <row r="109" spans="1:12" x14ac:dyDescent="0.25">
      <c r="A109" s="2" t="s">
        <v>1394</v>
      </c>
      <c r="B109" s="3">
        <v>250</v>
      </c>
      <c r="C109" s="3">
        <v>124</v>
      </c>
      <c r="D109" s="3">
        <v>31000</v>
      </c>
      <c r="E109" s="3">
        <v>40.915999999999997</v>
      </c>
      <c r="G109" s="2" t="s">
        <v>1394</v>
      </c>
      <c r="H109" s="3">
        <v>250</v>
      </c>
      <c r="I109" s="3">
        <v>124</v>
      </c>
      <c r="J109" s="3">
        <v>31000</v>
      </c>
      <c r="K109" s="3">
        <v>40.915999999999997</v>
      </c>
      <c r="L109" s="8">
        <f t="shared" si="1"/>
        <v>30959.083999999999</v>
      </c>
    </row>
    <row r="110" spans="1:12" x14ac:dyDescent="0.25">
      <c r="A110" s="2" t="s">
        <v>1407</v>
      </c>
      <c r="B110" s="3">
        <v>700</v>
      </c>
      <c r="C110" s="3">
        <v>1633.7600000000002</v>
      </c>
      <c r="D110" s="3">
        <v>271392.3</v>
      </c>
      <c r="E110" s="3">
        <v>259.3886</v>
      </c>
      <c r="G110" s="2" t="s">
        <v>1407</v>
      </c>
      <c r="H110" s="3">
        <v>700</v>
      </c>
      <c r="I110" s="3">
        <v>1633.7600000000002</v>
      </c>
      <c r="J110" s="3">
        <v>271392.3</v>
      </c>
      <c r="K110" s="3">
        <v>259.3886</v>
      </c>
      <c r="L110" s="8">
        <f t="shared" si="1"/>
        <v>271132.91139999998</v>
      </c>
    </row>
    <row r="111" spans="1:12" x14ac:dyDescent="0.25">
      <c r="A111" s="2" t="s">
        <v>1411</v>
      </c>
      <c r="B111" s="3">
        <v>250</v>
      </c>
      <c r="C111" s="3">
        <v>147.15</v>
      </c>
      <c r="D111" s="3">
        <v>36787.5</v>
      </c>
      <c r="E111" s="3">
        <v>40.234400000000001</v>
      </c>
      <c r="G111" s="2" t="s">
        <v>1411</v>
      </c>
      <c r="H111" s="3">
        <v>250</v>
      </c>
      <c r="I111" s="3">
        <v>147.15</v>
      </c>
      <c r="J111" s="3">
        <v>36787.5</v>
      </c>
      <c r="K111" s="3">
        <v>40.234400000000001</v>
      </c>
      <c r="L111" s="8">
        <f t="shared" si="1"/>
        <v>36747.265599999999</v>
      </c>
    </row>
    <row r="112" spans="1:12" x14ac:dyDescent="0.25">
      <c r="A112" s="2" t="s">
        <v>1476</v>
      </c>
      <c r="B112" s="3">
        <v>27150</v>
      </c>
      <c r="C112" s="3">
        <v>6935.8499999999995</v>
      </c>
      <c r="D112" s="3">
        <v>7533705.75</v>
      </c>
      <c r="E112" s="3">
        <v>6820.7629999999999</v>
      </c>
      <c r="G112" s="2" t="s">
        <v>1476</v>
      </c>
      <c r="H112" s="3">
        <v>27150</v>
      </c>
      <c r="I112" s="3">
        <v>6935.8499999999995</v>
      </c>
      <c r="J112" s="3">
        <v>7533705.75</v>
      </c>
      <c r="K112" s="3">
        <v>6820.7629999999999</v>
      </c>
      <c r="L112" s="8">
        <f t="shared" si="1"/>
        <v>7526884.9869999997</v>
      </c>
    </row>
    <row r="113" spans="1:12" x14ac:dyDescent="0.25">
      <c r="A113" s="2" t="s">
        <v>1522</v>
      </c>
      <c r="B113" s="3">
        <v>450</v>
      </c>
      <c r="C113" s="3">
        <v>5543.95</v>
      </c>
      <c r="D113" s="3">
        <v>349797.5</v>
      </c>
      <c r="E113" s="3">
        <v>351.49599999999998</v>
      </c>
      <c r="G113" s="2" t="s">
        <v>1522</v>
      </c>
      <c r="H113" s="3">
        <v>450</v>
      </c>
      <c r="I113" s="3">
        <v>5543.95</v>
      </c>
      <c r="J113" s="3">
        <v>349797.5</v>
      </c>
      <c r="K113" s="3">
        <v>351.49599999999998</v>
      </c>
      <c r="L113" s="8">
        <f t="shared" si="1"/>
        <v>349446.00400000002</v>
      </c>
    </row>
    <row r="114" spans="1:12" x14ac:dyDescent="0.25">
      <c r="A114" s="2" t="s">
        <v>1539</v>
      </c>
      <c r="B114" s="3">
        <v>25</v>
      </c>
      <c r="C114" s="3">
        <v>1552.8</v>
      </c>
      <c r="D114" s="3">
        <v>38820</v>
      </c>
      <c r="E114" s="3">
        <v>39.954000000000001</v>
      </c>
      <c r="G114" s="2" t="s">
        <v>1539</v>
      </c>
      <c r="H114" s="3">
        <v>25</v>
      </c>
      <c r="I114" s="3">
        <v>1552.8</v>
      </c>
      <c r="J114" s="3">
        <v>38820</v>
      </c>
      <c r="K114" s="3">
        <v>39.954000000000001</v>
      </c>
      <c r="L114" s="8">
        <f t="shared" si="1"/>
        <v>38780.046000000002</v>
      </c>
    </row>
    <row r="115" spans="1:12" x14ac:dyDescent="0.25">
      <c r="A115" s="2" t="s">
        <v>1645</v>
      </c>
      <c r="B115" s="3">
        <v>6000</v>
      </c>
      <c r="C115" s="3">
        <v>118.2</v>
      </c>
      <c r="D115" s="3">
        <v>344977.25</v>
      </c>
      <c r="E115" s="3">
        <v>261.44959999999998</v>
      </c>
      <c r="G115" s="2" t="s">
        <v>1645</v>
      </c>
      <c r="H115" s="3">
        <v>6000</v>
      </c>
      <c r="I115" s="3">
        <v>118.2</v>
      </c>
      <c r="J115" s="3">
        <v>344977.25</v>
      </c>
      <c r="K115" s="3">
        <v>261.44959999999998</v>
      </c>
      <c r="L115" s="8">
        <f t="shared" si="1"/>
        <v>344715.80040000001</v>
      </c>
    </row>
    <row r="116" spans="1:12" x14ac:dyDescent="0.25">
      <c r="A116" s="2" t="s">
        <v>1666</v>
      </c>
      <c r="B116" s="3">
        <v>9750</v>
      </c>
      <c r="C116" s="3">
        <v>2720.7700000000004</v>
      </c>
      <c r="D116" s="3">
        <v>4429431.8</v>
      </c>
      <c r="E116" s="3">
        <v>1566.3541</v>
      </c>
      <c r="G116" s="2" t="s">
        <v>1666</v>
      </c>
      <c r="H116" s="3">
        <v>9750</v>
      </c>
      <c r="I116" s="3">
        <v>2720.7700000000004</v>
      </c>
      <c r="J116" s="3">
        <v>4429431.8</v>
      </c>
      <c r="K116" s="3">
        <v>1566.3541</v>
      </c>
      <c r="L116" s="8">
        <f t="shared" si="1"/>
        <v>4427865.4458999997</v>
      </c>
    </row>
    <row r="117" spans="1:12" x14ac:dyDescent="0.25">
      <c r="A117" s="2" t="s">
        <v>1721</v>
      </c>
      <c r="B117" s="3">
        <v>1000</v>
      </c>
      <c r="C117" s="3">
        <v>7.5</v>
      </c>
      <c r="D117" s="3">
        <v>7500</v>
      </c>
      <c r="E117" s="3">
        <v>67.495000000000005</v>
      </c>
      <c r="G117" s="2" t="s">
        <v>1721</v>
      </c>
      <c r="H117" s="3">
        <v>1000</v>
      </c>
      <c r="I117" s="3">
        <v>7.5</v>
      </c>
      <c r="J117" s="3">
        <v>7500</v>
      </c>
      <c r="K117" s="3">
        <v>67.495000000000005</v>
      </c>
      <c r="L117" s="8">
        <f t="shared" si="1"/>
        <v>7432.5050000000001</v>
      </c>
    </row>
    <row r="118" spans="1:12" x14ac:dyDescent="0.25">
      <c r="A118" s="2" t="s">
        <v>1790</v>
      </c>
      <c r="B118" s="3">
        <v>10</v>
      </c>
      <c r="C118" s="3">
        <v>2227.15</v>
      </c>
      <c r="D118" s="3">
        <v>22271.5</v>
      </c>
      <c r="E118" s="3">
        <v>35.630000000000003</v>
      </c>
      <c r="G118" s="2" t="s">
        <v>1790</v>
      </c>
      <c r="H118" s="3">
        <v>10</v>
      </c>
      <c r="I118" s="3">
        <v>2227.15</v>
      </c>
      <c r="J118" s="3">
        <v>22271.5</v>
      </c>
      <c r="K118" s="3">
        <v>35.630000000000003</v>
      </c>
      <c r="L118" s="8">
        <f t="shared" si="1"/>
        <v>22235.87</v>
      </c>
    </row>
    <row r="119" spans="1:12" x14ac:dyDescent="0.25">
      <c r="A119" s="2" t="s">
        <v>155</v>
      </c>
      <c r="B119" s="3">
        <v>876461</v>
      </c>
      <c r="C119" s="3">
        <v>206907.01000000004</v>
      </c>
      <c r="D119" s="3">
        <v>138133315.39999998</v>
      </c>
      <c r="E119" s="3">
        <v>179631.06150000013</v>
      </c>
      <c r="G119" s="6"/>
      <c r="H119" s="7"/>
      <c r="I119" s="7"/>
      <c r="J119" s="7"/>
      <c r="K119" s="7"/>
      <c r="L119" s="8">
        <f t="shared" si="1"/>
        <v>0</v>
      </c>
    </row>
    <row r="120" spans="1:12" x14ac:dyDescent="0.25">
      <c r="L120" s="8">
        <f t="shared" si="1"/>
        <v>0</v>
      </c>
    </row>
    <row r="121" spans="1:12" x14ac:dyDescent="0.25">
      <c r="L121" s="8">
        <f t="shared" si="1"/>
        <v>0</v>
      </c>
    </row>
    <row r="122" spans="1:12" x14ac:dyDescent="0.25">
      <c r="L122" s="8">
        <f t="shared" si="1"/>
        <v>0</v>
      </c>
    </row>
    <row r="123" spans="1:12" x14ac:dyDescent="0.25">
      <c r="L123" s="8">
        <f t="shared" si="1"/>
        <v>0</v>
      </c>
    </row>
    <row r="124" spans="1:12" x14ac:dyDescent="0.25">
      <c r="L124" s="8">
        <f t="shared" si="1"/>
        <v>0</v>
      </c>
    </row>
    <row r="125" spans="1:12" x14ac:dyDescent="0.25">
      <c r="L125" s="8">
        <f t="shared" si="1"/>
        <v>0</v>
      </c>
    </row>
    <row r="126" spans="1:12" x14ac:dyDescent="0.25">
      <c r="L126" s="8">
        <f t="shared" si="1"/>
        <v>0</v>
      </c>
    </row>
    <row r="127" spans="1:12" x14ac:dyDescent="0.25">
      <c r="L127" s="8">
        <f t="shared" si="1"/>
        <v>0</v>
      </c>
    </row>
    <row r="128" spans="1:12" x14ac:dyDescent="0.25">
      <c r="L128" s="8">
        <f t="shared" si="1"/>
        <v>0</v>
      </c>
    </row>
    <row r="129" spans="12:12" x14ac:dyDescent="0.25">
      <c r="L129" s="8">
        <f t="shared" si="1"/>
        <v>0</v>
      </c>
    </row>
    <row r="130" spans="12:12" x14ac:dyDescent="0.25">
      <c r="L130" s="8">
        <f t="shared" si="1"/>
        <v>0</v>
      </c>
    </row>
    <row r="131" spans="12:12" x14ac:dyDescent="0.25">
      <c r="L131" s="8">
        <f t="shared" si="1"/>
        <v>0</v>
      </c>
    </row>
    <row r="132" spans="12:12" x14ac:dyDescent="0.25">
      <c r="L132" s="8">
        <f t="shared" si="1"/>
        <v>0</v>
      </c>
    </row>
    <row r="133" spans="12:12" x14ac:dyDescent="0.25">
      <c r="L133" s="8">
        <f t="shared" si="1"/>
        <v>0</v>
      </c>
    </row>
    <row r="134" spans="12:12" x14ac:dyDescent="0.25">
      <c r="L134" s="8">
        <f t="shared" ref="L134:L197" si="2">J134-K134</f>
        <v>0</v>
      </c>
    </row>
    <row r="135" spans="12:12" x14ac:dyDescent="0.25">
      <c r="L135" s="8">
        <f t="shared" si="2"/>
        <v>0</v>
      </c>
    </row>
    <row r="136" spans="12:12" x14ac:dyDescent="0.25">
      <c r="L136" s="8">
        <f t="shared" si="2"/>
        <v>0</v>
      </c>
    </row>
    <row r="137" spans="12:12" x14ac:dyDescent="0.25">
      <c r="L137" s="8">
        <f t="shared" si="2"/>
        <v>0</v>
      </c>
    </row>
    <row r="138" spans="12:12" x14ac:dyDescent="0.25">
      <c r="L138" s="8">
        <f t="shared" si="2"/>
        <v>0</v>
      </c>
    </row>
    <row r="139" spans="12:12" x14ac:dyDescent="0.25">
      <c r="L139" s="8">
        <f t="shared" si="2"/>
        <v>0</v>
      </c>
    </row>
    <row r="140" spans="12:12" x14ac:dyDescent="0.25">
      <c r="L140" s="8">
        <f t="shared" si="2"/>
        <v>0</v>
      </c>
    </row>
    <row r="141" spans="12:12" x14ac:dyDescent="0.25">
      <c r="L141" s="8">
        <f t="shared" si="2"/>
        <v>0</v>
      </c>
    </row>
    <row r="142" spans="12:12" x14ac:dyDescent="0.25">
      <c r="L142" s="8">
        <f t="shared" si="2"/>
        <v>0</v>
      </c>
    </row>
    <row r="143" spans="12:12" x14ac:dyDescent="0.25">
      <c r="L143" s="8">
        <f t="shared" si="2"/>
        <v>0</v>
      </c>
    </row>
    <row r="144" spans="12:12" x14ac:dyDescent="0.25">
      <c r="L144" s="8">
        <f t="shared" si="2"/>
        <v>0</v>
      </c>
    </row>
    <row r="145" spans="12:12" x14ac:dyDescent="0.25">
      <c r="L145" s="8">
        <f t="shared" si="2"/>
        <v>0</v>
      </c>
    </row>
    <row r="146" spans="12:12" x14ac:dyDescent="0.25">
      <c r="L146" s="8">
        <f t="shared" si="2"/>
        <v>0</v>
      </c>
    </row>
    <row r="147" spans="12:12" x14ac:dyDescent="0.25">
      <c r="L147" s="8">
        <f t="shared" si="2"/>
        <v>0</v>
      </c>
    </row>
    <row r="148" spans="12:12" x14ac:dyDescent="0.25">
      <c r="L148" s="8">
        <f t="shared" si="2"/>
        <v>0</v>
      </c>
    </row>
    <row r="149" spans="12:12" x14ac:dyDescent="0.25">
      <c r="L149" s="8">
        <f t="shared" si="2"/>
        <v>0</v>
      </c>
    </row>
    <row r="150" spans="12:12" x14ac:dyDescent="0.25">
      <c r="L150" s="8">
        <f t="shared" si="2"/>
        <v>0</v>
      </c>
    </row>
    <row r="151" spans="12:12" x14ac:dyDescent="0.25">
      <c r="L151" s="8">
        <f t="shared" si="2"/>
        <v>0</v>
      </c>
    </row>
    <row r="152" spans="12:12" x14ac:dyDescent="0.25">
      <c r="L152" s="8">
        <f t="shared" si="2"/>
        <v>0</v>
      </c>
    </row>
    <row r="153" spans="12:12" x14ac:dyDescent="0.25">
      <c r="L153" s="8">
        <f t="shared" si="2"/>
        <v>0</v>
      </c>
    </row>
    <row r="154" spans="12:12" x14ac:dyDescent="0.25">
      <c r="L154" s="8">
        <f t="shared" si="2"/>
        <v>0</v>
      </c>
    </row>
    <row r="155" spans="12:12" x14ac:dyDescent="0.25">
      <c r="L155" s="8">
        <f t="shared" si="2"/>
        <v>0</v>
      </c>
    </row>
    <row r="156" spans="12:12" x14ac:dyDescent="0.25">
      <c r="L156" s="8">
        <f t="shared" si="2"/>
        <v>0</v>
      </c>
    </row>
    <row r="157" spans="12:12" x14ac:dyDescent="0.25">
      <c r="L157" s="8">
        <f t="shared" si="2"/>
        <v>0</v>
      </c>
    </row>
    <row r="158" spans="12:12" x14ac:dyDescent="0.25">
      <c r="L158" s="8">
        <f t="shared" si="2"/>
        <v>0</v>
      </c>
    </row>
    <row r="159" spans="12:12" x14ac:dyDescent="0.25">
      <c r="L159" s="8">
        <f t="shared" si="2"/>
        <v>0</v>
      </c>
    </row>
    <row r="160" spans="12:12" x14ac:dyDescent="0.25">
      <c r="L160" s="8">
        <f t="shared" si="2"/>
        <v>0</v>
      </c>
    </row>
    <row r="161" spans="12:12" x14ac:dyDescent="0.25">
      <c r="L161" s="8">
        <f t="shared" si="2"/>
        <v>0</v>
      </c>
    </row>
    <row r="162" spans="12:12" x14ac:dyDescent="0.25">
      <c r="L162" s="8">
        <f t="shared" si="2"/>
        <v>0</v>
      </c>
    </row>
    <row r="163" spans="12:12" x14ac:dyDescent="0.25">
      <c r="L163" s="8">
        <f t="shared" si="2"/>
        <v>0</v>
      </c>
    </row>
    <row r="164" spans="12:12" x14ac:dyDescent="0.25">
      <c r="L164" s="8">
        <f t="shared" si="2"/>
        <v>0</v>
      </c>
    </row>
    <row r="165" spans="12:12" x14ac:dyDescent="0.25">
      <c r="L165" s="8">
        <f t="shared" si="2"/>
        <v>0</v>
      </c>
    </row>
    <row r="166" spans="12:12" x14ac:dyDescent="0.25">
      <c r="L166" s="8">
        <f t="shared" si="2"/>
        <v>0</v>
      </c>
    </row>
    <row r="167" spans="12:12" x14ac:dyDescent="0.25">
      <c r="L167" s="8">
        <f t="shared" si="2"/>
        <v>0</v>
      </c>
    </row>
    <row r="168" spans="12:12" x14ac:dyDescent="0.25">
      <c r="L168" s="8">
        <f t="shared" si="2"/>
        <v>0</v>
      </c>
    </row>
    <row r="169" spans="12:12" x14ac:dyDescent="0.25">
      <c r="L169" s="8">
        <f t="shared" si="2"/>
        <v>0</v>
      </c>
    </row>
    <row r="170" spans="12:12" x14ac:dyDescent="0.25">
      <c r="L170" s="8">
        <f t="shared" si="2"/>
        <v>0</v>
      </c>
    </row>
    <row r="171" spans="12:12" x14ac:dyDescent="0.25">
      <c r="L171" s="8">
        <f t="shared" si="2"/>
        <v>0</v>
      </c>
    </row>
    <row r="172" spans="12:12" x14ac:dyDescent="0.25">
      <c r="L172" s="8">
        <f t="shared" si="2"/>
        <v>0</v>
      </c>
    </row>
    <row r="173" spans="12:12" x14ac:dyDescent="0.25">
      <c r="L173" s="8">
        <f t="shared" si="2"/>
        <v>0</v>
      </c>
    </row>
    <row r="174" spans="12:12" x14ac:dyDescent="0.25">
      <c r="L174" s="8">
        <f t="shared" si="2"/>
        <v>0</v>
      </c>
    </row>
    <row r="175" spans="12:12" x14ac:dyDescent="0.25">
      <c r="L175" s="8">
        <f t="shared" si="2"/>
        <v>0</v>
      </c>
    </row>
    <row r="176" spans="12:12" x14ac:dyDescent="0.25">
      <c r="L176" s="8">
        <f t="shared" si="2"/>
        <v>0</v>
      </c>
    </row>
    <row r="177" spans="12:12" x14ac:dyDescent="0.25">
      <c r="L177" s="8">
        <f t="shared" si="2"/>
        <v>0</v>
      </c>
    </row>
    <row r="178" spans="12:12" x14ac:dyDescent="0.25">
      <c r="L178" s="8">
        <f t="shared" si="2"/>
        <v>0</v>
      </c>
    </row>
    <row r="179" spans="12:12" x14ac:dyDescent="0.25">
      <c r="L179" s="8">
        <f t="shared" si="2"/>
        <v>0</v>
      </c>
    </row>
    <row r="180" spans="12:12" x14ac:dyDescent="0.25">
      <c r="L180" s="8">
        <f t="shared" si="2"/>
        <v>0</v>
      </c>
    </row>
    <row r="181" spans="12:12" x14ac:dyDescent="0.25">
      <c r="L181" s="8">
        <f t="shared" si="2"/>
        <v>0</v>
      </c>
    </row>
    <row r="182" spans="12:12" x14ac:dyDescent="0.25">
      <c r="L182" s="8">
        <f t="shared" si="2"/>
        <v>0</v>
      </c>
    </row>
    <row r="183" spans="12:12" x14ac:dyDescent="0.25">
      <c r="L183" s="8">
        <f t="shared" si="2"/>
        <v>0</v>
      </c>
    </row>
    <row r="184" spans="12:12" x14ac:dyDescent="0.25">
      <c r="L184" s="8">
        <f t="shared" si="2"/>
        <v>0</v>
      </c>
    </row>
    <row r="185" spans="12:12" x14ac:dyDescent="0.25">
      <c r="L185" s="8">
        <f t="shared" si="2"/>
        <v>0</v>
      </c>
    </row>
    <row r="186" spans="12:12" x14ac:dyDescent="0.25">
      <c r="L186" s="8">
        <f t="shared" si="2"/>
        <v>0</v>
      </c>
    </row>
    <row r="187" spans="12:12" x14ac:dyDescent="0.25">
      <c r="L187" s="8">
        <f t="shared" si="2"/>
        <v>0</v>
      </c>
    </row>
    <row r="188" spans="12:12" x14ac:dyDescent="0.25">
      <c r="L188" s="8">
        <f t="shared" si="2"/>
        <v>0</v>
      </c>
    </row>
    <row r="189" spans="12:12" x14ac:dyDescent="0.25">
      <c r="L189" s="8">
        <f t="shared" si="2"/>
        <v>0</v>
      </c>
    </row>
    <row r="190" spans="12:12" x14ac:dyDescent="0.25">
      <c r="L190" s="8">
        <f t="shared" si="2"/>
        <v>0</v>
      </c>
    </row>
    <row r="191" spans="12:12" x14ac:dyDescent="0.25">
      <c r="L191" s="8">
        <f t="shared" si="2"/>
        <v>0</v>
      </c>
    </row>
    <row r="192" spans="12:12" x14ac:dyDescent="0.25">
      <c r="L192" s="8">
        <f t="shared" si="2"/>
        <v>0</v>
      </c>
    </row>
    <row r="193" spans="12:12" x14ac:dyDescent="0.25">
      <c r="L193" s="8">
        <f t="shared" si="2"/>
        <v>0</v>
      </c>
    </row>
    <row r="194" spans="12:12" x14ac:dyDescent="0.25">
      <c r="L194" s="8">
        <f t="shared" si="2"/>
        <v>0</v>
      </c>
    </row>
    <row r="195" spans="12:12" x14ac:dyDescent="0.25">
      <c r="L195" s="8">
        <f t="shared" si="2"/>
        <v>0</v>
      </c>
    </row>
    <row r="196" spans="12:12" x14ac:dyDescent="0.25">
      <c r="L196" s="8">
        <f t="shared" si="2"/>
        <v>0</v>
      </c>
    </row>
    <row r="197" spans="12:12" x14ac:dyDescent="0.25">
      <c r="L197" s="8">
        <f t="shared" si="2"/>
        <v>0</v>
      </c>
    </row>
    <row r="198" spans="12:12" x14ac:dyDescent="0.25">
      <c r="L198" s="8">
        <f t="shared" ref="L198:L261" si="3">J198-K198</f>
        <v>0</v>
      </c>
    </row>
    <row r="199" spans="12:12" x14ac:dyDescent="0.25">
      <c r="L199" s="8">
        <f t="shared" si="3"/>
        <v>0</v>
      </c>
    </row>
    <row r="200" spans="12:12" x14ac:dyDescent="0.25">
      <c r="L200" s="8">
        <f t="shared" si="3"/>
        <v>0</v>
      </c>
    </row>
    <row r="201" spans="12:12" x14ac:dyDescent="0.25">
      <c r="L201" s="8">
        <f t="shared" si="3"/>
        <v>0</v>
      </c>
    </row>
    <row r="202" spans="12:12" x14ac:dyDescent="0.25">
      <c r="L202" s="8">
        <f t="shared" si="3"/>
        <v>0</v>
      </c>
    </row>
    <row r="203" spans="12:12" x14ac:dyDescent="0.25">
      <c r="L203" s="8">
        <f t="shared" si="3"/>
        <v>0</v>
      </c>
    </row>
    <row r="204" spans="12:12" x14ac:dyDescent="0.25">
      <c r="L204" s="8">
        <f t="shared" si="3"/>
        <v>0</v>
      </c>
    </row>
    <row r="205" spans="12:12" x14ac:dyDescent="0.25">
      <c r="L205" s="8">
        <f t="shared" si="3"/>
        <v>0</v>
      </c>
    </row>
    <row r="206" spans="12:12" x14ac:dyDescent="0.25">
      <c r="L206" s="8">
        <f t="shared" si="3"/>
        <v>0</v>
      </c>
    </row>
    <row r="207" spans="12:12" x14ac:dyDescent="0.25">
      <c r="L207" s="8">
        <f t="shared" si="3"/>
        <v>0</v>
      </c>
    </row>
    <row r="208" spans="12:12" x14ac:dyDescent="0.25">
      <c r="L208" s="8">
        <f t="shared" si="3"/>
        <v>0</v>
      </c>
    </row>
    <row r="209" spans="12:12" x14ac:dyDescent="0.25">
      <c r="L209" s="8">
        <f t="shared" si="3"/>
        <v>0</v>
      </c>
    </row>
    <row r="210" spans="12:12" x14ac:dyDescent="0.25">
      <c r="L210" s="8">
        <f t="shared" si="3"/>
        <v>0</v>
      </c>
    </row>
    <row r="211" spans="12:12" x14ac:dyDescent="0.25">
      <c r="L211" s="8">
        <f t="shared" si="3"/>
        <v>0</v>
      </c>
    </row>
    <row r="212" spans="12:12" x14ac:dyDescent="0.25">
      <c r="L212" s="8">
        <f t="shared" si="3"/>
        <v>0</v>
      </c>
    </row>
    <row r="213" spans="12:12" x14ac:dyDescent="0.25">
      <c r="L213" s="8">
        <f t="shared" si="3"/>
        <v>0</v>
      </c>
    </row>
    <row r="214" spans="12:12" x14ac:dyDescent="0.25">
      <c r="L214" s="8">
        <f t="shared" si="3"/>
        <v>0</v>
      </c>
    </row>
    <row r="215" spans="12:12" x14ac:dyDescent="0.25">
      <c r="L215" s="8">
        <f t="shared" si="3"/>
        <v>0</v>
      </c>
    </row>
    <row r="216" spans="12:12" x14ac:dyDescent="0.25">
      <c r="L216" s="8">
        <f t="shared" si="3"/>
        <v>0</v>
      </c>
    </row>
    <row r="217" spans="12:12" x14ac:dyDescent="0.25">
      <c r="L217" s="8">
        <f t="shared" si="3"/>
        <v>0</v>
      </c>
    </row>
    <row r="218" spans="12:12" x14ac:dyDescent="0.25">
      <c r="L218" s="8">
        <f t="shared" si="3"/>
        <v>0</v>
      </c>
    </row>
    <row r="219" spans="12:12" x14ac:dyDescent="0.25">
      <c r="L219" s="8">
        <f t="shared" si="3"/>
        <v>0</v>
      </c>
    </row>
    <row r="220" spans="12:12" x14ac:dyDescent="0.25">
      <c r="L220" s="8">
        <f t="shared" si="3"/>
        <v>0</v>
      </c>
    </row>
    <row r="221" spans="12:12" x14ac:dyDescent="0.25">
      <c r="L221" s="8">
        <f t="shared" si="3"/>
        <v>0</v>
      </c>
    </row>
    <row r="222" spans="12:12" x14ac:dyDescent="0.25">
      <c r="L222" s="8">
        <f t="shared" si="3"/>
        <v>0</v>
      </c>
    </row>
    <row r="223" spans="12:12" x14ac:dyDescent="0.25">
      <c r="L223" s="8">
        <f t="shared" si="3"/>
        <v>0</v>
      </c>
    </row>
    <row r="224" spans="12:12" x14ac:dyDescent="0.25">
      <c r="L224" s="8">
        <f t="shared" si="3"/>
        <v>0</v>
      </c>
    </row>
    <row r="225" spans="12:12" x14ac:dyDescent="0.25">
      <c r="L225" s="8">
        <f t="shared" si="3"/>
        <v>0</v>
      </c>
    </row>
    <row r="226" spans="12:12" x14ac:dyDescent="0.25">
      <c r="L226" s="8">
        <f t="shared" si="3"/>
        <v>0</v>
      </c>
    </row>
    <row r="227" spans="12:12" x14ac:dyDescent="0.25">
      <c r="L227" s="8">
        <f t="shared" si="3"/>
        <v>0</v>
      </c>
    </row>
    <row r="228" spans="12:12" x14ac:dyDescent="0.25">
      <c r="L228" s="8">
        <f t="shared" si="3"/>
        <v>0</v>
      </c>
    </row>
    <row r="229" spans="12:12" x14ac:dyDescent="0.25">
      <c r="L229" s="8">
        <f t="shared" si="3"/>
        <v>0</v>
      </c>
    </row>
    <row r="230" spans="12:12" x14ac:dyDescent="0.25">
      <c r="L230" s="8">
        <f t="shared" si="3"/>
        <v>0</v>
      </c>
    </row>
    <row r="231" spans="12:12" x14ac:dyDescent="0.25">
      <c r="L231" s="8">
        <f t="shared" si="3"/>
        <v>0</v>
      </c>
    </row>
    <row r="232" spans="12:12" x14ac:dyDescent="0.25">
      <c r="L232" s="8">
        <f t="shared" si="3"/>
        <v>0</v>
      </c>
    </row>
    <row r="233" spans="12:12" x14ac:dyDescent="0.25">
      <c r="L233" s="8">
        <f t="shared" si="3"/>
        <v>0</v>
      </c>
    </row>
    <row r="234" spans="12:12" x14ac:dyDescent="0.25">
      <c r="L234" s="8">
        <f t="shared" si="3"/>
        <v>0</v>
      </c>
    </row>
    <row r="235" spans="12:12" x14ac:dyDescent="0.25">
      <c r="L235" s="8">
        <f t="shared" si="3"/>
        <v>0</v>
      </c>
    </row>
    <row r="236" spans="12:12" x14ac:dyDescent="0.25">
      <c r="L236" s="8">
        <f t="shared" si="3"/>
        <v>0</v>
      </c>
    </row>
    <row r="237" spans="12:12" x14ac:dyDescent="0.25">
      <c r="L237" s="8">
        <f t="shared" si="3"/>
        <v>0</v>
      </c>
    </row>
    <row r="238" spans="12:12" x14ac:dyDescent="0.25">
      <c r="L238" s="8">
        <f t="shared" si="3"/>
        <v>0</v>
      </c>
    </row>
    <row r="239" spans="12:12" x14ac:dyDescent="0.25">
      <c r="L239" s="8">
        <f t="shared" si="3"/>
        <v>0</v>
      </c>
    </row>
    <row r="240" spans="12:12" x14ac:dyDescent="0.25">
      <c r="L240" s="8">
        <f t="shared" si="3"/>
        <v>0</v>
      </c>
    </row>
    <row r="241" spans="12:12" x14ac:dyDescent="0.25">
      <c r="L241" s="8">
        <f t="shared" si="3"/>
        <v>0</v>
      </c>
    </row>
    <row r="242" spans="12:12" x14ac:dyDescent="0.25">
      <c r="L242" s="8">
        <f t="shared" si="3"/>
        <v>0</v>
      </c>
    </row>
    <row r="243" spans="12:12" x14ac:dyDescent="0.25">
      <c r="L243" s="8">
        <f t="shared" si="3"/>
        <v>0</v>
      </c>
    </row>
    <row r="244" spans="12:12" x14ac:dyDescent="0.25">
      <c r="L244" s="8">
        <f t="shared" si="3"/>
        <v>0</v>
      </c>
    </row>
    <row r="245" spans="12:12" x14ac:dyDescent="0.25">
      <c r="L245" s="8">
        <f t="shared" si="3"/>
        <v>0</v>
      </c>
    </row>
    <row r="246" spans="12:12" x14ac:dyDescent="0.25">
      <c r="L246" s="8">
        <f t="shared" si="3"/>
        <v>0</v>
      </c>
    </row>
    <row r="247" spans="12:12" x14ac:dyDescent="0.25">
      <c r="L247" s="8">
        <f t="shared" si="3"/>
        <v>0</v>
      </c>
    </row>
    <row r="248" spans="12:12" x14ac:dyDescent="0.25">
      <c r="L248" s="8">
        <f t="shared" si="3"/>
        <v>0</v>
      </c>
    </row>
    <row r="249" spans="12:12" x14ac:dyDescent="0.25">
      <c r="L249" s="8">
        <f t="shared" si="3"/>
        <v>0</v>
      </c>
    </row>
    <row r="250" spans="12:12" x14ac:dyDescent="0.25">
      <c r="L250" s="8">
        <f t="shared" si="3"/>
        <v>0</v>
      </c>
    </row>
    <row r="251" spans="12:12" x14ac:dyDescent="0.25">
      <c r="L251" s="8">
        <f t="shared" si="3"/>
        <v>0</v>
      </c>
    </row>
    <row r="252" spans="12:12" x14ac:dyDescent="0.25">
      <c r="L252" s="8">
        <f t="shared" si="3"/>
        <v>0</v>
      </c>
    </row>
    <row r="253" spans="12:12" x14ac:dyDescent="0.25">
      <c r="L253" s="8">
        <f t="shared" si="3"/>
        <v>0</v>
      </c>
    </row>
    <row r="254" spans="12:12" x14ac:dyDescent="0.25">
      <c r="L254" s="8">
        <f t="shared" si="3"/>
        <v>0</v>
      </c>
    </row>
    <row r="255" spans="12:12" x14ac:dyDescent="0.25">
      <c r="L255" s="8">
        <f t="shared" si="3"/>
        <v>0</v>
      </c>
    </row>
    <row r="256" spans="12:12" x14ac:dyDescent="0.25">
      <c r="L256" s="8">
        <f t="shared" si="3"/>
        <v>0</v>
      </c>
    </row>
    <row r="257" spans="12:12" x14ac:dyDescent="0.25">
      <c r="L257" s="8">
        <f t="shared" si="3"/>
        <v>0</v>
      </c>
    </row>
    <row r="258" spans="12:12" x14ac:dyDescent="0.25">
      <c r="L258" s="8">
        <f t="shared" si="3"/>
        <v>0</v>
      </c>
    </row>
    <row r="259" spans="12:12" x14ac:dyDescent="0.25">
      <c r="L259" s="8">
        <f t="shared" si="3"/>
        <v>0</v>
      </c>
    </row>
    <row r="260" spans="12:12" x14ac:dyDescent="0.25">
      <c r="L260" s="8">
        <f t="shared" si="3"/>
        <v>0</v>
      </c>
    </row>
    <row r="261" spans="12:12" x14ac:dyDescent="0.25">
      <c r="L261" s="8">
        <f t="shared" si="3"/>
        <v>0</v>
      </c>
    </row>
    <row r="262" spans="12:12" x14ac:dyDescent="0.25">
      <c r="L262" s="8">
        <f t="shared" ref="L262:L325" si="4">J262-K262</f>
        <v>0</v>
      </c>
    </row>
    <row r="263" spans="12:12" x14ac:dyDescent="0.25">
      <c r="L263" s="8">
        <f t="shared" si="4"/>
        <v>0</v>
      </c>
    </row>
    <row r="264" spans="12:12" x14ac:dyDescent="0.25">
      <c r="L264" s="8">
        <f t="shared" si="4"/>
        <v>0</v>
      </c>
    </row>
    <row r="265" spans="12:12" x14ac:dyDescent="0.25">
      <c r="L265" s="8">
        <f t="shared" si="4"/>
        <v>0</v>
      </c>
    </row>
    <row r="266" spans="12:12" x14ac:dyDescent="0.25">
      <c r="L266" s="8">
        <f t="shared" si="4"/>
        <v>0</v>
      </c>
    </row>
    <row r="267" spans="12:12" x14ac:dyDescent="0.25">
      <c r="L267" s="8">
        <f t="shared" si="4"/>
        <v>0</v>
      </c>
    </row>
    <row r="268" spans="12:12" x14ac:dyDescent="0.25">
      <c r="L268" s="8">
        <f t="shared" si="4"/>
        <v>0</v>
      </c>
    </row>
    <row r="269" spans="12:12" x14ac:dyDescent="0.25">
      <c r="L269" s="8">
        <f t="shared" si="4"/>
        <v>0</v>
      </c>
    </row>
    <row r="270" spans="12:12" x14ac:dyDescent="0.25">
      <c r="L270" s="8">
        <f t="shared" si="4"/>
        <v>0</v>
      </c>
    </row>
    <row r="271" spans="12:12" x14ac:dyDescent="0.25">
      <c r="L271" s="8">
        <f t="shared" si="4"/>
        <v>0</v>
      </c>
    </row>
    <row r="272" spans="12:12" x14ac:dyDescent="0.25">
      <c r="L272" s="8">
        <f t="shared" si="4"/>
        <v>0</v>
      </c>
    </row>
    <row r="273" spans="12:12" x14ac:dyDescent="0.25">
      <c r="L273" s="8">
        <f t="shared" si="4"/>
        <v>0</v>
      </c>
    </row>
    <row r="274" spans="12:12" x14ac:dyDescent="0.25">
      <c r="L274" s="8">
        <f t="shared" si="4"/>
        <v>0</v>
      </c>
    </row>
    <row r="275" spans="12:12" x14ac:dyDescent="0.25">
      <c r="L275" s="8">
        <f t="shared" si="4"/>
        <v>0</v>
      </c>
    </row>
    <row r="276" spans="12:12" x14ac:dyDescent="0.25">
      <c r="L276" s="8">
        <f t="shared" si="4"/>
        <v>0</v>
      </c>
    </row>
    <row r="277" spans="12:12" x14ac:dyDescent="0.25">
      <c r="L277" s="8">
        <f t="shared" si="4"/>
        <v>0</v>
      </c>
    </row>
    <row r="278" spans="12:12" x14ac:dyDescent="0.25">
      <c r="L278" s="8">
        <f t="shared" si="4"/>
        <v>0</v>
      </c>
    </row>
    <row r="279" spans="12:12" x14ac:dyDescent="0.25">
      <c r="L279" s="8">
        <f t="shared" si="4"/>
        <v>0</v>
      </c>
    </row>
    <row r="280" spans="12:12" x14ac:dyDescent="0.25">
      <c r="L280" s="8">
        <f t="shared" si="4"/>
        <v>0</v>
      </c>
    </row>
    <row r="281" spans="12:12" x14ac:dyDescent="0.25">
      <c r="L281" s="8">
        <f t="shared" si="4"/>
        <v>0</v>
      </c>
    </row>
    <row r="282" spans="12:12" x14ac:dyDescent="0.25">
      <c r="L282" s="8">
        <f t="shared" si="4"/>
        <v>0</v>
      </c>
    </row>
    <row r="283" spans="12:12" x14ac:dyDescent="0.25">
      <c r="L283" s="8">
        <f t="shared" si="4"/>
        <v>0</v>
      </c>
    </row>
    <row r="284" spans="12:12" x14ac:dyDescent="0.25">
      <c r="L284" s="8">
        <f t="shared" si="4"/>
        <v>0</v>
      </c>
    </row>
    <row r="285" spans="12:12" x14ac:dyDescent="0.25">
      <c r="L285" s="8">
        <f t="shared" si="4"/>
        <v>0</v>
      </c>
    </row>
    <row r="286" spans="12:12" x14ac:dyDescent="0.25">
      <c r="L286" s="8">
        <f t="shared" si="4"/>
        <v>0</v>
      </c>
    </row>
    <row r="287" spans="12:12" x14ac:dyDescent="0.25">
      <c r="L287" s="8">
        <f t="shared" si="4"/>
        <v>0</v>
      </c>
    </row>
    <row r="288" spans="12:12" x14ac:dyDescent="0.25">
      <c r="L288" s="8">
        <f t="shared" si="4"/>
        <v>0</v>
      </c>
    </row>
    <row r="289" spans="12:12" x14ac:dyDescent="0.25">
      <c r="L289" s="8">
        <f t="shared" si="4"/>
        <v>0</v>
      </c>
    </row>
    <row r="290" spans="12:12" x14ac:dyDescent="0.25">
      <c r="L290" s="8">
        <f t="shared" si="4"/>
        <v>0</v>
      </c>
    </row>
    <row r="291" spans="12:12" x14ac:dyDescent="0.25">
      <c r="L291" s="8">
        <f t="shared" si="4"/>
        <v>0</v>
      </c>
    </row>
    <row r="292" spans="12:12" x14ac:dyDescent="0.25">
      <c r="L292" s="8">
        <f t="shared" si="4"/>
        <v>0</v>
      </c>
    </row>
    <row r="293" spans="12:12" x14ac:dyDescent="0.25">
      <c r="L293" s="8">
        <f t="shared" si="4"/>
        <v>0</v>
      </c>
    </row>
    <row r="294" spans="12:12" x14ac:dyDescent="0.25">
      <c r="L294" s="8">
        <f t="shared" si="4"/>
        <v>0</v>
      </c>
    </row>
    <row r="295" spans="12:12" x14ac:dyDescent="0.25">
      <c r="L295" s="8">
        <f t="shared" si="4"/>
        <v>0</v>
      </c>
    </row>
    <row r="296" spans="12:12" x14ac:dyDescent="0.25">
      <c r="L296" s="8">
        <f t="shared" si="4"/>
        <v>0</v>
      </c>
    </row>
    <row r="297" spans="12:12" x14ac:dyDescent="0.25">
      <c r="L297" s="8">
        <f t="shared" si="4"/>
        <v>0</v>
      </c>
    </row>
    <row r="298" spans="12:12" x14ac:dyDescent="0.25">
      <c r="L298" s="8">
        <f t="shared" si="4"/>
        <v>0</v>
      </c>
    </row>
    <row r="299" spans="12:12" x14ac:dyDescent="0.25">
      <c r="L299" s="8">
        <f t="shared" si="4"/>
        <v>0</v>
      </c>
    </row>
    <row r="300" spans="12:12" x14ac:dyDescent="0.25">
      <c r="L300" s="8">
        <f t="shared" si="4"/>
        <v>0</v>
      </c>
    </row>
    <row r="301" spans="12:12" x14ac:dyDescent="0.25">
      <c r="L301" s="8">
        <f t="shared" si="4"/>
        <v>0</v>
      </c>
    </row>
    <row r="302" spans="12:12" x14ac:dyDescent="0.25">
      <c r="L302" s="8">
        <f t="shared" si="4"/>
        <v>0</v>
      </c>
    </row>
    <row r="303" spans="12:12" x14ac:dyDescent="0.25">
      <c r="L303" s="8">
        <f t="shared" si="4"/>
        <v>0</v>
      </c>
    </row>
    <row r="304" spans="12:12" x14ac:dyDescent="0.25">
      <c r="L304" s="8">
        <f t="shared" si="4"/>
        <v>0</v>
      </c>
    </row>
    <row r="305" spans="12:12" x14ac:dyDescent="0.25">
      <c r="L305" s="8">
        <f t="shared" si="4"/>
        <v>0</v>
      </c>
    </row>
    <row r="306" spans="12:12" x14ac:dyDescent="0.25">
      <c r="L306" s="8">
        <f t="shared" si="4"/>
        <v>0</v>
      </c>
    </row>
    <row r="307" spans="12:12" x14ac:dyDescent="0.25">
      <c r="L307" s="8">
        <f t="shared" si="4"/>
        <v>0</v>
      </c>
    </row>
    <row r="308" spans="12:12" x14ac:dyDescent="0.25">
      <c r="L308" s="8">
        <f t="shared" si="4"/>
        <v>0</v>
      </c>
    </row>
    <row r="309" spans="12:12" x14ac:dyDescent="0.25">
      <c r="L309" s="8">
        <f t="shared" si="4"/>
        <v>0</v>
      </c>
    </row>
    <row r="310" spans="12:12" x14ac:dyDescent="0.25">
      <c r="L310" s="8">
        <f t="shared" si="4"/>
        <v>0</v>
      </c>
    </row>
    <row r="311" spans="12:12" x14ac:dyDescent="0.25">
      <c r="L311" s="8">
        <f t="shared" si="4"/>
        <v>0</v>
      </c>
    </row>
    <row r="312" spans="12:12" x14ac:dyDescent="0.25">
      <c r="L312" s="8">
        <f t="shared" si="4"/>
        <v>0</v>
      </c>
    </row>
    <row r="313" spans="12:12" x14ac:dyDescent="0.25">
      <c r="L313" s="8">
        <f t="shared" si="4"/>
        <v>0</v>
      </c>
    </row>
    <row r="314" spans="12:12" x14ac:dyDescent="0.25">
      <c r="L314" s="8">
        <f t="shared" si="4"/>
        <v>0</v>
      </c>
    </row>
    <row r="315" spans="12:12" x14ac:dyDescent="0.25">
      <c r="L315" s="8">
        <f t="shared" si="4"/>
        <v>0</v>
      </c>
    </row>
    <row r="316" spans="12:12" x14ac:dyDescent="0.25">
      <c r="L316" s="8">
        <f t="shared" si="4"/>
        <v>0</v>
      </c>
    </row>
    <row r="317" spans="12:12" x14ac:dyDescent="0.25">
      <c r="L317" s="8">
        <f t="shared" si="4"/>
        <v>0</v>
      </c>
    </row>
    <row r="318" spans="12:12" x14ac:dyDescent="0.25">
      <c r="L318" s="8">
        <f t="shared" si="4"/>
        <v>0</v>
      </c>
    </row>
    <row r="319" spans="12:12" x14ac:dyDescent="0.25">
      <c r="L319" s="8">
        <f t="shared" si="4"/>
        <v>0</v>
      </c>
    </row>
    <row r="320" spans="12:12" x14ac:dyDescent="0.25">
      <c r="L320" s="8">
        <f t="shared" si="4"/>
        <v>0</v>
      </c>
    </row>
    <row r="321" spans="12:12" x14ac:dyDescent="0.25">
      <c r="L321" s="8">
        <f t="shared" si="4"/>
        <v>0</v>
      </c>
    </row>
    <row r="322" spans="12:12" x14ac:dyDescent="0.25">
      <c r="L322" s="8">
        <f t="shared" si="4"/>
        <v>0</v>
      </c>
    </row>
    <row r="323" spans="12:12" x14ac:dyDescent="0.25">
      <c r="L323" s="8">
        <f t="shared" si="4"/>
        <v>0</v>
      </c>
    </row>
    <row r="324" spans="12:12" x14ac:dyDescent="0.25">
      <c r="L324" s="8">
        <f t="shared" si="4"/>
        <v>0</v>
      </c>
    </row>
    <row r="325" spans="12:12" x14ac:dyDescent="0.25">
      <c r="L325" s="8">
        <f t="shared" si="4"/>
        <v>0</v>
      </c>
    </row>
    <row r="326" spans="12:12" x14ac:dyDescent="0.25">
      <c r="L326" s="8">
        <f t="shared" ref="L326:L389" si="5">J326-K326</f>
        <v>0</v>
      </c>
    </row>
    <row r="327" spans="12:12" x14ac:dyDescent="0.25">
      <c r="L327" s="8">
        <f t="shared" si="5"/>
        <v>0</v>
      </c>
    </row>
    <row r="328" spans="12:12" x14ac:dyDescent="0.25">
      <c r="L328" s="8">
        <f t="shared" si="5"/>
        <v>0</v>
      </c>
    </row>
    <row r="329" spans="12:12" x14ac:dyDescent="0.25">
      <c r="L329" s="8">
        <f t="shared" si="5"/>
        <v>0</v>
      </c>
    </row>
    <row r="330" spans="12:12" x14ac:dyDescent="0.25">
      <c r="L330" s="8">
        <f t="shared" si="5"/>
        <v>0</v>
      </c>
    </row>
    <row r="331" spans="12:12" x14ac:dyDescent="0.25">
      <c r="L331" s="8">
        <f t="shared" si="5"/>
        <v>0</v>
      </c>
    </row>
    <row r="332" spans="12:12" x14ac:dyDescent="0.25">
      <c r="L332" s="8">
        <f t="shared" si="5"/>
        <v>0</v>
      </c>
    </row>
    <row r="333" spans="12:12" x14ac:dyDescent="0.25">
      <c r="L333" s="8">
        <f t="shared" si="5"/>
        <v>0</v>
      </c>
    </row>
    <row r="334" spans="12:12" x14ac:dyDescent="0.25">
      <c r="L334" s="8">
        <f t="shared" si="5"/>
        <v>0</v>
      </c>
    </row>
    <row r="335" spans="12:12" x14ac:dyDescent="0.25">
      <c r="L335" s="8">
        <f t="shared" si="5"/>
        <v>0</v>
      </c>
    </row>
    <row r="336" spans="12:12" x14ac:dyDescent="0.25">
      <c r="L336" s="8">
        <f t="shared" si="5"/>
        <v>0</v>
      </c>
    </row>
    <row r="337" spans="12:12" x14ac:dyDescent="0.25">
      <c r="L337" s="8">
        <f t="shared" si="5"/>
        <v>0</v>
      </c>
    </row>
    <row r="338" spans="12:12" x14ac:dyDescent="0.25">
      <c r="L338" s="8">
        <f t="shared" si="5"/>
        <v>0</v>
      </c>
    </row>
    <row r="339" spans="12:12" x14ac:dyDescent="0.25">
      <c r="L339" s="8">
        <f t="shared" si="5"/>
        <v>0</v>
      </c>
    </row>
    <row r="340" spans="12:12" x14ac:dyDescent="0.25">
      <c r="L340" s="8">
        <f t="shared" si="5"/>
        <v>0</v>
      </c>
    </row>
    <row r="341" spans="12:12" x14ac:dyDescent="0.25">
      <c r="L341" s="8">
        <f t="shared" si="5"/>
        <v>0</v>
      </c>
    </row>
    <row r="342" spans="12:12" x14ac:dyDescent="0.25">
      <c r="L342" s="8">
        <f t="shared" si="5"/>
        <v>0</v>
      </c>
    </row>
    <row r="343" spans="12:12" x14ac:dyDescent="0.25">
      <c r="L343" s="8">
        <f t="shared" si="5"/>
        <v>0</v>
      </c>
    </row>
    <row r="344" spans="12:12" x14ac:dyDescent="0.25">
      <c r="L344" s="8">
        <f t="shared" si="5"/>
        <v>0</v>
      </c>
    </row>
    <row r="345" spans="12:12" x14ac:dyDescent="0.25">
      <c r="L345" s="8">
        <f t="shared" si="5"/>
        <v>0</v>
      </c>
    </row>
    <row r="346" spans="12:12" x14ac:dyDescent="0.25">
      <c r="L346" s="8">
        <f t="shared" si="5"/>
        <v>0</v>
      </c>
    </row>
    <row r="347" spans="12:12" x14ac:dyDescent="0.25">
      <c r="L347" s="8">
        <f t="shared" si="5"/>
        <v>0</v>
      </c>
    </row>
    <row r="348" spans="12:12" x14ac:dyDescent="0.25">
      <c r="L348" s="8">
        <f t="shared" si="5"/>
        <v>0</v>
      </c>
    </row>
    <row r="349" spans="12:12" x14ac:dyDescent="0.25">
      <c r="L349" s="8">
        <f t="shared" si="5"/>
        <v>0</v>
      </c>
    </row>
    <row r="350" spans="12:12" x14ac:dyDescent="0.25">
      <c r="L350" s="8">
        <f t="shared" si="5"/>
        <v>0</v>
      </c>
    </row>
    <row r="351" spans="12:12" x14ac:dyDescent="0.25">
      <c r="L351" s="8">
        <f t="shared" si="5"/>
        <v>0</v>
      </c>
    </row>
    <row r="352" spans="12:12" x14ac:dyDescent="0.25">
      <c r="L352" s="8">
        <f t="shared" si="5"/>
        <v>0</v>
      </c>
    </row>
    <row r="353" spans="12:12" x14ac:dyDescent="0.25">
      <c r="L353" s="8">
        <f t="shared" si="5"/>
        <v>0</v>
      </c>
    </row>
    <row r="354" spans="12:12" x14ac:dyDescent="0.25">
      <c r="L354" s="8">
        <f t="shared" si="5"/>
        <v>0</v>
      </c>
    </row>
    <row r="355" spans="12:12" x14ac:dyDescent="0.25">
      <c r="L355" s="8">
        <f t="shared" si="5"/>
        <v>0</v>
      </c>
    </row>
    <row r="356" spans="12:12" x14ac:dyDescent="0.25">
      <c r="L356" s="8">
        <f t="shared" si="5"/>
        <v>0</v>
      </c>
    </row>
    <row r="357" spans="12:12" x14ac:dyDescent="0.25">
      <c r="L357" s="8">
        <f t="shared" si="5"/>
        <v>0</v>
      </c>
    </row>
    <row r="358" spans="12:12" x14ac:dyDescent="0.25">
      <c r="L358" s="8">
        <f t="shared" si="5"/>
        <v>0</v>
      </c>
    </row>
    <row r="359" spans="12:12" x14ac:dyDescent="0.25">
      <c r="L359" s="8">
        <f t="shared" si="5"/>
        <v>0</v>
      </c>
    </row>
    <row r="360" spans="12:12" x14ac:dyDescent="0.25">
      <c r="L360" s="8">
        <f t="shared" si="5"/>
        <v>0</v>
      </c>
    </row>
    <row r="361" spans="12:12" x14ac:dyDescent="0.25">
      <c r="L361" s="8">
        <f t="shared" si="5"/>
        <v>0</v>
      </c>
    </row>
    <row r="362" spans="12:12" x14ac:dyDescent="0.25">
      <c r="L362" s="8">
        <f t="shared" si="5"/>
        <v>0</v>
      </c>
    </row>
    <row r="363" spans="12:12" x14ac:dyDescent="0.25">
      <c r="L363" s="8">
        <f t="shared" si="5"/>
        <v>0</v>
      </c>
    </row>
    <row r="364" spans="12:12" x14ac:dyDescent="0.25">
      <c r="L364" s="8">
        <f t="shared" si="5"/>
        <v>0</v>
      </c>
    </row>
    <row r="365" spans="12:12" x14ac:dyDescent="0.25">
      <c r="L365" s="8">
        <f t="shared" si="5"/>
        <v>0</v>
      </c>
    </row>
    <row r="366" spans="12:12" x14ac:dyDescent="0.25">
      <c r="L366" s="8">
        <f t="shared" si="5"/>
        <v>0</v>
      </c>
    </row>
    <row r="367" spans="12:12" x14ac:dyDescent="0.25">
      <c r="L367" s="8">
        <f t="shared" si="5"/>
        <v>0</v>
      </c>
    </row>
    <row r="368" spans="12:12" x14ac:dyDescent="0.25">
      <c r="L368" s="8">
        <f t="shared" si="5"/>
        <v>0</v>
      </c>
    </row>
    <row r="369" spans="12:12" x14ac:dyDescent="0.25">
      <c r="L369" s="8">
        <f t="shared" si="5"/>
        <v>0</v>
      </c>
    </row>
    <row r="370" spans="12:12" x14ac:dyDescent="0.25">
      <c r="L370" s="8">
        <f t="shared" si="5"/>
        <v>0</v>
      </c>
    </row>
    <row r="371" spans="12:12" x14ac:dyDescent="0.25">
      <c r="L371" s="8">
        <f t="shared" si="5"/>
        <v>0</v>
      </c>
    </row>
    <row r="372" spans="12:12" x14ac:dyDescent="0.25">
      <c r="L372" s="8">
        <f t="shared" si="5"/>
        <v>0</v>
      </c>
    </row>
    <row r="373" spans="12:12" x14ac:dyDescent="0.25">
      <c r="L373" s="8">
        <f t="shared" si="5"/>
        <v>0</v>
      </c>
    </row>
    <row r="374" spans="12:12" x14ac:dyDescent="0.25">
      <c r="L374" s="8">
        <f t="shared" si="5"/>
        <v>0</v>
      </c>
    </row>
    <row r="375" spans="12:12" x14ac:dyDescent="0.25">
      <c r="L375" s="8">
        <f t="shared" si="5"/>
        <v>0</v>
      </c>
    </row>
    <row r="376" spans="12:12" x14ac:dyDescent="0.25">
      <c r="L376" s="8">
        <f t="shared" si="5"/>
        <v>0</v>
      </c>
    </row>
    <row r="377" spans="12:12" x14ac:dyDescent="0.25">
      <c r="L377" s="8">
        <f t="shared" si="5"/>
        <v>0</v>
      </c>
    </row>
    <row r="378" spans="12:12" x14ac:dyDescent="0.25">
      <c r="L378" s="8">
        <f t="shared" si="5"/>
        <v>0</v>
      </c>
    </row>
    <row r="379" spans="12:12" x14ac:dyDescent="0.25">
      <c r="L379" s="8">
        <f t="shared" si="5"/>
        <v>0</v>
      </c>
    </row>
    <row r="380" spans="12:12" x14ac:dyDescent="0.25">
      <c r="L380" s="8">
        <f t="shared" si="5"/>
        <v>0</v>
      </c>
    </row>
    <row r="381" spans="12:12" x14ac:dyDescent="0.25">
      <c r="L381" s="8">
        <f t="shared" si="5"/>
        <v>0</v>
      </c>
    </row>
    <row r="382" spans="12:12" x14ac:dyDescent="0.25">
      <c r="L382" s="8">
        <f t="shared" si="5"/>
        <v>0</v>
      </c>
    </row>
    <row r="383" spans="12:12" x14ac:dyDescent="0.25">
      <c r="L383" s="8">
        <f t="shared" si="5"/>
        <v>0</v>
      </c>
    </row>
    <row r="384" spans="12:12" x14ac:dyDescent="0.25">
      <c r="L384" s="8">
        <f t="shared" si="5"/>
        <v>0</v>
      </c>
    </row>
    <row r="385" spans="12:12" x14ac:dyDescent="0.25">
      <c r="L385" s="8">
        <f t="shared" si="5"/>
        <v>0</v>
      </c>
    </row>
    <row r="386" spans="12:12" x14ac:dyDescent="0.25">
      <c r="L386" s="8">
        <f t="shared" si="5"/>
        <v>0</v>
      </c>
    </row>
    <row r="387" spans="12:12" x14ac:dyDescent="0.25">
      <c r="L387" s="8">
        <f t="shared" si="5"/>
        <v>0</v>
      </c>
    </row>
    <row r="388" spans="12:12" x14ac:dyDescent="0.25">
      <c r="L388" s="8">
        <f t="shared" si="5"/>
        <v>0</v>
      </c>
    </row>
    <row r="389" spans="12:12" x14ac:dyDescent="0.25">
      <c r="L389" s="8">
        <f t="shared" si="5"/>
        <v>0</v>
      </c>
    </row>
    <row r="390" spans="12:12" x14ac:dyDescent="0.25">
      <c r="L390" s="8">
        <f t="shared" ref="L390:L453" si="6">J390-K390</f>
        <v>0</v>
      </c>
    </row>
    <row r="391" spans="12:12" x14ac:dyDescent="0.25">
      <c r="L391" s="8">
        <f t="shared" si="6"/>
        <v>0</v>
      </c>
    </row>
    <row r="392" spans="12:12" x14ac:dyDescent="0.25">
      <c r="L392" s="8">
        <f t="shared" si="6"/>
        <v>0</v>
      </c>
    </row>
    <row r="393" spans="12:12" x14ac:dyDescent="0.25">
      <c r="L393" s="8">
        <f t="shared" si="6"/>
        <v>0</v>
      </c>
    </row>
    <row r="394" spans="12:12" x14ac:dyDescent="0.25">
      <c r="L394" s="8">
        <f t="shared" si="6"/>
        <v>0</v>
      </c>
    </row>
    <row r="395" spans="12:12" x14ac:dyDescent="0.25">
      <c r="L395" s="8">
        <f t="shared" si="6"/>
        <v>0</v>
      </c>
    </row>
    <row r="396" spans="12:12" x14ac:dyDescent="0.25">
      <c r="L396" s="8">
        <f t="shared" si="6"/>
        <v>0</v>
      </c>
    </row>
    <row r="397" spans="12:12" x14ac:dyDescent="0.25">
      <c r="L397" s="8">
        <f t="shared" si="6"/>
        <v>0</v>
      </c>
    </row>
    <row r="398" spans="12:12" x14ac:dyDescent="0.25">
      <c r="L398" s="8">
        <f t="shared" si="6"/>
        <v>0</v>
      </c>
    </row>
    <row r="399" spans="12:12" x14ac:dyDescent="0.25">
      <c r="L399" s="8">
        <f t="shared" si="6"/>
        <v>0</v>
      </c>
    </row>
    <row r="400" spans="12:12" x14ac:dyDescent="0.25">
      <c r="L400" s="8">
        <f t="shared" si="6"/>
        <v>0</v>
      </c>
    </row>
    <row r="401" spans="12:12" x14ac:dyDescent="0.25">
      <c r="L401" s="8">
        <f t="shared" si="6"/>
        <v>0</v>
      </c>
    </row>
    <row r="402" spans="12:12" x14ac:dyDescent="0.25">
      <c r="L402" s="8">
        <f t="shared" si="6"/>
        <v>0</v>
      </c>
    </row>
    <row r="403" spans="12:12" x14ac:dyDescent="0.25">
      <c r="L403" s="8">
        <f t="shared" si="6"/>
        <v>0</v>
      </c>
    </row>
    <row r="404" spans="12:12" x14ac:dyDescent="0.25">
      <c r="L404" s="8">
        <f t="shared" si="6"/>
        <v>0</v>
      </c>
    </row>
    <row r="405" spans="12:12" x14ac:dyDescent="0.25">
      <c r="L405" s="8">
        <f t="shared" si="6"/>
        <v>0</v>
      </c>
    </row>
    <row r="406" spans="12:12" x14ac:dyDescent="0.25">
      <c r="L406" s="8">
        <f t="shared" si="6"/>
        <v>0</v>
      </c>
    </row>
    <row r="407" spans="12:12" x14ac:dyDescent="0.25">
      <c r="L407" s="8">
        <f t="shared" si="6"/>
        <v>0</v>
      </c>
    </row>
    <row r="408" spans="12:12" x14ac:dyDescent="0.25">
      <c r="L408" s="8">
        <f t="shared" si="6"/>
        <v>0</v>
      </c>
    </row>
    <row r="409" spans="12:12" x14ac:dyDescent="0.25">
      <c r="L409" s="8">
        <f t="shared" si="6"/>
        <v>0</v>
      </c>
    </row>
    <row r="410" spans="12:12" x14ac:dyDescent="0.25">
      <c r="L410" s="8">
        <f t="shared" si="6"/>
        <v>0</v>
      </c>
    </row>
    <row r="411" spans="12:12" x14ac:dyDescent="0.25">
      <c r="L411" s="8">
        <f t="shared" si="6"/>
        <v>0</v>
      </c>
    </row>
    <row r="412" spans="12:12" x14ac:dyDescent="0.25">
      <c r="L412" s="8">
        <f t="shared" si="6"/>
        <v>0</v>
      </c>
    </row>
    <row r="413" spans="12:12" x14ac:dyDescent="0.25">
      <c r="L413" s="8">
        <f t="shared" si="6"/>
        <v>0</v>
      </c>
    </row>
    <row r="414" spans="12:12" x14ac:dyDescent="0.25">
      <c r="L414" s="8">
        <f t="shared" si="6"/>
        <v>0</v>
      </c>
    </row>
    <row r="415" spans="12:12" x14ac:dyDescent="0.25">
      <c r="L415" s="8">
        <f t="shared" si="6"/>
        <v>0</v>
      </c>
    </row>
    <row r="416" spans="12:12" x14ac:dyDescent="0.25">
      <c r="L416" s="8">
        <f t="shared" si="6"/>
        <v>0</v>
      </c>
    </row>
    <row r="417" spans="12:12" x14ac:dyDescent="0.25">
      <c r="L417" s="8">
        <f t="shared" si="6"/>
        <v>0</v>
      </c>
    </row>
    <row r="418" spans="12:12" x14ac:dyDescent="0.25">
      <c r="L418" s="8">
        <f t="shared" si="6"/>
        <v>0</v>
      </c>
    </row>
    <row r="419" spans="12:12" x14ac:dyDescent="0.25">
      <c r="L419" s="8">
        <f t="shared" si="6"/>
        <v>0</v>
      </c>
    </row>
    <row r="420" spans="12:12" x14ac:dyDescent="0.25">
      <c r="L420" s="8">
        <f t="shared" si="6"/>
        <v>0</v>
      </c>
    </row>
    <row r="421" spans="12:12" x14ac:dyDescent="0.25">
      <c r="L421" s="8">
        <f t="shared" si="6"/>
        <v>0</v>
      </c>
    </row>
    <row r="422" spans="12:12" x14ac:dyDescent="0.25">
      <c r="L422" s="8">
        <f t="shared" si="6"/>
        <v>0</v>
      </c>
    </row>
    <row r="423" spans="12:12" x14ac:dyDescent="0.25">
      <c r="L423" s="8">
        <f t="shared" si="6"/>
        <v>0</v>
      </c>
    </row>
    <row r="424" spans="12:12" x14ac:dyDescent="0.25">
      <c r="L424" s="8">
        <f t="shared" si="6"/>
        <v>0</v>
      </c>
    </row>
    <row r="425" spans="12:12" x14ac:dyDescent="0.25">
      <c r="L425" s="8">
        <f t="shared" si="6"/>
        <v>0</v>
      </c>
    </row>
    <row r="426" spans="12:12" x14ac:dyDescent="0.25">
      <c r="L426" s="8">
        <f t="shared" si="6"/>
        <v>0</v>
      </c>
    </row>
    <row r="427" spans="12:12" x14ac:dyDescent="0.25">
      <c r="L427" s="8">
        <f t="shared" si="6"/>
        <v>0</v>
      </c>
    </row>
    <row r="428" spans="12:12" x14ac:dyDescent="0.25">
      <c r="L428" s="8">
        <f t="shared" si="6"/>
        <v>0</v>
      </c>
    </row>
    <row r="429" spans="12:12" x14ac:dyDescent="0.25">
      <c r="L429" s="8">
        <f t="shared" si="6"/>
        <v>0</v>
      </c>
    </row>
    <row r="430" spans="12:12" x14ac:dyDescent="0.25">
      <c r="L430" s="8">
        <f t="shared" si="6"/>
        <v>0</v>
      </c>
    </row>
    <row r="431" spans="12:12" x14ac:dyDescent="0.25">
      <c r="L431" s="8">
        <f t="shared" si="6"/>
        <v>0</v>
      </c>
    </row>
    <row r="432" spans="12:12" x14ac:dyDescent="0.25">
      <c r="L432" s="8">
        <f t="shared" si="6"/>
        <v>0</v>
      </c>
    </row>
    <row r="433" spans="12:12" x14ac:dyDescent="0.25">
      <c r="L433" s="8">
        <f t="shared" si="6"/>
        <v>0</v>
      </c>
    </row>
    <row r="434" spans="12:12" x14ac:dyDescent="0.25">
      <c r="L434" s="8">
        <f t="shared" si="6"/>
        <v>0</v>
      </c>
    </row>
    <row r="435" spans="12:12" x14ac:dyDescent="0.25">
      <c r="L435" s="8">
        <f t="shared" si="6"/>
        <v>0</v>
      </c>
    </row>
    <row r="436" spans="12:12" x14ac:dyDescent="0.25">
      <c r="L436" s="8">
        <f t="shared" si="6"/>
        <v>0</v>
      </c>
    </row>
    <row r="437" spans="12:12" x14ac:dyDescent="0.25">
      <c r="L437" s="8">
        <f t="shared" si="6"/>
        <v>0</v>
      </c>
    </row>
    <row r="438" spans="12:12" x14ac:dyDescent="0.25">
      <c r="L438" s="8">
        <f t="shared" si="6"/>
        <v>0</v>
      </c>
    </row>
    <row r="439" spans="12:12" x14ac:dyDescent="0.25">
      <c r="L439" s="8">
        <f t="shared" si="6"/>
        <v>0</v>
      </c>
    </row>
    <row r="440" spans="12:12" x14ac:dyDescent="0.25">
      <c r="L440" s="8">
        <f t="shared" si="6"/>
        <v>0</v>
      </c>
    </row>
    <row r="441" spans="12:12" x14ac:dyDescent="0.25">
      <c r="L441" s="8">
        <f t="shared" si="6"/>
        <v>0</v>
      </c>
    </row>
    <row r="442" spans="12:12" x14ac:dyDescent="0.25">
      <c r="L442" s="8">
        <f t="shared" si="6"/>
        <v>0</v>
      </c>
    </row>
    <row r="443" spans="12:12" x14ac:dyDescent="0.25">
      <c r="L443" s="8">
        <f t="shared" si="6"/>
        <v>0</v>
      </c>
    </row>
    <row r="444" spans="12:12" x14ac:dyDescent="0.25">
      <c r="L444" s="8">
        <f t="shared" si="6"/>
        <v>0</v>
      </c>
    </row>
    <row r="445" spans="12:12" x14ac:dyDescent="0.25">
      <c r="L445" s="8">
        <f t="shared" si="6"/>
        <v>0</v>
      </c>
    </row>
    <row r="446" spans="12:12" x14ac:dyDescent="0.25">
      <c r="L446" s="8">
        <f t="shared" si="6"/>
        <v>0</v>
      </c>
    </row>
    <row r="447" spans="12:12" x14ac:dyDescent="0.25">
      <c r="L447" s="8">
        <f t="shared" si="6"/>
        <v>0</v>
      </c>
    </row>
    <row r="448" spans="12:12" x14ac:dyDescent="0.25">
      <c r="L448" s="8">
        <f t="shared" si="6"/>
        <v>0</v>
      </c>
    </row>
    <row r="449" spans="12:12" x14ac:dyDescent="0.25">
      <c r="L449" s="8">
        <f t="shared" si="6"/>
        <v>0</v>
      </c>
    </row>
    <row r="450" spans="12:12" x14ac:dyDescent="0.25">
      <c r="L450" s="8">
        <f t="shared" si="6"/>
        <v>0</v>
      </c>
    </row>
    <row r="451" spans="12:12" x14ac:dyDescent="0.25">
      <c r="L451" s="8">
        <f t="shared" si="6"/>
        <v>0</v>
      </c>
    </row>
    <row r="452" spans="12:12" x14ac:dyDescent="0.25">
      <c r="L452" s="8">
        <f t="shared" si="6"/>
        <v>0</v>
      </c>
    </row>
    <row r="453" spans="12:12" x14ac:dyDescent="0.25">
      <c r="L453" s="8">
        <f t="shared" si="6"/>
        <v>0</v>
      </c>
    </row>
    <row r="454" spans="12:12" x14ac:dyDescent="0.25">
      <c r="L454" s="8">
        <f t="shared" ref="L454:L517" si="7">J454-K454</f>
        <v>0</v>
      </c>
    </row>
    <row r="455" spans="12:12" x14ac:dyDescent="0.25">
      <c r="L455" s="8">
        <f t="shared" si="7"/>
        <v>0</v>
      </c>
    </row>
    <row r="456" spans="12:12" x14ac:dyDescent="0.25">
      <c r="L456" s="8">
        <f t="shared" si="7"/>
        <v>0</v>
      </c>
    </row>
    <row r="457" spans="12:12" x14ac:dyDescent="0.25">
      <c r="L457" s="8">
        <f t="shared" si="7"/>
        <v>0</v>
      </c>
    </row>
    <row r="458" spans="12:12" x14ac:dyDescent="0.25">
      <c r="L458" s="8">
        <f t="shared" si="7"/>
        <v>0</v>
      </c>
    </row>
    <row r="459" spans="12:12" x14ac:dyDescent="0.25">
      <c r="L459" s="8">
        <f t="shared" si="7"/>
        <v>0</v>
      </c>
    </row>
    <row r="460" spans="12:12" x14ac:dyDescent="0.25">
      <c r="L460" s="8">
        <f t="shared" si="7"/>
        <v>0</v>
      </c>
    </row>
    <row r="461" spans="12:12" x14ac:dyDescent="0.25">
      <c r="L461" s="8">
        <f t="shared" si="7"/>
        <v>0</v>
      </c>
    </row>
    <row r="462" spans="12:12" x14ac:dyDescent="0.25">
      <c r="L462" s="8">
        <f t="shared" si="7"/>
        <v>0</v>
      </c>
    </row>
    <row r="463" spans="12:12" x14ac:dyDescent="0.25">
      <c r="L463" s="8">
        <f t="shared" si="7"/>
        <v>0</v>
      </c>
    </row>
    <row r="464" spans="12:12" x14ac:dyDescent="0.25">
      <c r="L464" s="8">
        <f t="shared" si="7"/>
        <v>0</v>
      </c>
    </row>
    <row r="465" spans="12:12" x14ac:dyDescent="0.25">
      <c r="L465" s="8">
        <f t="shared" si="7"/>
        <v>0</v>
      </c>
    </row>
    <row r="466" spans="12:12" x14ac:dyDescent="0.25">
      <c r="L466" s="8">
        <f t="shared" si="7"/>
        <v>0</v>
      </c>
    </row>
    <row r="467" spans="12:12" x14ac:dyDescent="0.25">
      <c r="L467" s="8">
        <f t="shared" si="7"/>
        <v>0</v>
      </c>
    </row>
    <row r="468" spans="12:12" x14ac:dyDescent="0.25">
      <c r="L468" s="8">
        <f t="shared" si="7"/>
        <v>0</v>
      </c>
    </row>
    <row r="469" spans="12:12" x14ac:dyDescent="0.25">
      <c r="L469" s="8">
        <f t="shared" si="7"/>
        <v>0</v>
      </c>
    </row>
    <row r="470" spans="12:12" x14ac:dyDescent="0.25">
      <c r="L470" s="8">
        <f t="shared" si="7"/>
        <v>0</v>
      </c>
    </row>
    <row r="471" spans="12:12" x14ac:dyDescent="0.25">
      <c r="L471" s="8">
        <f t="shared" si="7"/>
        <v>0</v>
      </c>
    </row>
    <row r="472" spans="12:12" x14ac:dyDescent="0.25">
      <c r="L472" s="8">
        <f t="shared" si="7"/>
        <v>0</v>
      </c>
    </row>
    <row r="473" spans="12:12" x14ac:dyDescent="0.25">
      <c r="L473" s="8">
        <f t="shared" si="7"/>
        <v>0</v>
      </c>
    </row>
    <row r="474" spans="12:12" x14ac:dyDescent="0.25">
      <c r="L474" s="8">
        <f t="shared" si="7"/>
        <v>0</v>
      </c>
    </row>
    <row r="475" spans="12:12" x14ac:dyDescent="0.25">
      <c r="L475" s="8">
        <f t="shared" si="7"/>
        <v>0</v>
      </c>
    </row>
    <row r="476" spans="12:12" x14ac:dyDescent="0.25">
      <c r="L476" s="8">
        <f t="shared" si="7"/>
        <v>0</v>
      </c>
    </row>
    <row r="477" spans="12:12" x14ac:dyDescent="0.25">
      <c r="L477" s="8">
        <f t="shared" si="7"/>
        <v>0</v>
      </c>
    </row>
    <row r="478" spans="12:12" x14ac:dyDescent="0.25">
      <c r="L478" s="8">
        <f t="shared" si="7"/>
        <v>0</v>
      </c>
    </row>
    <row r="479" spans="12:12" x14ac:dyDescent="0.25">
      <c r="L479" s="8">
        <f t="shared" si="7"/>
        <v>0</v>
      </c>
    </row>
    <row r="480" spans="12:12" x14ac:dyDescent="0.25">
      <c r="L480" s="8">
        <f t="shared" si="7"/>
        <v>0</v>
      </c>
    </row>
    <row r="481" spans="12:12" x14ac:dyDescent="0.25">
      <c r="L481" s="8">
        <f t="shared" si="7"/>
        <v>0</v>
      </c>
    </row>
    <row r="482" spans="12:12" x14ac:dyDescent="0.25">
      <c r="L482" s="8">
        <f t="shared" si="7"/>
        <v>0</v>
      </c>
    </row>
    <row r="483" spans="12:12" x14ac:dyDescent="0.25">
      <c r="L483" s="8">
        <f t="shared" si="7"/>
        <v>0</v>
      </c>
    </row>
    <row r="484" spans="12:12" x14ac:dyDescent="0.25">
      <c r="L484" s="8">
        <f t="shared" si="7"/>
        <v>0</v>
      </c>
    </row>
    <row r="485" spans="12:12" x14ac:dyDescent="0.25">
      <c r="L485" s="8">
        <f t="shared" si="7"/>
        <v>0</v>
      </c>
    </row>
    <row r="486" spans="12:12" x14ac:dyDescent="0.25">
      <c r="L486" s="8">
        <f t="shared" si="7"/>
        <v>0</v>
      </c>
    </row>
    <row r="487" spans="12:12" x14ac:dyDescent="0.25">
      <c r="L487" s="8">
        <f t="shared" si="7"/>
        <v>0</v>
      </c>
    </row>
    <row r="488" spans="12:12" x14ac:dyDescent="0.25">
      <c r="L488" s="8">
        <f t="shared" si="7"/>
        <v>0</v>
      </c>
    </row>
    <row r="489" spans="12:12" x14ac:dyDescent="0.25">
      <c r="L489" s="8">
        <f t="shared" si="7"/>
        <v>0</v>
      </c>
    </row>
    <row r="490" spans="12:12" x14ac:dyDescent="0.25">
      <c r="L490" s="8">
        <f t="shared" si="7"/>
        <v>0</v>
      </c>
    </row>
    <row r="491" spans="12:12" x14ac:dyDescent="0.25">
      <c r="L491" s="8">
        <f t="shared" si="7"/>
        <v>0</v>
      </c>
    </row>
    <row r="492" spans="12:12" x14ac:dyDescent="0.25">
      <c r="L492" s="8">
        <f t="shared" si="7"/>
        <v>0</v>
      </c>
    </row>
    <row r="493" spans="12:12" x14ac:dyDescent="0.25">
      <c r="L493" s="8">
        <f t="shared" si="7"/>
        <v>0</v>
      </c>
    </row>
    <row r="494" spans="12:12" x14ac:dyDescent="0.25">
      <c r="L494" s="8">
        <f t="shared" si="7"/>
        <v>0</v>
      </c>
    </row>
    <row r="495" spans="12:12" x14ac:dyDescent="0.25">
      <c r="L495" s="8">
        <f t="shared" si="7"/>
        <v>0</v>
      </c>
    </row>
    <row r="496" spans="12:12" x14ac:dyDescent="0.25">
      <c r="L496" s="8">
        <f t="shared" si="7"/>
        <v>0</v>
      </c>
    </row>
    <row r="497" spans="12:12" x14ac:dyDescent="0.25">
      <c r="L497" s="8">
        <f t="shared" si="7"/>
        <v>0</v>
      </c>
    </row>
    <row r="498" spans="12:12" x14ac:dyDescent="0.25">
      <c r="L498" s="8">
        <f t="shared" si="7"/>
        <v>0</v>
      </c>
    </row>
    <row r="499" spans="12:12" x14ac:dyDescent="0.25">
      <c r="L499" s="8">
        <f t="shared" si="7"/>
        <v>0</v>
      </c>
    </row>
    <row r="500" spans="12:12" x14ac:dyDescent="0.25">
      <c r="L500" s="8">
        <f t="shared" si="7"/>
        <v>0</v>
      </c>
    </row>
    <row r="501" spans="12:12" x14ac:dyDescent="0.25">
      <c r="L501" s="8">
        <f t="shared" si="7"/>
        <v>0</v>
      </c>
    </row>
    <row r="502" spans="12:12" x14ac:dyDescent="0.25">
      <c r="L502" s="8">
        <f t="shared" si="7"/>
        <v>0</v>
      </c>
    </row>
    <row r="503" spans="12:12" x14ac:dyDescent="0.25">
      <c r="L503" s="8">
        <f t="shared" si="7"/>
        <v>0</v>
      </c>
    </row>
    <row r="504" spans="12:12" x14ac:dyDescent="0.25">
      <c r="L504" s="8">
        <f t="shared" si="7"/>
        <v>0</v>
      </c>
    </row>
    <row r="505" spans="12:12" x14ac:dyDescent="0.25">
      <c r="L505" s="8">
        <f t="shared" si="7"/>
        <v>0</v>
      </c>
    </row>
    <row r="506" spans="12:12" x14ac:dyDescent="0.25">
      <c r="L506" s="8">
        <f t="shared" si="7"/>
        <v>0</v>
      </c>
    </row>
    <row r="507" spans="12:12" x14ac:dyDescent="0.25">
      <c r="L507" s="8">
        <f t="shared" si="7"/>
        <v>0</v>
      </c>
    </row>
    <row r="508" spans="12:12" x14ac:dyDescent="0.25">
      <c r="L508" s="8">
        <f t="shared" si="7"/>
        <v>0</v>
      </c>
    </row>
    <row r="509" spans="12:12" x14ac:dyDescent="0.25">
      <c r="L509" s="8">
        <f t="shared" si="7"/>
        <v>0</v>
      </c>
    </row>
    <row r="510" spans="12:12" x14ac:dyDescent="0.25">
      <c r="L510" s="8">
        <f t="shared" si="7"/>
        <v>0</v>
      </c>
    </row>
    <row r="511" spans="12:12" x14ac:dyDescent="0.25">
      <c r="L511" s="8">
        <f t="shared" si="7"/>
        <v>0</v>
      </c>
    </row>
    <row r="512" spans="12:12" x14ac:dyDescent="0.25">
      <c r="L512" s="8">
        <f t="shared" si="7"/>
        <v>0</v>
      </c>
    </row>
    <row r="513" spans="12:12" x14ac:dyDescent="0.25">
      <c r="L513" s="8">
        <f t="shared" si="7"/>
        <v>0</v>
      </c>
    </row>
    <row r="514" spans="12:12" x14ac:dyDescent="0.25">
      <c r="L514" s="8">
        <f t="shared" si="7"/>
        <v>0</v>
      </c>
    </row>
    <row r="515" spans="12:12" x14ac:dyDescent="0.25">
      <c r="L515" s="8">
        <f t="shared" si="7"/>
        <v>0</v>
      </c>
    </row>
    <row r="516" spans="12:12" x14ac:dyDescent="0.25">
      <c r="L516" s="8">
        <f t="shared" si="7"/>
        <v>0</v>
      </c>
    </row>
    <row r="517" spans="12:12" x14ac:dyDescent="0.25">
      <c r="L517" s="8">
        <f t="shared" si="7"/>
        <v>0</v>
      </c>
    </row>
    <row r="518" spans="12:12" x14ac:dyDescent="0.25">
      <c r="L518" s="8">
        <f t="shared" ref="L518:L581" si="8">J518-K518</f>
        <v>0</v>
      </c>
    </row>
    <row r="519" spans="12:12" x14ac:dyDescent="0.25">
      <c r="L519" s="8">
        <f t="shared" si="8"/>
        <v>0</v>
      </c>
    </row>
    <row r="520" spans="12:12" x14ac:dyDescent="0.25">
      <c r="L520" s="8">
        <f t="shared" si="8"/>
        <v>0</v>
      </c>
    </row>
    <row r="521" spans="12:12" x14ac:dyDescent="0.25">
      <c r="L521" s="8">
        <f t="shared" si="8"/>
        <v>0</v>
      </c>
    </row>
    <row r="522" spans="12:12" x14ac:dyDescent="0.25">
      <c r="L522" s="8">
        <f t="shared" si="8"/>
        <v>0</v>
      </c>
    </row>
    <row r="523" spans="12:12" x14ac:dyDescent="0.25">
      <c r="L523" s="8">
        <f t="shared" si="8"/>
        <v>0</v>
      </c>
    </row>
    <row r="524" spans="12:12" x14ac:dyDescent="0.25">
      <c r="L524" s="8">
        <f t="shared" si="8"/>
        <v>0</v>
      </c>
    </row>
    <row r="525" spans="12:12" x14ac:dyDescent="0.25">
      <c r="L525" s="8">
        <f t="shared" si="8"/>
        <v>0</v>
      </c>
    </row>
    <row r="526" spans="12:12" x14ac:dyDescent="0.25">
      <c r="L526" s="8">
        <f t="shared" si="8"/>
        <v>0</v>
      </c>
    </row>
    <row r="527" spans="12:12" x14ac:dyDescent="0.25">
      <c r="L527" s="8">
        <f t="shared" si="8"/>
        <v>0</v>
      </c>
    </row>
    <row r="528" spans="12:12" x14ac:dyDescent="0.25">
      <c r="L528" s="8">
        <f t="shared" si="8"/>
        <v>0</v>
      </c>
    </row>
    <row r="529" spans="12:12" x14ac:dyDescent="0.25">
      <c r="L529" s="8">
        <f t="shared" si="8"/>
        <v>0</v>
      </c>
    </row>
    <row r="530" spans="12:12" x14ac:dyDescent="0.25">
      <c r="L530" s="8">
        <f t="shared" si="8"/>
        <v>0</v>
      </c>
    </row>
    <row r="531" spans="12:12" x14ac:dyDescent="0.25">
      <c r="L531" s="8">
        <f t="shared" si="8"/>
        <v>0</v>
      </c>
    </row>
    <row r="532" spans="12:12" x14ac:dyDescent="0.25">
      <c r="L532" s="8">
        <f t="shared" si="8"/>
        <v>0</v>
      </c>
    </row>
    <row r="533" spans="12:12" x14ac:dyDescent="0.25">
      <c r="L533" s="8">
        <f t="shared" si="8"/>
        <v>0</v>
      </c>
    </row>
    <row r="534" spans="12:12" x14ac:dyDescent="0.25">
      <c r="L534" s="8">
        <f t="shared" si="8"/>
        <v>0</v>
      </c>
    </row>
    <row r="535" spans="12:12" x14ac:dyDescent="0.25">
      <c r="L535" s="8">
        <f t="shared" si="8"/>
        <v>0</v>
      </c>
    </row>
    <row r="536" spans="12:12" x14ac:dyDescent="0.25">
      <c r="L536" s="8">
        <f t="shared" si="8"/>
        <v>0</v>
      </c>
    </row>
    <row r="537" spans="12:12" x14ac:dyDescent="0.25">
      <c r="L537" s="8">
        <f t="shared" si="8"/>
        <v>0</v>
      </c>
    </row>
    <row r="538" spans="12:12" x14ac:dyDescent="0.25">
      <c r="L538" s="8">
        <f t="shared" si="8"/>
        <v>0</v>
      </c>
    </row>
    <row r="539" spans="12:12" x14ac:dyDescent="0.25">
      <c r="L539" s="8">
        <f t="shared" si="8"/>
        <v>0</v>
      </c>
    </row>
    <row r="540" spans="12:12" x14ac:dyDescent="0.25">
      <c r="L540" s="8">
        <f t="shared" si="8"/>
        <v>0</v>
      </c>
    </row>
    <row r="541" spans="12:12" x14ac:dyDescent="0.25">
      <c r="L541" s="8">
        <f t="shared" si="8"/>
        <v>0</v>
      </c>
    </row>
    <row r="542" spans="12:12" x14ac:dyDescent="0.25">
      <c r="L542" s="8">
        <f t="shared" si="8"/>
        <v>0</v>
      </c>
    </row>
    <row r="543" spans="12:12" x14ac:dyDescent="0.25">
      <c r="L543" s="8">
        <f t="shared" si="8"/>
        <v>0</v>
      </c>
    </row>
    <row r="544" spans="12:12" x14ac:dyDescent="0.25">
      <c r="L544" s="8">
        <f t="shared" si="8"/>
        <v>0</v>
      </c>
    </row>
    <row r="545" spans="12:12" x14ac:dyDescent="0.25">
      <c r="L545" s="8">
        <f t="shared" si="8"/>
        <v>0</v>
      </c>
    </row>
    <row r="546" spans="12:12" x14ac:dyDescent="0.25">
      <c r="L546" s="8">
        <f t="shared" si="8"/>
        <v>0</v>
      </c>
    </row>
    <row r="547" spans="12:12" x14ac:dyDescent="0.25">
      <c r="L547" s="8">
        <f t="shared" si="8"/>
        <v>0</v>
      </c>
    </row>
    <row r="548" spans="12:12" x14ac:dyDescent="0.25">
      <c r="L548" s="8">
        <f t="shared" si="8"/>
        <v>0</v>
      </c>
    </row>
    <row r="549" spans="12:12" x14ac:dyDescent="0.25">
      <c r="L549" s="8">
        <f t="shared" si="8"/>
        <v>0</v>
      </c>
    </row>
    <row r="550" spans="12:12" x14ac:dyDescent="0.25">
      <c r="L550" s="8">
        <f t="shared" si="8"/>
        <v>0</v>
      </c>
    </row>
    <row r="551" spans="12:12" x14ac:dyDescent="0.25">
      <c r="L551" s="8">
        <f t="shared" si="8"/>
        <v>0</v>
      </c>
    </row>
    <row r="552" spans="12:12" x14ac:dyDescent="0.25">
      <c r="L552" s="8">
        <f t="shared" si="8"/>
        <v>0</v>
      </c>
    </row>
    <row r="553" spans="12:12" x14ac:dyDescent="0.25">
      <c r="L553" s="8">
        <f t="shared" si="8"/>
        <v>0</v>
      </c>
    </row>
    <row r="554" spans="12:12" x14ac:dyDescent="0.25">
      <c r="L554" s="8">
        <f t="shared" si="8"/>
        <v>0</v>
      </c>
    </row>
    <row r="555" spans="12:12" x14ac:dyDescent="0.25">
      <c r="L555" s="8">
        <f t="shared" si="8"/>
        <v>0</v>
      </c>
    </row>
    <row r="556" spans="12:12" x14ac:dyDescent="0.25">
      <c r="L556" s="8">
        <f t="shared" si="8"/>
        <v>0</v>
      </c>
    </row>
    <row r="557" spans="12:12" x14ac:dyDescent="0.25">
      <c r="L557" s="8">
        <f t="shared" si="8"/>
        <v>0</v>
      </c>
    </row>
    <row r="558" spans="12:12" x14ac:dyDescent="0.25">
      <c r="L558" s="8">
        <f t="shared" si="8"/>
        <v>0</v>
      </c>
    </row>
    <row r="559" spans="12:12" x14ac:dyDescent="0.25">
      <c r="L559" s="8">
        <f t="shared" si="8"/>
        <v>0</v>
      </c>
    </row>
    <row r="560" spans="12:12" x14ac:dyDescent="0.25">
      <c r="L560" s="8">
        <f t="shared" si="8"/>
        <v>0</v>
      </c>
    </row>
    <row r="561" spans="12:12" x14ac:dyDescent="0.25">
      <c r="L561" s="8">
        <f t="shared" si="8"/>
        <v>0</v>
      </c>
    </row>
    <row r="562" spans="12:12" x14ac:dyDescent="0.25">
      <c r="L562" s="8">
        <f t="shared" si="8"/>
        <v>0</v>
      </c>
    </row>
    <row r="563" spans="12:12" x14ac:dyDescent="0.25">
      <c r="L563" s="8">
        <f t="shared" si="8"/>
        <v>0</v>
      </c>
    </row>
    <row r="564" spans="12:12" x14ac:dyDescent="0.25">
      <c r="L564" s="8">
        <f t="shared" si="8"/>
        <v>0</v>
      </c>
    </row>
    <row r="565" spans="12:12" x14ac:dyDescent="0.25">
      <c r="L565" s="8">
        <f t="shared" si="8"/>
        <v>0</v>
      </c>
    </row>
    <row r="566" spans="12:12" x14ac:dyDescent="0.25">
      <c r="L566" s="8">
        <f t="shared" si="8"/>
        <v>0</v>
      </c>
    </row>
    <row r="567" spans="12:12" x14ac:dyDescent="0.25">
      <c r="L567" s="8">
        <f t="shared" si="8"/>
        <v>0</v>
      </c>
    </row>
    <row r="568" spans="12:12" x14ac:dyDescent="0.25">
      <c r="L568" s="8">
        <f t="shared" si="8"/>
        <v>0</v>
      </c>
    </row>
    <row r="569" spans="12:12" x14ac:dyDescent="0.25">
      <c r="L569" s="8">
        <f t="shared" si="8"/>
        <v>0</v>
      </c>
    </row>
    <row r="570" spans="12:12" x14ac:dyDescent="0.25">
      <c r="L570" s="8">
        <f t="shared" si="8"/>
        <v>0</v>
      </c>
    </row>
    <row r="571" spans="12:12" x14ac:dyDescent="0.25">
      <c r="L571" s="8">
        <f t="shared" si="8"/>
        <v>0</v>
      </c>
    </row>
    <row r="572" spans="12:12" x14ac:dyDescent="0.25">
      <c r="L572" s="8">
        <f t="shared" si="8"/>
        <v>0</v>
      </c>
    </row>
    <row r="573" spans="12:12" x14ac:dyDescent="0.25">
      <c r="L573" s="8">
        <f t="shared" si="8"/>
        <v>0</v>
      </c>
    </row>
    <row r="574" spans="12:12" x14ac:dyDescent="0.25">
      <c r="L574" s="8">
        <f t="shared" si="8"/>
        <v>0</v>
      </c>
    </row>
    <row r="575" spans="12:12" x14ac:dyDescent="0.25">
      <c r="L575" s="8">
        <f t="shared" si="8"/>
        <v>0</v>
      </c>
    </row>
    <row r="576" spans="12:12" x14ac:dyDescent="0.25">
      <c r="L576" s="8">
        <f t="shared" si="8"/>
        <v>0</v>
      </c>
    </row>
    <row r="577" spans="12:12" x14ac:dyDescent="0.25">
      <c r="L577" s="8">
        <f t="shared" si="8"/>
        <v>0</v>
      </c>
    </row>
    <row r="578" spans="12:12" x14ac:dyDescent="0.25">
      <c r="L578" s="8">
        <f t="shared" si="8"/>
        <v>0</v>
      </c>
    </row>
    <row r="579" spans="12:12" x14ac:dyDescent="0.25">
      <c r="L579" s="8">
        <f t="shared" si="8"/>
        <v>0</v>
      </c>
    </row>
    <row r="580" spans="12:12" x14ac:dyDescent="0.25">
      <c r="L580" s="8">
        <f t="shared" si="8"/>
        <v>0</v>
      </c>
    </row>
    <row r="581" spans="12:12" x14ac:dyDescent="0.25">
      <c r="L581" s="8">
        <f t="shared" si="8"/>
        <v>0</v>
      </c>
    </row>
    <row r="582" spans="12:12" x14ac:dyDescent="0.25">
      <c r="L582" s="8">
        <f t="shared" ref="L582:L645" si="9">J582-K582</f>
        <v>0</v>
      </c>
    </row>
    <row r="583" spans="12:12" x14ac:dyDescent="0.25">
      <c r="L583" s="8">
        <f t="shared" si="9"/>
        <v>0</v>
      </c>
    </row>
    <row r="584" spans="12:12" x14ac:dyDescent="0.25">
      <c r="L584" s="8">
        <f t="shared" si="9"/>
        <v>0</v>
      </c>
    </row>
    <row r="585" spans="12:12" x14ac:dyDescent="0.25">
      <c r="L585" s="8">
        <f t="shared" si="9"/>
        <v>0</v>
      </c>
    </row>
    <row r="586" spans="12:12" x14ac:dyDescent="0.25">
      <c r="L586" s="8">
        <f t="shared" si="9"/>
        <v>0</v>
      </c>
    </row>
    <row r="587" spans="12:12" x14ac:dyDescent="0.25">
      <c r="L587" s="8">
        <f t="shared" si="9"/>
        <v>0</v>
      </c>
    </row>
    <row r="588" spans="12:12" x14ac:dyDescent="0.25">
      <c r="L588" s="8">
        <f t="shared" si="9"/>
        <v>0</v>
      </c>
    </row>
    <row r="589" spans="12:12" x14ac:dyDescent="0.25">
      <c r="L589" s="8">
        <f t="shared" si="9"/>
        <v>0</v>
      </c>
    </row>
    <row r="590" spans="12:12" x14ac:dyDescent="0.25">
      <c r="L590" s="8">
        <f t="shared" si="9"/>
        <v>0</v>
      </c>
    </row>
    <row r="591" spans="12:12" x14ac:dyDescent="0.25">
      <c r="L591" s="8">
        <f t="shared" si="9"/>
        <v>0</v>
      </c>
    </row>
    <row r="592" spans="12:12" x14ac:dyDescent="0.25">
      <c r="L592" s="8">
        <f t="shared" si="9"/>
        <v>0</v>
      </c>
    </row>
    <row r="593" spans="12:12" x14ac:dyDescent="0.25">
      <c r="L593" s="8">
        <f t="shared" si="9"/>
        <v>0</v>
      </c>
    </row>
    <row r="594" spans="12:12" x14ac:dyDescent="0.25">
      <c r="L594" s="8">
        <f t="shared" si="9"/>
        <v>0</v>
      </c>
    </row>
    <row r="595" spans="12:12" x14ac:dyDescent="0.25">
      <c r="L595" s="8">
        <f t="shared" si="9"/>
        <v>0</v>
      </c>
    </row>
    <row r="596" spans="12:12" x14ac:dyDescent="0.25">
      <c r="L596" s="8">
        <f t="shared" si="9"/>
        <v>0</v>
      </c>
    </row>
    <row r="597" spans="12:12" x14ac:dyDescent="0.25">
      <c r="L597" s="8">
        <f t="shared" si="9"/>
        <v>0</v>
      </c>
    </row>
    <row r="598" spans="12:12" x14ac:dyDescent="0.25">
      <c r="L598" s="8">
        <f t="shared" si="9"/>
        <v>0</v>
      </c>
    </row>
    <row r="599" spans="12:12" x14ac:dyDescent="0.25">
      <c r="L599" s="8">
        <f t="shared" si="9"/>
        <v>0</v>
      </c>
    </row>
    <row r="600" spans="12:12" x14ac:dyDescent="0.25">
      <c r="L600" s="8">
        <f t="shared" si="9"/>
        <v>0</v>
      </c>
    </row>
    <row r="601" spans="12:12" x14ac:dyDescent="0.25">
      <c r="L601" s="8">
        <f t="shared" si="9"/>
        <v>0</v>
      </c>
    </row>
    <row r="602" spans="12:12" x14ac:dyDescent="0.25">
      <c r="L602" s="8">
        <f t="shared" si="9"/>
        <v>0</v>
      </c>
    </row>
    <row r="603" spans="12:12" x14ac:dyDescent="0.25">
      <c r="L603" s="8">
        <f t="shared" si="9"/>
        <v>0</v>
      </c>
    </row>
    <row r="604" spans="12:12" x14ac:dyDescent="0.25">
      <c r="L604" s="8">
        <f t="shared" si="9"/>
        <v>0</v>
      </c>
    </row>
    <row r="605" spans="12:12" x14ac:dyDescent="0.25">
      <c r="L605" s="8">
        <f t="shared" si="9"/>
        <v>0</v>
      </c>
    </row>
    <row r="606" spans="12:12" x14ac:dyDescent="0.25">
      <c r="L606" s="8">
        <f t="shared" si="9"/>
        <v>0</v>
      </c>
    </row>
    <row r="607" spans="12:12" x14ac:dyDescent="0.25">
      <c r="L607" s="8">
        <f t="shared" si="9"/>
        <v>0</v>
      </c>
    </row>
    <row r="608" spans="12:12" x14ac:dyDescent="0.25">
      <c r="L608" s="8">
        <f t="shared" si="9"/>
        <v>0</v>
      </c>
    </row>
    <row r="609" spans="12:12" x14ac:dyDescent="0.25">
      <c r="L609" s="8">
        <f t="shared" si="9"/>
        <v>0</v>
      </c>
    </row>
    <row r="610" spans="12:12" x14ac:dyDescent="0.25">
      <c r="L610" s="8">
        <f t="shared" si="9"/>
        <v>0</v>
      </c>
    </row>
    <row r="611" spans="12:12" x14ac:dyDescent="0.25">
      <c r="L611" s="8">
        <f t="shared" si="9"/>
        <v>0</v>
      </c>
    </row>
    <row r="612" spans="12:12" x14ac:dyDescent="0.25">
      <c r="L612" s="8">
        <f t="shared" si="9"/>
        <v>0</v>
      </c>
    </row>
    <row r="613" spans="12:12" x14ac:dyDescent="0.25">
      <c r="L613" s="8">
        <f t="shared" si="9"/>
        <v>0</v>
      </c>
    </row>
    <row r="614" spans="12:12" x14ac:dyDescent="0.25">
      <c r="L614" s="8">
        <f t="shared" si="9"/>
        <v>0</v>
      </c>
    </row>
    <row r="615" spans="12:12" x14ac:dyDescent="0.25">
      <c r="L615" s="8">
        <f t="shared" si="9"/>
        <v>0</v>
      </c>
    </row>
    <row r="616" spans="12:12" x14ac:dyDescent="0.25">
      <c r="L616" s="8">
        <f t="shared" si="9"/>
        <v>0</v>
      </c>
    </row>
    <row r="617" spans="12:12" x14ac:dyDescent="0.25">
      <c r="L617" s="8">
        <f t="shared" si="9"/>
        <v>0</v>
      </c>
    </row>
    <row r="618" spans="12:12" x14ac:dyDescent="0.25">
      <c r="L618" s="8">
        <f t="shared" si="9"/>
        <v>0</v>
      </c>
    </row>
    <row r="619" spans="12:12" x14ac:dyDescent="0.25">
      <c r="L619" s="8">
        <f t="shared" si="9"/>
        <v>0</v>
      </c>
    </row>
    <row r="620" spans="12:12" x14ac:dyDescent="0.25">
      <c r="L620" s="8">
        <f t="shared" si="9"/>
        <v>0</v>
      </c>
    </row>
    <row r="621" spans="12:12" x14ac:dyDescent="0.25">
      <c r="L621" s="8">
        <f t="shared" si="9"/>
        <v>0</v>
      </c>
    </row>
    <row r="622" spans="12:12" x14ac:dyDescent="0.25">
      <c r="L622" s="8">
        <f t="shared" si="9"/>
        <v>0</v>
      </c>
    </row>
    <row r="623" spans="12:12" x14ac:dyDescent="0.25">
      <c r="L623" s="8">
        <f t="shared" si="9"/>
        <v>0</v>
      </c>
    </row>
    <row r="624" spans="12:12" x14ac:dyDescent="0.25">
      <c r="L624" s="8">
        <f t="shared" si="9"/>
        <v>0</v>
      </c>
    </row>
    <row r="625" spans="12:12" x14ac:dyDescent="0.25">
      <c r="L625" s="8">
        <f t="shared" si="9"/>
        <v>0</v>
      </c>
    </row>
    <row r="626" spans="12:12" x14ac:dyDescent="0.25">
      <c r="L626" s="8">
        <f t="shared" si="9"/>
        <v>0</v>
      </c>
    </row>
    <row r="627" spans="12:12" x14ac:dyDescent="0.25">
      <c r="L627" s="8">
        <f t="shared" si="9"/>
        <v>0</v>
      </c>
    </row>
    <row r="628" spans="12:12" x14ac:dyDescent="0.25">
      <c r="L628" s="8">
        <f t="shared" si="9"/>
        <v>0</v>
      </c>
    </row>
    <row r="629" spans="12:12" x14ac:dyDescent="0.25">
      <c r="L629" s="8">
        <f t="shared" si="9"/>
        <v>0</v>
      </c>
    </row>
    <row r="630" spans="12:12" x14ac:dyDescent="0.25">
      <c r="L630" s="8">
        <f t="shared" si="9"/>
        <v>0</v>
      </c>
    </row>
    <row r="631" spans="12:12" x14ac:dyDescent="0.25">
      <c r="L631" s="8">
        <f t="shared" si="9"/>
        <v>0</v>
      </c>
    </row>
    <row r="632" spans="12:12" x14ac:dyDescent="0.25">
      <c r="L632" s="8">
        <f t="shared" si="9"/>
        <v>0</v>
      </c>
    </row>
    <row r="633" spans="12:12" x14ac:dyDescent="0.25">
      <c r="L633" s="8">
        <f t="shared" si="9"/>
        <v>0</v>
      </c>
    </row>
    <row r="634" spans="12:12" x14ac:dyDescent="0.25">
      <c r="L634" s="8">
        <f t="shared" si="9"/>
        <v>0</v>
      </c>
    </row>
    <row r="635" spans="12:12" x14ac:dyDescent="0.25">
      <c r="L635" s="8">
        <f t="shared" si="9"/>
        <v>0</v>
      </c>
    </row>
    <row r="636" spans="12:12" x14ac:dyDescent="0.25">
      <c r="L636" s="8">
        <f t="shared" si="9"/>
        <v>0</v>
      </c>
    </row>
    <row r="637" spans="12:12" x14ac:dyDescent="0.25">
      <c r="L637" s="8">
        <f t="shared" si="9"/>
        <v>0</v>
      </c>
    </row>
    <row r="638" spans="12:12" x14ac:dyDescent="0.25">
      <c r="L638" s="8">
        <f t="shared" si="9"/>
        <v>0</v>
      </c>
    </row>
    <row r="639" spans="12:12" x14ac:dyDescent="0.25">
      <c r="L639" s="8">
        <f t="shared" si="9"/>
        <v>0</v>
      </c>
    </row>
    <row r="640" spans="12:12" x14ac:dyDescent="0.25">
      <c r="L640" s="8">
        <f t="shared" si="9"/>
        <v>0</v>
      </c>
    </row>
    <row r="641" spans="12:12" x14ac:dyDescent="0.25">
      <c r="L641" s="8">
        <f t="shared" si="9"/>
        <v>0</v>
      </c>
    </row>
    <row r="642" spans="12:12" x14ac:dyDescent="0.25">
      <c r="L642" s="8">
        <f t="shared" si="9"/>
        <v>0</v>
      </c>
    </row>
    <row r="643" spans="12:12" x14ac:dyDescent="0.25">
      <c r="L643" s="8">
        <f t="shared" si="9"/>
        <v>0</v>
      </c>
    </row>
    <row r="644" spans="12:12" x14ac:dyDescent="0.25">
      <c r="L644" s="8">
        <f t="shared" si="9"/>
        <v>0</v>
      </c>
    </row>
    <row r="645" spans="12:12" x14ac:dyDescent="0.25">
      <c r="L645" s="8">
        <f t="shared" si="9"/>
        <v>0</v>
      </c>
    </row>
    <row r="646" spans="12:12" x14ac:dyDescent="0.25">
      <c r="L646" s="8">
        <f t="shared" ref="L646:L709" si="10">J646-K646</f>
        <v>0</v>
      </c>
    </row>
    <row r="647" spans="12:12" x14ac:dyDescent="0.25">
      <c r="L647" s="8">
        <f t="shared" si="10"/>
        <v>0</v>
      </c>
    </row>
    <row r="648" spans="12:12" x14ac:dyDescent="0.25">
      <c r="L648" s="8">
        <f t="shared" si="10"/>
        <v>0</v>
      </c>
    </row>
    <row r="649" spans="12:12" x14ac:dyDescent="0.25">
      <c r="L649" s="8">
        <f t="shared" si="10"/>
        <v>0</v>
      </c>
    </row>
    <row r="650" spans="12:12" x14ac:dyDescent="0.25">
      <c r="L650" s="8">
        <f t="shared" si="10"/>
        <v>0</v>
      </c>
    </row>
    <row r="651" spans="12:12" x14ac:dyDescent="0.25">
      <c r="L651" s="8">
        <f t="shared" si="10"/>
        <v>0</v>
      </c>
    </row>
    <row r="652" spans="12:12" x14ac:dyDescent="0.25">
      <c r="L652" s="8">
        <f t="shared" si="10"/>
        <v>0</v>
      </c>
    </row>
    <row r="653" spans="12:12" x14ac:dyDescent="0.25">
      <c r="L653" s="8">
        <f t="shared" si="10"/>
        <v>0</v>
      </c>
    </row>
    <row r="654" spans="12:12" x14ac:dyDescent="0.25">
      <c r="L654" s="8">
        <f t="shared" si="10"/>
        <v>0</v>
      </c>
    </row>
    <row r="655" spans="12:12" x14ac:dyDescent="0.25">
      <c r="L655" s="8">
        <f t="shared" si="10"/>
        <v>0</v>
      </c>
    </row>
    <row r="656" spans="12:12" x14ac:dyDescent="0.25">
      <c r="L656" s="8">
        <f t="shared" si="10"/>
        <v>0</v>
      </c>
    </row>
    <row r="657" spans="12:12" x14ac:dyDescent="0.25">
      <c r="L657" s="8">
        <f t="shared" si="10"/>
        <v>0</v>
      </c>
    </row>
    <row r="658" spans="12:12" x14ac:dyDescent="0.25">
      <c r="L658" s="8">
        <f t="shared" si="10"/>
        <v>0</v>
      </c>
    </row>
    <row r="659" spans="12:12" x14ac:dyDescent="0.25">
      <c r="L659" s="8">
        <f t="shared" si="10"/>
        <v>0</v>
      </c>
    </row>
    <row r="660" spans="12:12" x14ac:dyDescent="0.25">
      <c r="L660" s="8">
        <f t="shared" si="10"/>
        <v>0</v>
      </c>
    </row>
    <row r="661" spans="12:12" x14ac:dyDescent="0.25">
      <c r="L661" s="8">
        <f t="shared" si="10"/>
        <v>0</v>
      </c>
    </row>
    <row r="662" spans="12:12" x14ac:dyDescent="0.25">
      <c r="L662" s="8">
        <f t="shared" si="10"/>
        <v>0</v>
      </c>
    </row>
    <row r="663" spans="12:12" x14ac:dyDescent="0.25">
      <c r="L663" s="8">
        <f t="shared" si="10"/>
        <v>0</v>
      </c>
    </row>
    <row r="664" spans="12:12" x14ac:dyDescent="0.25">
      <c r="L664" s="8">
        <f t="shared" si="10"/>
        <v>0</v>
      </c>
    </row>
    <row r="665" spans="12:12" x14ac:dyDescent="0.25">
      <c r="L665" s="8">
        <f t="shared" si="10"/>
        <v>0</v>
      </c>
    </row>
    <row r="666" spans="12:12" x14ac:dyDescent="0.25">
      <c r="L666" s="8">
        <f t="shared" si="10"/>
        <v>0</v>
      </c>
    </row>
    <row r="667" spans="12:12" x14ac:dyDescent="0.25">
      <c r="L667" s="8">
        <f t="shared" si="10"/>
        <v>0</v>
      </c>
    </row>
    <row r="668" spans="12:12" x14ac:dyDescent="0.25">
      <c r="L668" s="8">
        <f t="shared" si="10"/>
        <v>0</v>
      </c>
    </row>
    <row r="669" spans="12:12" x14ac:dyDescent="0.25">
      <c r="L669" s="8">
        <f t="shared" si="10"/>
        <v>0</v>
      </c>
    </row>
    <row r="670" spans="12:12" x14ac:dyDescent="0.25">
      <c r="L670" s="8">
        <f t="shared" si="10"/>
        <v>0</v>
      </c>
    </row>
    <row r="671" spans="12:12" x14ac:dyDescent="0.25">
      <c r="L671" s="8">
        <f t="shared" si="10"/>
        <v>0</v>
      </c>
    </row>
    <row r="672" spans="12:12" x14ac:dyDescent="0.25">
      <c r="L672" s="8">
        <f t="shared" si="10"/>
        <v>0</v>
      </c>
    </row>
    <row r="673" spans="12:12" x14ac:dyDescent="0.25">
      <c r="L673" s="8">
        <f t="shared" si="10"/>
        <v>0</v>
      </c>
    </row>
    <row r="674" spans="12:12" x14ac:dyDescent="0.25">
      <c r="L674" s="8">
        <f t="shared" si="10"/>
        <v>0</v>
      </c>
    </row>
    <row r="675" spans="12:12" x14ac:dyDescent="0.25">
      <c r="L675" s="8">
        <f t="shared" si="10"/>
        <v>0</v>
      </c>
    </row>
    <row r="676" spans="12:12" x14ac:dyDescent="0.25">
      <c r="L676" s="8">
        <f t="shared" si="10"/>
        <v>0</v>
      </c>
    </row>
    <row r="677" spans="12:12" x14ac:dyDescent="0.25">
      <c r="L677" s="8">
        <f t="shared" si="10"/>
        <v>0</v>
      </c>
    </row>
    <row r="678" spans="12:12" x14ac:dyDescent="0.25">
      <c r="L678" s="8">
        <f t="shared" si="10"/>
        <v>0</v>
      </c>
    </row>
    <row r="679" spans="12:12" x14ac:dyDescent="0.25">
      <c r="L679" s="8">
        <f t="shared" si="10"/>
        <v>0</v>
      </c>
    </row>
    <row r="680" spans="12:12" x14ac:dyDescent="0.25">
      <c r="L680" s="8">
        <f t="shared" si="10"/>
        <v>0</v>
      </c>
    </row>
    <row r="681" spans="12:12" x14ac:dyDescent="0.25">
      <c r="L681" s="8">
        <f t="shared" si="10"/>
        <v>0</v>
      </c>
    </row>
    <row r="682" spans="12:12" x14ac:dyDescent="0.25">
      <c r="L682" s="8">
        <f t="shared" si="10"/>
        <v>0</v>
      </c>
    </row>
    <row r="683" spans="12:12" x14ac:dyDescent="0.25">
      <c r="L683" s="8">
        <f t="shared" si="10"/>
        <v>0</v>
      </c>
    </row>
    <row r="684" spans="12:12" x14ac:dyDescent="0.25">
      <c r="L684" s="8">
        <f t="shared" si="10"/>
        <v>0</v>
      </c>
    </row>
    <row r="685" spans="12:12" x14ac:dyDescent="0.25">
      <c r="L685" s="8">
        <f t="shared" si="10"/>
        <v>0</v>
      </c>
    </row>
    <row r="686" spans="12:12" x14ac:dyDescent="0.25">
      <c r="L686" s="8">
        <f t="shared" si="10"/>
        <v>0</v>
      </c>
    </row>
    <row r="687" spans="12:12" x14ac:dyDescent="0.25">
      <c r="L687" s="8">
        <f t="shared" si="10"/>
        <v>0</v>
      </c>
    </row>
    <row r="688" spans="12:12" x14ac:dyDescent="0.25">
      <c r="L688" s="8">
        <f t="shared" si="10"/>
        <v>0</v>
      </c>
    </row>
    <row r="689" spans="12:12" x14ac:dyDescent="0.25">
      <c r="L689" s="8">
        <f t="shared" si="10"/>
        <v>0</v>
      </c>
    </row>
    <row r="690" spans="12:12" x14ac:dyDescent="0.25">
      <c r="L690" s="8">
        <f t="shared" si="10"/>
        <v>0</v>
      </c>
    </row>
    <row r="691" spans="12:12" x14ac:dyDescent="0.25">
      <c r="L691" s="8">
        <f t="shared" si="10"/>
        <v>0</v>
      </c>
    </row>
    <row r="692" spans="12:12" x14ac:dyDescent="0.25">
      <c r="L692" s="8">
        <f t="shared" si="10"/>
        <v>0</v>
      </c>
    </row>
    <row r="693" spans="12:12" x14ac:dyDescent="0.25">
      <c r="L693" s="8">
        <f t="shared" si="10"/>
        <v>0</v>
      </c>
    </row>
    <row r="694" spans="12:12" x14ac:dyDescent="0.25">
      <c r="L694" s="8">
        <f t="shared" si="10"/>
        <v>0</v>
      </c>
    </row>
    <row r="695" spans="12:12" x14ac:dyDescent="0.25">
      <c r="L695" s="8">
        <f t="shared" si="10"/>
        <v>0</v>
      </c>
    </row>
    <row r="696" spans="12:12" x14ac:dyDescent="0.25">
      <c r="L696" s="8">
        <f t="shared" si="10"/>
        <v>0</v>
      </c>
    </row>
    <row r="697" spans="12:12" x14ac:dyDescent="0.25">
      <c r="L697" s="8">
        <f t="shared" si="10"/>
        <v>0</v>
      </c>
    </row>
    <row r="698" spans="12:12" x14ac:dyDescent="0.25">
      <c r="L698" s="8">
        <f t="shared" si="10"/>
        <v>0</v>
      </c>
    </row>
    <row r="699" spans="12:12" x14ac:dyDescent="0.25">
      <c r="L699" s="8">
        <f t="shared" si="10"/>
        <v>0</v>
      </c>
    </row>
    <row r="700" spans="12:12" x14ac:dyDescent="0.25">
      <c r="L700" s="8">
        <f t="shared" si="10"/>
        <v>0</v>
      </c>
    </row>
    <row r="701" spans="12:12" x14ac:dyDescent="0.25">
      <c r="L701" s="8">
        <f t="shared" si="10"/>
        <v>0</v>
      </c>
    </row>
    <row r="702" spans="12:12" x14ac:dyDescent="0.25">
      <c r="L702" s="8">
        <f t="shared" si="10"/>
        <v>0</v>
      </c>
    </row>
    <row r="703" spans="12:12" x14ac:dyDescent="0.25">
      <c r="L703" s="8">
        <f t="shared" si="10"/>
        <v>0</v>
      </c>
    </row>
    <row r="704" spans="12:12" x14ac:dyDescent="0.25">
      <c r="L704" s="8">
        <f t="shared" si="10"/>
        <v>0</v>
      </c>
    </row>
    <row r="705" spans="12:12" x14ac:dyDescent="0.25">
      <c r="L705" s="8">
        <f t="shared" si="10"/>
        <v>0</v>
      </c>
    </row>
    <row r="706" spans="12:12" x14ac:dyDescent="0.25">
      <c r="L706" s="8">
        <f t="shared" si="10"/>
        <v>0</v>
      </c>
    </row>
    <row r="707" spans="12:12" x14ac:dyDescent="0.25">
      <c r="L707" s="8">
        <f t="shared" si="10"/>
        <v>0</v>
      </c>
    </row>
    <row r="708" spans="12:12" x14ac:dyDescent="0.25">
      <c r="L708" s="8">
        <f t="shared" si="10"/>
        <v>0</v>
      </c>
    </row>
    <row r="709" spans="12:12" x14ac:dyDescent="0.25">
      <c r="L709" s="8">
        <f t="shared" si="10"/>
        <v>0</v>
      </c>
    </row>
    <row r="710" spans="12:12" x14ac:dyDescent="0.25">
      <c r="L710" s="8">
        <f t="shared" ref="L710:L773" si="11">J710-K710</f>
        <v>0</v>
      </c>
    </row>
    <row r="711" spans="12:12" x14ac:dyDescent="0.25">
      <c r="L711" s="8">
        <f t="shared" si="11"/>
        <v>0</v>
      </c>
    </row>
    <row r="712" spans="12:12" x14ac:dyDescent="0.25">
      <c r="L712" s="8">
        <f t="shared" si="11"/>
        <v>0</v>
      </c>
    </row>
    <row r="713" spans="12:12" x14ac:dyDescent="0.25">
      <c r="L713" s="8">
        <f t="shared" si="11"/>
        <v>0</v>
      </c>
    </row>
    <row r="714" spans="12:12" x14ac:dyDescent="0.25">
      <c r="L714" s="8">
        <f t="shared" si="11"/>
        <v>0</v>
      </c>
    </row>
    <row r="715" spans="12:12" x14ac:dyDescent="0.25">
      <c r="L715" s="8">
        <f t="shared" si="11"/>
        <v>0</v>
      </c>
    </row>
    <row r="716" spans="12:12" x14ac:dyDescent="0.25">
      <c r="L716" s="8">
        <f t="shared" si="11"/>
        <v>0</v>
      </c>
    </row>
    <row r="717" spans="12:12" x14ac:dyDescent="0.25">
      <c r="L717" s="8">
        <f t="shared" si="11"/>
        <v>0</v>
      </c>
    </row>
    <row r="718" spans="12:12" x14ac:dyDescent="0.25">
      <c r="L718" s="8">
        <f t="shared" si="11"/>
        <v>0</v>
      </c>
    </row>
    <row r="719" spans="12:12" x14ac:dyDescent="0.25">
      <c r="L719" s="8">
        <f t="shared" si="11"/>
        <v>0</v>
      </c>
    </row>
    <row r="720" spans="12:12" x14ac:dyDescent="0.25">
      <c r="L720" s="8">
        <f t="shared" si="11"/>
        <v>0</v>
      </c>
    </row>
    <row r="721" spans="12:12" x14ac:dyDescent="0.25">
      <c r="L721" s="8">
        <f t="shared" si="11"/>
        <v>0</v>
      </c>
    </row>
    <row r="722" spans="12:12" x14ac:dyDescent="0.25">
      <c r="L722" s="8">
        <f t="shared" si="11"/>
        <v>0</v>
      </c>
    </row>
    <row r="723" spans="12:12" x14ac:dyDescent="0.25">
      <c r="L723" s="8">
        <f t="shared" si="11"/>
        <v>0</v>
      </c>
    </row>
    <row r="724" spans="12:12" x14ac:dyDescent="0.25">
      <c r="L724" s="8">
        <f t="shared" si="11"/>
        <v>0</v>
      </c>
    </row>
    <row r="725" spans="12:12" x14ac:dyDescent="0.25">
      <c r="L725" s="8">
        <f t="shared" si="11"/>
        <v>0</v>
      </c>
    </row>
    <row r="726" spans="12:12" x14ac:dyDescent="0.25">
      <c r="L726" s="8">
        <f t="shared" si="11"/>
        <v>0</v>
      </c>
    </row>
    <row r="727" spans="12:12" x14ac:dyDescent="0.25">
      <c r="L727" s="8">
        <f t="shared" si="11"/>
        <v>0</v>
      </c>
    </row>
    <row r="728" spans="12:12" x14ac:dyDescent="0.25">
      <c r="L728" s="8">
        <f t="shared" si="11"/>
        <v>0</v>
      </c>
    </row>
    <row r="729" spans="12:12" x14ac:dyDescent="0.25">
      <c r="L729" s="8">
        <f t="shared" si="11"/>
        <v>0</v>
      </c>
    </row>
    <row r="730" spans="12:12" x14ac:dyDescent="0.25">
      <c r="L730" s="8">
        <f t="shared" si="11"/>
        <v>0</v>
      </c>
    </row>
    <row r="731" spans="12:12" x14ac:dyDescent="0.25">
      <c r="L731" s="8">
        <f t="shared" si="11"/>
        <v>0</v>
      </c>
    </row>
    <row r="732" spans="12:12" x14ac:dyDescent="0.25">
      <c r="L732" s="8">
        <f t="shared" si="11"/>
        <v>0</v>
      </c>
    </row>
    <row r="733" spans="12:12" x14ac:dyDescent="0.25">
      <c r="L733" s="8">
        <f t="shared" si="11"/>
        <v>0</v>
      </c>
    </row>
    <row r="734" spans="12:12" x14ac:dyDescent="0.25">
      <c r="L734" s="8">
        <f t="shared" si="11"/>
        <v>0</v>
      </c>
    </row>
    <row r="735" spans="12:12" x14ac:dyDescent="0.25">
      <c r="L735" s="8">
        <f t="shared" si="11"/>
        <v>0</v>
      </c>
    </row>
    <row r="736" spans="12:12" x14ac:dyDescent="0.25">
      <c r="L736" s="8">
        <f t="shared" si="11"/>
        <v>0</v>
      </c>
    </row>
    <row r="737" spans="12:12" x14ac:dyDescent="0.25">
      <c r="L737" s="8">
        <f t="shared" si="11"/>
        <v>0</v>
      </c>
    </row>
    <row r="738" spans="12:12" x14ac:dyDescent="0.25">
      <c r="L738" s="8">
        <f t="shared" si="11"/>
        <v>0</v>
      </c>
    </row>
    <row r="739" spans="12:12" x14ac:dyDescent="0.25">
      <c r="L739" s="8">
        <f t="shared" si="11"/>
        <v>0</v>
      </c>
    </row>
    <row r="740" spans="12:12" x14ac:dyDescent="0.25">
      <c r="L740" s="8">
        <f t="shared" si="11"/>
        <v>0</v>
      </c>
    </row>
    <row r="741" spans="12:12" x14ac:dyDescent="0.25">
      <c r="L741" s="8">
        <f t="shared" si="11"/>
        <v>0</v>
      </c>
    </row>
    <row r="742" spans="12:12" x14ac:dyDescent="0.25">
      <c r="L742" s="8">
        <f t="shared" si="11"/>
        <v>0</v>
      </c>
    </row>
    <row r="743" spans="12:12" x14ac:dyDescent="0.25">
      <c r="L743" s="8">
        <f t="shared" si="11"/>
        <v>0</v>
      </c>
    </row>
    <row r="744" spans="12:12" x14ac:dyDescent="0.25">
      <c r="L744" s="8">
        <f t="shared" si="11"/>
        <v>0</v>
      </c>
    </row>
    <row r="745" spans="12:12" x14ac:dyDescent="0.25">
      <c r="L745" s="8">
        <f t="shared" si="11"/>
        <v>0</v>
      </c>
    </row>
    <row r="746" spans="12:12" x14ac:dyDescent="0.25">
      <c r="L746" s="8">
        <f t="shared" si="11"/>
        <v>0</v>
      </c>
    </row>
    <row r="747" spans="12:12" x14ac:dyDescent="0.25">
      <c r="L747" s="8">
        <f t="shared" si="11"/>
        <v>0</v>
      </c>
    </row>
    <row r="748" spans="12:12" x14ac:dyDescent="0.25">
      <c r="L748" s="8">
        <f t="shared" si="11"/>
        <v>0</v>
      </c>
    </row>
    <row r="749" spans="12:12" x14ac:dyDescent="0.25">
      <c r="L749" s="8">
        <f t="shared" si="11"/>
        <v>0</v>
      </c>
    </row>
    <row r="750" spans="12:12" x14ac:dyDescent="0.25">
      <c r="L750" s="8">
        <f t="shared" si="11"/>
        <v>0</v>
      </c>
    </row>
    <row r="751" spans="12:12" x14ac:dyDescent="0.25">
      <c r="L751" s="8">
        <f t="shared" si="11"/>
        <v>0</v>
      </c>
    </row>
    <row r="752" spans="12:12" x14ac:dyDescent="0.25">
      <c r="L752" s="8">
        <f t="shared" si="11"/>
        <v>0</v>
      </c>
    </row>
    <row r="753" spans="12:12" x14ac:dyDescent="0.25">
      <c r="L753" s="8">
        <f t="shared" si="11"/>
        <v>0</v>
      </c>
    </row>
    <row r="754" spans="12:12" x14ac:dyDescent="0.25">
      <c r="L754" s="8">
        <f t="shared" si="11"/>
        <v>0</v>
      </c>
    </row>
    <row r="755" spans="12:12" x14ac:dyDescent="0.25">
      <c r="L755" s="8">
        <f t="shared" si="11"/>
        <v>0</v>
      </c>
    </row>
    <row r="756" spans="12:12" x14ac:dyDescent="0.25">
      <c r="L756" s="8">
        <f t="shared" si="11"/>
        <v>0</v>
      </c>
    </row>
    <row r="757" spans="12:12" x14ac:dyDescent="0.25">
      <c r="L757" s="8">
        <f t="shared" si="11"/>
        <v>0</v>
      </c>
    </row>
    <row r="758" spans="12:12" x14ac:dyDescent="0.25">
      <c r="L758" s="8">
        <f t="shared" si="11"/>
        <v>0</v>
      </c>
    </row>
    <row r="759" spans="12:12" x14ac:dyDescent="0.25">
      <c r="L759" s="8">
        <f t="shared" si="11"/>
        <v>0</v>
      </c>
    </row>
    <row r="760" spans="12:12" x14ac:dyDescent="0.25">
      <c r="L760" s="8">
        <f t="shared" si="11"/>
        <v>0</v>
      </c>
    </row>
    <row r="761" spans="12:12" x14ac:dyDescent="0.25">
      <c r="L761" s="8">
        <f t="shared" si="11"/>
        <v>0</v>
      </c>
    </row>
    <row r="762" spans="12:12" x14ac:dyDescent="0.25">
      <c r="L762" s="8">
        <f t="shared" si="11"/>
        <v>0</v>
      </c>
    </row>
    <row r="763" spans="12:12" x14ac:dyDescent="0.25">
      <c r="L763" s="8">
        <f t="shared" si="11"/>
        <v>0</v>
      </c>
    </row>
    <row r="764" spans="12:12" x14ac:dyDescent="0.25">
      <c r="L764" s="8">
        <f t="shared" si="11"/>
        <v>0</v>
      </c>
    </row>
    <row r="765" spans="12:12" x14ac:dyDescent="0.25">
      <c r="L765" s="8">
        <f t="shared" si="11"/>
        <v>0</v>
      </c>
    </row>
    <row r="766" spans="12:12" x14ac:dyDescent="0.25">
      <c r="L766" s="8">
        <f t="shared" si="11"/>
        <v>0</v>
      </c>
    </row>
    <row r="767" spans="12:12" x14ac:dyDescent="0.25">
      <c r="L767" s="8">
        <f t="shared" si="11"/>
        <v>0</v>
      </c>
    </row>
    <row r="768" spans="12:12" x14ac:dyDescent="0.25">
      <c r="L768" s="8">
        <f t="shared" si="11"/>
        <v>0</v>
      </c>
    </row>
    <row r="769" spans="12:12" x14ac:dyDescent="0.25">
      <c r="L769" s="8">
        <f t="shared" si="11"/>
        <v>0</v>
      </c>
    </row>
    <row r="770" spans="12:12" x14ac:dyDescent="0.25">
      <c r="L770" s="8">
        <f t="shared" si="11"/>
        <v>0</v>
      </c>
    </row>
    <row r="771" spans="12:12" x14ac:dyDescent="0.25">
      <c r="L771" s="8">
        <f t="shared" si="11"/>
        <v>0</v>
      </c>
    </row>
    <row r="772" spans="12:12" x14ac:dyDescent="0.25">
      <c r="L772" s="8">
        <f t="shared" si="11"/>
        <v>0</v>
      </c>
    </row>
    <row r="773" spans="12:12" x14ac:dyDescent="0.25">
      <c r="L773" s="8">
        <f t="shared" si="11"/>
        <v>0</v>
      </c>
    </row>
    <row r="774" spans="12:12" x14ac:dyDescent="0.25">
      <c r="L774" s="8">
        <f t="shared" ref="L774:L837" si="12">J774-K774</f>
        <v>0</v>
      </c>
    </row>
    <row r="775" spans="12:12" x14ac:dyDescent="0.25">
      <c r="L775" s="8">
        <f t="shared" si="12"/>
        <v>0</v>
      </c>
    </row>
    <row r="776" spans="12:12" x14ac:dyDescent="0.25">
      <c r="L776" s="8">
        <f t="shared" si="12"/>
        <v>0</v>
      </c>
    </row>
    <row r="777" spans="12:12" x14ac:dyDescent="0.25">
      <c r="L777" s="8">
        <f t="shared" si="12"/>
        <v>0</v>
      </c>
    </row>
    <row r="778" spans="12:12" x14ac:dyDescent="0.25">
      <c r="L778" s="8">
        <f t="shared" si="12"/>
        <v>0</v>
      </c>
    </row>
    <row r="779" spans="12:12" x14ac:dyDescent="0.25">
      <c r="L779" s="8">
        <f t="shared" si="12"/>
        <v>0</v>
      </c>
    </row>
    <row r="780" spans="12:12" x14ac:dyDescent="0.25">
      <c r="L780" s="8">
        <f t="shared" si="12"/>
        <v>0</v>
      </c>
    </row>
    <row r="781" spans="12:12" x14ac:dyDescent="0.25">
      <c r="L781" s="8">
        <f t="shared" si="12"/>
        <v>0</v>
      </c>
    </row>
    <row r="782" spans="12:12" x14ac:dyDescent="0.25">
      <c r="L782" s="8">
        <f t="shared" si="12"/>
        <v>0</v>
      </c>
    </row>
    <row r="783" spans="12:12" x14ac:dyDescent="0.25">
      <c r="L783" s="8">
        <f t="shared" si="12"/>
        <v>0</v>
      </c>
    </row>
    <row r="784" spans="12:12" x14ac:dyDescent="0.25">
      <c r="L784" s="8">
        <f t="shared" si="12"/>
        <v>0</v>
      </c>
    </row>
    <row r="785" spans="12:12" x14ac:dyDescent="0.25">
      <c r="L785" s="8">
        <f t="shared" si="12"/>
        <v>0</v>
      </c>
    </row>
    <row r="786" spans="12:12" x14ac:dyDescent="0.25">
      <c r="L786" s="8">
        <f t="shared" si="12"/>
        <v>0</v>
      </c>
    </row>
    <row r="787" spans="12:12" x14ac:dyDescent="0.25">
      <c r="L787" s="8">
        <f t="shared" si="12"/>
        <v>0</v>
      </c>
    </row>
    <row r="788" spans="12:12" x14ac:dyDescent="0.25">
      <c r="L788" s="8">
        <f t="shared" si="12"/>
        <v>0</v>
      </c>
    </row>
    <row r="789" spans="12:12" x14ac:dyDescent="0.25">
      <c r="L789" s="8">
        <f t="shared" si="12"/>
        <v>0</v>
      </c>
    </row>
    <row r="790" spans="12:12" x14ac:dyDescent="0.25">
      <c r="L790" s="8">
        <f t="shared" si="12"/>
        <v>0</v>
      </c>
    </row>
    <row r="791" spans="12:12" x14ac:dyDescent="0.25">
      <c r="L791" s="8">
        <f t="shared" si="12"/>
        <v>0</v>
      </c>
    </row>
    <row r="792" spans="12:12" x14ac:dyDescent="0.25">
      <c r="L792" s="8">
        <f t="shared" si="12"/>
        <v>0</v>
      </c>
    </row>
    <row r="793" spans="12:12" x14ac:dyDescent="0.25">
      <c r="L793" s="8">
        <f t="shared" si="12"/>
        <v>0</v>
      </c>
    </row>
    <row r="794" spans="12:12" x14ac:dyDescent="0.25">
      <c r="L794" s="8">
        <f t="shared" si="12"/>
        <v>0</v>
      </c>
    </row>
    <row r="795" spans="12:12" x14ac:dyDescent="0.25">
      <c r="L795" s="8">
        <f t="shared" si="12"/>
        <v>0</v>
      </c>
    </row>
    <row r="796" spans="12:12" x14ac:dyDescent="0.25">
      <c r="L796" s="8">
        <f t="shared" si="12"/>
        <v>0</v>
      </c>
    </row>
    <row r="797" spans="12:12" x14ac:dyDescent="0.25">
      <c r="L797" s="8">
        <f t="shared" si="12"/>
        <v>0</v>
      </c>
    </row>
    <row r="798" spans="12:12" x14ac:dyDescent="0.25">
      <c r="L798" s="8">
        <f t="shared" si="12"/>
        <v>0</v>
      </c>
    </row>
    <row r="799" spans="12:12" x14ac:dyDescent="0.25">
      <c r="L799" s="8">
        <f t="shared" si="12"/>
        <v>0</v>
      </c>
    </row>
    <row r="800" spans="12:12" x14ac:dyDescent="0.25">
      <c r="L800" s="8">
        <f t="shared" si="12"/>
        <v>0</v>
      </c>
    </row>
    <row r="801" spans="12:12" x14ac:dyDescent="0.25">
      <c r="L801" s="8">
        <f t="shared" si="12"/>
        <v>0</v>
      </c>
    </row>
    <row r="802" spans="12:12" x14ac:dyDescent="0.25">
      <c r="L802" s="8">
        <f t="shared" si="12"/>
        <v>0</v>
      </c>
    </row>
    <row r="803" spans="12:12" x14ac:dyDescent="0.25">
      <c r="L803" s="8">
        <f t="shared" si="12"/>
        <v>0</v>
      </c>
    </row>
    <row r="804" spans="12:12" x14ac:dyDescent="0.25">
      <c r="L804" s="8">
        <f t="shared" si="12"/>
        <v>0</v>
      </c>
    </row>
    <row r="805" spans="12:12" x14ac:dyDescent="0.25">
      <c r="L805" s="8">
        <f t="shared" si="12"/>
        <v>0</v>
      </c>
    </row>
    <row r="806" spans="12:12" x14ac:dyDescent="0.25">
      <c r="L806" s="8">
        <f t="shared" si="12"/>
        <v>0</v>
      </c>
    </row>
    <row r="807" spans="12:12" x14ac:dyDescent="0.25">
      <c r="L807" s="8">
        <f t="shared" si="12"/>
        <v>0</v>
      </c>
    </row>
    <row r="808" spans="12:12" x14ac:dyDescent="0.25">
      <c r="L808" s="8">
        <f t="shared" si="12"/>
        <v>0</v>
      </c>
    </row>
    <row r="809" spans="12:12" x14ac:dyDescent="0.25">
      <c r="L809" s="8">
        <f t="shared" si="12"/>
        <v>0</v>
      </c>
    </row>
    <row r="810" spans="12:12" x14ac:dyDescent="0.25">
      <c r="L810" s="8">
        <f t="shared" si="12"/>
        <v>0</v>
      </c>
    </row>
    <row r="811" spans="12:12" x14ac:dyDescent="0.25">
      <c r="L811" s="8">
        <f t="shared" si="12"/>
        <v>0</v>
      </c>
    </row>
    <row r="812" spans="12:12" x14ac:dyDescent="0.25">
      <c r="L812" s="8">
        <f t="shared" si="12"/>
        <v>0</v>
      </c>
    </row>
    <row r="813" spans="12:12" x14ac:dyDescent="0.25">
      <c r="L813" s="8">
        <f t="shared" si="12"/>
        <v>0</v>
      </c>
    </row>
    <row r="814" spans="12:12" x14ac:dyDescent="0.25">
      <c r="L814" s="8">
        <f t="shared" si="12"/>
        <v>0</v>
      </c>
    </row>
    <row r="815" spans="12:12" x14ac:dyDescent="0.25">
      <c r="L815" s="8">
        <f t="shared" si="12"/>
        <v>0</v>
      </c>
    </row>
    <row r="816" spans="12:12" x14ac:dyDescent="0.25">
      <c r="L816" s="8">
        <f t="shared" si="12"/>
        <v>0</v>
      </c>
    </row>
    <row r="817" spans="12:12" x14ac:dyDescent="0.25">
      <c r="L817" s="8">
        <f t="shared" si="12"/>
        <v>0</v>
      </c>
    </row>
    <row r="818" spans="12:12" x14ac:dyDescent="0.25">
      <c r="L818" s="8">
        <f t="shared" si="12"/>
        <v>0</v>
      </c>
    </row>
    <row r="819" spans="12:12" x14ac:dyDescent="0.25">
      <c r="L819" s="8">
        <f t="shared" si="12"/>
        <v>0</v>
      </c>
    </row>
    <row r="820" spans="12:12" x14ac:dyDescent="0.25">
      <c r="L820" s="8">
        <f t="shared" si="12"/>
        <v>0</v>
      </c>
    </row>
    <row r="821" spans="12:12" x14ac:dyDescent="0.25">
      <c r="L821" s="8">
        <f t="shared" si="12"/>
        <v>0</v>
      </c>
    </row>
    <row r="822" spans="12:12" x14ac:dyDescent="0.25">
      <c r="L822" s="8">
        <f t="shared" si="12"/>
        <v>0</v>
      </c>
    </row>
    <row r="823" spans="12:12" x14ac:dyDescent="0.25">
      <c r="L823" s="8">
        <f t="shared" si="12"/>
        <v>0</v>
      </c>
    </row>
    <row r="824" spans="12:12" x14ac:dyDescent="0.25">
      <c r="L824" s="8">
        <f t="shared" si="12"/>
        <v>0</v>
      </c>
    </row>
    <row r="825" spans="12:12" x14ac:dyDescent="0.25">
      <c r="L825" s="8">
        <f t="shared" si="12"/>
        <v>0</v>
      </c>
    </row>
    <row r="826" spans="12:12" x14ac:dyDescent="0.25">
      <c r="L826" s="8">
        <f t="shared" si="12"/>
        <v>0</v>
      </c>
    </row>
    <row r="827" spans="12:12" x14ac:dyDescent="0.25">
      <c r="L827" s="8">
        <f t="shared" si="12"/>
        <v>0</v>
      </c>
    </row>
    <row r="828" spans="12:12" x14ac:dyDescent="0.25">
      <c r="L828" s="8">
        <f t="shared" si="12"/>
        <v>0</v>
      </c>
    </row>
    <row r="829" spans="12:12" x14ac:dyDescent="0.25">
      <c r="L829" s="8">
        <f t="shared" si="12"/>
        <v>0</v>
      </c>
    </row>
    <row r="830" spans="12:12" x14ac:dyDescent="0.25">
      <c r="L830" s="8">
        <f t="shared" si="12"/>
        <v>0</v>
      </c>
    </row>
    <row r="831" spans="12:12" x14ac:dyDescent="0.25">
      <c r="L831" s="8">
        <f t="shared" si="12"/>
        <v>0</v>
      </c>
    </row>
    <row r="832" spans="12:12" x14ac:dyDescent="0.25">
      <c r="L832" s="8">
        <f t="shared" si="12"/>
        <v>0</v>
      </c>
    </row>
    <row r="833" spans="12:12" x14ac:dyDescent="0.25">
      <c r="L833" s="8">
        <f t="shared" si="12"/>
        <v>0</v>
      </c>
    </row>
    <row r="834" spans="12:12" x14ac:dyDescent="0.25">
      <c r="L834" s="8">
        <f t="shared" si="12"/>
        <v>0</v>
      </c>
    </row>
    <row r="835" spans="12:12" x14ac:dyDescent="0.25">
      <c r="L835" s="8">
        <f t="shared" si="12"/>
        <v>0</v>
      </c>
    </row>
    <row r="836" spans="12:12" x14ac:dyDescent="0.25">
      <c r="L836" s="8">
        <f t="shared" si="12"/>
        <v>0</v>
      </c>
    </row>
    <row r="837" spans="12:12" x14ac:dyDescent="0.25">
      <c r="L837" s="8">
        <f t="shared" si="12"/>
        <v>0</v>
      </c>
    </row>
    <row r="838" spans="12:12" x14ac:dyDescent="0.25">
      <c r="L838" s="8">
        <f t="shared" ref="L838:L901" si="13">J838-K838</f>
        <v>0</v>
      </c>
    </row>
    <row r="839" spans="12:12" x14ac:dyDescent="0.25">
      <c r="L839" s="8">
        <f t="shared" si="13"/>
        <v>0</v>
      </c>
    </row>
    <row r="840" spans="12:12" x14ac:dyDescent="0.25">
      <c r="L840" s="8">
        <f t="shared" si="13"/>
        <v>0</v>
      </c>
    </row>
    <row r="841" spans="12:12" x14ac:dyDescent="0.25">
      <c r="L841" s="8">
        <f t="shared" si="13"/>
        <v>0</v>
      </c>
    </row>
    <row r="842" spans="12:12" x14ac:dyDescent="0.25">
      <c r="L842" s="8">
        <f t="shared" si="13"/>
        <v>0</v>
      </c>
    </row>
    <row r="843" spans="12:12" x14ac:dyDescent="0.25">
      <c r="L843" s="8">
        <f t="shared" si="13"/>
        <v>0</v>
      </c>
    </row>
    <row r="844" spans="12:12" x14ac:dyDescent="0.25">
      <c r="L844" s="8">
        <f t="shared" si="13"/>
        <v>0</v>
      </c>
    </row>
    <row r="845" spans="12:12" x14ac:dyDescent="0.25">
      <c r="L845" s="8">
        <f t="shared" si="13"/>
        <v>0</v>
      </c>
    </row>
    <row r="846" spans="12:12" x14ac:dyDescent="0.25">
      <c r="L846" s="8">
        <f t="shared" si="13"/>
        <v>0</v>
      </c>
    </row>
    <row r="847" spans="12:12" x14ac:dyDescent="0.25">
      <c r="L847" s="8">
        <f t="shared" si="13"/>
        <v>0</v>
      </c>
    </row>
    <row r="848" spans="12:12" x14ac:dyDescent="0.25">
      <c r="L848" s="8">
        <f t="shared" si="13"/>
        <v>0</v>
      </c>
    </row>
    <row r="849" spans="12:12" x14ac:dyDescent="0.25">
      <c r="L849" s="8">
        <f t="shared" si="13"/>
        <v>0</v>
      </c>
    </row>
    <row r="850" spans="12:12" x14ac:dyDescent="0.25">
      <c r="L850" s="8">
        <f t="shared" si="13"/>
        <v>0</v>
      </c>
    </row>
    <row r="851" spans="12:12" x14ac:dyDescent="0.25">
      <c r="L851" s="8">
        <f t="shared" si="13"/>
        <v>0</v>
      </c>
    </row>
    <row r="852" spans="12:12" x14ac:dyDescent="0.25">
      <c r="L852" s="8">
        <f t="shared" si="13"/>
        <v>0</v>
      </c>
    </row>
    <row r="853" spans="12:12" x14ac:dyDescent="0.25">
      <c r="L853" s="8">
        <f t="shared" si="13"/>
        <v>0</v>
      </c>
    </row>
    <row r="854" spans="12:12" x14ac:dyDescent="0.25">
      <c r="L854" s="8">
        <f t="shared" si="13"/>
        <v>0</v>
      </c>
    </row>
    <row r="855" spans="12:12" x14ac:dyDescent="0.25">
      <c r="L855" s="8">
        <f t="shared" si="13"/>
        <v>0</v>
      </c>
    </row>
    <row r="856" spans="12:12" x14ac:dyDescent="0.25">
      <c r="L856" s="8">
        <f t="shared" si="13"/>
        <v>0</v>
      </c>
    </row>
    <row r="857" spans="12:12" x14ac:dyDescent="0.25">
      <c r="L857" s="8">
        <f t="shared" si="13"/>
        <v>0</v>
      </c>
    </row>
    <row r="858" spans="12:12" x14ac:dyDescent="0.25">
      <c r="L858" s="8">
        <f t="shared" si="13"/>
        <v>0</v>
      </c>
    </row>
    <row r="859" spans="12:12" x14ac:dyDescent="0.25">
      <c r="L859" s="8">
        <f t="shared" si="13"/>
        <v>0</v>
      </c>
    </row>
    <row r="860" spans="12:12" x14ac:dyDescent="0.25">
      <c r="L860" s="8">
        <f t="shared" si="13"/>
        <v>0</v>
      </c>
    </row>
    <row r="861" spans="12:12" x14ac:dyDescent="0.25">
      <c r="L861" s="8">
        <f t="shared" si="13"/>
        <v>0</v>
      </c>
    </row>
    <row r="862" spans="12:12" x14ac:dyDescent="0.25">
      <c r="L862" s="8">
        <f t="shared" si="13"/>
        <v>0</v>
      </c>
    </row>
    <row r="863" spans="12:12" x14ac:dyDescent="0.25">
      <c r="L863" s="8">
        <f t="shared" si="13"/>
        <v>0</v>
      </c>
    </row>
    <row r="864" spans="12:12" x14ac:dyDescent="0.25">
      <c r="L864" s="8">
        <f t="shared" si="13"/>
        <v>0</v>
      </c>
    </row>
    <row r="865" spans="12:12" x14ac:dyDescent="0.25">
      <c r="L865" s="8">
        <f t="shared" si="13"/>
        <v>0</v>
      </c>
    </row>
    <row r="866" spans="12:12" x14ac:dyDescent="0.25">
      <c r="L866" s="8">
        <f t="shared" si="13"/>
        <v>0</v>
      </c>
    </row>
    <row r="867" spans="12:12" x14ac:dyDescent="0.25">
      <c r="L867" s="8">
        <f t="shared" si="13"/>
        <v>0</v>
      </c>
    </row>
    <row r="868" spans="12:12" x14ac:dyDescent="0.25">
      <c r="L868" s="8">
        <f t="shared" si="13"/>
        <v>0</v>
      </c>
    </row>
    <row r="869" spans="12:12" x14ac:dyDescent="0.25">
      <c r="L869" s="8">
        <f t="shared" si="13"/>
        <v>0</v>
      </c>
    </row>
    <row r="870" spans="12:12" x14ac:dyDescent="0.25">
      <c r="L870" s="8">
        <f t="shared" si="13"/>
        <v>0</v>
      </c>
    </row>
    <row r="871" spans="12:12" x14ac:dyDescent="0.25">
      <c r="L871" s="8">
        <f t="shared" si="13"/>
        <v>0</v>
      </c>
    </row>
    <row r="872" spans="12:12" x14ac:dyDescent="0.25">
      <c r="L872" s="8">
        <f t="shared" si="13"/>
        <v>0</v>
      </c>
    </row>
    <row r="873" spans="12:12" x14ac:dyDescent="0.25">
      <c r="L873" s="8">
        <f t="shared" si="13"/>
        <v>0</v>
      </c>
    </row>
    <row r="874" spans="12:12" x14ac:dyDescent="0.25">
      <c r="L874" s="8">
        <f t="shared" si="13"/>
        <v>0</v>
      </c>
    </row>
    <row r="875" spans="12:12" x14ac:dyDescent="0.25">
      <c r="L875" s="8">
        <f t="shared" si="13"/>
        <v>0</v>
      </c>
    </row>
    <row r="876" spans="12:12" x14ac:dyDescent="0.25">
      <c r="L876" s="8">
        <f t="shared" si="13"/>
        <v>0</v>
      </c>
    </row>
    <row r="877" spans="12:12" x14ac:dyDescent="0.25">
      <c r="L877" s="8">
        <f t="shared" si="13"/>
        <v>0</v>
      </c>
    </row>
    <row r="878" spans="12:12" x14ac:dyDescent="0.25">
      <c r="L878" s="8">
        <f t="shared" si="13"/>
        <v>0</v>
      </c>
    </row>
    <row r="879" spans="12:12" x14ac:dyDescent="0.25">
      <c r="L879" s="8">
        <f t="shared" si="13"/>
        <v>0</v>
      </c>
    </row>
    <row r="880" spans="12:12" x14ac:dyDescent="0.25">
      <c r="L880" s="8">
        <f t="shared" si="13"/>
        <v>0</v>
      </c>
    </row>
    <row r="881" spans="12:12" x14ac:dyDescent="0.25">
      <c r="L881" s="8">
        <f t="shared" si="13"/>
        <v>0</v>
      </c>
    </row>
    <row r="882" spans="12:12" x14ac:dyDescent="0.25">
      <c r="L882" s="8">
        <f t="shared" si="13"/>
        <v>0</v>
      </c>
    </row>
    <row r="883" spans="12:12" x14ac:dyDescent="0.25">
      <c r="L883" s="8">
        <f t="shared" si="13"/>
        <v>0</v>
      </c>
    </row>
    <row r="884" spans="12:12" x14ac:dyDescent="0.25">
      <c r="L884" s="8">
        <f t="shared" si="13"/>
        <v>0</v>
      </c>
    </row>
    <row r="885" spans="12:12" x14ac:dyDescent="0.25">
      <c r="L885" s="8">
        <f t="shared" si="13"/>
        <v>0</v>
      </c>
    </row>
    <row r="886" spans="12:12" x14ac:dyDescent="0.25">
      <c r="L886" s="8">
        <f t="shared" si="13"/>
        <v>0</v>
      </c>
    </row>
    <row r="887" spans="12:12" x14ac:dyDescent="0.25">
      <c r="L887" s="8">
        <f t="shared" si="13"/>
        <v>0</v>
      </c>
    </row>
    <row r="888" spans="12:12" x14ac:dyDescent="0.25">
      <c r="L888" s="8">
        <f t="shared" si="13"/>
        <v>0</v>
      </c>
    </row>
    <row r="889" spans="12:12" x14ac:dyDescent="0.25">
      <c r="L889" s="8">
        <f t="shared" si="13"/>
        <v>0</v>
      </c>
    </row>
    <row r="890" spans="12:12" x14ac:dyDescent="0.25">
      <c r="L890" s="8">
        <f t="shared" si="13"/>
        <v>0</v>
      </c>
    </row>
    <row r="891" spans="12:12" x14ac:dyDescent="0.25">
      <c r="L891" s="8">
        <f t="shared" si="13"/>
        <v>0</v>
      </c>
    </row>
    <row r="892" spans="12:12" x14ac:dyDescent="0.25">
      <c r="L892" s="8">
        <f t="shared" si="13"/>
        <v>0</v>
      </c>
    </row>
    <row r="893" spans="12:12" x14ac:dyDescent="0.25">
      <c r="L893" s="8">
        <f t="shared" si="13"/>
        <v>0</v>
      </c>
    </row>
    <row r="894" spans="12:12" x14ac:dyDescent="0.25">
      <c r="L894" s="8">
        <f t="shared" si="13"/>
        <v>0</v>
      </c>
    </row>
    <row r="895" spans="12:12" x14ac:dyDescent="0.25">
      <c r="L895" s="8">
        <f t="shared" si="13"/>
        <v>0</v>
      </c>
    </row>
    <row r="896" spans="12:12" x14ac:dyDescent="0.25">
      <c r="L896" s="8">
        <f t="shared" si="13"/>
        <v>0</v>
      </c>
    </row>
    <row r="897" spans="12:12" x14ac:dyDescent="0.25">
      <c r="L897" s="8">
        <f t="shared" si="13"/>
        <v>0</v>
      </c>
    </row>
    <row r="898" spans="12:12" x14ac:dyDescent="0.25">
      <c r="L898" s="8">
        <f t="shared" si="13"/>
        <v>0</v>
      </c>
    </row>
    <row r="899" spans="12:12" x14ac:dyDescent="0.25">
      <c r="L899" s="8">
        <f t="shared" si="13"/>
        <v>0</v>
      </c>
    </row>
    <row r="900" spans="12:12" x14ac:dyDescent="0.25">
      <c r="L900" s="8">
        <f t="shared" si="13"/>
        <v>0</v>
      </c>
    </row>
    <row r="901" spans="12:12" x14ac:dyDescent="0.25">
      <c r="L901" s="8">
        <f t="shared" si="13"/>
        <v>0</v>
      </c>
    </row>
    <row r="902" spans="12:12" x14ac:dyDescent="0.25">
      <c r="L902" s="8">
        <f t="shared" ref="L902:L965" si="14">J902-K902</f>
        <v>0</v>
      </c>
    </row>
    <row r="903" spans="12:12" x14ac:dyDescent="0.25">
      <c r="L903" s="8">
        <f t="shared" si="14"/>
        <v>0</v>
      </c>
    </row>
    <row r="904" spans="12:12" x14ac:dyDescent="0.25">
      <c r="L904" s="8">
        <f t="shared" si="14"/>
        <v>0</v>
      </c>
    </row>
    <row r="905" spans="12:12" x14ac:dyDescent="0.25">
      <c r="L905" s="8">
        <f t="shared" si="14"/>
        <v>0</v>
      </c>
    </row>
    <row r="906" spans="12:12" x14ac:dyDescent="0.25">
      <c r="L906" s="8">
        <f t="shared" si="14"/>
        <v>0</v>
      </c>
    </row>
    <row r="907" spans="12:12" x14ac:dyDescent="0.25">
      <c r="L907" s="8">
        <f t="shared" si="14"/>
        <v>0</v>
      </c>
    </row>
    <row r="908" spans="12:12" x14ac:dyDescent="0.25">
      <c r="L908" s="8">
        <f t="shared" si="14"/>
        <v>0</v>
      </c>
    </row>
    <row r="909" spans="12:12" x14ac:dyDescent="0.25">
      <c r="L909" s="8">
        <f t="shared" si="14"/>
        <v>0</v>
      </c>
    </row>
    <row r="910" spans="12:12" x14ac:dyDescent="0.25">
      <c r="L910" s="8">
        <f t="shared" si="14"/>
        <v>0</v>
      </c>
    </row>
    <row r="911" spans="12:12" x14ac:dyDescent="0.25">
      <c r="L911" s="8">
        <f t="shared" si="14"/>
        <v>0</v>
      </c>
    </row>
    <row r="912" spans="12:12" x14ac:dyDescent="0.25">
      <c r="L912" s="8">
        <f t="shared" si="14"/>
        <v>0</v>
      </c>
    </row>
    <row r="913" spans="12:12" x14ac:dyDescent="0.25">
      <c r="L913" s="8">
        <f t="shared" si="14"/>
        <v>0</v>
      </c>
    </row>
    <row r="914" spans="12:12" x14ac:dyDescent="0.25">
      <c r="L914" s="8">
        <f t="shared" si="14"/>
        <v>0</v>
      </c>
    </row>
    <row r="915" spans="12:12" x14ac:dyDescent="0.25">
      <c r="L915" s="8">
        <f t="shared" si="14"/>
        <v>0</v>
      </c>
    </row>
    <row r="916" spans="12:12" x14ac:dyDescent="0.25">
      <c r="L916" s="8">
        <f t="shared" si="14"/>
        <v>0</v>
      </c>
    </row>
    <row r="917" spans="12:12" x14ac:dyDescent="0.25">
      <c r="L917" s="8">
        <f t="shared" si="14"/>
        <v>0</v>
      </c>
    </row>
    <row r="918" spans="12:12" x14ac:dyDescent="0.25">
      <c r="L918" s="8">
        <f t="shared" si="14"/>
        <v>0</v>
      </c>
    </row>
    <row r="919" spans="12:12" x14ac:dyDescent="0.25">
      <c r="L919" s="8">
        <f t="shared" si="14"/>
        <v>0</v>
      </c>
    </row>
    <row r="920" spans="12:12" x14ac:dyDescent="0.25">
      <c r="L920" s="8">
        <f t="shared" si="14"/>
        <v>0</v>
      </c>
    </row>
    <row r="921" spans="12:12" x14ac:dyDescent="0.25">
      <c r="L921" s="8">
        <f t="shared" si="14"/>
        <v>0</v>
      </c>
    </row>
    <row r="922" spans="12:12" x14ac:dyDescent="0.25">
      <c r="L922" s="8">
        <f t="shared" si="14"/>
        <v>0</v>
      </c>
    </row>
    <row r="923" spans="12:12" x14ac:dyDescent="0.25">
      <c r="L923" s="8">
        <f t="shared" si="14"/>
        <v>0</v>
      </c>
    </row>
    <row r="924" spans="12:12" x14ac:dyDescent="0.25">
      <c r="L924" s="8">
        <f t="shared" si="14"/>
        <v>0</v>
      </c>
    </row>
    <row r="925" spans="12:12" x14ac:dyDescent="0.25">
      <c r="L925" s="8">
        <f t="shared" si="14"/>
        <v>0</v>
      </c>
    </row>
    <row r="926" spans="12:12" x14ac:dyDescent="0.25">
      <c r="L926" s="8">
        <f t="shared" si="14"/>
        <v>0</v>
      </c>
    </row>
    <row r="927" spans="12:12" x14ac:dyDescent="0.25">
      <c r="L927" s="8">
        <f t="shared" si="14"/>
        <v>0</v>
      </c>
    </row>
    <row r="928" spans="12:12" x14ac:dyDescent="0.25">
      <c r="L928" s="8">
        <f t="shared" si="14"/>
        <v>0</v>
      </c>
    </row>
    <row r="929" spans="12:12" x14ac:dyDescent="0.25">
      <c r="L929" s="8">
        <f t="shared" si="14"/>
        <v>0</v>
      </c>
    </row>
    <row r="930" spans="12:12" x14ac:dyDescent="0.25">
      <c r="L930" s="8">
        <f t="shared" si="14"/>
        <v>0</v>
      </c>
    </row>
    <row r="931" spans="12:12" x14ac:dyDescent="0.25">
      <c r="L931" s="8">
        <f t="shared" si="14"/>
        <v>0</v>
      </c>
    </row>
    <row r="932" spans="12:12" x14ac:dyDescent="0.25">
      <c r="L932" s="8">
        <f t="shared" si="14"/>
        <v>0</v>
      </c>
    </row>
    <row r="933" spans="12:12" x14ac:dyDescent="0.25">
      <c r="L933" s="8">
        <f t="shared" si="14"/>
        <v>0</v>
      </c>
    </row>
    <row r="934" spans="12:12" x14ac:dyDescent="0.25">
      <c r="L934" s="8">
        <f t="shared" si="14"/>
        <v>0</v>
      </c>
    </row>
    <row r="935" spans="12:12" x14ac:dyDescent="0.25">
      <c r="L935" s="8">
        <f t="shared" si="14"/>
        <v>0</v>
      </c>
    </row>
    <row r="936" spans="12:12" x14ac:dyDescent="0.25">
      <c r="L936" s="8">
        <f t="shared" si="14"/>
        <v>0</v>
      </c>
    </row>
    <row r="937" spans="12:12" x14ac:dyDescent="0.25">
      <c r="L937" s="8">
        <f t="shared" si="14"/>
        <v>0</v>
      </c>
    </row>
    <row r="938" spans="12:12" x14ac:dyDescent="0.25">
      <c r="L938" s="8">
        <f t="shared" si="14"/>
        <v>0</v>
      </c>
    </row>
    <row r="939" spans="12:12" x14ac:dyDescent="0.25">
      <c r="L939" s="8">
        <f t="shared" si="14"/>
        <v>0</v>
      </c>
    </row>
    <row r="940" spans="12:12" x14ac:dyDescent="0.25">
      <c r="L940" s="8">
        <f t="shared" si="14"/>
        <v>0</v>
      </c>
    </row>
    <row r="941" spans="12:12" x14ac:dyDescent="0.25">
      <c r="L941" s="8">
        <f t="shared" si="14"/>
        <v>0</v>
      </c>
    </row>
    <row r="942" spans="12:12" x14ac:dyDescent="0.25">
      <c r="L942" s="8">
        <f t="shared" si="14"/>
        <v>0</v>
      </c>
    </row>
    <row r="943" spans="12:12" x14ac:dyDescent="0.25">
      <c r="L943" s="8">
        <f t="shared" si="14"/>
        <v>0</v>
      </c>
    </row>
    <row r="944" spans="12:12" x14ac:dyDescent="0.25">
      <c r="L944" s="8">
        <f t="shared" si="14"/>
        <v>0</v>
      </c>
    </row>
    <row r="945" spans="12:12" x14ac:dyDescent="0.25">
      <c r="L945" s="8">
        <f t="shared" si="14"/>
        <v>0</v>
      </c>
    </row>
    <row r="946" spans="12:12" x14ac:dyDescent="0.25">
      <c r="L946" s="8">
        <f t="shared" si="14"/>
        <v>0</v>
      </c>
    </row>
    <row r="947" spans="12:12" x14ac:dyDescent="0.25">
      <c r="L947" s="8">
        <f t="shared" si="14"/>
        <v>0</v>
      </c>
    </row>
    <row r="948" spans="12:12" x14ac:dyDescent="0.25">
      <c r="L948" s="8">
        <f t="shared" si="14"/>
        <v>0</v>
      </c>
    </row>
    <row r="949" spans="12:12" x14ac:dyDescent="0.25">
      <c r="L949" s="8">
        <f t="shared" si="14"/>
        <v>0</v>
      </c>
    </row>
    <row r="950" spans="12:12" x14ac:dyDescent="0.25">
      <c r="L950" s="8">
        <f t="shared" si="14"/>
        <v>0</v>
      </c>
    </row>
    <row r="951" spans="12:12" x14ac:dyDescent="0.25">
      <c r="L951" s="8">
        <f t="shared" si="14"/>
        <v>0</v>
      </c>
    </row>
    <row r="952" spans="12:12" x14ac:dyDescent="0.25">
      <c r="L952" s="8">
        <f t="shared" si="14"/>
        <v>0</v>
      </c>
    </row>
    <row r="953" spans="12:12" x14ac:dyDescent="0.25">
      <c r="L953" s="8">
        <f t="shared" si="14"/>
        <v>0</v>
      </c>
    </row>
    <row r="954" spans="12:12" x14ac:dyDescent="0.25">
      <c r="L954" s="8">
        <f t="shared" si="14"/>
        <v>0</v>
      </c>
    </row>
    <row r="955" spans="12:12" x14ac:dyDescent="0.25">
      <c r="L955" s="8">
        <f t="shared" si="14"/>
        <v>0</v>
      </c>
    </row>
    <row r="956" spans="12:12" x14ac:dyDescent="0.25">
      <c r="L956" s="8">
        <f t="shared" si="14"/>
        <v>0</v>
      </c>
    </row>
    <row r="957" spans="12:12" x14ac:dyDescent="0.25">
      <c r="L957" s="8">
        <f t="shared" si="14"/>
        <v>0</v>
      </c>
    </row>
    <row r="958" spans="12:12" x14ac:dyDescent="0.25">
      <c r="L958" s="8">
        <f t="shared" si="14"/>
        <v>0</v>
      </c>
    </row>
    <row r="959" spans="12:12" x14ac:dyDescent="0.25">
      <c r="L959" s="8">
        <f t="shared" si="14"/>
        <v>0</v>
      </c>
    </row>
    <row r="960" spans="12:12" x14ac:dyDescent="0.25">
      <c r="L960" s="8">
        <f t="shared" si="14"/>
        <v>0</v>
      </c>
    </row>
    <row r="961" spans="12:12" x14ac:dyDescent="0.25">
      <c r="L961" s="8">
        <f t="shared" si="14"/>
        <v>0</v>
      </c>
    </row>
    <row r="962" spans="12:12" x14ac:dyDescent="0.25">
      <c r="L962" s="8">
        <f t="shared" si="14"/>
        <v>0</v>
      </c>
    </row>
    <row r="963" spans="12:12" x14ac:dyDescent="0.25">
      <c r="L963" s="8">
        <f t="shared" si="14"/>
        <v>0</v>
      </c>
    </row>
    <row r="964" spans="12:12" x14ac:dyDescent="0.25">
      <c r="L964" s="8">
        <f t="shared" si="14"/>
        <v>0</v>
      </c>
    </row>
    <row r="965" spans="12:12" x14ac:dyDescent="0.25">
      <c r="L965" s="8">
        <f t="shared" si="14"/>
        <v>0</v>
      </c>
    </row>
    <row r="966" spans="12:12" x14ac:dyDescent="0.25">
      <c r="L966" s="8">
        <f t="shared" ref="L966:L1000" si="15">J966-K966</f>
        <v>0</v>
      </c>
    </row>
    <row r="967" spans="12:12" x14ac:dyDescent="0.25">
      <c r="L967" s="8">
        <f t="shared" si="15"/>
        <v>0</v>
      </c>
    </row>
    <row r="968" spans="12:12" x14ac:dyDescent="0.25">
      <c r="L968" s="8">
        <f t="shared" si="15"/>
        <v>0</v>
      </c>
    </row>
    <row r="969" spans="12:12" x14ac:dyDescent="0.25">
      <c r="L969" s="8">
        <f t="shared" si="15"/>
        <v>0</v>
      </c>
    </row>
    <row r="970" spans="12:12" x14ac:dyDescent="0.25">
      <c r="L970" s="8">
        <f t="shared" si="15"/>
        <v>0</v>
      </c>
    </row>
    <row r="971" spans="12:12" x14ac:dyDescent="0.25">
      <c r="L971" s="8">
        <f t="shared" si="15"/>
        <v>0</v>
      </c>
    </row>
    <row r="972" spans="12:12" x14ac:dyDescent="0.25">
      <c r="L972" s="8">
        <f t="shared" si="15"/>
        <v>0</v>
      </c>
    </row>
    <row r="973" spans="12:12" x14ac:dyDescent="0.25">
      <c r="L973" s="8">
        <f t="shared" si="15"/>
        <v>0</v>
      </c>
    </row>
    <row r="974" spans="12:12" x14ac:dyDescent="0.25">
      <c r="L974" s="8">
        <f t="shared" si="15"/>
        <v>0</v>
      </c>
    </row>
    <row r="975" spans="12:12" x14ac:dyDescent="0.25">
      <c r="L975" s="8">
        <f t="shared" si="15"/>
        <v>0</v>
      </c>
    </row>
    <row r="976" spans="12:12" x14ac:dyDescent="0.25">
      <c r="L976" s="8">
        <f t="shared" si="15"/>
        <v>0</v>
      </c>
    </row>
    <row r="977" spans="12:12" x14ac:dyDescent="0.25">
      <c r="L977" s="8">
        <f t="shared" si="15"/>
        <v>0</v>
      </c>
    </row>
    <row r="978" spans="12:12" x14ac:dyDescent="0.25">
      <c r="L978" s="8">
        <f t="shared" si="15"/>
        <v>0</v>
      </c>
    </row>
    <row r="979" spans="12:12" x14ac:dyDescent="0.25">
      <c r="L979" s="8">
        <f t="shared" si="15"/>
        <v>0</v>
      </c>
    </row>
    <row r="980" spans="12:12" x14ac:dyDescent="0.25">
      <c r="L980" s="8">
        <f t="shared" si="15"/>
        <v>0</v>
      </c>
    </row>
    <row r="981" spans="12:12" x14ac:dyDescent="0.25">
      <c r="L981" s="8">
        <f t="shared" si="15"/>
        <v>0</v>
      </c>
    </row>
    <row r="982" spans="12:12" x14ac:dyDescent="0.25">
      <c r="L982" s="8">
        <f t="shared" si="15"/>
        <v>0</v>
      </c>
    </row>
    <row r="983" spans="12:12" x14ac:dyDescent="0.25">
      <c r="L983" s="8">
        <f t="shared" si="15"/>
        <v>0</v>
      </c>
    </row>
    <row r="984" spans="12:12" x14ac:dyDescent="0.25">
      <c r="L984" s="8">
        <f t="shared" si="15"/>
        <v>0</v>
      </c>
    </row>
    <row r="985" spans="12:12" x14ac:dyDescent="0.25">
      <c r="L985" s="8">
        <f t="shared" si="15"/>
        <v>0</v>
      </c>
    </row>
    <row r="986" spans="12:12" x14ac:dyDescent="0.25">
      <c r="L986" s="8">
        <f t="shared" si="15"/>
        <v>0</v>
      </c>
    </row>
    <row r="987" spans="12:12" x14ac:dyDescent="0.25">
      <c r="L987" s="8">
        <f t="shared" si="15"/>
        <v>0</v>
      </c>
    </row>
    <row r="988" spans="12:12" x14ac:dyDescent="0.25">
      <c r="L988" s="8">
        <f t="shared" si="15"/>
        <v>0</v>
      </c>
    </row>
    <row r="989" spans="12:12" x14ac:dyDescent="0.25">
      <c r="L989" s="8">
        <f t="shared" si="15"/>
        <v>0</v>
      </c>
    </row>
    <row r="990" spans="12:12" x14ac:dyDescent="0.25">
      <c r="L990" s="8">
        <f t="shared" si="15"/>
        <v>0</v>
      </c>
    </row>
    <row r="991" spans="12:12" x14ac:dyDescent="0.25">
      <c r="L991" s="8">
        <f t="shared" si="15"/>
        <v>0</v>
      </c>
    </row>
    <row r="992" spans="12:12" x14ac:dyDescent="0.25">
      <c r="L992" s="8">
        <f t="shared" si="15"/>
        <v>0</v>
      </c>
    </row>
    <row r="993" spans="12:12" x14ac:dyDescent="0.25">
      <c r="L993" s="8">
        <f t="shared" si="15"/>
        <v>0</v>
      </c>
    </row>
    <row r="994" spans="12:12" x14ac:dyDescent="0.25">
      <c r="L994" s="8">
        <f t="shared" si="15"/>
        <v>0</v>
      </c>
    </row>
    <row r="995" spans="12:12" x14ac:dyDescent="0.25">
      <c r="L995" s="8">
        <f t="shared" si="15"/>
        <v>0</v>
      </c>
    </row>
    <row r="996" spans="12:12" x14ac:dyDescent="0.25">
      <c r="L996" s="8">
        <f t="shared" si="15"/>
        <v>0</v>
      </c>
    </row>
    <row r="997" spans="12:12" x14ac:dyDescent="0.25">
      <c r="L997" s="8">
        <f t="shared" si="15"/>
        <v>0</v>
      </c>
    </row>
    <row r="998" spans="12:12" x14ac:dyDescent="0.25">
      <c r="L998" s="8">
        <f t="shared" si="15"/>
        <v>0</v>
      </c>
    </row>
    <row r="999" spans="12:12" x14ac:dyDescent="0.25">
      <c r="L999" s="8">
        <f t="shared" si="15"/>
        <v>0</v>
      </c>
    </row>
    <row r="1000" spans="12:12" x14ac:dyDescent="0.25">
      <c r="L1000" s="8">
        <f t="shared" si="1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Views>
    <sheetView tabSelected="1" topLeftCell="A45" workbookViewId="0">
      <selection activeCell="E65" sqref="E65"/>
    </sheetView>
  </sheetViews>
  <sheetFormatPr defaultRowHeight="15" x14ac:dyDescent="0.25"/>
  <cols>
    <col min="1" max="1" width="13.140625" bestFit="1" customWidth="1"/>
    <col min="2" max="2" width="10.42578125" style="10" bestFit="1" customWidth="1"/>
  </cols>
  <sheetData>
    <row r="1" spans="1:6" x14ac:dyDescent="0.25">
      <c r="A1" s="1" t="s">
        <v>693</v>
      </c>
      <c r="B1" s="25"/>
    </row>
    <row r="3" spans="1:6" x14ac:dyDescent="0.25">
      <c r="A3" s="1" t="s">
        <v>154</v>
      </c>
      <c r="B3" s="10" t="s">
        <v>695</v>
      </c>
      <c r="E3" t="s">
        <v>1794</v>
      </c>
      <c r="F3" t="s">
        <v>1795</v>
      </c>
    </row>
    <row r="4" spans="1:6" x14ac:dyDescent="0.25">
      <c r="A4" s="2" t="s">
        <v>594</v>
      </c>
      <c r="B4" s="10">
        <v>433.81640000000004</v>
      </c>
      <c r="E4" s="2" t="s">
        <v>738</v>
      </c>
      <c r="F4" s="10">
        <v>-88687.906400002539</v>
      </c>
    </row>
    <row r="5" spans="1:6" x14ac:dyDescent="0.25">
      <c r="A5" s="2" t="s">
        <v>54</v>
      </c>
      <c r="B5" s="10">
        <v>1050.6909999999989</v>
      </c>
      <c r="E5" s="35" t="s">
        <v>205</v>
      </c>
      <c r="F5" s="10">
        <v>-77773.548599999864</v>
      </c>
    </row>
    <row r="6" spans="1:6" x14ac:dyDescent="0.25">
      <c r="A6" s="2" t="s">
        <v>100</v>
      </c>
      <c r="B6" s="10">
        <v>-22596.986400000053</v>
      </c>
      <c r="E6" s="2" t="s">
        <v>26</v>
      </c>
      <c r="F6" s="10">
        <v>-62065.465000000084</v>
      </c>
    </row>
    <row r="7" spans="1:6" x14ac:dyDescent="0.25">
      <c r="A7" s="2" t="s">
        <v>270</v>
      </c>
      <c r="B7" s="10">
        <v>-2385.3293999999296</v>
      </c>
      <c r="E7" s="2" t="s">
        <v>56</v>
      </c>
      <c r="F7" s="10">
        <v>-42993.52770000021</v>
      </c>
    </row>
    <row r="8" spans="1:6" x14ac:dyDescent="0.25">
      <c r="A8" s="2" t="s">
        <v>187</v>
      </c>
      <c r="B8" s="10">
        <v>-1936.9032000000007</v>
      </c>
      <c r="E8" s="2" t="s">
        <v>29</v>
      </c>
      <c r="F8" s="10">
        <v>-35544.769100000034</v>
      </c>
    </row>
    <row r="9" spans="1:6" x14ac:dyDescent="0.25">
      <c r="A9" s="2" t="s">
        <v>291</v>
      </c>
      <c r="B9" s="10">
        <v>-16431.700499999977</v>
      </c>
      <c r="E9" s="2" t="s">
        <v>321</v>
      </c>
      <c r="F9" s="10">
        <v>-33094.948999999091</v>
      </c>
    </row>
    <row r="10" spans="1:6" x14ac:dyDescent="0.25">
      <c r="A10" s="2" t="s">
        <v>195</v>
      </c>
      <c r="B10" s="10">
        <v>3821.0238000000099</v>
      </c>
      <c r="E10" s="2" t="s">
        <v>237</v>
      </c>
      <c r="F10" s="10">
        <v>-32708.746800000314</v>
      </c>
    </row>
    <row r="11" spans="1:6" x14ac:dyDescent="0.25">
      <c r="A11" s="2" t="s">
        <v>296</v>
      </c>
      <c r="B11" s="10">
        <v>-13399.066199999997</v>
      </c>
      <c r="E11" s="2" t="s">
        <v>279</v>
      </c>
      <c r="F11" s="10">
        <v>-29205.768499999773</v>
      </c>
    </row>
    <row r="12" spans="1:6" x14ac:dyDescent="0.25">
      <c r="A12" s="2" t="s">
        <v>190</v>
      </c>
      <c r="B12" s="10">
        <v>-28608.626399999994</v>
      </c>
      <c r="E12" s="2" t="s">
        <v>128</v>
      </c>
      <c r="F12" s="10">
        <v>-28917.591400000034</v>
      </c>
    </row>
    <row r="13" spans="1:6" x14ac:dyDescent="0.25">
      <c r="A13" s="2" t="s">
        <v>279</v>
      </c>
      <c r="B13" s="10">
        <v>-29205.768499999773</v>
      </c>
      <c r="E13" s="35" t="s">
        <v>190</v>
      </c>
      <c r="F13" s="10">
        <v>-28608.626399999994</v>
      </c>
    </row>
    <row r="14" spans="1:6" x14ac:dyDescent="0.25">
      <c r="A14" s="2" t="s">
        <v>98</v>
      </c>
      <c r="B14" s="10">
        <v>11202.389800000004</v>
      </c>
      <c r="E14" s="2" t="s">
        <v>480</v>
      </c>
      <c r="F14" s="10">
        <v>-28038.522400001064</v>
      </c>
    </row>
    <row r="15" spans="1:6" x14ac:dyDescent="0.25">
      <c r="A15" s="2" t="s">
        <v>644</v>
      </c>
      <c r="B15" s="10">
        <v>1.6077999999979511</v>
      </c>
      <c r="E15" s="35" t="s">
        <v>105</v>
      </c>
      <c r="F15" s="10">
        <v>-23207.974800000004</v>
      </c>
    </row>
    <row r="16" spans="1:6" x14ac:dyDescent="0.25">
      <c r="A16" s="2" t="s">
        <v>665</v>
      </c>
      <c r="B16" s="10">
        <v>-1366.3570999999938</v>
      </c>
      <c r="E16" s="35" t="s">
        <v>1086</v>
      </c>
      <c r="F16" s="10">
        <v>-22830.282300000079</v>
      </c>
    </row>
    <row r="17" spans="1:6" x14ac:dyDescent="0.25">
      <c r="A17" s="2" t="s">
        <v>207</v>
      </c>
      <c r="B17" s="10">
        <v>1631.905700000003</v>
      </c>
      <c r="E17" s="35" t="s">
        <v>100</v>
      </c>
      <c r="F17" s="10">
        <v>-22596.986400000053</v>
      </c>
    </row>
    <row r="18" spans="1:6" x14ac:dyDescent="0.25">
      <c r="A18" s="2" t="s">
        <v>397</v>
      </c>
      <c r="B18" s="10">
        <v>-9512.1228000000119</v>
      </c>
      <c r="E18" s="2" t="s">
        <v>51</v>
      </c>
      <c r="F18" s="10">
        <v>-18378.877199999988</v>
      </c>
    </row>
    <row r="19" spans="1:6" x14ac:dyDescent="0.25">
      <c r="A19" s="2" t="s">
        <v>480</v>
      </c>
      <c r="B19" s="10">
        <v>-28038.522400001064</v>
      </c>
      <c r="E19" s="2" t="s">
        <v>800</v>
      </c>
      <c r="F19" s="10">
        <v>-17338.964699999895</v>
      </c>
    </row>
    <row r="20" spans="1:6" x14ac:dyDescent="0.25">
      <c r="A20" s="2" t="s">
        <v>26</v>
      </c>
      <c r="B20" s="10">
        <v>-62065.465000000084</v>
      </c>
      <c r="E20" s="2" t="s">
        <v>291</v>
      </c>
      <c r="F20" s="10">
        <v>-16431.700499999977</v>
      </c>
    </row>
    <row r="21" spans="1:6" x14ac:dyDescent="0.25">
      <c r="A21" s="2" t="s">
        <v>29</v>
      </c>
      <c r="B21" s="10">
        <v>-35544.769100000034</v>
      </c>
      <c r="E21" s="2" t="s">
        <v>296</v>
      </c>
      <c r="F21" s="10">
        <v>-13399.066199999997</v>
      </c>
    </row>
    <row r="22" spans="1:6" x14ac:dyDescent="0.25">
      <c r="A22" s="2" t="s">
        <v>392</v>
      </c>
      <c r="B22" s="10">
        <v>-437.43579999999929</v>
      </c>
      <c r="E22" s="2" t="s">
        <v>1023</v>
      </c>
      <c r="F22" s="10">
        <v>-13304.893199999933</v>
      </c>
    </row>
    <row r="23" spans="1:6" x14ac:dyDescent="0.25">
      <c r="A23" s="2" t="s">
        <v>119</v>
      </c>
      <c r="B23" s="10">
        <v>1418.4100999999937</v>
      </c>
      <c r="E23" s="2" t="s">
        <v>89</v>
      </c>
      <c r="F23" s="10">
        <v>-13036.612000000001</v>
      </c>
    </row>
    <row r="24" spans="1:6" x14ac:dyDescent="0.25">
      <c r="A24" s="2" t="s">
        <v>321</v>
      </c>
      <c r="B24" s="10">
        <v>-33094.948999999091</v>
      </c>
      <c r="E24" s="2" t="s">
        <v>397</v>
      </c>
      <c r="F24" s="10">
        <v>-9512.1228000000119</v>
      </c>
    </row>
    <row r="25" spans="1:6" x14ac:dyDescent="0.25">
      <c r="A25" s="2" t="s">
        <v>214</v>
      </c>
      <c r="B25" s="10">
        <v>751.13850000001548</v>
      </c>
      <c r="E25" s="2" t="s">
        <v>251</v>
      </c>
      <c r="F25" s="10">
        <v>-9412.2980999999854</v>
      </c>
    </row>
    <row r="26" spans="1:6" x14ac:dyDescent="0.25">
      <c r="A26" s="2" t="s">
        <v>575</v>
      </c>
      <c r="B26" s="10">
        <v>54.29660000000149</v>
      </c>
      <c r="E26" s="2" t="s">
        <v>80</v>
      </c>
      <c r="F26" s="10">
        <v>-8687.9977000000072</v>
      </c>
    </row>
    <row r="27" spans="1:6" x14ac:dyDescent="0.25">
      <c r="A27" s="2" t="s">
        <v>115</v>
      </c>
      <c r="B27" s="10">
        <v>8205.8192999999956</v>
      </c>
      <c r="E27" s="2" t="s">
        <v>1147</v>
      </c>
      <c r="F27" s="10">
        <v>-8660.2085999999545</v>
      </c>
    </row>
    <row r="28" spans="1:6" x14ac:dyDescent="0.25">
      <c r="A28" s="2" t="s">
        <v>89</v>
      </c>
      <c r="B28" s="10">
        <v>-13036.612000000001</v>
      </c>
      <c r="E28" s="2" t="s">
        <v>65</v>
      </c>
      <c r="F28" s="10">
        <v>-8590.9382000000332</v>
      </c>
    </row>
    <row r="29" spans="1:6" x14ac:dyDescent="0.25">
      <c r="A29" s="2" t="s">
        <v>51</v>
      </c>
      <c r="B29" s="10">
        <v>-18378.877199999988</v>
      </c>
      <c r="E29" s="2" t="s">
        <v>22</v>
      </c>
      <c r="F29" s="10">
        <v>-8440.4546999999875</v>
      </c>
    </row>
    <row r="30" spans="1:6" x14ac:dyDescent="0.25">
      <c r="A30" s="2" t="s">
        <v>237</v>
      </c>
      <c r="B30" s="10">
        <v>-32708.746800000314</v>
      </c>
      <c r="E30" s="2" t="s">
        <v>1034</v>
      </c>
      <c r="F30" s="10">
        <v>-7069.4629999999888</v>
      </c>
    </row>
    <row r="31" spans="1:6" x14ac:dyDescent="0.25">
      <c r="A31" s="2" t="s">
        <v>324</v>
      </c>
      <c r="B31" s="10">
        <v>-1990.292300000001</v>
      </c>
      <c r="E31" s="2" t="s">
        <v>862</v>
      </c>
      <c r="F31" s="10">
        <v>-6733.422499999986</v>
      </c>
    </row>
    <row r="32" spans="1:6" x14ac:dyDescent="0.25">
      <c r="A32" s="2" t="s">
        <v>677</v>
      </c>
      <c r="B32" s="10">
        <v>-1823.7952000000514</v>
      </c>
      <c r="E32" s="2" t="s">
        <v>1666</v>
      </c>
      <c r="F32" s="10">
        <v>-5622.7208000002429</v>
      </c>
    </row>
    <row r="33" spans="1:6" x14ac:dyDescent="0.25">
      <c r="A33" s="2" t="s">
        <v>22</v>
      </c>
      <c r="B33" s="10">
        <v>-8440.4546999999875</v>
      </c>
      <c r="E33" s="2" t="s">
        <v>871</v>
      </c>
      <c r="F33" s="10">
        <v>-5348.8839999998454</v>
      </c>
    </row>
    <row r="34" spans="1:6" x14ac:dyDescent="0.25">
      <c r="A34" s="2" t="s">
        <v>131</v>
      </c>
      <c r="B34" s="10">
        <v>-1366.8091999999997</v>
      </c>
      <c r="E34" s="2" t="s">
        <v>177</v>
      </c>
      <c r="F34" s="10">
        <v>-5314.5313000000315</v>
      </c>
    </row>
    <row r="35" spans="1:6" x14ac:dyDescent="0.25">
      <c r="A35" s="2" t="s">
        <v>46</v>
      </c>
      <c r="B35" s="10">
        <v>402.0046999999995</v>
      </c>
      <c r="E35" s="2" t="s">
        <v>471</v>
      </c>
      <c r="F35" s="10">
        <v>-5203.8855999999796</v>
      </c>
    </row>
    <row r="36" spans="1:6" x14ac:dyDescent="0.25">
      <c r="A36" s="2" t="s">
        <v>247</v>
      </c>
      <c r="B36" s="10">
        <v>1214.1053000000538</v>
      </c>
      <c r="E36" s="2" t="s">
        <v>245</v>
      </c>
      <c r="F36" s="10">
        <v>-5043.1356000000087</v>
      </c>
    </row>
    <row r="37" spans="1:6" x14ac:dyDescent="0.25">
      <c r="A37" s="2" t="s">
        <v>276</v>
      </c>
      <c r="B37" s="10">
        <v>-4798.8983000000007</v>
      </c>
      <c r="E37" s="2" t="s">
        <v>276</v>
      </c>
      <c r="F37" s="10">
        <v>-4798.8983000000007</v>
      </c>
    </row>
    <row r="38" spans="1:6" x14ac:dyDescent="0.25">
      <c r="A38" s="2" t="s">
        <v>56</v>
      </c>
      <c r="B38" s="10">
        <v>-42993.52770000021</v>
      </c>
      <c r="E38" s="2" t="s">
        <v>1037</v>
      </c>
      <c r="F38" s="10">
        <v>-3557.4107999999542</v>
      </c>
    </row>
    <row r="39" spans="1:6" x14ac:dyDescent="0.25">
      <c r="A39" s="2" t="s">
        <v>128</v>
      </c>
      <c r="B39" s="10">
        <v>-28917.591400000034</v>
      </c>
      <c r="E39" s="2" t="s">
        <v>1522</v>
      </c>
      <c r="F39" s="10">
        <v>-2909.0029999999679</v>
      </c>
    </row>
    <row r="40" spans="1:6" x14ac:dyDescent="0.25">
      <c r="A40" s="2" t="s">
        <v>230</v>
      </c>
      <c r="B40" s="10">
        <v>-1170.541999999994</v>
      </c>
      <c r="E40" s="2" t="s">
        <v>270</v>
      </c>
      <c r="F40" s="10">
        <v>-2385.3293999999296</v>
      </c>
    </row>
    <row r="41" spans="1:6" x14ac:dyDescent="0.25">
      <c r="A41" s="2" t="s">
        <v>122</v>
      </c>
      <c r="B41" s="10">
        <v>74.531899999999951</v>
      </c>
      <c r="E41" s="2" t="s">
        <v>226</v>
      </c>
      <c r="F41" s="10">
        <v>-2223.2938999999315</v>
      </c>
    </row>
    <row r="42" spans="1:6" x14ac:dyDescent="0.25">
      <c r="A42" s="2" t="s">
        <v>471</v>
      </c>
      <c r="B42" s="10">
        <v>-5203.8855999999796</v>
      </c>
      <c r="E42" s="2" t="s">
        <v>324</v>
      </c>
      <c r="F42" s="10">
        <v>-1990.292300000001</v>
      </c>
    </row>
    <row r="43" spans="1:6" x14ac:dyDescent="0.25">
      <c r="A43" s="2" t="s">
        <v>251</v>
      </c>
      <c r="B43" s="10">
        <v>-9412.2980999999854</v>
      </c>
      <c r="E43" s="2" t="s">
        <v>187</v>
      </c>
      <c r="F43" s="10">
        <v>-1936.9032000000007</v>
      </c>
    </row>
    <row r="44" spans="1:6" x14ac:dyDescent="0.25">
      <c r="A44" s="2" t="s">
        <v>65</v>
      </c>
      <c r="B44" s="10">
        <v>-8590.9382000000332</v>
      </c>
      <c r="E44" s="2" t="s">
        <v>677</v>
      </c>
      <c r="F44" s="10">
        <v>-1823.7952000000514</v>
      </c>
    </row>
    <row r="45" spans="1:6" x14ac:dyDescent="0.25">
      <c r="A45" s="2" t="s">
        <v>35</v>
      </c>
      <c r="B45" s="10">
        <v>46542.243699999875</v>
      </c>
      <c r="E45" s="2" t="s">
        <v>1107</v>
      </c>
      <c r="F45" s="10">
        <v>-1669.6556999999884</v>
      </c>
    </row>
    <row r="46" spans="1:6" x14ac:dyDescent="0.25">
      <c r="A46" s="2" t="s">
        <v>387</v>
      </c>
      <c r="B46" s="10">
        <v>-1639.3589999999967</v>
      </c>
      <c r="E46" s="2" t="s">
        <v>387</v>
      </c>
      <c r="F46" s="10">
        <v>-1639.3589999999967</v>
      </c>
    </row>
    <row r="47" spans="1:6" x14ac:dyDescent="0.25">
      <c r="A47" s="2" t="s">
        <v>233</v>
      </c>
      <c r="B47" s="10">
        <v>-377.33890000000247</v>
      </c>
      <c r="E47" s="2" t="s">
        <v>1165</v>
      </c>
      <c r="F47" s="10">
        <v>-1505.014599999995</v>
      </c>
    </row>
    <row r="48" spans="1:6" x14ac:dyDescent="0.25">
      <c r="A48" s="2" t="s">
        <v>105</v>
      </c>
      <c r="B48" s="10">
        <v>-23207.974800000004</v>
      </c>
      <c r="E48" s="2" t="s">
        <v>131</v>
      </c>
      <c r="F48" s="10">
        <v>-1366.8091999999997</v>
      </c>
    </row>
    <row r="49" spans="1:6" x14ac:dyDescent="0.25">
      <c r="A49" s="2" t="s">
        <v>205</v>
      </c>
      <c r="B49" s="10">
        <v>-77773.548599999864</v>
      </c>
      <c r="E49" s="2" t="s">
        <v>665</v>
      </c>
      <c r="F49" s="10">
        <v>-1366.3570999999938</v>
      </c>
    </row>
    <row r="50" spans="1:6" x14ac:dyDescent="0.25">
      <c r="A50" s="2" t="s">
        <v>192</v>
      </c>
      <c r="B50" s="10">
        <v>-170.58799999999974</v>
      </c>
      <c r="E50" s="2" t="s">
        <v>268</v>
      </c>
      <c r="F50" s="10">
        <v>-1316.9399999994785</v>
      </c>
    </row>
    <row r="51" spans="1:6" x14ac:dyDescent="0.25">
      <c r="A51" s="2" t="s">
        <v>245</v>
      </c>
      <c r="B51" s="10">
        <v>-5043.1356000000087</v>
      </c>
      <c r="E51" s="2" t="s">
        <v>230</v>
      </c>
      <c r="F51" s="10">
        <v>-1170.541999999994</v>
      </c>
    </row>
    <row r="52" spans="1:6" x14ac:dyDescent="0.25">
      <c r="A52" s="2" t="s">
        <v>268</v>
      </c>
      <c r="B52" s="10">
        <v>-1316.9399999994785</v>
      </c>
      <c r="E52" s="2" t="s">
        <v>1329</v>
      </c>
      <c r="F52" s="10">
        <v>-1150.9698000000062</v>
      </c>
    </row>
    <row r="53" spans="1:6" x14ac:dyDescent="0.25">
      <c r="A53" s="2" t="s">
        <v>80</v>
      </c>
      <c r="B53" s="10">
        <v>-8687.9977000000072</v>
      </c>
      <c r="E53" s="2" t="s">
        <v>404</v>
      </c>
      <c r="F53" s="10">
        <v>-1037.0297</v>
      </c>
    </row>
    <row r="54" spans="1:6" x14ac:dyDescent="0.25">
      <c r="A54" s="2" t="s">
        <v>111</v>
      </c>
      <c r="B54" s="10">
        <v>-592.78250000020489</v>
      </c>
      <c r="E54" s="2" t="s">
        <v>888</v>
      </c>
      <c r="F54" s="10">
        <v>-980.60310000000027</v>
      </c>
    </row>
    <row r="55" spans="1:6" x14ac:dyDescent="0.25">
      <c r="A55" s="2" t="s">
        <v>177</v>
      </c>
      <c r="B55" s="10">
        <v>-5314.5313000000315</v>
      </c>
      <c r="E55" s="2" t="s">
        <v>1153</v>
      </c>
      <c r="F55" s="10">
        <v>-784.49980000000505</v>
      </c>
    </row>
    <row r="56" spans="1:6" x14ac:dyDescent="0.25">
      <c r="A56" s="2" t="s">
        <v>68</v>
      </c>
      <c r="B56" s="10">
        <v>150.22639999999956</v>
      </c>
      <c r="E56" s="2" t="s">
        <v>111</v>
      </c>
      <c r="F56" s="10">
        <v>-592.78250000020489</v>
      </c>
    </row>
    <row r="57" spans="1:6" x14ac:dyDescent="0.25">
      <c r="A57" s="2" t="s">
        <v>379</v>
      </c>
      <c r="B57" s="10">
        <v>-430.41130000003614</v>
      </c>
      <c r="E57" s="2" t="s">
        <v>1077</v>
      </c>
      <c r="F57" s="10">
        <v>-479.45659999999771</v>
      </c>
    </row>
    <row r="58" spans="1:6" x14ac:dyDescent="0.25">
      <c r="A58" s="2" t="s">
        <v>49</v>
      </c>
      <c r="B58" s="10">
        <v>1960.7185999999929</v>
      </c>
      <c r="E58" s="2" t="s">
        <v>1394</v>
      </c>
      <c r="F58" s="10">
        <v>-446.7455000000009</v>
      </c>
    </row>
    <row r="59" spans="1:6" x14ac:dyDescent="0.25">
      <c r="A59" s="2" t="s">
        <v>226</v>
      </c>
      <c r="B59" s="10">
        <v>-2223.2938999999315</v>
      </c>
      <c r="E59" s="2" t="s">
        <v>1121</v>
      </c>
      <c r="F59" s="10">
        <v>-438.39459999999963</v>
      </c>
    </row>
    <row r="60" spans="1:6" x14ac:dyDescent="0.25">
      <c r="A60" s="2" t="s">
        <v>694</v>
      </c>
      <c r="B60" s="10">
        <v>0</v>
      </c>
      <c r="E60" s="2" t="s">
        <v>392</v>
      </c>
      <c r="F60" s="10">
        <v>-437.43579999999929</v>
      </c>
    </row>
    <row r="61" spans="1:6" x14ac:dyDescent="0.25">
      <c r="A61" s="2" t="s">
        <v>697</v>
      </c>
      <c r="B61" s="10">
        <v>228.72290000000066</v>
      </c>
      <c r="E61" s="2" t="s">
        <v>379</v>
      </c>
      <c r="F61" s="10">
        <v>-430.41130000003614</v>
      </c>
    </row>
    <row r="62" spans="1:6" x14ac:dyDescent="0.25">
      <c r="A62" s="2" t="s">
        <v>706</v>
      </c>
      <c r="B62" s="10">
        <v>1529.7605999999214</v>
      </c>
      <c r="E62" s="2" t="s">
        <v>233</v>
      </c>
      <c r="F62" s="10">
        <v>-377.33890000000247</v>
      </c>
    </row>
    <row r="63" spans="1:6" x14ac:dyDescent="0.25">
      <c r="A63" s="2" t="s">
        <v>738</v>
      </c>
      <c r="B63" s="10">
        <v>-88687.906400002539</v>
      </c>
      <c r="E63" s="2" t="s">
        <v>1096</v>
      </c>
      <c r="F63" s="10">
        <v>-320.80699999999342</v>
      </c>
    </row>
    <row r="64" spans="1:6" x14ac:dyDescent="0.25">
      <c r="A64" s="2" t="s">
        <v>404</v>
      </c>
      <c r="B64" s="10">
        <v>-1037.0297</v>
      </c>
      <c r="E64" s="2" t="s">
        <v>1109</v>
      </c>
      <c r="F64" s="10">
        <v>-294.7045999999973</v>
      </c>
    </row>
    <row r="65" spans="1:6" x14ac:dyDescent="0.25">
      <c r="A65" s="2" t="s">
        <v>683</v>
      </c>
      <c r="B65" s="10">
        <v>-215.11250000000007</v>
      </c>
      <c r="E65" s="2" t="s">
        <v>1091</v>
      </c>
      <c r="F65" s="10">
        <v>-246.69239999999627</v>
      </c>
    </row>
    <row r="66" spans="1:6" x14ac:dyDescent="0.25">
      <c r="A66" s="2" t="s">
        <v>800</v>
      </c>
      <c r="B66" s="10">
        <v>-17338.964699999895</v>
      </c>
      <c r="E66" s="2" t="s">
        <v>683</v>
      </c>
      <c r="F66" s="10">
        <v>-215.11250000000007</v>
      </c>
    </row>
    <row r="67" spans="1:6" x14ac:dyDescent="0.25">
      <c r="A67" s="2" t="s">
        <v>849</v>
      </c>
      <c r="B67" s="10">
        <v>1503.4363000000594</v>
      </c>
      <c r="E67" s="2" t="s">
        <v>192</v>
      </c>
      <c r="F67" s="10">
        <v>-170.58799999999974</v>
      </c>
    </row>
    <row r="68" spans="1:6" x14ac:dyDescent="0.25">
      <c r="A68" s="2" t="s">
        <v>862</v>
      </c>
      <c r="B68" s="10">
        <v>-6733.422499999986</v>
      </c>
      <c r="E68" s="2" t="s">
        <v>1105</v>
      </c>
      <c r="F68" s="10">
        <v>-98.270800000056624</v>
      </c>
    </row>
    <row r="69" spans="1:6" x14ac:dyDescent="0.25">
      <c r="A69" s="2" t="s">
        <v>871</v>
      </c>
      <c r="B69" s="10">
        <v>-5348.8839999998454</v>
      </c>
      <c r="E69" s="2" t="s">
        <v>1136</v>
      </c>
      <c r="F69" s="10">
        <v>-77.128700000001118</v>
      </c>
    </row>
    <row r="70" spans="1:6" x14ac:dyDescent="0.25">
      <c r="A70" s="2" t="s">
        <v>888</v>
      </c>
      <c r="B70" s="10">
        <v>-980.60310000000027</v>
      </c>
      <c r="E70" s="2" t="s">
        <v>644</v>
      </c>
      <c r="F70" s="10">
        <v>1.6077999999979511</v>
      </c>
    </row>
    <row r="71" spans="1:6" x14ac:dyDescent="0.25">
      <c r="A71" s="2" t="s">
        <v>944</v>
      </c>
      <c r="B71" s="10">
        <v>1067.2660000000033</v>
      </c>
      <c r="E71" s="2" t="s">
        <v>1366</v>
      </c>
      <c r="F71" s="10">
        <v>33.718900000007125</v>
      </c>
    </row>
    <row r="72" spans="1:6" x14ac:dyDescent="0.25">
      <c r="A72" s="2" t="s">
        <v>1023</v>
      </c>
      <c r="B72" s="10">
        <v>-13304.893199999933</v>
      </c>
      <c r="E72" s="2" t="s">
        <v>575</v>
      </c>
      <c r="F72" s="10">
        <v>54.29660000000149</v>
      </c>
    </row>
    <row r="73" spans="1:6" x14ac:dyDescent="0.25">
      <c r="A73" s="2" t="s">
        <v>1034</v>
      </c>
      <c r="B73" s="10">
        <v>-7069.4629999999888</v>
      </c>
      <c r="E73" s="2" t="s">
        <v>122</v>
      </c>
      <c r="F73" s="10">
        <v>74.531899999999951</v>
      </c>
    </row>
    <row r="74" spans="1:6" x14ac:dyDescent="0.25">
      <c r="A74" s="2" t="s">
        <v>1037</v>
      </c>
      <c r="B74" s="10">
        <v>-3557.4107999999542</v>
      </c>
      <c r="E74" s="2" t="s">
        <v>1790</v>
      </c>
      <c r="F74" s="10">
        <v>116.29399999999805</v>
      </c>
    </row>
    <row r="75" spans="1:6" x14ac:dyDescent="0.25">
      <c r="A75" s="2" t="s">
        <v>1050</v>
      </c>
      <c r="B75" s="10">
        <v>165.15179999999964</v>
      </c>
      <c r="E75" s="2" t="s">
        <v>1101</v>
      </c>
      <c r="F75" s="10">
        <v>127.22080000000278</v>
      </c>
    </row>
    <row r="76" spans="1:6" x14ac:dyDescent="0.25">
      <c r="A76" s="2" t="s">
        <v>1054</v>
      </c>
      <c r="B76" s="10">
        <v>1681.4342000002507</v>
      </c>
      <c r="E76" s="2" t="s">
        <v>1098</v>
      </c>
      <c r="F76" s="10">
        <v>146.73930000001565</v>
      </c>
    </row>
    <row r="77" spans="1:6" x14ac:dyDescent="0.25">
      <c r="A77" s="2" t="s">
        <v>1066</v>
      </c>
      <c r="B77" s="10">
        <v>281.16489999999976</v>
      </c>
      <c r="E77" s="2" t="s">
        <v>68</v>
      </c>
      <c r="F77" s="10">
        <v>150.22639999999956</v>
      </c>
    </row>
    <row r="78" spans="1:6" x14ac:dyDescent="0.25">
      <c r="A78" s="2" t="s">
        <v>1077</v>
      </c>
      <c r="B78" s="10">
        <v>-479.45659999999771</v>
      </c>
      <c r="E78" s="2" t="s">
        <v>1050</v>
      </c>
      <c r="F78" s="10">
        <v>165.15179999999964</v>
      </c>
    </row>
    <row r="79" spans="1:6" x14ac:dyDescent="0.25">
      <c r="A79" s="2" t="s">
        <v>1081</v>
      </c>
      <c r="B79" s="10">
        <v>1368.563300000038</v>
      </c>
      <c r="E79" s="2" t="s">
        <v>1411</v>
      </c>
      <c r="F79" s="10">
        <v>178.71020000000135</v>
      </c>
    </row>
    <row r="80" spans="1:6" x14ac:dyDescent="0.25">
      <c r="A80" s="2" t="s">
        <v>1086</v>
      </c>
      <c r="B80" s="10">
        <v>-22830.282300000079</v>
      </c>
      <c r="E80" s="2" t="s">
        <v>697</v>
      </c>
      <c r="F80" s="10">
        <v>228.72290000000066</v>
      </c>
    </row>
    <row r="81" spans="1:6" x14ac:dyDescent="0.25">
      <c r="A81" s="2" t="s">
        <v>1091</v>
      </c>
      <c r="B81" s="10">
        <v>-246.69239999999627</v>
      </c>
      <c r="E81" s="2" t="s">
        <v>1066</v>
      </c>
      <c r="F81" s="10">
        <v>281.16489999999976</v>
      </c>
    </row>
    <row r="82" spans="1:6" x14ac:dyDescent="0.25">
      <c r="A82" s="2" t="s">
        <v>1096</v>
      </c>
      <c r="B82" s="10">
        <v>-320.80699999999342</v>
      </c>
      <c r="E82" s="2" t="s">
        <v>46</v>
      </c>
      <c r="F82" s="10">
        <v>402.0046999999995</v>
      </c>
    </row>
    <row r="83" spans="1:6" x14ac:dyDescent="0.25">
      <c r="A83" s="2" t="s">
        <v>1098</v>
      </c>
      <c r="B83" s="10">
        <v>146.73930000001565</v>
      </c>
      <c r="E83" s="2" t="s">
        <v>594</v>
      </c>
      <c r="F83" s="10">
        <v>433.81640000000004</v>
      </c>
    </row>
    <row r="84" spans="1:6" x14ac:dyDescent="0.25">
      <c r="A84" s="2" t="s">
        <v>1101</v>
      </c>
      <c r="B84" s="10">
        <v>127.22080000000278</v>
      </c>
      <c r="E84" s="2" t="s">
        <v>1156</v>
      </c>
      <c r="F84" s="10">
        <v>477.48500000033528</v>
      </c>
    </row>
    <row r="85" spans="1:6" x14ac:dyDescent="0.25">
      <c r="A85" s="2" t="s">
        <v>1105</v>
      </c>
      <c r="B85" s="10">
        <v>-98.270800000056624</v>
      </c>
      <c r="E85" s="2" t="s">
        <v>1115</v>
      </c>
      <c r="F85" s="10">
        <v>506.61879999999655</v>
      </c>
    </row>
    <row r="86" spans="1:6" x14ac:dyDescent="0.25">
      <c r="A86" s="2" t="s">
        <v>1107</v>
      </c>
      <c r="B86" s="10">
        <v>-1669.6556999999884</v>
      </c>
      <c r="E86" s="2" t="s">
        <v>214</v>
      </c>
      <c r="F86" s="10">
        <v>751.13850000001548</v>
      </c>
    </row>
    <row r="87" spans="1:6" x14ac:dyDescent="0.25">
      <c r="A87" s="2" t="s">
        <v>1109</v>
      </c>
      <c r="B87" s="10">
        <v>-294.7045999999973</v>
      </c>
      <c r="E87" s="2" t="s">
        <v>1407</v>
      </c>
      <c r="F87" s="10">
        <v>816.90929999999935</v>
      </c>
    </row>
    <row r="88" spans="1:6" x14ac:dyDescent="0.25">
      <c r="A88" s="2" t="s">
        <v>1115</v>
      </c>
      <c r="B88" s="10">
        <v>506.61879999999655</v>
      </c>
      <c r="E88" s="2" t="s">
        <v>54</v>
      </c>
      <c r="F88" s="10">
        <v>1050.6909999999989</v>
      </c>
    </row>
    <row r="89" spans="1:6" x14ac:dyDescent="0.25">
      <c r="A89" s="2" t="s">
        <v>1121</v>
      </c>
      <c r="B89" s="10">
        <v>-438.39459999999963</v>
      </c>
      <c r="E89" s="2" t="s">
        <v>944</v>
      </c>
      <c r="F89" s="10">
        <v>1067.2660000000033</v>
      </c>
    </row>
    <row r="90" spans="1:6" x14ac:dyDescent="0.25">
      <c r="A90" s="2" t="s">
        <v>1128</v>
      </c>
      <c r="B90" s="10">
        <v>1779.1173999999883</v>
      </c>
      <c r="E90" s="2" t="s">
        <v>1131</v>
      </c>
      <c r="F90" s="10">
        <v>1144.310999999987</v>
      </c>
    </row>
    <row r="91" spans="1:6" x14ac:dyDescent="0.25">
      <c r="A91" s="2" t="s">
        <v>1131</v>
      </c>
      <c r="B91" s="10">
        <v>1144.310999999987</v>
      </c>
      <c r="E91" s="2" t="s">
        <v>247</v>
      </c>
      <c r="F91" s="10">
        <v>1214.1053000000538</v>
      </c>
    </row>
    <row r="92" spans="1:6" x14ac:dyDescent="0.25">
      <c r="A92" s="2" t="s">
        <v>1136</v>
      </c>
      <c r="B92" s="10">
        <v>-77.128700000001118</v>
      </c>
      <c r="E92" s="2" t="s">
        <v>1081</v>
      </c>
      <c r="F92" s="10">
        <v>1368.563300000038</v>
      </c>
    </row>
    <row r="93" spans="1:6" x14ac:dyDescent="0.25">
      <c r="A93" s="2" t="s">
        <v>1147</v>
      </c>
      <c r="B93" s="10">
        <v>-8660.2085999999545</v>
      </c>
      <c r="E93" s="2" t="s">
        <v>119</v>
      </c>
      <c r="F93" s="10">
        <v>1418.4100999999937</v>
      </c>
    </row>
    <row r="94" spans="1:6" x14ac:dyDescent="0.25">
      <c r="A94" s="2" t="s">
        <v>1153</v>
      </c>
      <c r="B94" s="10">
        <v>-784.49980000000505</v>
      </c>
      <c r="E94" s="2" t="s">
        <v>849</v>
      </c>
      <c r="F94" s="10">
        <v>1503.4363000000594</v>
      </c>
    </row>
    <row r="95" spans="1:6" x14ac:dyDescent="0.25">
      <c r="A95" s="2" t="s">
        <v>1156</v>
      </c>
      <c r="B95" s="10">
        <v>477.48500000033528</v>
      </c>
      <c r="E95" s="2" t="s">
        <v>706</v>
      </c>
      <c r="F95" s="10">
        <v>1529.7605999999214</v>
      </c>
    </row>
    <row r="96" spans="1:6" x14ac:dyDescent="0.25">
      <c r="A96" s="2" t="s">
        <v>1165</v>
      </c>
      <c r="B96" s="10">
        <v>-1505.014599999995</v>
      </c>
      <c r="E96" s="2" t="s">
        <v>207</v>
      </c>
      <c r="F96" s="10">
        <v>1631.905700000003</v>
      </c>
    </row>
    <row r="97" spans="1:6" x14ac:dyDescent="0.25">
      <c r="A97" s="2" t="s">
        <v>1174</v>
      </c>
      <c r="B97" s="10">
        <v>1721.9829000000027</v>
      </c>
      <c r="E97" s="2" t="s">
        <v>1054</v>
      </c>
      <c r="F97" s="10">
        <v>1681.4342000002507</v>
      </c>
    </row>
    <row r="98" spans="1:6" x14ac:dyDescent="0.25">
      <c r="A98" s="2" t="s">
        <v>1329</v>
      </c>
      <c r="B98" s="10">
        <v>-1150.9698000000062</v>
      </c>
      <c r="E98" s="2" t="s">
        <v>1174</v>
      </c>
      <c r="F98" s="10">
        <v>1721.9829000000027</v>
      </c>
    </row>
    <row r="99" spans="1:6" x14ac:dyDescent="0.25">
      <c r="A99" s="2" t="s">
        <v>1366</v>
      </c>
      <c r="B99" s="10">
        <v>33.718900000007125</v>
      </c>
      <c r="E99" s="2" t="s">
        <v>1128</v>
      </c>
      <c r="F99" s="10">
        <v>1779.1173999999883</v>
      </c>
    </row>
    <row r="100" spans="1:6" x14ac:dyDescent="0.25">
      <c r="A100" s="2" t="s">
        <v>1394</v>
      </c>
      <c r="B100" s="10">
        <v>-446.7455000000009</v>
      </c>
      <c r="E100" s="2" t="s">
        <v>1539</v>
      </c>
      <c r="F100" s="10">
        <v>1951.126700000008</v>
      </c>
    </row>
    <row r="101" spans="1:6" x14ac:dyDescent="0.25">
      <c r="A101" s="2" t="s">
        <v>1407</v>
      </c>
      <c r="B101" s="10">
        <v>816.90929999999935</v>
      </c>
      <c r="E101" s="2" t="s">
        <v>49</v>
      </c>
      <c r="F101" s="10">
        <v>1960.7185999999929</v>
      </c>
    </row>
    <row r="102" spans="1:6" x14ac:dyDescent="0.25">
      <c r="A102" s="2" t="s">
        <v>1411</v>
      </c>
      <c r="B102" s="10">
        <v>178.71020000000135</v>
      </c>
      <c r="E102" s="2" t="s">
        <v>1721</v>
      </c>
      <c r="F102" s="10">
        <v>3619.6624000000002</v>
      </c>
    </row>
    <row r="103" spans="1:6" x14ac:dyDescent="0.25">
      <c r="A103" s="2" t="s">
        <v>1476</v>
      </c>
      <c r="B103" s="10">
        <v>24148.444899999537</v>
      </c>
      <c r="E103" s="2" t="s">
        <v>195</v>
      </c>
      <c r="F103" s="10">
        <v>3821.0238000000099</v>
      </c>
    </row>
    <row r="104" spans="1:6" x14ac:dyDescent="0.25">
      <c r="A104" s="2" t="s">
        <v>1522</v>
      </c>
      <c r="B104" s="10">
        <v>-2909.0029999999679</v>
      </c>
      <c r="E104" s="2" t="s">
        <v>115</v>
      </c>
      <c r="F104" s="10">
        <v>8205.8192999999956</v>
      </c>
    </row>
    <row r="105" spans="1:6" x14ac:dyDescent="0.25">
      <c r="A105" s="2" t="s">
        <v>1539</v>
      </c>
      <c r="B105" s="10">
        <v>1951.126700000008</v>
      </c>
      <c r="E105" s="2" t="s">
        <v>98</v>
      </c>
      <c r="F105" s="10">
        <v>11202.389800000004</v>
      </c>
    </row>
    <row r="106" spans="1:6" x14ac:dyDescent="0.25">
      <c r="A106" s="2" t="s">
        <v>1666</v>
      </c>
      <c r="B106" s="10">
        <v>-5622.7208000002429</v>
      </c>
      <c r="E106" s="2" t="s">
        <v>1476</v>
      </c>
      <c r="F106" s="10">
        <v>24148.444899999537</v>
      </c>
    </row>
    <row r="107" spans="1:6" x14ac:dyDescent="0.25">
      <c r="A107" s="2" t="s">
        <v>1721</v>
      </c>
      <c r="B107" s="10">
        <v>3619.6624000000002</v>
      </c>
      <c r="E107" s="2" t="s">
        <v>35</v>
      </c>
      <c r="F107" s="10">
        <v>46542.243699999875</v>
      </c>
    </row>
    <row r="108" spans="1:6" x14ac:dyDescent="0.25">
      <c r="A108" s="2" t="s">
        <v>1790</v>
      </c>
      <c r="B108" s="10">
        <v>116.29399999999805</v>
      </c>
    </row>
    <row r="109" spans="1:6" x14ac:dyDescent="0.25">
      <c r="A109" s="2" t="s">
        <v>155</v>
      </c>
      <c r="B109" s="10">
        <v>-658534.64560000238</v>
      </c>
    </row>
    <row r="110" spans="1:6" x14ac:dyDescent="0.25">
      <c r="B110"/>
    </row>
    <row r="111" spans="1:6" x14ac:dyDescent="0.25">
      <c r="B111"/>
    </row>
    <row r="112" spans="1:6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</sheetData>
  <autoFilter ref="E3:F108">
    <sortState ref="E4:F108">
      <sortCondition ref="F3:F108"/>
    </sortState>
  </autoFilter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597"/>
  <sheetViews>
    <sheetView topLeftCell="J1" workbookViewId="0">
      <selection activeCell="V1" sqref="V1"/>
    </sheetView>
  </sheetViews>
  <sheetFormatPr defaultRowHeight="15" x14ac:dyDescent="0.25"/>
  <cols>
    <col min="1" max="1" width="10.140625" bestFit="1" customWidth="1"/>
    <col min="2" max="2" width="9.28515625" bestFit="1" customWidth="1"/>
    <col min="3" max="3" width="6.7109375" bestFit="1" customWidth="1"/>
    <col min="4" max="4" width="6" bestFit="1" customWidth="1"/>
    <col min="5" max="5" width="8" bestFit="1" customWidth="1"/>
    <col min="6" max="6" width="11.5703125" bestFit="1" customWidth="1"/>
    <col min="7" max="7" width="19.7109375" bestFit="1" customWidth="1"/>
    <col min="8" max="8" width="11" bestFit="1" customWidth="1"/>
    <col min="9" max="9" width="8.85546875" bestFit="1" customWidth="1"/>
    <col min="10" max="10" width="18" bestFit="1" customWidth="1"/>
    <col min="11" max="11" width="9.28515625" bestFit="1" customWidth="1"/>
    <col min="12" max="12" width="7" bestFit="1" customWidth="1"/>
    <col min="13" max="13" width="35.42578125" bestFit="1" customWidth="1"/>
    <col min="14" max="14" width="11.140625" bestFit="1" customWidth="1"/>
    <col min="15" max="15" width="22.140625" bestFit="1" customWidth="1"/>
    <col min="16" max="16" width="19.5703125" bestFit="1" customWidth="1"/>
    <col min="17" max="18" width="12" bestFit="1" customWidth="1"/>
    <col min="19" max="19" width="11" bestFit="1" customWidth="1"/>
    <col min="20" max="21" width="12" bestFit="1" customWidth="1"/>
  </cols>
  <sheetData>
    <row r="1" spans="1:2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t="s">
        <v>1760</v>
      </c>
      <c r="R1" t="s">
        <v>165</v>
      </c>
      <c r="S1">
        <f>SUM(Q:Q)</f>
        <v>132767612.71960001</v>
      </c>
      <c r="T1">
        <f>SUM(R:R)</f>
        <v>131683032.32780005</v>
      </c>
      <c r="U1">
        <f>T1-S1</f>
        <v>-1084580.3917999566</v>
      </c>
    </row>
    <row r="2" spans="1:21" hidden="1" x14ac:dyDescent="0.25">
      <c r="A2" s="26">
        <v>43817</v>
      </c>
      <c r="B2" s="25" t="s">
        <v>237</v>
      </c>
      <c r="C2" s="25" t="s">
        <v>23</v>
      </c>
      <c r="D2" s="25">
        <v>2500</v>
      </c>
      <c r="E2" s="25">
        <v>257.5</v>
      </c>
      <c r="F2" s="25">
        <v>643750</v>
      </c>
      <c r="G2" s="25" t="s">
        <v>1635</v>
      </c>
      <c r="H2" s="25">
        <v>2019237</v>
      </c>
      <c r="I2" s="25" t="s">
        <v>19</v>
      </c>
      <c r="J2" s="25" t="s">
        <v>20</v>
      </c>
      <c r="K2" s="25" t="s">
        <v>25</v>
      </c>
      <c r="L2" s="25">
        <v>0</v>
      </c>
      <c r="M2" s="25">
        <v>0</v>
      </c>
      <c r="N2" s="25">
        <v>0</v>
      </c>
      <c r="O2" s="25">
        <v>0</v>
      </c>
      <c r="P2" s="25">
        <v>0</v>
      </c>
      <c r="Q2">
        <f>IF(C2="Buy",F2+P2,0)</f>
        <v>0</v>
      </c>
      <c r="R2">
        <f>IF(C2="Sell",F2-P2,0)</f>
        <v>643750</v>
      </c>
    </row>
    <row r="3" spans="1:21" hidden="1" x14ac:dyDescent="0.25">
      <c r="A3" s="26">
        <v>43817</v>
      </c>
      <c r="B3" s="25" t="s">
        <v>237</v>
      </c>
      <c r="C3" s="25" t="s">
        <v>17</v>
      </c>
      <c r="D3" s="25">
        <v>1036</v>
      </c>
      <c r="E3" s="25">
        <v>260.93</v>
      </c>
      <c r="F3" s="25">
        <v>270322.40000000002</v>
      </c>
      <c r="G3" s="25" t="s">
        <v>1636</v>
      </c>
      <c r="H3" s="25">
        <v>2019237</v>
      </c>
      <c r="I3" s="25" t="s">
        <v>19</v>
      </c>
      <c r="J3" s="25" t="s">
        <v>20</v>
      </c>
      <c r="K3" s="25" t="s">
        <v>25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f t="shared" ref="Q3:Q66" si="0">IF(C3="Buy",F3+P3,0)</f>
        <v>270322.40000000002</v>
      </c>
      <c r="R3" s="25">
        <f t="shared" ref="R3:R66" si="1">IF(C3="Sell",F3-P3,0)</f>
        <v>0</v>
      </c>
    </row>
    <row r="4" spans="1:21" hidden="1" x14ac:dyDescent="0.25">
      <c r="A4" s="26">
        <v>43817</v>
      </c>
      <c r="B4" s="25" t="s">
        <v>237</v>
      </c>
      <c r="C4" s="25" t="s">
        <v>23</v>
      </c>
      <c r="D4" s="25">
        <v>1000</v>
      </c>
      <c r="E4" s="25">
        <v>263</v>
      </c>
      <c r="F4" s="25">
        <v>263000</v>
      </c>
      <c r="G4" s="25" t="s">
        <v>1637</v>
      </c>
      <c r="H4" s="25">
        <v>2019237</v>
      </c>
      <c r="I4" s="25" t="s">
        <v>19</v>
      </c>
      <c r="J4" s="25" t="s">
        <v>20</v>
      </c>
      <c r="K4" s="25" t="s">
        <v>25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f t="shared" si="0"/>
        <v>0</v>
      </c>
      <c r="R4" s="25">
        <f t="shared" si="1"/>
        <v>263000</v>
      </c>
    </row>
    <row r="5" spans="1:21" hidden="1" x14ac:dyDescent="0.25">
      <c r="A5" s="26">
        <v>43817</v>
      </c>
      <c r="B5" s="25" t="s">
        <v>237</v>
      </c>
      <c r="C5" s="25" t="s">
        <v>23</v>
      </c>
      <c r="D5" s="25">
        <v>1000</v>
      </c>
      <c r="E5" s="25">
        <v>262.5</v>
      </c>
      <c r="F5" s="25">
        <v>262500</v>
      </c>
      <c r="G5" s="25" t="s">
        <v>1638</v>
      </c>
      <c r="H5" s="25">
        <v>2019237</v>
      </c>
      <c r="I5" s="25" t="s">
        <v>19</v>
      </c>
      <c r="J5" s="25" t="s">
        <v>20</v>
      </c>
      <c r="K5" s="25" t="s">
        <v>25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f t="shared" si="0"/>
        <v>0</v>
      </c>
      <c r="R5" s="25">
        <f t="shared" si="1"/>
        <v>262500</v>
      </c>
    </row>
    <row r="6" spans="1:21" hidden="1" x14ac:dyDescent="0.25">
      <c r="A6" s="26">
        <v>43817</v>
      </c>
      <c r="B6" s="25" t="s">
        <v>237</v>
      </c>
      <c r="C6" s="25" t="s">
        <v>17</v>
      </c>
      <c r="D6" s="25">
        <v>1445</v>
      </c>
      <c r="E6" s="25">
        <v>265.45</v>
      </c>
      <c r="F6" s="25">
        <v>383575.25</v>
      </c>
      <c r="G6" s="25" t="s">
        <v>1639</v>
      </c>
      <c r="H6" s="25">
        <v>2019237</v>
      </c>
      <c r="I6" s="25" t="s">
        <v>19</v>
      </c>
      <c r="J6" s="25" t="s">
        <v>20</v>
      </c>
      <c r="K6" s="25" t="s">
        <v>25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f t="shared" si="0"/>
        <v>383575.25</v>
      </c>
      <c r="R6" s="25">
        <f t="shared" si="1"/>
        <v>0</v>
      </c>
    </row>
    <row r="7" spans="1:21" hidden="1" x14ac:dyDescent="0.25">
      <c r="A7" s="26">
        <v>43817</v>
      </c>
      <c r="B7" s="25" t="s">
        <v>237</v>
      </c>
      <c r="C7" s="25" t="s">
        <v>17</v>
      </c>
      <c r="D7" s="25">
        <v>2019</v>
      </c>
      <c r="E7" s="25">
        <v>263.95</v>
      </c>
      <c r="F7" s="25">
        <v>532915.05000000005</v>
      </c>
      <c r="G7" s="25" t="s">
        <v>1640</v>
      </c>
      <c r="H7" s="25">
        <v>2019237</v>
      </c>
      <c r="I7" s="25" t="s">
        <v>19</v>
      </c>
      <c r="J7" s="25" t="s">
        <v>20</v>
      </c>
      <c r="K7" s="25" t="s">
        <v>25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f t="shared" si="0"/>
        <v>532915.05000000005</v>
      </c>
      <c r="R7" s="25">
        <f t="shared" si="1"/>
        <v>0</v>
      </c>
    </row>
    <row r="8" spans="1:21" hidden="1" x14ac:dyDescent="0.25">
      <c r="A8" s="26">
        <v>43816</v>
      </c>
      <c r="B8" s="25" t="s">
        <v>237</v>
      </c>
      <c r="C8" s="25" t="s">
        <v>17</v>
      </c>
      <c r="D8" s="25">
        <v>2500</v>
      </c>
      <c r="E8" s="25">
        <v>261</v>
      </c>
      <c r="F8" s="25">
        <v>652500</v>
      </c>
      <c r="G8" s="25" t="s">
        <v>1641</v>
      </c>
      <c r="H8" s="25">
        <v>2019236</v>
      </c>
      <c r="I8" s="25" t="s">
        <v>19</v>
      </c>
      <c r="J8" s="25" t="s">
        <v>20</v>
      </c>
      <c r="K8" s="25" t="s">
        <v>25</v>
      </c>
      <c r="L8" s="25">
        <v>0</v>
      </c>
      <c r="M8" s="25">
        <v>14.36</v>
      </c>
      <c r="N8" s="25">
        <v>0</v>
      </c>
      <c r="O8" s="25">
        <v>387.56</v>
      </c>
      <c r="P8" s="25">
        <v>401.91500000000002</v>
      </c>
      <c r="Q8" s="25">
        <f t="shared" si="0"/>
        <v>652901.91500000004</v>
      </c>
      <c r="R8" s="25">
        <f t="shared" si="1"/>
        <v>0</v>
      </c>
    </row>
    <row r="9" spans="1:21" hidden="1" x14ac:dyDescent="0.25">
      <c r="A9" s="26">
        <v>43816</v>
      </c>
      <c r="B9" s="25" t="s">
        <v>237</v>
      </c>
      <c r="C9" s="25" t="s">
        <v>23</v>
      </c>
      <c r="D9" s="25">
        <v>2500</v>
      </c>
      <c r="E9" s="25">
        <v>258.89999999999998</v>
      </c>
      <c r="F9" s="25">
        <v>647250</v>
      </c>
      <c r="G9" s="25" t="s">
        <v>1642</v>
      </c>
      <c r="H9" s="25">
        <v>2019236</v>
      </c>
      <c r="I9" s="25" t="s">
        <v>19</v>
      </c>
      <c r="J9" s="25" t="s">
        <v>20</v>
      </c>
      <c r="K9" s="25" t="s">
        <v>25</v>
      </c>
      <c r="L9" s="25">
        <v>162</v>
      </c>
      <c r="M9" s="25">
        <v>14.24</v>
      </c>
      <c r="N9" s="25">
        <v>39</v>
      </c>
      <c r="O9" s="25">
        <v>384.46</v>
      </c>
      <c r="P9" s="25">
        <v>599.69939999999997</v>
      </c>
      <c r="Q9" s="25">
        <f t="shared" si="0"/>
        <v>0</v>
      </c>
      <c r="R9" s="25">
        <f t="shared" si="1"/>
        <v>646650.30059999996</v>
      </c>
    </row>
    <row r="10" spans="1:21" hidden="1" x14ac:dyDescent="0.25">
      <c r="A10" s="26">
        <v>43815</v>
      </c>
      <c r="B10" s="25" t="s">
        <v>1476</v>
      </c>
      <c r="C10" s="25" t="s">
        <v>23</v>
      </c>
      <c r="D10" s="25">
        <v>2500</v>
      </c>
      <c r="E10" s="25">
        <v>317.8</v>
      </c>
      <c r="F10" s="25">
        <v>794511.75</v>
      </c>
      <c r="G10" s="25" t="s">
        <v>1643</v>
      </c>
      <c r="H10" s="25">
        <v>2019235</v>
      </c>
      <c r="I10" s="25" t="s">
        <v>19</v>
      </c>
      <c r="J10" s="25" t="s">
        <v>20</v>
      </c>
      <c r="K10" s="25" t="s">
        <v>25</v>
      </c>
      <c r="L10" s="25">
        <v>196</v>
      </c>
      <c r="M10" s="25">
        <v>17.48</v>
      </c>
      <c r="N10" s="25">
        <v>47.1</v>
      </c>
      <c r="O10" s="25">
        <v>471.92</v>
      </c>
      <c r="P10" s="25">
        <v>732.49950000000001</v>
      </c>
      <c r="Q10" s="25">
        <f t="shared" si="0"/>
        <v>0</v>
      </c>
      <c r="R10" s="25">
        <f t="shared" si="1"/>
        <v>793779.25049999997</v>
      </c>
    </row>
    <row r="11" spans="1:21" hidden="1" x14ac:dyDescent="0.25">
      <c r="A11" s="26">
        <v>43815</v>
      </c>
      <c r="B11" s="25" t="s">
        <v>1476</v>
      </c>
      <c r="C11" s="25" t="s">
        <v>17</v>
      </c>
      <c r="D11" s="25">
        <v>2500</v>
      </c>
      <c r="E11" s="25">
        <v>309</v>
      </c>
      <c r="F11" s="25">
        <v>772500</v>
      </c>
      <c r="G11" s="25" t="s">
        <v>1644</v>
      </c>
      <c r="H11" s="25">
        <v>2019235</v>
      </c>
      <c r="I11" s="25" t="s">
        <v>19</v>
      </c>
      <c r="J11" s="25" t="s">
        <v>20</v>
      </c>
      <c r="K11" s="25" t="s">
        <v>25</v>
      </c>
      <c r="L11" s="25">
        <v>0</v>
      </c>
      <c r="M11" s="25">
        <v>17</v>
      </c>
      <c r="N11" s="25">
        <v>0</v>
      </c>
      <c r="O11" s="25">
        <v>458.84</v>
      </c>
      <c r="P11" s="25">
        <v>475.83569999999997</v>
      </c>
      <c r="Q11" s="25">
        <f t="shared" si="0"/>
        <v>772975.83570000005</v>
      </c>
      <c r="R11" s="25">
        <f t="shared" si="1"/>
        <v>0</v>
      </c>
    </row>
    <row r="12" spans="1:21" hidden="1" x14ac:dyDescent="0.25">
      <c r="A12" s="26">
        <v>43812</v>
      </c>
      <c r="B12" s="25" t="s">
        <v>1645</v>
      </c>
      <c r="C12" s="25" t="s">
        <v>17</v>
      </c>
      <c r="D12" s="25">
        <v>2500</v>
      </c>
      <c r="E12" s="25">
        <v>56.29</v>
      </c>
      <c r="F12" s="25">
        <v>140714.79999999999</v>
      </c>
      <c r="G12" s="25" t="s">
        <v>1646</v>
      </c>
      <c r="H12" s="25">
        <v>2019234</v>
      </c>
      <c r="I12" s="25" t="s">
        <v>19</v>
      </c>
      <c r="J12" s="25" t="s">
        <v>20</v>
      </c>
      <c r="K12" s="25" t="s">
        <v>25</v>
      </c>
      <c r="L12" s="25">
        <v>0</v>
      </c>
      <c r="M12" s="25">
        <v>3.1</v>
      </c>
      <c r="N12" s="25">
        <v>0</v>
      </c>
      <c r="O12" s="25">
        <v>83.57</v>
      </c>
      <c r="P12" s="25">
        <v>86.665800000000004</v>
      </c>
      <c r="Q12" s="25">
        <f t="shared" si="0"/>
        <v>140801.46579999998</v>
      </c>
      <c r="R12" s="25">
        <f t="shared" si="1"/>
        <v>0</v>
      </c>
    </row>
    <row r="13" spans="1:21" hidden="1" x14ac:dyDescent="0.25">
      <c r="A13" s="26">
        <v>43812</v>
      </c>
      <c r="B13" s="25" t="s">
        <v>1476</v>
      </c>
      <c r="C13" s="25" t="s">
        <v>17</v>
      </c>
      <c r="D13" s="25">
        <v>500</v>
      </c>
      <c r="E13" s="25">
        <v>297</v>
      </c>
      <c r="F13" s="25">
        <v>148500</v>
      </c>
      <c r="G13" s="25" t="s">
        <v>1647</v>
      </c>
      <c r="H13" s="25">
        <v>2019234</v>
      </c>
      <c r="I13" s="25" t="s">
        <v>19</v>
      </c>
      <c r="J13" s="25" t="s">
        <v>20</v>
      </c>
      <c r="K13" s="25" t="s">
        <v>25</v>
      </c>
      <c r="L13" s="25">
        <v>0</v>
      </c>
      <c r="M13" s="25">
        <v>3.27</v>
      </c>
      <c r="N13" s="25">
        <v>0</v>
      </c>
      <c r="O13" s="25">
        <v>88.21</v>
      </c>
      <c r="P13" s="25">
        <v>91.477000000000004</v>
      </c>
      <c r="Q13" s="25">
        <f t="shared" si="0"/>
        <v>148591.47700000001</v>
      </c>
      <c r="R13" s="25">
        <f t="shared" si="1"/>
        <v>0</v>
      </c>
    </row>
    <row r="14" spans="1:21" hidden="1" x14ac:dyDescent="0.25">
      <c r="A14" s="26">
        <v>43812</v>
      </c>
      <c r="B14" s="25" t="s">
        <v>1476</v>
      </c>
      <c r="C14" s="25" t="s">
        <v>23</v>
      </c>
      <c r="D14" s="25">
        <v>500</v>
      </c>
      <c r="E14" s="25">
        <v>299.5</v>
      </c>
      <c r="F14" s="25">
        <v>149750</v>
      </c>
      <c r="G14" s="25" t="s">
        <v>1648</v>
      </c>
      <c r="H14" s="25">
        <v>2019234</v>
      </c>
      <c r="I14" s="25" t="s">
        <v>19</v>
      </c>
      <c r="J14" s="25" t="s">
        <v>20</v>
      </c>
      <c r="K14" s="25" t="s">
        <v>25</v>
      </c>
      <c r="L14" s="25">
        <v>38.020000000000003</v>
      </c>
      <c r="M14" s="25">
        <v>3.29</v>
      </c>
      <c r="N14" s="25">
        <v>0</v>
      </c>
      <c r="O14" s="25">
        <v>88.95</v>
      </c>
      <c r="P14" s="25">
        <v>130.2646</v>
      </c>
      <c r="Q14" s="25">
        <f t="shared" si="0"/>
        <v>0</v>
      </c>
      <c r="R14" s="25">
        <f t="shared" si="1"/>
        <v>149619.73540000001</v>
      </c>
    </row>
    <row r="15" spans="1:21" hidden="1" x14ac:dyDescent="0.25">
      <c r="A15" s="26">
        <v>43812</v>
      </c>
      <c r="B15" s="25" t="s">
        <v>1645</v>
      </c>
      <c r="C15" s="25" t="s">
        <v>17</v>
      </c>
      <c r="D15" s="25">
        <v>2500</v>
      </c>
      <c r="E15" s="25">
        <v>56.3</v>
      </c>
      <c r="F15" s="25">
        <v>140746.35</v>
      </c>
      <c r="G15" s="25" t="s">
        <v>1649</v>
      </c>
      <c r="H15" s="25">
        <v>2019234</v>
      </c>
      <c r="I15" s="25" t="s">
        <v>19</v>
      </c>
      <c r="J15" s="25" t="s">
        <v>20</v>
      </c>
      <c r="K15" s="25" t="s">
        <v>25</v>
      </c>
      <c r="L15" s="25">
        <v>0</v>
      </c>
      <c r="M15" s="25">
        <v>3.1</v>
      </c>
      <c r="N15" s="25">
        <v>0</v>
      </c>
      <c r="O15" s="25">
        <v>83.6</v>
      </c>
      <c r="P15" s="25">
        <v>86.696299999999994</v>
      </c>
      <c r="Q15" s="25">
        <f t="shared" si="0"/>
        <v>140833.04630000002</v>
      </c>
      <c r="R15" s="25">
        <f t="shared" si="1"/>
        <v>0</v>
      </c>
    </row>
    <row r="16" spans="1:21" hidden="1" x14ac:dyDescent="0.25">
      <c r="A16" s="26">
        <v>43812</v>
      </c>
      <c r="B16" s="25" t="s">
        <v>1476</v>
      </c>
      <c r="C16" s="25" t="s">
        <v>23</v>
      </c>
      <c r="D16" s="25">
        <v>2500</v>
      </c>
      <c r="E16" s="25">
        <v>298</v>
      </c>
      <c r="F16" s="25">
        <v>745000</v>
      </c>
      <c r="G16" s="25" t="s">
        <v>1650</v>
      </c>
      <c r="H16" s="25">
        <v>2019234</v>
      </c>
      <c r="I16" s="25" t="s">
        <v>19</v>
      </c>
      <c r="J16" s="25" t="s">
        <v>20</v>
      </c>
      <c r="K16" s="25" t="s">
        <v>25</v>
      </c>
      <c r="L16" s="25">
        <v>190.18</v>
      </c>
      <c r="M16" s="25">
        <v>16.39</v>
      </c>
      <c r="N16" s="25">
        <v>0</v>
      </c>
      <c r="O16" s="25">
        <v>442.5</v>
      </c>
      <c r="P16" s="25">
        <v>649.07000000000005</v>
      </c>
      <c r="Q16" s="25">
        <f t="shared" si="0"/>
        <v>0</v>
      </c>
      <c r="R16" s="25">
        <f t="shared" si="1"/>
        <v>744350.93</v>
      </c>
    </row>
    <row r="17" spans="1:18" hidden="1" x14ac:dyDescent="0.25">
      <c r="A17" s="26">
        <v>43812</v>
      </c>
      <c r="B17" s="25" t="s">
        <v>1476</v>
      </c>
      <c r="C17" s="25" t="s">
        <v>17</v>
      </c>
      <c r="D17" s="25">
        <v>2500</v>
      </c>
      <c r="E17" s="25">
        <v>304.5</v>
      </c>
      <c r="F17" s="25">
        <v>761250</v>
      </c>
      <c r="G17" s="25" t="s">
        <v>1651</v>
      </c>
      <c r="H17" s="25">
        <v>2019234</v>
      </c>
      <c r="I17" s="25" t="s">
        <v>19</v>
      </c>
      <c r="J17" s="25" t="s">
        <v>20</v>
      </c>
      <c r="K17" s="25" t="s">
        <v>25</v>
      </c>
      <c r="L17" s="25">
        <v>0</v>
      </c>
      <c r="M17" s="25">
        <v>16.75</v>
      </c>
      <c r="N17" s="25">
        <v>0</v>
      </c>
      <c r="O17" s="25">
        <v>452.15</v>
      </c>
      <c r="P17" s="25">
        <v>468.89769999999999</v>
      </c>
      <c r="Q17" s="25">
        <f t="shared" si="0"/>
        <v>761718.89769999997</v>
      </c>
      <c r="R17" s="25">
        <f t="shared" si="1"/>
        <v>0</v>
      </c>
    </row>
    <row r="18" spans="1:18" hidden="1" x14ac:dyDescent="0.25">
      <c r="A18" s="26">
        <v>43812</v>
      </c>
      <c r="B18" s="25" t="s">
        <v>1476</v>
      </c>
      <c r="C18" s="25" t="s">
        <v>23</v>
      </c>
      <c r="D18" s="25">
        <v>2500</v>
      </c>
      <c r="E18" s="25">
        <v>303.81</v>
      </c>
      <c r="F18" s="25">
        <v>759533</v>
      </c>
      <c r="G18" s="25" t="s">
        <v>1652</v>
      </c>
      <c r="H18" s="25">
        <v>2019234</v>
      </c>
      <c r="I18" s="25" t="s">
        <v>19</v>
      </c>
      <c r="J18" s="25" t="s">
        <v>20</v>
      </c>
      <c r="K18" s="25" t="s">
        <v>25</v>
      </c>
      <c r="L18" s="25">
        <v>190.09</v>
      </c>
      <c r="M18" s="25">
        <v>16.71</v>
      </c>
      <c r="N18" s="25">
        <v>0</v>
      </c>
      <c r="O18" s="25">
        <v>451.15</v>
      </c>
      <c r="P18" s="25">
        <v>657.95</v>
      </c>
      <c r="Q18" s="25">
        <f t="shared" si="0"/>
        <v>0</v>
      </c>
      <c r="R18" s="25">
        <f t="shared" si="1"/>
        <v>758875.05</v>
      </c>
    </row>
    <row r="19" spans="1:18" hidden="1" x14ac:dyDescent="0.25">
      <c r="A19" s="26">
        <v>43812</v>
      </c>
      <c r="B19" s="25" t="s">
        <v>1476</v>
      </c>
      <c r="C19" s="25" t="s">
        <v>17</v>
      </c>
      <c r="D19" s="25">
        <v>2500</v>
      </c>
      <c r="E19" s="25">
        <v>306.26</v>
      </c>
      <c r="F19" s="25">
        <v>765642.65</v>
      </c>
      <c r="G19" s="25" t="s">
        <v>1653</v>
      </c>
      <c r="H19" s="25">
        <v>2019234</v>
      </c>
      <c r="I19" s="25" t="s">
        <v>19</v>
      </c>
      <c r="J19" s="25" t="s">
        <v>20</v>
      </c>
      <c r="K19" s="25" t="s">
        <v>25</v>
      </c>
      <c r="L19" s="25">
        <v>0</v>
      </c>
      <c r="M19" s="25">
        <v>16.84</v>
      </c>
      <c r="N19" s="25">
        <v>163.19999999999999</v>
      </c>
      <c r="O19" s="25">
        <v>454.76</v>
      </c>
      <c r="P19" s="25">
        <v>634.80409999999995</v>
      </c>
      <c r="Q19" s="25">
        <f t="shared" si="0"/>
        <v>766277.45409999997</v>
      </c>
      <c r="R19" s="25">
        <f t="shared" si="1"/>
        <v>0</v>
      </c>
    </row>
    <row r="20" spans="1:18" hidden="1" x14ac:dyDescent="0.25">
      <c r="A20" s="26">
        <v>43812</v>
      </c>
      <c r="B20" s="25" t="s">
        <v>1476</v>
      </c>
      <c r="C20" s="25" t="s">
        <v>17</v>
      </c>
      <c r="D20" s="25">
        <v>2500</v>
      </c>
      <c r="E20" s="25">
        <v>305.64999999999998</v>
      </c>
      <c r="F20" s="25">
        <v>764136.25</v>
      </c>
      <c r="G20" s="25" t="s">
        <v>1654</v>
      </c>
      <c r="H20" s="25">
        <v>2019234</v>
      </c>
      <c r="I20" s="25" t="s">
        <v>19</v>
      </c>
      <c r="J20" s="25" t="s">
        <v>20</v>
      </c>
      <c r="K20" s="25" t="s">
        <v>25</v>
      </c>
      <c r="L20" s="25">
        <v>0</v>
      </c>
      <c r="M20" s="25">
        <v>16.809999999999999</v>
      </c>
      <c r="N20" s="25">
        <v>0</v>
      </c>
      <c r="O20" s="25">
        <v>453.88</v>
      </c>
      <c r="P20" s="25">
        <v>470.69110000000001</v>
      </c>
      <c r="Q20" s="25">
        <f t="shared" si="0"/>
        <v>764606.94110000005</v>
      </c>
      <c r="R20" s="25">
        <f t="shared" si="1"/>
        <v>0</v>
      </c>
    </row>
    <row r="21" spans="1:18" hidden="1" x14ac:dyDescent="0.25">
      <c r="A21" s="26">
        <v>43812</v>
      </c>
      <c r="B21" s="25" t="s">
        <v>1476</v>
      </c>
      <c r="C21" s="25" t="s">
        <v>23</v>
      </c>
      <c r="D21" s="25">
        <v>2500</v>
      </c>
      <c r="E21" s="25">
        <v>309</v>
      </c>
      <c r="F21" s="25">
        <v>772500</v>
      </c>
      <c r="G21" s="25" t="s">
        <v>1655</v>
      </c>
      <c r="H21" s="25">
        <v>2019234</v>
      </c>
      <c r="I21" s="25" t="s">
        <v>19</v>
      </c>
      <c r="J21" s="25" t="s">
        <v>20</v>
      </c>
      <c r="K21" s="25" t="s">
        <v>25</v>
      </c>
      <c r="L21" s="25">
        <v>190.09</v>
      </c>
      <c r="M21" s="25">
        <v>17</v>
      </c>
      <c r="N21" s="25">
        <v>0</v>
      </c>
      <c r="O21" s="25">
        <v>458.84</v>
      </c>
      <c r="P21" s="25">
        <v>665.92520000000002</v>
      </c>
      <c r="Q21" s="25">
        <f t="shared" si="0"/>
        <v>0</v>
      </c>
      <c r="R21" s="25">
        <f t="shared" si="1"/>
        <v>771834.07479999994</v>
      </c>
    </row>
    <row r="22" spans="1:18" hidden="1" x14ac:dyDescent="0.25">
      <c r="A22" s="26">
        <v>43812</v>
      </c>
      <c r="B22" s="25" t="s">
        <v>1645</v>
      </c>
      <c r="C22" s="25" t="s">
        <v>23</v>
      </c>
      <c r="D22" s="25">
        <v>5000</v>
      </c>
      <c r="E22" s="25">
        <v>56.7</v>
      </c>
      <c r="F22" s="25">
        <v>283477.25</v>
      </c>
      <c r="G22" s="25" t="s">
        <v>1656</v>
      </c>
      <c r="H22" s="25">
        <v>2019234</v>
      </c>
      <c r="I22" s="25" t="s">
        <v>19</v>
      </c>
      <c r="J22" s="25" t="s">
        <v>20</v>
      </c>
      <c r="K22" s="25" t="s">
        <v>25</v>
      </c>
      <c r="L22" s="25">
        <v>70.62</v>
      </c>
      <c r="M22" s="25">
        <v>6.24</v>
      </c>
      <c r="N22" s="25">
        <v>0</v>
      </c>
      <c r="O22" s="25">
        <v>168.37</v>
      </c>
      <c r="P22" s="25">
        <v>245.22659999999999</v>
      </c>
      <c r="Q22" s="25">
        <f t="shared" si="0"/>
        <v>0</v>
      </c>
      <c r="R22" s="25">
        <f t="shared" si="1"/>
        <v>283232.02340000001</v>
      </c>
    </row>
    <row r="23" spans="1:18" hidden="1" x14ac:dyDescent="0.25">
      <c r="A23" s="26">
        <v>43125</v>
      </c>
      <c r="B23" s="25" t="s">
        <v>268</v>
      </c>
      <c r="C23" s="25" t="s">
        <v>23</v>
      </c>
      <c r="D23" s="25">
        <v>1000</v>
      </c>
      <c r="E23" s="25">
        <v>320</v>
      </c>
      <c r="F23" s="25">
        <v>320000</v>
      </c>
      <c r="G23" s="25" t="s">
        <v>269</v>
      </c>
      <c r="H23" s="25">
        <v>2018019</v>
      </c>
      <c r="I23" s="25" t="s">
        <v>19</v>
      </c>
      <c r="J23" s="25" t="s">
        <v>20</v>
      </c>
      <c r="K23" s="25" t="s">
        <v>25</v>
      </c>
      <c r="L23" s="25">
        <v>80.88</v>
      </c>
      <c r="M23" s="25">
        <v>10.4</v>
      </c>
      <c r="N23" s="25">
        <v>0</v>
      </c>
      <c r="O23" s="25">
        <v>190.67</v>
      </c>
      <c r="P23" s="25">
        <v>281.95</v>
      </c>
      <c r="Q23" s="25">
        <f t="shared" si="0"/>
        <v>0</v>
      </c>
      <c r="R23" s="25">
        <f t="shared" si="1"/>
        <v>319718.05</v>
      </c>
    </row>
    <row r="24" spans="1:18" hidden="1" x14ac:dyDescent="0.25">
      <c r="A24" s="26">
        <v>43125</v>
      </c>
      <c r="B24" s="25" t="s">
        <v>268</v>
      </c>
      <c r="C24" s="25" t="s">
        <v>17</v>
      </c>
      <c r="D24" s="25">
        <v>1000</v>
      </c>
      <c r="E24" s="25">
        <v>327</v>
      </c>
      <c r="F24" s="25">
        <v>327000</v>
      </c>
      <c r="G24" s="25" t="s">
        <v>274</v>
      </c>
      <c r="H24" s="25">
        <v>2018019</v>
      </c>
      <c r="I24" s="25" t="s">
        <v>19</v>
      </c>
      <c r="J24" s="25" t="s">
        <v>20</v>
      </c>
      <c r="K24" s="25" t="s">
        <v>25</v>
      </c>
      <c r="L24" s="25">
        <v>0</v>
      </c>
      <c r="M24" s="25">
        <v>10.63</v>
      </c>
      <c r="N24" s="25">
        <v>0</v>
      </c>
      <c r="O24" s="25">
        <v>194.84</v>
      </c>
      <c r="P24" s="25">
        <v>205.4675</v>
      </c>
      <c r="Q24" s="25">
        <f t="shared" si="0"/>
        <v>327205.46750000003</v>
      </c>
      <c r="R24" s="25">
        <f t="shared" si="1"/>
        <v>0</v>
      </c>
    </row>
    <row r="25" spans="1:18" hidden="1" x14ac:dyDescent="0.25">
      <c r="A25" s="26">
        <v>43808</v>
      </c>
      <c r="B25" s="25" t="s">
        <v>1645</v>
      </c>
      <c r="C25" s="25" t="s">
        <v>23</v>
      </c>
      <c r="D25" s="25">
        <v>1000</v>
      </c>
      <c r="E25" s="25">
        <v>61.5</v>
      </c>
      <c r="F25" s="25">
        <v>61500</v>
      </c>
      <c r="G25" s="25" t="s">
        <v>1659</v>
      </c>
      <c r="H25" s="25">
        <v>2019230</v>
      </c>
      <c r="I25" s="25" t="s">
        <v>19</v>
      </c>
      <c r="J25" s="25" t="s">
        <v>1660</v>
      </c>
      <c r="K25" s="25" t="s">
        <v>25</v>
      </c>
      <c r="L25" s="25">
        <v>14.63</v>
      </c>
      <c r="M25" s="25">
        <v>1.35</v>
      </c>
      <c r="N25" s="25">
        <v>0</v>
      </c>
      <c r="O25" s="25">
        <v>0.24</v>
      </c>
      <c r="P25" s="25">
        <v>16.222999999999999</v>
      </c>
      <c r="Q25" s="25">
        <f t="shared" si="0"/>
        <v>0</v>
      </c>
      <c r="R25" s="25">
        <f t="shared" si="1"/>
        <v>61483.777000000002</v>
      </c>
    </row>
    <row r="26" spans="1:18" hidden="1" x14ac:dyDescent="0.25">
      <c r="A26" s="26">
        <v>43808</v>
      </c>
      <c r="B26" s="25" t="s">
        <v>1645</v>
      </c>
      <c r="C26" s="25" t="s">
        <v>17</v>
      </c>
      <c r="D26" s="25">
        <v>701</v>
      </c>
      <c r="E26" s="25">
        <v>61</v>
      </c>
      <c r="F26" s="25">
        <v>42761</v>
      </c>
      <c r="G26" s="25" t="s">
        <v>1661</v>
      </c>
      <c r="H26" s="25">
        <v>2019230</v>
      </c>
      <c r="I26" s="25" t="s">
        <v>19</v>
      </c>
      <c r="J26" s="25" t="s">
        <v>1660</v>
      </c>
      <c r="K26" s="25" t="s">
        <v>25</v>
      </c>
      <c r="L26" s="25">
        <v>0</v>
      </c>
      <c r="M26" s="25">
        <v>0.94</v>
      </c>
      <c r="N26" s="25">
        <v>53.4</v>
      </c>
      <c r="O26" s="25">
        <v>277.69</v>
      </c>
      <c r="P26" s="25">
        <v>332.0308</v>
      </c>
      <c r="Q26" s="25">
        <f t="shared" si="0"/>
        <v>43093.0308</v>
      </c>
      <c r="R26" s="25">
        <f t="shared" si="1"/>
        <v>0</v>
      </c>
    </row>
    <row r="27" spans="1:18" hidden="1" x14ac:dyDescent="0.25">
      <c r="A27" s="26">
        <v>43808</v>
      </c>
      <c r="B27" s="25" t="s">
        <v>1645</v>
      </c>
      <c r="C27" s="25" t="s">
        <v>17</v>
      </c>
      <c r="D27" s="25">
        <v>699</v>
      </c>
      <c r="E27" s="25">
        <v>58.94</v>
      </c>
      <c r="F27" s="25">
        <v>41200.949999999997</v>
      </c>
      <c r="G27" s="25" t="s">
        <v>1662</v>
      </c>
      <c r="H27" s="25">
        <v>2019230</v>
      </c>
      <c r="I27" s="25" t="s">
        <v>19</v>
      </c>
      <c r="J27" s="25" t="s">
        <v>1660</v>
      </c>
      <c r="K27" s="25" t="s">
        <v>25</v>
      </c>
      <c r="L27" s="25">
        <v>23.99</v>
      </c>
      <c r="M27" s="25">
        <v>0.91</v>
      </c>
      <c r="N27" s="25">
        <v>0</v>
      </c>
      <c r="O27" s="25">
        <v>267.55</v>
      </c>
      <c r="P27" s="25">
        <v>292.44630000000001</v>
      </c>
      <c r="Q27" s="25">
        <f t="shared" si="0"/>
        <v>41493.3963</v>
      </c>
      <c r="R27" s="25">
        <f t="shared" si="1"/>
        <v>0</v>
      </c>
    </row>
    <row r="28" spans="1:18" hidden="1" x14ac:dyDescent="0.25">
      <c r="A28" s="26">
        <v>43808</v>
      </c>
      <c r="B28" s="25" t="s">
        <v>1645</v>
      </c>
      <c r="C28" s="25" t="s">
        <v>17</v>
      </c>
      <c r="D28" s="25">
        <v>100</v>
      </c>
      <c r="E28" s="25">
        <v>58.45</v>
      </c>
      <c r="F28" s="25">
        <v>5845</v>
      </c>
      <c r="G28" s="25" t="s">
        <v>1663</v>
      </c>
      <c r="H28" s="25">
        <v>2019230</v>
      </c>
      <c r="I28" s="25" t="s">
        <v>19</v>
      </c>
      <c r="J28" s="25" t="s">
        <v>1660</v>
      </c>
      <c r="K28" s="25" t="s">
        <v>25</v>
      </c>
      <c r="L28" s="25">
        <v>6</v>
      </c>
      <c r="M28" s="25">
        <v>0.13</v>
      </c>
      <c r="N28" s="25">
        <v>0</v>
      </c>
      <c r="O28" s="25">
        <v>41.32</v>
      </c>
      <c r="P28" s="25">
        <v>47.448599999999999</v>
      </c>
      <c r="Q28" s="25">
        <f t="shared" si="0"/>
        <v>5892.4485999999997</v>
      </c>
      <c r="R28" s="25">
        <f t="shared" si="1"/>
        <v>0</v>
      </c>
    </row>
    <row r="29" spans="1:18" hidden="1" x14ac:dyDescent="0.25">
      <c r="A29" s="26">
        <v>43808</v>
      </c>
      <c r="B29" s="25" t="s">
        <v>1645</v>
      </c>
      <c r="C29" s="25" t="s">
        <v>17</v>
      </c>
      <c r="D29" s="25">
        <v>500</v>
      </c>
      <c r="E29" s="25">
        <v>57.25</v>
      </c>
      <c r="F29" s="25">
        <v>28625</v>
      </c>
      <c r="G29" s="25" t="s">
        <v>1664</v>
      </c>
      <c r="H29" s="25">
        <v>2019230</v>
      </c>
      <c r="I29" s="25" t="s">
        <v>19</v>
      </c>
      <c r="J29" s="25" t="s">
        <v>1660</v>
      </c>
      <c r="K29" s="25" t="s">
        <v>25</v>
      </c>
      <c r="L29" s="25">
        <v>29.99</v>
      </c>
      <c r="M29" s="25">
        <v>0.63</v>
      </c>
      <c r="N29" s="25">
        <v>0</v>
      </c>
      <c r="O29" s="25">
        <v>185.89</v>
      </c>
      <c r="P29" s="25">
        <v>216.50970000000001</v>
      </c>
      <c r="Q29" s="25">
        <f t="shared" si="0"/>
        <v>28841.509699999999</v>
      </c>
      <c r="R29" s="25">
        <f t="shared" si="1"/>
        <v>0</v>
      </c>
    </row>
    <row r="30" spans="1:18" hidden="1" x14ac:dyDescent="0.25">
      <c r="A30" s="26">
        <v>43805</v>
      </c>
      <c r="B30" s="25" t="s">
        <v>433</v>
      </c>
      <c r="C30" s="25" t="s">
        <v>17</v>
      </c>
      <c r="D30" s="25">
        <v>5000</v>
      </c>
      <c r="E30" s="25">
        <v>1.2</v>
      </c>
      <c r="F30" s="25">
        <v>6000</v>
      </c>
      <c r="G30" s="25" t="s">
        <v>1665</v>
      </c>
      <c r="H30" s="25">
        <v>2019229</v>
      </c>
      <c r="I30" s="25" t="s">
        <v>19</v>
      </c>
      <c r="J30" s="25" t="s">
        <v>20</v>
      </c>
      <c r="K30" s="25" t="s">
        <v>25</v>
      </c>
      <c r="L30" s="25">
        <v>6</v>
      </c>
      <c r="M30" s="25">
        <v>0.13</v>
      </c>
      <c r="N30" s="25">
        <v>0.3</v>
      </c>
      <c r="O30" s="25">
        <v>295.02</v>
      </c>
      <c r="P30" s="25">
        <v>301.452</v>
      </c>
      <c r="Q30" s="25">
        <f t="shared" si="0"/>
        <v>6301.4520000000002</v>
      </c>
      <c r="R30" s="25">
        <f t="shared" si="1"/>
        <v>0</v>
      </c>
    </row>
    <row r="31" spans="1:18" hidden="1" x14ac:dyDescent="0.25">
      <c r="A31" s="26">
        <v>43804</v>
      </c>
      <c r="B31" s="25" t="s">
        <v>1666</v>
      </c>
      <c r="C31" s="25" t="s">
        <v>17</v>
      </c>
      <c r="D31" s="25">
        <v>500</v>
      </c>
      <c r="E31" s="25">
        <v>457.69</v>
      </c>
      <c r="F31" s="25">
        <v>228843.25</v>
      </c>
      <c r="G31" s="25" t="s">
        <v>1667</v>
      </c>
      <c r="H31" s="25">
        <v>2019228</v>
      </c>
      <c r="I31" s="25" t="s">
        <v>19</v>
      </c>
      <c r="J31" s="25" t="s">
        <v>20</v>
      </c>
      <c r="K31" s="25" t="s">
        <v>25</v>
      </c>
      <c r="L31" s="25">
        <v>0</v>
      </c>
      <c r="M31" s="25">
        <v>5.03</v>
      </c>
      <c r="N31" s="25">
        <v>0</v>
      </c>
      <c r="O31" s="25">
        <v>135.94</v>
      </c>
      <c r="P31" s="25">
        <v>140.97470000000001</v>
      </c>
      <c r="Q31" s="25">
        <f t="shared" si="0"/>
        <v>228984.22469999999</v>
      </c>
      <c r="R31" s="25">
        <f t="shared" si="1"/>
        <v>0</v>
      </c>
    </row>
    <row r="32" spans="1:18" hidden="1" x14ac:dyDescent="0.25">
      <c r="A32" s="26">
        <v>43804</v>
      </c>
      <c r="B32" s="25" t="s">
        <v>1666</v>
      </c>
      <c r="C32" s="25" t="s">
        <v>17</v>
      </c>
      <c r="D32" s="25">
        <v>500</v>
      </c>
      <c r="E32" s="25">
        <v>453.45</v>
      </c>
      <c r="F32" s="25">
        <v>226725</v>
      </c>
      <c r="G32" s="25" t="s">
        <v>1668</v>
      </c>
      <c r="H32" s="25">
        <v>2019228</v>
      </c>
      <c r="I32" s="25" t="s">
        <v>19</v>
      </c>
      <c r="J32" s="25" t="s">
        <v>20</v>
      </c>
      <c r="K32" s="25" t="s">
        <v>25</v>
      </c>
      <c r="L32" s="25">
        <v>0</v>
      </c>
      <c r="M32" s="25">
        <v>4.99</v>
      </c>
      <c r="N32" s="25">
        <v>0</v>
      </c>
      <c r="O32" s="25">
        <v>134.66999999999999</v>
      </c>
      <c r="P32" s="25">
        <v>139.65790000000001</v>
      </c>
      <c r="Q32" s="25">
        <f t="shared" si="0"/>
        <v>226864.65789999999</v>
      </c>
      <c r="R32" s="25">
        <f t="shared" si="1"/>
        <v>0</v>
      </c>
    </row>
    <row r="33" spans="1:18" hidden="1" x14ac:dyDescent="0.25">
      <c r="A33" s="26">
        <v>43804</v>
      </c>
      <c r="B33" s="25" t="s">
        <v>1666</v>
      </c>
      <c r="C33" s="25" t="s">
        <v>23</v>
      </c>
      <c r="D33" s="25">
        <v>392</v>
      </c>
      <c r="E33" s="25">
        <v>449.69</v>
      </c>
      <c r="F33" s="25">
        <v>176276.55</v>
      </c>
      <c r="G33" s="25" t="s">
        <v>1669</v>
      </c>
      <c r="H33" s="25">
        <v>2019228</v>
      </c>
      <c r="I33" s="25" t="s">
        <v>19</v>
      </c>
      <c r="J33" s="25" t="s">
        <v>20</v>
      </c>
      <c r="K33" s="25" t="s">
        <v>25</v>
      </c>
      <c r="L33" s="25">
        <v>44.17</v>
      </c>
      <c r="M33" s="25">
        <v>3.88</v>
      </c>
      <c r="N33" s="25">
        <v>0</v>
      </c>
      <c r="O33" s="25">
        <v>104.71</v>
      </c>
      <c r="P33" s="25">
        <v>152.75800000000001</v>
      </c>
      <c r="Q33" s="25">
        <f t="shared" si="0"/>
        <v>0</v>
      </c>
      <c r="R33" s="25">
        <f t="shared" si="1"/>
        <v>176123.79199999999</v>
      </c>
    </row>
    <row r="34" spans="1:18" hidden="1" x14ac:dyDescent="0.25">
      <c r="A34" s="26">
        <v>43804</v>
      </c>
      <c r="B34" s="25" t="s">
        <v>1666</v>
      </c>
      <c r="C34" s="25" t="s">
        <v>17</v>
      </c>
      <c r="D34" s="25">
        <v>500</v>
      </c>
      <c r="E34" s="25">
        <v>450</v>
      </c>
      <c r="F34" s="25">
        <v>225000</v>
      </c>
      <c r="G34" s="25" t="s">
        <v>1670</v>
      </c>
      <c r="H34" s="25">
        <v>2019228</v>
      </c>
      <c r="I34" s="25" t="s">
        <v>19</v>
      </c>
      <c r="J34" s="25" t="s">
        <v>20</v>
      </c>
      <c r="K34" s="25" t="s">
        <v>25</v>
      </c>
      <c r="L34" s="25">
        <v>0</v>
      </c>
      <c r="M34" s="25">
        <v>4.95</v>
      </c>
      <c r="N34" s="25">
        <v>0</v>
      </c>
      <c r="O34" s="25">
        <v>133.63999999999999</v>
      </c>
      <c r="P34" s="25">
        <v>138.59</v>
      </c>
      <c r="Q34" s="25">
        <f t="shared" si="0"/>
        <v>225138.59</v>
      </c>
      <c r="R34" s="25">
        <f t="shared" si="1"/>
        <v>0</v>
      </c>
    </row>
    <row r="35" spans="1:18" hidden="1" x14ac:dyDescent="0.25">
      <c r="A35" s="26">
        <v>43804</v>
      </c>
      <c r="B35" s="25" t="s">
        <v>1666</v>
      </c>
      <c r="C35" s="25" t="s">
        <v>17</v>
      </c>
      <c r="D35" s="25">
        <v>250</v>
      </c>
      <c r="E35" s="25">
        <v>451.3</v>
      </c>
      <c r="F35" s="25">
        <v>112825</v>
      </c>
      <c r="G35" s="25" t="s">
        <v>1671</v>
      </c>
      <c r="H35" s="25">
        <v>2019228</v>
      </c>
      <c r="I35" s="25" t="s">
        <v>19</v>
      </c>
      <c r="J35" s="25" t="s">
        <v>20</v>
      </c>
      <c r="K35" s="25" t="s">
        <v>25</v>
      </c>
      <c r="L35" s="25">
        <v>0</v>
      </c>
      <c r="M35" s="25">
        <v>2.48</v>
      </c>
      <c r="N35" s="25">
        <v>0</v>
      </c>
      <c r="O35" s="25">
        <v>67.010000000000005</v>
      </c>
      <c r="P35" s="25">
        <v>69.492099999999994</v>
      </c>
      <c r="Q35" s="25">
        <f t="shared" si="0"/>
        <v>112894.4921</v>
      </c>
      <c r="R35" s="25">
        <f t="shared" si="1"/>
        <v>0</v>
      </c>
    </row>
    <row r="36" spans="1:18" hidden="1" x14ac:dyDescent="0.25">
      <c r="A36" s="26">
        <v>43804</v>
      </c>
      <c r="B36" s="25" t="s">
        <v>1666</v>
      </c>
      <c r="C36" s="25" t="s">
        <v>23</v>
      </c>
      <c r="D36" s="25">
        <v>1358</v>
      </c>
      <c r="E36" s="25">
        <v>450.91</v>
      </c>
      <c r="F36" s="25">
        <v>612335.6</v>
      </c>
      <c r="G36" s="25" t="s">
        <v>1672</v>
      </c>
      <c r="H36" s="25">
        <v>2019228</v>
      </c>
      <c r="I36" s="25" t="s">
        <v>19</v>
      </c>
      <c r="J36" s="25" t="s">
        <v>20</v>
      </c>
      <c r="K36" s="25" t="s">
        <v>25</v>
      </c>
      <c r="L36" s="25">
        <v>153.46</v>
      </c>
      <c r="M36" s="25">
        <v>13.47</v>
      </c>
      <c r="N36" s="25">
        <v>101.7</v>
      </c>
      <c r="O36" s="25">
        <v>363.7</v>
      </c>
      <c r="P36" s="25">
        <v>632.33140000000003</v>
      </c>
      <c r="Q36" s="25">
        <f t="shared" si="0"/>
        <v>0</v>
      </c>
      <c r="R36" s="25">
        <f t="shared" si="1"/>
        <v>611703.26859999995</v>
      </c>
    </row>
    <row r="37" spans="1:18" hidden="1" x14ac:dyDescent="0.25">
      <c r="A37" s="26">
        <v>43804</v>
      </c>
      <c r="B37" s="25" t="s">
        <v>1666</v>
      </c>
      <c r="C37" s="25" t="s">
        <v>23</v>
      </c>
      <c r="D37" s="25">
        <v>2000</v>
      </c>
      <c r="E37" s="25">
        <v>451.24</v>
      </c>
      <c r="F37" s="25">
        <v>902482.9</v>
      </c>
      <c r="G37" s="25" t="s">
        <v>1673</v>
      </c>
      <c r="H37" s="25">
        <v>2019228</v>
      </c>
      <c r="I37" s="25" t="s">
        <v>19</v>
      </c>
      <c r="J37" s="25" t="s">
        <v>20</v>
      </c>
      <c r="K37" s="25" t="s">
        <v>25</v>
      </c>
      <c r="L37" s="25">
        <v>225.37</v>
      </c>
      <c r="M37" s="25">
        <v>19.850000000000001</v>
      </c>
      <c r="N37" s="25">
        <v>0</v>
      </c>
      <c r="O37" s="25">
        <v>536.04</v>
      </c>
      <c r="P37" s="25">
        <v>781.26469999999995</v>
      </c>
      <c r="Q37" s="25">
        <f t="shared" si="0"/>
        <v>0</v>
      </c>
      <c r="R37" s="25">
        <f t="shared" si="1"/>
        <v>901701.63529999997</v>
      </c>
    </row>
    <row r="38" spans="1:18" hidden="1" x14ac:dyDescent="0.25">
      <c r="A38" s="26">
        <v>43804</v>
      </c>
      <c r="B38" s="25" t="s">
        <v>1666</v>
      </c>
      <c r="C38" s="25" t="s">
        <v>17</v>
      </c>
      <c r="D38" s="25">
        <v>2000</v>
      </c>
      <c r="E38" s="25">
        <v>448</v>
      </c>
      <c r="F38" s="25">
        <v>896000</v>
      </c>
      <c r="G38" s="25" t="s">
        <v>1674</v>
      </c>
      <c r="H38" s="25">
        <v>2019228</v>
      </c>
      <c r="I38" s="25" t="s">
        <v>19</v>
      </c>
      <c r="J38" s="25" t="s">
        <v>20</v>
      </c>
      <c r="K38" s="25" t="s">
        <v>25</v>
      </c>
      <c r="L38" s="25">
        <v>0</v>
      </c>
      <c r="M38" s="25">
        <v>19.71</v>
      </c>
      <c r="N38" s="25">
        <v>0</v>
      </c>
      <c r="O38" s="25">
        <v>532.19000000000005</v>
      </c>
      <c r="P38" s="25">
        <v>551.90200000000004</v>
      </c>
      <c r="Q38" s="25">
        <f t="shared" si="0"/>
        <v>896551.902</v>
      </c>
      <c r="R38" s="25">
        <f t="shared" si="1"/>
        <v>0</v>
      </c>
    </row>
    <row r="39" spans="1:18" hidden="1" x14ac:dyDescent="0.25">
      <c r="A39" s="26">
        <v>43741</v>
      </c>
      <c r="B39" s="25" t="s">
        <v>268</v>
      </c>
      <c r="C39" s="25" t="s">
        <v>17</v>
      </c>
      <c r="D39" s="25">
        <v>500</v>
      </c>
      <c r="E39" s="25">
        <v>257</v>
      </c>
      <c r="F39" s="25">
        <v>128500</v>
      </c>
      <c r="G39" s="25" t="s">
        <v>1606</v>
      </c>
      <c r="H39" s="25">
        <v>2019186</v>
      </c>
      <c r="I39" s="25" t="s">
        <v>19</v>
      </c>
      <c r="J39" s="25" t="s">
        <v>20</v>
      </c>
      <c r="K39" s="25" t="s">
        <v>25</v>
      </c>
      <c r="L39" s="25">
        <v>0</v>
      </c>
      <c r="M39" s="25">
        <v>2.83</v>
      </c>
      <c r="N39" s="25">
        <v>0</v>
      </c>
      <c r="O39" s="25">
        <v>76.319999999999993</v>
      </c>
      <c r="P39" s="25">
        <v>79.147000000000006</v>
      </c>
      <c r="Q39" s="25">
        <f t="shared" si="0"/>
        <v>128579.147</v>
      </c>
      <c r="R39" s="25">
        <f t="shared" si="1"/>
        <v>0</v>
      </c>
    </row>
    <row r="40" spans="1:18" hidden="1" x14ac:dyDescent="0.25">
      <c r="A40" s="26">
        <v>43741</v>
      </c>
      <c r="B40" s="25" t="s">
        <v>268</v>
      </c>
      <c r="C40" s="25" t="s">
        <v>23</v>
      </c>
      <c r="D40" s="25">
        <v>500</v>
      </c>
      <c r="E40" s="25">
        <v>259.5</v>
      </c>
      <c r="F40" s="25">
        <v>129750</v>
      </c>
      <c r="G40" s="25" t="s">
        <v>1607</v>
      </c>
      <c r="H40" s="25">
        <v>2019186</v>
      </c>
      <c r="I40" s="25" t="s">
        <v>19</v>
      </c>
      <c r="J40" s="25" t="s">
        <v>20</v>
      </c>
      <c r="K40" s="25" t="s">
        <v>25</v>
      </c>
      <c r="L40" s="25">
        <v>31.94</v>
      </c>
      <c r="M40" s="25">
        <v>2.85</v>
      </c>
      <c r="N40" s="25">
        <v>0</v>
      </c>
      <c r="O40" s="25">
        <v>77.069999999999993</v>
      </c>
      <c r="P40" s="25">
        <v>111.86450000000001</v>
      </c>
      <c r="Q40" s="25">
        <f t="shared" si="0"/>
        <v>0</v>
      </c>
      <c r="R40" s="25">
        <f t="shared" si="1"/>
        <v>129638.1355</v>
      </c>
    </row>
    <row r="41" spans="1:18" hidden="1" x14ac:dyDescent="0.25">
      <c r="A41" s="26">
        <v>43802</v>
      </c>
      <c r="B41" s="25" t="s">
        <v>1407</v>
      </c>
      <c r="C41" s="25" t="s">
        <v>23</v>
      </c>
      <c r="D41" s="25">
        <v>250</v>
      </c>
      <c r="E41" s="25">
        <v>378.11</v>
      </c>
      <c r="F41" s="25">
        <v>94527.5</v>
      </c>
      <c r="G41" s="25" t="s">
        <v>1677</v>
      </c>
      <c r="H41" s="25">
        <v>2019226</v>
      </c>
      <c r="I41" s="25" t="s">
        <v>19</v>
      </c>
      <c r="J41" s="25" t="s">
        <v>20</v>
      </c>
      <c r="K41" s="25" t="s">
        <v>25</v>
      </c>
      <c r="L41" s="25">
        <v>23.46</v>
      </c>
      <c r="M41" s="25">
        <v>2.08</v>
      </c>
      <c r="N41" s="25">
        <v>0</v>
      </c>
      <c r="O41" s="25">
        <v>56.14</v>
      </c>
      <c r="P41" s="25">
        <v>81.679699999999997</v>
      </c>
      <c r="Q41" s="25">
        <f t="shared" si="0"/>
        <v>0</v>
      </c>
      <c r="R41" s="25">
        <f t="shared" si="1"/>
        <v>94445.820300000007</v>
      </c>
    </row>
    <row r="42" spans="1:18" hidden="1" x14ac:dyDescent="0.25">
      <c r="A42" s="26">
        <v>43802</v>
      </c>
      <c r="B42" s="25" t="s">
        <v>1407</v>
      </c>
      <c r="C42" s="25" t="s">
        <v>17</v>
      </c>
      <c r="D42" s="25">
        <v>250</v>
      </c>
      <c r="E42" s="25">
        <v>372.64</v>
      </c>
      <c r="F42" s="25">
        <v>93161.2</v>
      </c>
      <c r="G42" s="25" t="s">
        <v>1678</v>
      </c>
      <c r="H42" s="25">
        <v>2019226</v>
      </c>
      <c r="I42" s="25" t="s">
        <v>19</v>
      </c>
      <c r="J42" s="25" t="s">
        <v>20</v>
      </c>
      <c r="K42" s="25" t="s">
        <v>25</v>
      </c>
      <c r="L42" s="25">
        <v>0</v>
      </c>
      <c r="M42" s="25">
        <v>2.0499999999999998</v>
      </c>
      <c r="N42" s="25">
        <v>0</v>
      </c>
      <c r="O42" s="25">
        <v>55.33</v>
      </c>
      <c r="P42" s="25">
        <v>57.379399999999997</v>
      </c>
      <c r="Q42" s="25">
        <f t="shared" si="0"/>
        <v>93218.579400000002</v>
      </c>
      <c r="R42" s="25">
        <f t="shared" si="1"/>
        <v>0</v>
      </c>
    </row>
    <row r="43" spans="1:18" hidden="1" x14ac:dyDescent="0.25">
      <c r="A43" s="26">
        <v>43741</v>
      </c>
      <c r="B43" s="25" t="s">
        <v>268</v>
      </c>
      <c r="C43" s="25" t="s">
        <v>17</v>
      </c>
      <c r="D43" s="25">
        <v>500</v>
      </c>
      <c r="E43" s="25">
        <v>257</v>
      </c>
      <c r="F43" s="25">
        <v>128500</v>
      </c>
      <c r="G43" s="25" t="s">
        <v>1608</v>
      </c>
      <c r="H43" s="25">
        <v>2019186</v>
      </c>
      <c r="I43" s="25" t="s">
        <v>19</v>
      </c>
      <c r="J43" s="25" t="s">
        <v>20</v>
      </c>
      <c r="K43" s="25" t="s">
        <v>25</v>
      </c>
      <c r="L43" s="25">
        <v>0</v>
      </c>
      <c r="M43" s="25">
        <v>2.83</v>
      </c>
      <c r="N43" s="25">
        <v>0</v>
      </c>
      <c r="O43" s="25">
        <v>76.319999999999993</v>
      </c>
      <c r="P43" s="25">
        <v>79.147000000000006</v>
      </c>
      <c r="Q43" s="25">
        <f t="shared" si="0"/>
        <v>128579.147</v>
      </c>
      <c r="R43" s="25">
        <f t="shared" si="1"/>
        <v>0</v>
      </c>
    </row>
    <row r="44" spans="1:18" hidden="1" x14ac:dyDescent="0.25">
      <c r="A44" s="26">
        <v>43741</v>
      </c>
      <c r="B44" s="25" t="s">
        <v>268</v>
      </c>
      <c r="C44" s="25" t="s">
        <v>17</v>
      </c>
      <c r="D44" s="25">
        <v>500</v>
      </c>
      <c r="E44" s="25">
        <v>252</v>
      </c>
      <c r="F44" s="25">
        <v>126000</v>
      </c>
      <c r="G44" s="25" t="s">
        <v>1609</v>
      </c>
      <c r="H44" s="25">
        <v>2019186</v>
      </c>
      <c r="I44" s="25" t="s">
        <v>19</v>
      </c>
      <c r="J44" s="25" t="s">
        <v>20</v>
      </c>
      <c r="K44" s="25" t="s">
        <v>25</v>
      </c>
      <c r="L44" s="25">
        <v>0</v>
      </c>
      <c r="M44" s="25">
        <v>2.77</v>
      </c>
      <c r="N44" s="25">
        <v>23.1</v>
      </c>
      <c r="O44" s="25">
        <v>74.84</v>
      </c>
      <c r="P44" s="25">
        <v>100.712</v>
      </c>
      <c r="Q44" s="25">
        <f t="shared" si="0"/>
        <v>126100.712</v>
      </c>
      <c r="R44" s="25">
        <f t="shared" si="1"/>
        <v>0</v>
      </c>
    </row>
    <row r="45" spans="1:18" hidden="1" x14ac:dyDescent="0.25">
      <c r="A45" s="26">
        <v>43802</v>
      </c>
      <c r="B45" s="25" t="s">
        <v>1645</v>
      </c>
      <c r="C45" s="25" t="s">
        <v>17</v>
      </c>
      <c r="D45" s="25">
        <v>1000</v>
      </c>
      <c r="E45" s="25">
        <v>60.14</v>
      </c>
      <c r="F45" s="25">
        <v>60142.35</v>
      </c>
      <c r="G45" s="25" t="s">
        <v>1681</v>
      </c>
      <c r="H45" s="25">
        <v>2019226</v>
      </c>
      <c r="I45" s="25" t="s">
        <v>19</v>
      </c>
      <c r="J45" s="25" t="s">
        <v>1660</v>
      </c>
      <c r="K45" s="25" t="s">
        <v>25</v>
      </c>
      <c r="L45" s="25">
        <v>60.35</v>
      </c>
      <c r="M45" s="25">
        <v>1.32</v>
      </c>
      <c r="N45" s="25">
        <v>12.6</v>
      </c>
      <c r="O45" s="25">
        <v>390.56</v>
      </c>
      <c r="P45" s="25">
        <v>464.8331</v>
      </c>
      <c r="Q45" s="25">
        <f t="shared" si="0"/>
        <v>60607.183100000002</v>
      </c>
      <c r="R45" s="25">
        <f t="shared" si="1"/>
        <v>0</v>
      </c>
    </row>
    <row r="46" spans="1:18" hidden="1" x14ac:dyDescent="0.25">
      <c r="A46" s="26">
        <v>43801</v>
      </c>
      <c r="B46" s="25" t="s">
        <v>1476</v>
      </c>
      <c r="C46" s="25" t="s">
        <v>17</v>
      </c>
      <c r="D46" s="25">
        <v>100</v>
      </c>
      <c r="E46" s="25">
        <v>293.61</v>
      </c>
      <c r="F46" s="25">
        <v>29361.45</v>
      </c>
      <c r="G46" s="25" t="s">
        <v>1682</v>
      </c>
      <c r="H46" s="25">
        <v>2019225</v>
      </c>
      <c r="I46" s="25" t="s">
        <v>19</v>
      </c>
      <c r="J46" s="25" t="s">
        <v>20</v>
      </c>
      <c r="K46" s="25" t="s">
        <v>25</v>
      </c>
      <c r="L46" s="25">
        <v>0</v>
      </c>
      <c r="M46" s="25">
        <v>0.65</v>
      </c>
      <c r="N46" s="25">
        <v>0</v>
      </c>
      <c r="O46" s="25">
        <v>29.61</v>
      </c>
      <c r="P46" s="25">
        <v>30.2559</v>
      </c>
      <c r="Q46" s="25">
        <f t="shared" si="0"/>
        <v>29391.705900000001</v>
      </c>
      <c r="R46" s="25">
        <f t="shared" si="1"/>
        <v>0</v>
      </c>
    </row>
    <row r="47" spans="1:18" hidden="1" x14ac:dyDescent="0.25">
      <c r="A47" s="26">
        <v>43801</v>
      </c>
      <c r="B47" s="25" t="s">
        <v>1476</v>
      </c>
      <c r="C47" s="25" t="s">
        <v>17</v>
      </c>
      <c r="D47" s="25">
        <v>100</v>
      </c>
      <c r="E47" s="25">
        <v>284.39999999999998</v>
      </c>
      <c r="F47" s="25">
        <v>28440</v>
      </c>
      <c r="G47" s="25" t="s">
        <v>1683</v>
      </c>
      <c r="H47" s="25">
        <v>2019225</v>
      </c>
      <c r="I47" s="25" t="s">
        <v>19</v>
      </c>
      <c r="J47" s="25" t="s">
        <v>20</v>
      </c>
      <c r="K47" s="25" t="s">
        <v>25</v>
      </c>
      <c r="L47" s="25">
        <v>0</v>
      </c>
      <c r="M47" s="25">
        <v>0.63</v>
      </c>
      <c r="N47" s="25">
        <v>8.6999999999999993</v>
      </c>
      <c r="O47" s="25">
        <v>29.62</v>
      </c>
      <c r="P47" s="25">
        <v>38.945599999999999</v>
      </c>
      <c r="Q47" s="25">
        <f t="shared" si="0"/>
        <v>28478.945599999999</v>
      </c>
      <c r="R47" s="25">
        <f t="shared" si="1"/>
        <v>0</v>
      </c>
    </row>
    <row r="48" spans="1:18" hidden="1" x14ac:dyDescent="0.25">
      <c r="A48" s="26">
        <v>43801</v>
      </c>
      <c r="B48" s="25" t="s">
        <v>1476</v>
      </c>
      <c r="C48" s="25" t="s">
        <v>23</v>
      </c>
      <c r="D48" s="25">
        <v>200</v>
      </c>
      <c r="E48" s="25">
        <v>291.35000000000002</v>
      </c>
      <c r="F48" s="25">
        <v>58270</v>
      </c>
      <c r="G48" s="25" t="s">
        <v>1684</v>
      </c>
      <c r="H48" s="25">
        <v>2019225</v>
      </c>
      <c r="I48" s="25" t="s">
        <v>19</v>
      </c>
      <c r="J48" s="25" t="s">
        <v>20</v>
      </c>
      <c r="K48" s="25" t="s">
        <v>25</v>
      </c>
      <c r="L48" s="25">
        <v>14.88</v>
      </c>
      <c r="M48" s="25">
        <v>1.28</v>
      </c>
      <c r="N48" s="25">
        <v>0</v>
      </c>
      <c r="O48" s="25">
        <v>34.61</v>
      </c>
      <c r="P48" s="25">
        <v>50.771999999999998</v>
      </c>
      <c r="Q48" s="25">
        <f t="shared" si="0"/>
        <v>0</v>
      </c>
      <c r="R48" s="25">
        <f t="shared" si="1"/>
        <v>58219.228000000003</v>
      </c>
    </row>
    <row r="49" spans="1:18" hidden="1" x14ac:dyDescent="0.25">
      <c r="A49" s="26">
        <v>43741</v>
      </c>
      <c r="B49" s="25" t="s">
        <v>268</v>
      </c>
      <c r="C49" s="25" t="s">
        <v>23</v>
      </c>
      <c r="D49" s="25">
        <v>1000</v>
      </c>
      <c r="E49" s="25">
        <v>253.7</v>
      </c>
      <c r="F49" s="25">
        <v>253700</v>
      </c>
      <c r="G49" s="25" t="s">
        <v>1610</v>
      </c>
      <c r="H49" s="25">
        <v>2019186</v>
      </c>
      <c r="I49" s="25" t="s">
        <v>19</v>
      </c>
      <c r="J49" s="25" t="s">
        <v>20</v>
      </c>
      <c r="K49" s="25" t="s">
        <v>25</v>
      </c>
      <c r="L49" s="25">
        <v>64.06</v>
      </c>
      <c r="M49" s="25">
        <v>5.58</v>
      </c>
      <c r="N49" s="25">
        <v>0</v>
      </c>
      <c r="O49" s="25">
        <v>150.69</v>
      </c>
      <c r="P49" s="25">
        <v>220.3314</v>
      </c>
      <c r="Q49" s="25">
        <f t="shared" si="0"/>
        <v>0</v>
      </c>
      <c r="R49" s="25">
        <f t="shared" si="1"/>
        <v>253479.6686</v>
      </c>
    </row>
    <row r="50" spans="1:18" hidden="1" x14ac:dyDescent="0.25">
      <c r="A50" s="26">
        <v>43742</v>
      </c>
      <c r="B50" s="25" t="s">
        <v>268</v>
      </c>
      <c r="C50" s="25" t="s">
        <v>23</v>
      </c>
      <c r="D50" s="25">
        <v>1000</v>
      </c>
      <c r="E50" s="25">
        <v>259.10000000000002</v>
      </c>
      <c r="F50" s="25">
        <v>259100</v>
      </c>
      <c r="G50" s="25" t="s">
        <v>1604</v>
      </c>
      <c r="H50" s="25">
        <v>2019187</v>
      </c>
      <c r="I50" s="25" t="s">
        <v>19</v>
      </c>
      <c r="J50" s="25" t="s">
        <v>20</v>
      </c>
      <c r="K50" s="25" t="s">
        <v>25</v>
      </c>
      <c r="L50" s="25">
        <v>64</v>
      </c>
      <c r="M50" s="25">
        <v>5.7</v>
      </c>
      <c r="N50" s="25">
        <v>15.6</v>
      </c>
      <c r="O50" s="25">
        <v>153.88999999999999</v>
      </c>
      <c r="P50" s="25">
        <v>239.1902</v>
      </c>
      <c r="Q50" s="25">
        <f t="shared" si="0"/>
        <v>0</v>
      </c>
      <c r="R50" s="25">
        <f t="shared" si="1"/>
        <v>258860.80979999999</v>
      </c>
    </row>
    <row r="51" spans="1:18" hidden="1" x14ac:dyDescent="0.25">
      <c r="A51" s="26">
        <v>43798</v>
      </c>
      <c r="B51" s="25" t="s">
        <v>480</v>
      </c>
      <c r="C51" s="25" t="s">
        <v>23</v>
      </c>
      <c r="D51" s="25">
        <v>1000</v>
      </c>
      <c r="E51" s="25">
        <v>91.1</v>
      </c>
      <c r="F51" s="25">
        <v>91100</v>
      </c>
      <c r="G51" s="25" t="s">
        <v>1687</v>
      </c>
      <c r="H51" s="25">
        <v>2019224</v>
      </c>
      <c r="I51" s="25" t="s">
        <v>19</v>
      </c>
      <c r="J51" s="25" t="s">
        <v>20</v>
      </c>
      <c r="K51" s="25" t="s">
        <v>25</v>
      </c>
      <c r="L51" s="25">
        <v>22.79</v>
      </c>
      <c r="M51" s="25">
        <v>2</v>
      </c>
      <c r="N51" s="25">
        <v>0</v>
      </c>
      <c r="O51" s="25">
        <v>54.11</v>
      </c>
      <c r="P51" s="25">
        <v>78.904200000000003</v>
      </c>
      <c r="Q51" s="25">
        <f t="shared" si="0"/>
        <v>0</v>
      </c>
      <c r="R51" s="25">
        <f t="shared" si="1"/>
        <v>91021.095799999996</v>
      </c>
    </row>
    <row r="52" spans="1:18" hidden="1" x14ac:dyDescent="0.25">
      <c r="A52" s="26">
        <v>43798</v>
      </c>
      <c r="B52" s="25" t="s">
        <v>1476</v>
      </c>
      <c r="C52" s="25" t="s">
        <v>17</v>
      </c>
      <c r="D52" s="25">
        <v>200</v>
      </c>
      <c r="E52" s="25">
        <v>364</v>
      </c>
      <c r="F52" s="25">
        <v>72800</v>
      </c>
      <c r="G52" s="25" t="s">
        <v>1688</v>
      </c>
      <c r="H52" s="25">
        <v>2019224</v>
      </c>
      <c r="I52" s="25" t="s">
        <v>19</v>
      </c>
      <c r="J52" s="25" t="s">
        <v>20</v>
      </c>
      <c r="K52" s="25" t="s">
        <v>25</v>
      </c>
      <c r="L52" s="25">
        <v>0</v>
      </c>
      <c r="M52" s="25">
        <v>1.6</v>
      </c>
      <c r="N52" s="25">
        <v>9.9</v>
      </c>
      <c r="O52" s="25">
        <v>43.24</v>
      </c>
      <c r="P52" s="25">
        <v>54.741599999999998</v>
      </c>
      <c r="Q52" s="25">
        <f t="shared" si="0"/>
        <v>72854.741599999994</v>
      </c>
      <c r="R52" s="25">
        <f t="shared" si="1"/>
        <v>0</v>
      </c>
    </row>
    <row r="53" spans="1:18" hidden="1" x14ac:dyDescent="0.25">
      <c r="A53" s="26">
        <v>43798</v>
      </c>
      <c r="B53" s="25" t="s">
        <v>1476</v>
      </c>
      <c r="C53" s="25" t="s">
        <v>23</v>
      </c>
      <c r="D53" s="25">
        <v>200</v>
      </c>
      <c r="E53" s="25">
        <v>364.25</v>
      </c>
      <c r="F53" s="25">
        <v>72850</v>
      </c>
      <c r="G53" s="25" t="s">
        <v>1689</v>
      </c>
      <c r="H53" s="25">
        <v>2019224</v>
      </c>
      <c r="I53" s="25" t="s">
        <v>19</v>
      </c>
      <c r="J53" s="25" t="s">
        <v>20</v>
      </c>
      <c r="K53" s="25" t="s">
        <v>25</v>
      </c>
      <c r="L53" s="25">
        <v>18.21</v>
      </c>
      <c r="M53" s="25">
        <v>1.6</v>
      </c>
      <c r="N53" s="25">
        <v>0</v>
      </c>
      <c r="O53" s="25">
        <v>43.27</v>
      </c>
      <c r="P53" s="25">
        <v>63.082700000000003</v>
      </c>
      <c r="Q53" s="25">
        <f t="shared" si="0"/>
        <v>0</v>
      </c>
      <c r="R53" s="25">
        <f t="shared" si="1"/>
        <v>72786.917300000001</v>
      </c>
    </row>
    <row r="54" spans="1:18" hidden="1" x14ac:dyDescent="0.25">
      <c r="A54" s="26">
        <v>43798</v>
      </c>
      <c r="B54" s="25" t="s">
        <v>480</v>
      </c>
      <c r="C54" s="25" t="s">
        <v>17</v>
      </c>
      <c r="D54" s="25">
        <v>1000</v>
      </c>
      <c r="E54" s="25">
        <v>89</v>
      </c>
      <c r="F54" s="25">
        <v>89000</v>
      </c>
      <c r="G54" s="25" t="s">
        <v>1690</v>
      </c>
      <c r="H54" s="25">
        <v>2019224</v>
      </c>
      <c r="I54" s="25" t="s">
        <v>19</v>
      </c>
      <c r="J54" s="25" t="s">
        <v>20</v>
      </c>
      <c r="K54" s="25" t="s">
        <v>25</v>
      </c>
      <c r="L54" s="25">
        <v>0</v>
      </c>
      <c r="M54" s="25">
        <v>1.96</v>
      </c>
      <c r="N54" s="25">
        <v>0</v>
      </c>
      <c r="O54" s="25">
        <v>52.86</v>
      </c>
      <c r="P54" s="25">
        <v>54.817999999999998</v>
      </c>
      <c r="Q54" s="25">
        <f t="shared" si="0"/>
        <v>89054.817999999999</v>
      </c>
      <c r="R54" s="25">
        <f t="shared" si="1"/>
        <v>0</v>
      </c>
    </row>
    <row r="55" spans="1:18" hidden="1" x14ac:dyDescent="0.25">
      <c r="A55" s="26">
        <v>43797</v>
      </c>
      <c r="B55" s="25" t="s">
        <v>1476</v>
      </c>
      <c r="C55" s="25" t="s">
        <v>23</v>
      </c>
      <c r="D55" s="25">
        <v>500</v>
      </c>
      <c r="E55" s="25">
        <v>305.12</v>
      </c>
      <c r="F55" s="25">
        <v>152560.35</v>
      </c>
      <c r="G55" s="25" t="s">
        <v>1691</v>
      </c>
      <c r="H55" s="25">
        <v>2019223</v>
      </c>
      <c r="I55" s="25" t="s">
        <v>19</v>
      </c>
      <c r="J55" s="25" t="s">
        <v>20</v>
      </c>
      <c r="K55" s="25" t="s">
        <v>25</v>
      </c>
      <c r="L55" s="25">
        <v>38</v>
      </c>
      <c r="M55" s="25">
        <v>3.36</v>
      </c>
      <c r="N55" s="25">
        <v>9.3000000000000007</v>
      </c>
      <c r="O55" s="25">
        <v>90.63</v>
      </c>
      <c r="P55" s="25">
        <v>141.28639999999999</v>
      </c>
      <c r="Q55" s="25">
        <f t="shared" si="0"/>
        <v>0</v>
      </c>
      <c r="R55" s="25">
        <f t="shared" si="1"/>
        <v>152419.06359999999</v>
      </c>
    </row>
    <row r="56" spans="1:18" hidden="1" x14ac:dyDescent="0.25">
      <c r="A56" s="26">
        <v>43797</v>
      </c>
      <c r="B56" s="25" t="s">
        <v>1476</v>
      </c>
      <c r="C56" s="25" t="s">
        <v>17</v>
      </c>
      <c r="D56" s="25">
        <v>500</v>
      </c>
      <c r="E56" s="25">
        <v>298</v>
      </c>
      <c r="F56" s="25">
        <v>149000</v>
      </c>
      <c r="G56" s="25" t="s">
        <v>1692</v>
      </c>
      <c r="H56" s="25">
        <v>2019223</v>
      </c>
      <c r="I56" s="25" t="s">
        <v>19</v>
      </c>
      <c r="J56" s="25" t="s">
        <v>20</v>
      </c>
      <c r="K56" s="25" t="s">
        <v>25</v>
      </c>
      <c r="L56" s="25">
        <v>0</v>
      </c>
      <c r="M56" s="25">
        <v>3.28</v>
      </c>
      <c r="N56" s="25">
        <v>0</v>
      </c>
      <c r="O56" s="25">
        <v>88.5</v>
      </c>
      <c r="P56" s="25">
        <v>91.778000000000006</v>
      </c>
      <c r="Q56" s="25">
        <f t="shared" si="0"/>
        <v>149091.77799999999</v>
      </c>
      <c r="R56" s="25">
        <f t="shared" si="1"/>
        <v>0</v>
      </c>
    </row>
    <row r="57" spans="1:18" hidden="1" x14ac:dyDescent="0.25">
      <c r="A57" s="26">
        <v>43796</v>
      </c>
      <c r="B57" s="25" t="s">
        <v>282</v>
      </c>
      <c r="C57" s="25" t="s">
        <v>17</v>
      </c>
      <c r="D57" s="25">
        <v>700</v>
      </c>
      <c r="E57" s="25">
        <v>273.27999999999997</v>
      </c>
      <c r="F57" s="25">
        <v>191292.5</v>
      </c>
      <c r="G57" s="25" t="s">
        <v>1693</v>
      </c>
      <c r="H57" s="25">
        <v>2019222</v>
      </c>
      <c r="I57" s="25" t="s">
        <v>19</v>
      </c>
      <c r="J57" s="25" t="s">
        <v>20</v>
      </c>
      <c r="K57" s="25" t="s">
        <v>25</v>
      </c>
      <c r="L57" s="25">
        <v>0</v>
      </c>
      <c r="M57" s="25">
        <v>4.21</v>
      </c>
      <c r="N57" s="25">
        <v>11.7</v>
      </c>
      <c r="O57" s="25">
        <v>113.62</v>
      </c>
      <c r="P57" s="25">
        <v>129.52850000000001</v>
      </c>
      <c r="Q57" s="25">
        <f t="shared" si="0"/>
        <v>191422.02849999999</v>
      </c>
      <c r="R57" s="25">
        <f t="shared" si="1"/>
        <v>0</v>
      </c>
    </row>
    <row r="58" spans="1:18" hidden="1" x14ac:dyDescent="0.25">
      <c r="A58" s="26">
        <v>43796</v>
      </c>
      <c r="B58" s="25" t="s">
        <v>282</v>
      </c>
      <c r="C58" s="25" t="s">
        <v>23</v>
      </c>
      <c r="D58" s="25">
        <v>700</v>
      </c>
      <c r="E58" s="25">
        <v>276.89999999999998</v>
      </c>
      <c r="F58" s="25">
        <v>193830</v>
      </c>
      <c r="G58" s="25" t="s">
        <v>1694</v>
      </c>
      <c r="H58" s="25">
        <v>2019222</v>
      </c>
      <c r="I58" s="25" t="s">
        <v>19</v>
      </c>
      <c r="J58" s="25" t="s">
        <v>20</v>
      </c>
      <c r="K58" s="25" t="s">
        <v>25</v>
      </c>
      <c r="L58" s="25">
        <v>48</v>
      </c>
      <c r="M58" s="25">
        <v>4.26</v>
      </c>
      <c r="N58" s="25">
        <v>0</v>
      </c>
      <c r="O58" s="25">
        <v>115.13</v>
      </c>
      <c r="P58" s="25">
        <v>167.39420000000001</v>
      </c>
      <c r="Q58" s="25">
        <f t="shared" si="0"/>
        <v>0</v>
      </c>
      <c r="R58" s="25">
        <f t="shared" si="1"/>
        <v>193662.60579999999</v>
      </c>
    </row>
    <row r="59" spans="1:18" hidden="1" x14ac:dyDescent="0.25">
      <c r="A59" s="26">
        <v>43795</v>
      </c>
      <c r="B59" s="25" t="s">
        <v>16</v>
      </c>
      <c r="C59" s="25" t="s">
        <v>17</v>
      </c>
      <c r="D59" s="25">
        <v>100</v>
      </c>
      <c r="E59" s="25">
        <v>22.1</v>
      </c>
      <c r="F59" s="25">
        <v>2210</v>
      </c>
      <c r="G59" s="25" t="s">
        <v>1695</v>
      </c>
      <c r="H59" s="25">
        <v>2019221</v>
      </c>
      <c r="I59" s="25" t="s">
        <v>19</v>
      </c>
      <c r="J59" s="25" t="s">
        <v>20</v>
      </c>
      <c r="K59" s="25" t="s">
        <v>25</v>
      </c>
      <c r="L59" s="25">
        <v>2.1</v>
      </c>
      <c r="M59" s="25">
        <v>0.05</v>
      </c>
      <c r="N59" s="25">
        <v>16.2</v>
      </c>
      <c r="O59" s="25">
        <v>41.31</v>
      </c>
      <c r="P59" s="25">
        <v>59.6586</v>
      </c>
      <c r="Q59" s="25">
        <f t="shared" si="0"/>
        <v>2269.6586000000002</v>
      </c>
      <c r="R59" s="25">
        <f t="shared" si="1"/>
        <v>0</v>
      </c>
    </row>
    <row r="60" spans="1:18" hidden="1" x14ac:dyDescent="0.25">
      <c r="A60" s="26">
        <v>43795</v>
      </c>
      <c r="B60" s="25" t="s">
        <v>1476</v>
      </c>
      <c r="C60" s="25" t="s">
        <v>17</v>
      </c>
      <c r="D60" s="25">
        <v>500</v>
      </c>
      <c r="E60" s="25">
        <v>272.14999999999998</v>
      </c>
      <c r="F60" s="25">
        <v>136075</v>
      </c>
      <c r="G60" s="25" t="s">
        <v>1696</v>
      </c>
      <c r="H60" s="25">
        <v>2019221</v>
      </c>
      <c r="I60" s="25" t="s">
        <v>19</v>
      </c>
      <c r="J60" s="25" t="s">
        <v>20</v>
      </c>
      <c r="K60" s="25" t="s">
        <v>25</v>
      </c>
      <c r="L60" s="25">
        <v>0</v>
      </c>
      <c r="M60" s="25">
        <v>2.99</v>
      </c>
      <c r="N60" s="25">
        <v>0</v>
      </c>
      <c r="O60" s="25">
        <v>80.819999999999993</v>
      </c>
      <c r="P60" s="25">
        <v>83.813699999999997</v>
      </c>
      <c r="Q60" s="25">
        <f t="shared" si="0"/>
        <v>136158.8137</v>
      </c>
      <c r="R60" s="25">
        <f t="shared" si="1"/>
        <v>0</v>
      </c>
    </row>
    <row r="61" spans="1:18" hidden="1" x14ac:dyDescent="0.25">
      <c r="A61" s="26">
        <v>43795</v>
      </c>
      <c r="B61" s="25" t="s">
        <v>1476</v>
      </c>
      <c r="C61" s="25" t="s">
        <v>23</v>
      </c>
      <c r="D61" s="25">
        <v>253</v>
      </c>
      <c r="E61" s="25">
        <v>263.64</v>
      </c>
      <c r="F61" s="25">
        <v>66701.149999999994</v>
      </c>
      <c r="G61" s="25" t="s">
        <v>1697</v>
      </c>
      <c r="H61" s="25">
        <v>2019221</v>
      </c>
      <c r="I61" s="25" t="s">
        <v>19</v>
      </c>
      <c r="J61" s="25" t="s">
        <v>20</v>
      </c>
      <c r="K61" s="25" t="s">
        <v>25</v>
      </c>
      <c r="L61" s="25">
        <v>16.93</v>
      </c>
      <c r="M61" s="25">
        <v>1.47</v>
      </c>
      <c r="N61" s="25">
        <v>0</v>
      </c>
      <c r="O61" s="25">
        <v>39.619999999999997</v>
      </c>
      <c r="P61" s="25">
        <v>58.017400000000002</v>
      </c>
      <c r="Q61" s="25">
        <f t="shared" si="0"/>
        <v>0</v>
      </c>
      <c r="R61" s="25">
        <f t="shared" si="1"/>
        <v>66643.132599999997</v>
      </c>
    </row>
    <row r="62" spans="1:18" hidden="1" x14ac:dyDescent="0.25">
      <c r="A62" s="26">
        <v>43795</v>
      </c>
      <c r="B62" s="25" t="s">
        <v>1476</v>
      </c>
      <c r="C62" s="25" t="s">
        <v>23</v>
      </c>
      <c r="D62" s="25">
        <v>247</v>
      </c>
      <c r="E62" s="25">
        <v>265.45</v>
      </c>
      <c r="F62" s="25">
        <v>65566.149999999994</v>
      </c>
      <c r="G62" s="25" t="s">
        <v>1698</v>
      </c>
      <c r="H62" s="25">
        <v>2019221</v>
      </c>
      <c r="I62" s="25" t="s">
        <v>19</v>
      </c>
      <c r="J62" s="25" t="s">
        <v>20</v>
      </c>
      <c r="K62" s="25" t="s">
        <v>25</v>
      </c>
      <c r="L62" s="25">
        <v>16.52</v>
      </c>
      <c r="M62" s="25">
        <v>1.44</v>
      </c>
      <c r="N62" s="25">
        <v>0</v>
      </c>
      <c r="O62" s="25">
        <v>38.94</v>
      </c>
      <c r="P62" s="25">
        <v>56.9024</v>
      </c>
      <c r="Q62" s="25">
        <f t="shared" si="0"/>
        <v>0</v>
      </c>
      <c r="R62" s="25">
        <f t="shared" si="1"/>
        <v>65509.247599999995</v>
      </c>
    </row>
    <row r="63" spans="1:18" hidden="1" x14ac:dyDescent="0.25">
      <c r="A63" s="26">
        <v>43795</v>
      </c>
      <c r="B63" s="25" t="s">
        <v>1476</v>
      </c>
      <c r="C63" s="25" t="s">
        <v>23</v>
      </c>
      <c r="D63" s="25">
        <v>500</v>
      </c>
      <c r="E63" s="25">
        <v>267</v>
      </c>
      <c r="F63" s="25">
        <v>133500</v>
      </c>
      <c r="G63" s="25" t="s">
        <v>1699</v>
      </c>
      <c r="H63" s="25">
        <v>2019221</v>
      </c>
      <c r="I63" s="25" t="s">
        <v>19</v>
      </c>
      <c r="J63" s="25" t="s">
        <v>20</v>
      </c>
      <c r="K63" s="25" t="s">
        <v>25</v>
      </c>
      <c r="L63" s="25">
        <v>33.450000000000003</v>
      </c>
      <c r="M63" s="25">
        <v>2.94</v>
      </c>
      <c r="N63" s="25">
        <v>0</v>
      </c>
      <c r="O63" s="25">
        <v>79.290000000000006</v>
      </c>
      <c r="P63" s="25">
        <v>115.67700000000001</v>
      </c>
      <c r="Q63" s="25">
        <f t="shared" si="0"/>
        <v>0</v>
      </c>
      <c r="R63" s="25">
        <f t="shared" si="1"/>
        <v>133384.323</v>
      </c>
    </row>
    <row r="64" spans="1:18" hidden="1" x14ac:dyDescent="0.25">
      <c r="A64" s="26">
        <v>43795</v>
      </c>
      <c r="B64" s="25" t="s">
        <v>1476</v>
      </c>
      <c r="C64" s="25" t="s">
        <v>17</v>
      </c>
      <c r="D64" s="25">
        <v>500</v>
      </c>
      <c r="E64" s="25">
        <v>266.7</v>
      </c>
      <c r="F64" s="25">
        <v>133350</v>
      </c>
      <c r="G64" s="25" t="s">
        <v>1700</v>
      </c>
      <c r="H64" s="25">
        <v>2019221</v>
      </c>
      <c r="I64" s="25" t="s">
        <v>19</v>
      </c>
      <c r="J64" s="25" t="s">
        <v>20</v>
      </c>
      <c r="K64" s="25" t="s">
        <v>25</v>
      </c>
      <c r="L64" s="25">
        <v>0</v>
      </c>
      <c r="M64" s="25">
        <v>2.93</v>
      </c>
      <c r="N64" s="25">
        <v>0</v>
      </c>
      <c r="O64" s="25">
        <v>79.2</v>
      </c>
      <c r="P64" s="25">
        <v>82.133799999999994</v>
      </c>
      <c r="Q64" s="25">
        <f t="shared" si="0"/>
        <v>133432.13380000001</v>
      </c>
      <c r="R64" s="25">
        <f t="shared" si="1"/>
        <v>0</v>
      </c>
    </row>
    <row r="65" spans="1:18" hidden="1" x14ac:dyDescent="0.25">
      <c r="A65" s="26">
        <v>43794</v>
      </c>
      <c r="B65" s="25" t="s">
        <v>111</v>
      </c>
      <c r="C65" s="25" t="s">
        <v>17</v>
      </c>
      <c r="D65" s="25">
        <v>100</v>
      </c>
      <c r="E65" s="25">
        <v>454.5</v>
      </c>
      <c r="F65" s="25">
        <v>45450</v>
      </c>
      <c r="G65" s="25" t="s">
        <v>1701</v>
      </c>
      <c r="H65" s="25">
        <v>2019220</v>
      </c>
      <c r="I65" s="25" t="s">
        <v>19</v>
      </c>
      <c r="J65" s="25" t="s">
        <v>20</v>
      </c>
      <c r="K65" s="25" t="s">
        <v>25</v>
      </c>
      <c r="L65" s="25">
        <v>0</v>
      </c>
      <c r="M65" s="25">
        <v>1</v>
      </c>
      <c r="N65" s="25">
        <v>0</v>
      </c>
      <c r="O65" s="25">
        <v>29.68</v>
      </c>
      <c r="P65" s="25">
        <v>30.68</v>
      </c>
      <c r="Q65" s="25">
        <f t="shared" si="0"/>
        <v>45480.68</v>
      </c>
      <c r="R65" s="25">
        <f t="shared" si="1"/>
        <v>0</v>
      </c>
    </row>
    <row r="66" spans="1:18" hidden="1" x14ac:dyDescent="0.25">
      <c r="A66" s="26">
        <v>43794</v>
      </c>
      <c r="B66" s="25" t="s">
        <v>111</v>
      </c>
      <c r="C66" s="25" t="s">
        <v>23</v>
      </c>
      <c r="D66" s="25">
        <v>100</v>
      </c>
      <c r="E66" s="25">
        <v>460</v>
      </c>
      <c r="F66" s="25">
        <v>46000</v>
      </c>
      <c r="G66" s="25" t="s">
        <v>1702</v>
      </c>
      <c r="H66" s="25">
        <v>2019220</v>
      </c>
      <c r="I66" s="25" t="s">
        <v>19</v>
      </c>
      <c r="J66" s="25" t="s">
        <v>20</v>
      </c>
      <c r="K66" s="25" t="s">
        <v>25</v>
      </c>
      <c r="L66" s="25">
        <v>11.78</v>
      </c>
      <c r="M66" s="25">
        <v>1.01</v>
      </c>
      <c r="N66" s="25">
        <v>0</v>
      </c>
      <c r="O66" s="25">
        <v>29.68</v>
      </c>
      <c r="P66" s="25">
        <v>42.472000000000001</v>
      </c>
      <c r="Q66" s="25">
        <f t="shared" si="0"/>
        <v>0</v>
      </c>
      <c r="R66" s="25">
        <f t="shared" si="1"/>
        <v>45957.527999999998</v>
      </c>
    </row>
    <row r="67" spans="1:18" hidden="1" x14ac:dyDescent="0.25">
      <c r="A67" s="26">
        <v>43794</v>
      </c>
      <c r="B67" s="25" t="s">
        <v>111</v>
      </c>
      <c r="C67" s="25" t="s">
        <v>23</v>
      </c>
      <c r="D67" s="25">
        <v>250</v>
      </c>
      <c r="E67" s="25">
        <v>458.6</v>
      </c>
      <c r="F67" s="25">
        <v>114650</v>
      </c>
      <c r="G67" s="25" t="s">
        <v>1703</v>
      </c>
      <c r="H67" s="25">
        <v>2019220</v>
      </c>
      <c r="I67" s="25" t="s">
        <v>19</v>
      </c>
      <c r="J67" s="25" t="s">
        <v>20</v>
      </c>
      <c r="K67" s="25" t="s">
        <v>25</v>
      </c>
      <c r="L67" s="25">
        <v>28.6</v>
      </c>
      <c r="M67" s="25">
        <v>2.52</v>
      </c>
      <c r="N67" s="25">
        <v>0</v>
      </c>
      <c r="O67" s="25">
        <v>68.099999999999994</v>
      </c>
      <c r="P67" s="25">
        <v>99.222399999999993</v>
      </c>
      <c r="Q67" s="25">
        <f t="shared" ref="Q67:Q130" si="2">IF(C67="Buy",F67+P67,0)</f>
        <v>0</v>
      </c>
      <c r="R67" s="25">
        <f t="shared" ref="R67:R130" si="3">IF(C67="Sell",F67-P67,0)</f>
        <v>114550.7776</v>
      </c>
    </row>
    <row r="68" spans="1:18" hidden="1" x14ac:dyDescent="0.25">
      <c r="A68" s="26">
        <v>43794</v>
      </c>
      <c r="B68" s="25" t="s">
        <v>111</v>
      </c>
      <c r="C68" s="25" t="s">
        <v>17</v>
      </c>
      <c r="D68" s="25">
        <v>250</v>
      </c>
      <c r="E68" s="25">
        <v>457</v>
      </c>
      <c r="F68" s="25">
        <v>114250</v>
      </c>
      <c r="G68" s="25" t="s">
        <v>1704</v>
      </c>
      <c r="H68" s="25">
        <v>2019220</v>
      </c>
      <c r="I68" s="25" t="s">
        <v>19</v>
      </c>
      <c r="J68" s="25" t="s">
        <v>20</v>
      </c>
      <c r="K68" s="25" t="s">
        <v>25</v>
      </c>
      <c r="L68" s="25">
        <v>0</v>
      </c>
      <c r="M68" s="25">
        <v>2.5099999999999998</v>
      </c>
      <c r="N68" s="25">
        <v>0</v>
      </c>
      <c r="O68" s="25">
        <v>67.86</v>
      </c>
      <c r="P68" s="25">
        <v>70.373599999999996</v>
      </c>
      <c r="Q68" s="25">
        <f t="shared" si="2"/>
        <v>114320.37360000001</v>
      </c>
      <c r="R68" s="25">
        <f t="shared" si="3"/>
        <v>0</v>
      </c>
    </row>
    <row r="69" spans="1:18" hidden="1" x14ac:dyDescent="0.25">
      <c r="A69" s="26">
        <v>43794</v>
      </c>
      <c r="B69" s="25" t="s">
        <v>1476</v>
      </c>
      <c r="C69" s="25" t="s">
        <v>23</v>
      </c>
      <c r="D69" s="25">
        <v>500</v>
      </c>
      <c r="E69" s="25">
        <v>240</v>
      </c>
      <c r="F69" s="25">
        <v>120000</v>
      </c>
      <c r="G69" s="25" t="s">
        <v>1705</v>
      </c>
      <c r="H69" s="25">
        <v>2019220</v>
      </c>
      <c r="I69" s="25" t="s">
        <v>19</v>
      </c>
      <c r="J69" s="25" t="s">
        <v>20</v>
      </c>
      <c r="K69" s="25" t="s">
        <v>25</v>
      </c>
      <c r="L69" s="25">
        <v>32.049999999999997</v>
      </c>
      <c r="M69" s="25">
        <v>2.64</v>
      </c>
      <c r="N69" s="25">
        <v>0</v>
      </c>
      <c r="O69" s="25">
        <v>71.28</v>
      </c>
      <c r="P69" s="25">
        <v>105.97</v>
      </c>
      <c r="Q69" s="25">
        <f t="shared" si="2"/>
        <v>0</v>
      </c>
      <c r="R69" s="25">
        <f t="shared" si="3"/>
        <v>119894.03</v>
      </c>
    </row>
    <row r="70" spans="1:18" hidden="1" x14ac:dyDescent="0.25">
      <c r="A70" s="26">
        <v>43794</v>
      </c>
      <c r="B70" s="25" t="s">
        <v>1476</v>
      </c>
      <c r="C70" s="25" t="s">
        <v>17</v>
      </c>
      <c r="D70" s="25">
        <v>500</v>
      </c>
      <c r="E70" s="25">
        <v>252.47</v>
      </c>
      <c r="F70" s="25">
        <v>126234.3</v>
      </c>
      <c r="G70" s="25" t="s">
        <v>1706</v>
      </c>
      <c r="H70" s="25">
        <v>2019220</v>
      </c>
      <c r="I70" s="25" t="s">
        <v>19</v>
      </c>
      <c r="J70" s="25" t="s">
        <v>20</v>
      </c>
      <c r="K70" s="25" t="s">
        <v>25</v>
      </c>
      <c r="L70" s="25">
        <v>0</v>
      </c>
      <c r="M70" s="25">
        <v>2.78</v>
      </c>
      <c r="N70" s="25">
        <v>102</v>
      </c>
      <c r="O70" s="25">
        <v>74.98</v>
      </c>
      <c r="P70" s="25">
        <v>179.75710000000001</v>
      </c>
      <c r="Q70" s="25">
        <f t="shared" si="2"/>
        <v>126414.05710000001</v>
      </c>
      <c r="R70" s="25">
        <f t="shared" si="3"/>
        <v>0</v>
      </c>
    </row>
    <row r="71" spans="1:18" hidden="1" x14ac:dyDescent="0.25">
      <c r="A71" s="26">
        <v>43794</v>
      </c>
      <c r="B71" s="25" t="s">
        <v>1476</v>
      </c>
      <c r="C71" s="25" t="s">
        <v>17</v>
      </c>
      <c r="D71" s="25">
        <v>500</v>
      </c>
      <c r="E71" s="25">
        <v>253.3</v>
      </c>
      <c r="F71" s="25">
        <v>126650</v>
      </c>
      <c r="G71" s="25" t="s">
        <v>1707</v>
      </c>
      <c r="H71" s="25">
        <v>2019220</v>
      </c>
      <c r="I71" s="25" t="s">
        <v>19</v>
      </c>
      <c r="J71" s="25" t="s">
        <v>20</v>
      </c>
      <c r="K71" s="25" t="s">
        <v>25</v>
      </c>
      <c r="L71" s="25">
        <v>0</v>
      </c>
      <c r="M71" s="25">
        <v>2.79</v>
      </c>
      <c r="N71" s="25">
        <v>0</v>
      </c>
      <c r="O71" s="25">
        <v>75.22</v>
      </c>
      <c r="P71" s="25">
        <v>78.006299999999996</v>
      </c>
      <c r="Q71" s="25">
        <f t="shared" si="2"/>
        <v>126728.00629999999</v>
      </c>
      <c r="R71" s="25">
        <f t="shared" si="3"/>
        <v>0</v>
      </c>
    </row>
    <row r="72" spans="1:18" hidden="1" x14ac:dyDescent="0.25">
      <c r="A72" s="26">
        <v>43794</v>
      </c>
      <c r="B72" s="25" t="s">
        <v>1476</v>
      </c>
      <c r="C72" s="25" t="s">
        <v>17</v>
      </c>
      <c r="D72" s="25">
        <v>5000</v>
      </c>
      <c r="E72" s="25">
        <v>255.91</v>
      </c>
      <c r="F72" s="25">
        <v>1279537.8500000001</v>
      </c>
      <c r="G72" s="25" t="s">
        <v>1708</v>
      </c>
      <c r="H72" s="25">
        <v>2019220</v>
      </c>
      <c r="I72" s="25" t="s">
        <v>19</v>
      </c>
      <c r="J72" s="25" t="s">
        <v>20</v>
      </c>
      <c r="K72" s="25" t="s">
        <v>25</v>
      </c>
      <c r="L72" s="25">
        <v>0</v>
      </c>
      <c r="M72" s="25">
        <v>28.15</v>
      </c>
      <c r="N72" s="25">
        <v>0</v>
      </c>
      <c r="O72" s="25">
        <v>759.99</v>
      </c>
      <c r="P72" s="25">
        <v>788.14</v>
      </c>
      <c r="Q72" s="25">
        <f t="shared" si="2"/>
        <v>1280325.99</v>
      </c>
      <c r="R72" s="25">
        <f t="shared" si="3"/>
        <v>0</v>
      </c>
    </row>
    <row r="73" spans="1:18" hidden="1" x14ac:dyDescent="0.25">
      <c r="A73" s="26">
        <v>43794</v>
      </c>
      <c r="B73" s="25" t="s">
        <v>1476</v>
      </c>
      <c r="C73" s="25" t="s">
        <v>23</v>
      </c>
      <c r="D73" s="25">
        <v>5500</v>
      </c>
      <c r="E73" s="25">
        <v>259</v>
      </c>
      <c r="F73" s="25">
        <v>1424500</v>
      </c>
      <c r="G73" s="25" t="s">
        <v>1709</v>
      </c>
      <c r="H73" s="25">
        <v>2019220</v>
      </c>
      <c r="I73" s="25" t="s">
        <v>19</v>
      </c>
      <c r="J73" s="25" t="s">
        <v>20</v>
      </c>
      <c r="K73" s="25" t="s">
        <v>25</v>
      </c>
      <c r="L73" s="25">
        <v>352.56</v>
      </c>
      <c r="M73" s="25">
        <v>31.34</v>
      </c>
      <c r="N73" s="25">
        <v>0</v>
      </c>
      <c r="O73" s="25">
        <v>846.09</v>
      </c>
      <c r="P73" s="25">
        <v>1229.989</v>
      </c>
      <c r="Q73" s="25">
        <f t="shared" si="2"/>
        <v>0</v>
      </c>
      <c r="R73" s="25">
        <f t="shared" si="3"/>
        <v>1423270.0109999999</v>
      </c>
    </row>
    <row r="74" spans="1:18" hidden="1" x14ac:dyDescent="0.25">
      <c r="A74" s="26">
        <v>43791</v>
      </c>
      <c r="B74" s="25" t="s">
        <v>111</v>
      </c>
      <c r="C74" s="25" t="s">
        <v>17</v>
      </c>
      <c r="D74" s="25">
        <v>500</v>
      </c>
      <c r="E74" s="25">
        <v>456.5</v>
      </c>
      <c r="F74" s="25">
        <v>228250</v>
      </c>
      <c r="G74" s="25" t="s">
        <v>1710</v>
      </c>
      <c r="H74" s="25">
        <v>2019219</v>
      </c>
      <c r="I74" s="25" t="s">
        <v>19</v>
      </c>
      <c r="J74" s="25" t="s">
        <v>20</v>
      </c>
      <c r="K74" s="25" t="s">
        <v>25</v>
      </c>
      <c r="L74" s="25">
        <v>0</v>
      </c>
      <c r="M74" s="25">
        <v>5.0199999999999996</v>
      </c>
      <c r="N74" s="25">
        <v>0</v>
      </c>
      <c r="O74" s="25">
        <v>135.57</v>
      </c>
      <c r="P74" s="25">
        <v>140.5916</v>
      </c>
      <c r="Q74" s="25">
        <f t="shared" si="2"/>
        <v>228390.59160000001</v>
      </c>
      <c r="R74" s="25">
        <f t="shared" si="3"/>
        <v>0</v>
      </c>
    </row>
    <row r="75" spans="1:18" hidden="1" x14ac:dyDescent="0.25">
      <c r="A75" s="26">
        <v>43791</v>
      </c>
      <c r="B75" s="25" t="s">
        <v>111</v>
      </c>
      <c r="C75" s="25" t="s">
        <v>23</v>
      </c>
      <c r="D75" s="25">
        <v>500</v>
      </c>
      <c r="E75" s="25">
        <v>461</v>
      </c>
      <c r="F75" s="25">
        <v>230500</v>
      </c>
      <c r="G75" s="25" t="s">
        <v>1711</v>
      </c>
      <c r="H75" s="25">
        <v>2019219</v>
      </c>
      <c r="I75" s="25" t="s">
        <v>19</v>
      </c>
      <c r="J75" s="25" t="s">
        <v>20</v>
      </c>
      <c r="K75" s="25" t="s">
        <v>25</v>
      </c>
      <c r="L75" s="25">
        <v>56.92</v>
      </c>
      <c r="M75" s="25">
        <v>5.07</v>
      </c>
      <c r="N75" s="25">
        <v>0</v>
      </c>
      <c r="O75" s="25">
        <v>136.91</v>
      </c>
      <c r="P75" s="25">
        <v>198.90100000000001</v>
      </c>
      <c r="Q75" s="25">
        <f t="shared" si="2"/>
        <v>0</v>
      </c>
      <c r="R75" s="25">
        <f t="shared" si="3"/>
        <v>230301.09899999999</v>
      </c>
    </row>
    <row r="76" spans="1:18" hidden="1" x14ac:dyDescent="0.25">
      <c r="A76" s="26">
        <v>43791</v>
      </c>
      <c r="B76" s="25" t="s">
        <v>111</v>
      </c>
      <c r="C76" s="25" t="s">
        <v>17</v>
      </c>
      <c r="D76" s="25">
        <v>100</v>
      </c>
      <c r="E76" s="25">
        <v>455.99</v>
      </c>
      <c r="F76" s="25">
        <v>45599.3</v>
      </c>
      <c r="G76" s="25" t="s">
        <v>1712</v>
      </c>
      <c r="H76" s="25">
        <v>2019219</v>
      </c>
      <c r="I76" s="25" t="s">
        <v>19</v>
      </c>
      <c r="J76" s="25" t="s">
        <v>20</v>
      </c>
      <c r="K76" s="25" t="s">
        <v>25</v>
      </c>
      <c r="L76" s="25">
        <v>0</v>
      </c>
      <c r="M76" s="25">
        <v>1</v>
      </c>
      <c r="N76" s="25">
        <v>0</v>
      </c>
      <c r="O76" s="25">
        <v>29.67</v>
      </c>
      <c r="P76" s="25">
        <v>30.673300000000001</v>
      </c>
      <c r="Q76" s="25">
        <f t="shared" si="2"/>
        <v>45629.973300000005</v>
      </c>
      <c r="R76" s="25">
        <f t="shared" si="3"/>
        <v>0</v>
      </c>
    </row>
    <row r="77" spans="1:18" hidden="1" x14ac:dyDescent="0.25">
      <c r="A77" s="26">
        <v>43791</v>
      </c>
      <c r="B77" s="25" t="s">
        <v>282</v>
      </c>
      <c r="C77" s="25" t="s">
        <v>17</v>
      </c>
      <c r="D77" s="25">
        <v>250</v>
      </c>
      <c r="E77" s="25">
        <v>256</v>
      </c>
      <c r="F77" s="25">
        <v>64000</v>
      </c>
      <c r="G77" s="25" t="s">
        <v>1713</v>
      </c>
      <c r="H77" s="25">
        <v>2019219</v>
      </c>
      <c r="I77" s="25" t="s">
        <v>19</v>
      </c>
      <c r="J77" s="25" t="s">
        <v>20</v>
      </c>
      <c r="K77" s="25" t="s">
        <v>25</v>
      </c>
      <c r="L77" s="25">
        <v>0</v>
      </c>
      <c r="M77" s="25">
        <v>1.41</v>
      </c>
      <c r="N77" s="25">
        <v>0</v>
      </c>
      <c r="O77" s="25">
        <v>38.020000000000003</v>
      </c>
      <c r="P77" s="25">
        <v>39.427999999999997</v>
      </c>
      <c r="Q77" s="25">
        <f t="shared" si="2"/>
        <v>64039.428</v>
      </c>
      <c r="R77" s="25">
        <f t="shared" si="3"/>
        <v>0</v>
      </c>
    </row>
    <row r="78" spans="1:18" hidden="1" x14ac:dyDescent="0.25">
      <c r="A78" s="26">
        <v>43791</v>
      </c>
      <c r="B78" s="25" t="s">
        <v>282</v>
      </c>
      <c r="C78" s="25" t="s">
        <v>23</v>
      </c>
      <c r="D78" s="25">
        <v>250</v>
      </c>
      <c r="E78" s="25">
        <v>257</v>
      </c>
      <c r="F78" s="25">
        <v>64250</v>
      </c>
      <c r="G78" s="25" t="s">
        <v>1714</v>
      </c>
      <c r="H78" s="25">
        <v>2019219</v>
      </c>
      <c r="I78" s="25" t="s">
        <v>19</v>
      </c>
      <c r="J78" s="25" t="s">
        <v>20</v>
      </c>
      <c r="K78" s="25" t="s">
        <v>25</v>
      </c>
      <c r="L78" s="25">
        <v>16.170000000000002</v>
      </c>
      <c r="M78" s="25">
        <v>1.41</v>
      </c>
      <c r="N78" s="25">
        <v>31.2</v>
      </c>
      <c r="O78" s="25">
        <v>38.159999999999997</v>
      </c>
      <c r="P78" s="25">
        <v>86.9435</v>
      </c>
      <c r="Q78" s="25">
        <f t="shared" si="2"/>
        <v>0</v>
      </c>
      <c r="R78" s="25">
        <f t="shared" si="3"/>
        <v>64163.056499999999</v>
      </c>
    </row>
    <row r="79" spans="1:18" hidden="1" x14ac:dyDescent="0.25">
      <c r="A79" s="26">
        <v>43791</v>
      </c>
      <c r="B79" s="25" t="s">
        <v>111</v>
      </c>
      <c r="C79" s="25" t="s">
        <v>17</v>
      </c>
      <c r="D79" s="25">
        <v>100</v>
      </c>
      <c r="E79" s="25">
        <v>453</v>
      </c>
      <c r="F79" s="25">
        <v>45300</v>
      </c>
      <c r="G79" s="25" t="s">
        <v>1715</v>
      </c>
      <c r="H79" s="25">
        <v>2019219</v>
      </c>
      <c r="I79" s="25" t="s">
        <v>19</v>
      </c>
      <c r="J79" s="25" t="s">
        <v>20</v>
      </c>
      <c r="K79" s="25" t="s">
        <v>25</v>
      </c>
      <c r="L79" s="25">
        <v>0</v>
      </c>
      <c r="M79" s="25">
        <v>1</v>
      </c>
      <c r="N79" s="25">
        <v>0</v>
      </c>
      <c r="O79" s="25">
        <v>29.68</v>
      </c>
      <c r="P79" s="25">
        <v>30.676600000000001</v>
      </c>
      <c r="Q79" s="25">
        <f t="shared" si="2"/>
        <v>45330.676599999999</v>
      </c>
      <c r="R79" s="25">
        <f t="shared" si="3"/>
        <v>0</v>
      </c>
    </row>
    <row r="80" spans="1:18" hidden="1" x14ac:dyDescent="0.25">
      <c r="A80" s="26">
        <v>43791</v>
      </c>
      <c r="B80" s="25" t="s">
        <v>111</v>
      </c>
      <c r="C80" s="25" t="s">
        <v>17</v>
      </c>
      <c r="D80" s="25">
        <v>100</v>
      </c>
      <c r="E80" s="25">
        <v>452</v>
      </c>
      <c r="F80" s="25">
        <v>45200</v>
      </c>
      <c r="G80" s="25" t="s">
        <v>1716</v>
      </c>
      <c r="H80" s="25">
        <v>2019219</v>
      </c>
      <c r="I80" s="25" t="s">
        <v>19</v>
      </c>
      <c r="J80" s="25" t="s">
        <v>20</v>
      </c>
      <c r="K80" s="25" t="s">
        <v>25</v>
      </c>
      <c r="L80" s="25">
        <v>0</v>
      </c>
      <c r="M80" s="25">
        <v>0.99</v>
      </c>
      <c r="N80" s="25">
        <v>0</v>
      </c>
      <c r="O80" s="25">
        <v>29.68</v>
      </c>
      <c r="P80" s="25">
        <v>30.674399999999999</v>
      </c>
      <c r="Q80" s="25">
        <f t="shared" si="2"/>
        <v>45230.674400000004</v>
      </c>
      <c r="R80" s="25">
        <f t="shared" si="3"/>
        <v>0</v>
      </c>
    </row>
    <row r="81" spans="1:18" hidden="1" x14ac:dyDescent="0.25">
      <c r="A81" s="26">
        <v>43791</v>
      </c>
      <c r="B81" s="25" t="s">
        <v>111</v>
      </c>
      <c r="C81" s="25" t="s">
        <v>17</v>
      </c>
      <c r="D81" s="25">
        <v>200</v>
      </c>
      <c r="E81" s="25">
        <v>448</v>
      </c>
      <c r="F81" s="25">
        <v>89600</v>
      </c>
      <c r="G81" s="25" t="s">
        <v>1717</v>
      </c>
      <c r="H81" s="25">
        <v>2019219</v>
      </c>
      <c r="I81" s="25" t="s">
        <v>19</v>
      </c>
      <c r="J81" s="25" t="s">
        <v>20</v>
      </c>
      <c r="K81" s="25" t="s">
        <v>25</v>
      </c>
      <c r="L81" s="25">
        <v>0</v>
      </c>
      <c r="M81" s="25">
        <v>1.97</v>
      </c>
      <c r="N81" s="25">
        <v>0</v>
      </c>
      <c r="O81" s="25">
        <v>53.22</v>
      </c>
      <c r="P81" s="25">
        <v>55.191200000000002</v>
      </c>
      <c r="Q81" s="25">
        <f t="shared" si="2"/>
        <v>89655.191200000001</v>
      </c>
      <c r="R81" s="25">
        <f t="shared" si="3"/>
        <v>0</v>
      </c>
    </row>
    <row r="82" spans="1:18" hidden="1" x14ac:dyDescent="0.25">
      <c r="A82" s="26">
        <v>43791</v>
      </c>
      <c r="B82" s="25" t="s">
        <v>111</v>
      </c>
      <c r="C82" s="25" t="s">
        <v>23</v>
      </c>
      <c r="D82" s="25">
        <v>500</v>
      </c>
      <c r="E82" s="25">
        <v>452.4</v>
      </c>
      <c r="F82" s="25">
        <v>226200</v>
      </c>
      <c r="G82" s="25" t="s">
        <v>1718</v>
      </c>
      <c r="H82" s="25">
        <v>2019219</v>
      </c>
      <c r="I82" s="25" t="s">
        <v>19</v>
      </c>
      <c r="J82" s="25" t="s">
        <v>20</v>
      </c>
      <c r="K82" s="25" t="s">
        <v>25</v>
      </c>
      <c r="L82" s="25">
        <v>56.92</v>
      </c>
      <c r="M82" s="25">
        <v>4.9800000000000004</v>
      </c>
      <c r="N82" s="25">
        <v>0</v>
      </c>
      <c r="O82" s="25">
        <v>134.36000000000001</v>
      </c>
      <c r="P82" s="25">
        <v>196.25649999999999</v>
      </c>
      <c r="Q82" s="25">
        <f t="shared" si="2"/>
        <v>0</v>
      </c>
      <c r="R82" s="25">
        <f t="shared" si="3"/>
        <v>226003.74350000001</v>
      </c>
    </row>
    <row r="83" spans="1:18" hidden="1" x14ac:dyDescent="0.25">
      <c r="A83" s="26">
        <v>43790</v>
      </c>
      <c r="B83" s="25" t="s">
        <v>1407</v>
      </c>
      <c r="C83" s="25" t="s">
        <v>17</v>
      </c>
      <c r="D83" s="25">
        <v>250</v>
      </c>
      <c r="E83" s="25">
        <v>340.7</v>
      </c>
      <c r="F83" s="25">
        <v>85175</v>
      </c>
      <c r="G83" s="25" t="s">
        <v>1719</v>
      </c>
      <c r="H83" s="25">
        <v>2019218</v>
      </c>
      <c r="I83" s="25" t="s">
        <v>19</v>
      </c>
      <c r="J83" s="25" t="s">
        <v>20</v>
      </c>
      <c r="K83" s="25" t="s">
        <v>25</v>
      </c>
      <c r="L83" s="25">
        <v>0</v>
      </c>
      <c r="M83" s="25">
        <v>1.87</v>
      </c>
      <c r="N83" s="25">
        <v>0</v>
      </c>
      <c r="O83" s="25">
        <v>50.58</v>
      </c>
      <c r="P83" s="25">
        <v>52.453899999999997</v>
      </c>
      <c r="Q83" s="25">
        <f t="shared" si="2"/>
        <v>85227.453899999993</v>
      </c>
      <c r="R83" s="25">
        <f t="shared" si="3"/>
        <v>0</v>
      </c>
    </row>
    <row r="84" spans="1:18" hidden="1" x14ac:dyDescent="0.25">
      <c r="A84" s="26">
        <v>43790</v>
      </c>
      <c r="B84" s="25" t="s">
        <v>1407</v>
      </c>
      <c r="C84" s="25" t="s">
        <v>23</v>
      </c>
      <c r="D84" s="25">
        <v>250</v>
      </c>
      <c r="E84" s="25">
        <v>342</v>
      </c>
      <c r="F84" s="25">
        <v>85500</v>
      </c>
      <c r="G84" s="25" t="s">
        <v>1720</v>
      </c>
      <c r="H84" s="25">
        <v>2019218</v>
      </c>
      <c r="I84" s="25" t="s">
        <v>19</v>
      </c>
      <c r="J84" s="25" t="s">
        <v>20</v>
      </c>
      <c r="K84" s="25" t="s">
        <v>25</v>
      </c>
      <c r="L84" s="25">
        <v>21</v>
      </c>
      <c r="M84" s="25">
        <v>1.88</v>
      </c>
      <c r="N84" s="25">
        <v>5.4</v>
      </c>
      <c r="O84" s="25">
        <v>50.78</v>
      </c>
      <c r="P84" s="25">
        <v>79.061000000000007</v>
      </c>
      <c r="Q84" s="25">
        <f t="shared" si="2"/>
        <v>0</v>
      </c>
      <c r="R84" s="25">
        <f t="shared" si="3"/>
        <v>85420.938999999998</v>
      </c>
    </row>
    <row r="85" spans="1:18" hidden="1" x14ac:dyDescent="0.25">
      <c r="A85" s="26">
        <v>43789</v>
      </c>
      <c r="B85" s="25" t="s">
        <v>1721</v>
      </c>
      <c r="C85" s="25" t="s">
        <v>23</v>
      </c>
      <c r="D85" s="25">
        <v>1000</v>
      </c>
      <c r="E85" s="25">
        <v>7.5</v>
      </c>
      <c r="F85" s="25">
        <v>7500</v>
      </c>
      <c r="G85" s="25" t="s">
        <v>1722</v>
      </c>
      <c r="H85" s="25">
        <v>2019217</v>
      </c>
      <c r="I85" s="25" t="s">
        <v>19</v>
      </c>
      <c r="J85" s="25" t="s">
        <v>20</v>
      </c>
      <c r="K85" s="25" t="s">
        <v>25</v>
      </c>
      <c r="L85" s="25">
        <v>8</v>
      </c>
      <c r="M85" s="25">
        <v>0.17</v>
      </c>
      <c r="N85" s="25">
        <v>0.3</v>
      </c>
      <c r="O85" s="25">
        <v>59.03</v>
      </c>
      <c r="P85" s="25">
        <v>67.495000000000005</v>
      </c>
      <c r="Q85" s="25">
        <f t="shared" si="2"/>
        <v>0</v>
      </c>
      <c r="R85" s="25">
        <f t="shared" si="3"/>
        <v>7432.5050000000001</v>
      </c>
    </row>
    <row r="86" spans="1:18" hidden="1" x14ac:dyDescent="0.25">
      <c r="A86" s="26">
        <v>43788</v>
      </c>
      <c r="B86" s="25" t="s">
        <v>480</v>
      </c>
      <c r="C86" s="25" t="s">
        <v>23</v>
      </c>
      <c r="D86" s="25">
        <v>1000</v>
      </c>
      <c r="E86" s="25">
        <v>86.5</v>
      </c>
      <c r="F86" s="25">
        <v>86500</v>
      </c>
      <c r="G86" s="25" t="s">
        <v>1723</v>
      </c>
      <c r="H86" s="25">
        <v>2019216</v>
      </c>
      <c r="I86" s="25" t="s">
        <v>19</v>
      </c>
      <c r="J86" s="25" t="s">
        <v>20</v>
      </c>
      <c r="K86" s="25" t="s">
        <v>25</v>
      </c>
      <c r="L86" s="25">
        <v>21.57</v>
      </c>
      <c r="M86" s="25">
        <v>1.9</v>
      </c>
      <c r="N86" s="25">
        <v>0</v>
      </c>
      <c r="O86" s="25">
        <v>51.38</v>
      </c>
      <c r="P86" s="25">
        <v>74.852999999999994</v>
      </c>
      <c r="Q86" s="25">
        <f t="shared" si="2"/>
        <v>0</v>
      </c>
      <c r="R86" s="25">
        <f t="shared" si="3"/>
        <v>86425.146999999997</v>
      </c>
    </row>
    <row r="87" spans="1:18" hidden="1" x14ac:dyDescent="0.25">
      <c r="A87" s="26">
        <v>43742</v>
      </c>
      <c r="B87" s="25" t="s">
        <v>268</v>
      </c>
      <c r="C87" s="25" t="s">
        <v>17</v>
      </c>
      <c r="D87" s="25">
        <v>1000</v>
      </c>
      <c r="E87" s="25">
        <v>252</v>
      </c>
      <c r="F87" s="25">
        <v>252000</v>
      </c>
      <c r="G87" s="25" t="s">
        <v>1605</v>
      </c>
      <c r="H87" s="25">
        <v>2019187</v>
      </c>
      <c r="I87" s="25" t="s">
        <v>19</v>
      </c>
      <c r="J87" s="25" t="s">
        <v>20</v>
      </c>
      <c r="K87" s="25" t="s">
        <v>25</v>
      </c>
      <c r="L87" s="25">
        <v>0</v>
      </c>
      <c r="M87" s="25">
        <v>5.54</v>
      </c>
      <c r="N87" s="25">
        <v>0</v>
      </c>
      <c r="O87" s="25">
        <v>149.69</v>
      </c>
      <c r="P87" s="25">
        <v>155.23400000000001</v>
      </c>
      <c r="Q87" s="25">
        <f t="shared" si="2"/>
        <v>252155.234</v>
      </c>
      <c r="R87" s="25">
        <f t="shared" si="3"/>
        <v>0</v>
      </c>
    </row>
    <row r="88" spans="1:18" hidden="1" x14ac:dyDescent="0.25">
      <c r="A88" s="26">
        <v>43788</v>
      </c>
      <c r="B88" s="25" t="s">
        <v>480</v>
      </c>
      <c r="C88" s="25" t="s">
        <v>17</v>
      </c>
      <c r="D88" s="25">
        <v>1000</v>
      </c>
      <c r="E88" s="25">
        <v>88</v>
      </c>
      <c r="F88" s="25">
        <v>88000</v>
      </c>
      <c r="G88" s="25" t="s">
        <v>1725</v>
      </c>
      <c r="H88" s="25">
        <v>2019216</v>
      </c>
      <c r="I88" s="25" t="s">
        <v>19</v>
      </c>
      <c r="J88" s="25" t="s">
        <v>20</v>
      </c>
      <c r="K88" s="25" t="s">
        <v>25</v>
      </c>
      <c r="L88" s="25">
        <v>0</v>
      </c>
      <c r="M88" s="25">
        <v>1.94</v>
      </c>
      <c r="N88" s="25">
        <v>10.199999999999999</v>
      </c>
      <c r="O88" s="25">
        <v>52.27</v>
      </c>
      <c r="P88" s="25">
        <v>64.406000000000006</v>
      </c>
      <c r="Q88" s="25">
        <f t="shared" si="2"/>
        <v>88064.406000000003</v>
      </c>
      <c r="R88" s="25">
        <f t="shared" si="3"/>
        <v>0</v>
      </c>
    </row>
    <row r="89" spans="1:18" hidden="1" x14ac:dyDescent="0.25">
      <c r="A89" s="26">
        <v>43745</v>
      </c>
      <c r="B89" s="25" t="s">
        <v>268</v>
      </c>
      <c r="C89" s="25" t="s">
        <v>17</v>
      </c>
      <c r="D89" s="25">
        <v>500</v>
      </c>
      <c r="E89" s="25">
        <v>250.55</v>
      </c>
      <c r="F89" s="25">
        <v>125275</v>
      </c>
      <c r="G89" s="25" t="s">
        <v>1600</v>
      </c>
      <c r="H89" s="25">
        <v>2019188</v>
      </c>
      <c r="I89" s="25" t="s">
        <v>19</v>
      </c>
      <c r="J89" s="25" t="s">
        <v>20</v>
      </c>
      <c r="K89" s="25" t="s">
        <v>25</v>
      </c>
      <c r="L89" s="25">
        <v>0</v>
      </c>
      <c r="M89" s="25">
        <v>2.76</v>
      </c>
      <c r="N89" s="25">
        <v>0</v>
      </c>
      <c r="O89" s="25">
        <v>74.41</v>
      </c>
      <c r="P89" s="25">
        <v>77.1661</v>
      </c>
      <c r="Q89" s="25">
        <f t="shared" si="2"/>
        <v>125352.1661</v>
      </c>
      <c r="R89" s="25">
        <f t="shared" si="3"/>
        <v>0</v>
      </c>
    </row>
    <row r="90" spans="1:18" hidden="1" x14ac:dyDescent="0.25">
      <c r="A90" s="26">
        <v>43745</v>
      </c>
      <c r="B90" s="25" t="s">
        <v>268</v>
      </c>
      <c r="C90" s="25" t="s">
        <v>17</v>
      </c>
      <c r="D90" s="25">
        <v>500</v>
      </c>
      <c r="E90" s="25">
        <v>248</v>
      </c>
      <c r="F90" s="25">
        <v>124000</v>
      </c>
      <c r="G90" s="25" t="s">
        <v>1601</v>
      </c>
      <c r="H90" s="25">
        <v>2019188</v>
      </c>
      <c r="I90" s="25" t="s">
        <v>19</v>
      </c>
      <c r="J90" s="25" t="s">
        <v>20</v>
      </c>
      <c r="K90" s="25" t="s">
        <v>25</v>
      </c>
      <c r="L90" s="25">
        <v>0</v>
      </c>
      <c r="M90" s="25">
        <v>2.73</v>
      </c>
      <c r="N90" s="25">
        <v>15.3</v>
      </c>
      <c r="O90" s="25">
        <v>73.650000000000006</v>
      </c>
      <c r="P90" s="25">
        <v>91.677999999999997</v>
      </c>
      <c r="Q90" s="25">
        <f t="shared" si="2"/>
        <v>124091.678</v>
      </c>
      <c r="R90" s="25">
        <f t="shared" si="3"/>
        <v>0</v>
      </c>
    </row>
    <row r="91" spans="1:18" hidden="1" x14ac:dyDescent="0.25">
      <c r="A91" s="26">
        <v>43745</v>
      </c>
      <c r="B91" s="25" t="s">
        <v>268</v>
      </c>
      <c r="C91" s="25" t="s">
        <v>23</v>
      </c>
      <c r="D91" s="25">
        <v>1000</v>
      </c>
      <c r="E91" s="25">
        <v>250</v>
      </c>
      <c r="F91" s="25">
        <v>250000</v>
      </c>
      <c r="G91" s="25" t="s">
        <v>1602</v>
      </c>
      <c r="H91" s="25">
        <v>2019188</v>
      </c>
      <c r="I91" s="25" t="s">
        <v>19</v>
      </c>
      <c r="J91" s="25" t="s">
        <v>20</v>
      </c>
      <c r="K91" s="25" t="s">
        <v>25</v>
      </c>
      <c r="L91" s="25">
        <v>62.6</v>
      </c>
      <c r="M91" s="25">
        <v>5.5</v>
      </c>
      <c r="N91" s="25">
        <v>0</v>
      </c>
      <c r="O91" s="25">
        <v>148.5</v>
      </c>
      <c r="P91" s="25">
        <v>216.60059999999999</v>
      </c>
      <c r="Q91" s="25">
        <f t="shared" si="2"/>
        <v>0</v>
      </c>
      <c r="R91" s="25">
        <f t="shared" si="3"/>
        <v>249783.39939999999</v>
      </c>
    </row>
    <row r="92" spans="1:18" hidden="1" x14ac:dyDescent="0.25">
      <c r="A92" s="26">
        <v>43747</v>
      </c>
      <c r="B92" s="25" t="s">
        <v>268</v>
      </c>
      <c r="C92" s="25" t="s">
        <v>17</v>
      </c>
      <c r="D92" s="25">
        <v>1000</v>
      </c>
      <c r="E92" s="25">
        <v>249.69</v>
      </c>
      <c r="F92" s="25">
        <v>249686.15</v>
      </c>
      <c r="G92" s="25" t="s">
        <v>1594</v>
      </c>
      <c r="H92" s="25">
        <v>2019189</v>
      </c>
      <c r="I92" s="25" t="s">
        <v>19</v>
      </c>
      <c r="J92" s="25" t="s">
        <v>20</v>
      </c>
      <c r="K92" s="25" t="s">
        <v>25</v>
      </c>
      <c r="L92" s="25">
        <v>0</v>
      </c>
      <c r="M92" s="25">
        <v>5.49</v>
      </c>
      <c r="N92" s="25">
        <v>0</v>
      </c>
      <c r="O92" s="25">
        <v>148.30000000000001</v>
      </c>
      <c r="P92" s="25">
        <v>153.79300000000001</v>
      </c>
      <c r="Q92" s="25">
        <f t="shared" si="2"/>
        <v>249839.943</v>
      </c>
      <c r="R92" s="25">
        <f t="shared" si="3"/>
        <v>0</v>
      </c>
    </row>
    <row r="93" spans="1:18" hidden="1" x14ac:dyDescent="0.25">
      <c r="A93" s="26">
        <v>43747</v>
      </c>
      <c r="B93" s="25" t="s">
        <v>268</v>
      </c>
      <c r="C93" s="25" t="s">
        <v>17</v>
      </c>
      <c r="D93" s="25">
        <v>500</v>
      </c>
      <c r="E93" s="25">
        <v>246.2</v>
      </c>
      <c r="F93" s="25">
        <v>123100</v>
      </c>
      <c r="G93" s="25" t="s">
        <v>1595</v>
      </c>
      <c r="H93" s="25">
        <v>2019189</v>
      </c>
      <c r="I93" s="25" t="s">
        <v>19</v>
      </c>
      <c r="J93" s="25" t="s">
        <v>20</v>
      </c>
      <c r="K93" s="25" t="s">
        <v>25</v>
      </c>
      <c r="L93" s="25">
        <v>0</v>
      </c>
      <c r="M93" s="25">
        <v>2.71</v>
      </c>
      <c r="N93" s="25">
        <v>0</v>
      </c>
      <c r="O93" s="25">
        <v>73.12</v>
      </c>
      <c r="P93" s="25">
        <v>75.828199999999995</v>
      </c>
      <c r="Q93" s="25">
        <f t="shared" si="2"/>
        <v>123175.8282</v>
      </c>
      <c r="R93" s="25">
        <f t="shared" si="3"/>
        <v>0</v>
      </c>
    </row>
    <row r="94" spans="1:18" hidden="1" x14ac:dyDescent="0.25">
      <c r="A94" s="26">
        <v>43747</v>
      </c>
      <c r="B94" s="25" t="s">
        <v>268</v>
      </c>
      <c r="C94" s="25" t="s">
        <v>23</v>
      </c>
      <c r="D94" s="25">
        <v>1500</v>
      </c>
      <c r="E94" s="25">
        <v>251</v>
      </c>
      <c r="F94" s="25">
        <v>376500</v>
      </c>
      <c r="G94" s="25" t="s">
        <v>1596</v>
      </c>
      <c r="H94" s="25">
        <v>2019189</v>
      </c>
      <c r="I94" s="25" t="s">
        <v>19</v>
      </c>
      <c r="J94" s="25" t="s">
        <v>20</v>
      </c>
      <c r="K94" s="25" t="s">
        <v>25</v>
      </c>
      <c r="L94" s="25">
        <v>93.66</v>
      </c>
      <c r="M94" s="25">
        <v>8.2799999999999994</v>
      </c>
      <c r="N94" s="25">
        <v>0</v>
      </c>
      <c r="O94" s="25">
        <v>223.63</v>
      </c>
      <c r="P94" s="25">
        <v>325.57299999999998</v>
      </c>
      <c r="Q94" s="25">
        <f t="shared" si="2"/>
        <v>0</v>
      </c>
      <c r="R94" s="25">
        <f t="shared" si="3"/>
        <v>376174.42700000003</v>
      </c>
    </row>
    <row r="95" spans="1:18" hidden="1" x14ac:dyDescent="0.25">
      <c r="A95" s="26">
        <v>43749</v>
      </c>
      <c r="B95" s="25" t="s">
        <v>268</v>
      </c>
      <c r="C95" s="25" t="s">
        <v>23</v>
      </c>
      <c r="D95" s="25">
        <v>261</v>
      </c>
      <c r="E95" s="25">
        <v>258.8</v>
      </c>
      <c r="F95" s="25">
        <v>67546.8</v>
      </c>
      <c r="G95" s="25" t="s">
        <v>1581</v>
      </c>
      <c r="H95" s="25">
        <v>2019191</v>
      </c>
      <c r="I95" s="25" t="s">
        <v>19</v>
      </c>
      <c r="J95" s="25" t="s">
        <v>20</v>
      </c>
      <c r="K95" s="25" t="s">
        <v>25</v>
      </c>
      <c r="L95" s="25">
        <v>16.809999999999999</v>
      </c>
      <c r="M95" s="25">
        <v>1.49</v>
      </c>
      <c r="N95" s="25">
        <v>0</v>
      </c>
      <c r="O95" s="25">
        <v>40.119999999999997</v>
      </c>
      <c r="P95" s="25">
        <v>58.415999999999997</v>
      </c>
      <c r="Q95" s="25">
        <f t="shared" si="2"/>
        <v>0</v>
      </c>
      <c r="R95" s="25">
        <f t="shared" si="3"/>
        <v>67488.384000000005</v>
      </c>
    </row>
    <row r="96" spans="1:18" hidden="1" x14ac:dyDescent="0.25">
      <c r="A96" s="26">
        <v>43749</v>
      </c>
      <c r="B96" s="25" t="s">
        <v>268</v>
      </c>
      <c r="C96" s="25" t="s">
        <v>17</v>
      </c>
      <c r="D96" s="25">
        <v>261</v>
      </c>
      <c r="E96" s="25">
        <v>256.5</v>
      </c>
      <c r="F96" s="25">
        <v>66946.5</v>
      </c>
      <c r="G96" s="25" t="s">
        <v>1582</v>
      </c>
      <c r="H96" s="25">
        <v>2019191</v>
      </c>
      <c r="I96" s="25" t="s">
        <v>19</v>
      </c>
      <c r="J96" s="25" t="s">
        <v>20</v>
      </c>
      <c r="K96" s="25" t="s">
        <v>25</v>
      </c>
      <c r="L96" s="25">
        <v>0</v>
      </c>
      <c r="M96" s="25">
        <v>1.47</v>
      </c>
      <c r="N96" s="25">
        <v>0</v>
      </c>
      <c r="O96" s="25">
        <v>39.76</v>
      </c>
      <c r="P96" s="25">
        <v>41.232799999999997</v>
      </c>
      <c r="Q96" s="25">
        <f t="shared" si="2"/>
        <v>66987.732799999998</v>
      </c>
      <c r="R96" s="25">
        <f t="shared" si="3"/>
        <v>0</v>
      </c>
    </row>
    <row r="97" spans="1:18" hidden="1" x14ac:dyDescent="0.25">
      <c r="A97" s="26">
        <v>43763</v>
      </c>
      <c r="B97" s="25" t="s">
        <v>268</v>
      </c>
      <c r="C97" s="25" t="s">
        <v>23</v>
      </c>
      <c r="D97" s="25">
        <v>100</v>
      </c>
      <c r="E97" s="25">
        <v>271</v>
      </c>
      <c r="F97" s="25">
        <v>27100</v>
      </c>
      <c r="G97" s="25" t="s">
        <v>1538</v>
      </c>
      <c r="H97" s="25">
        <v>2019200</v>
      </c>
      <c r="I97" s="25" t="s">
        <v>19</v>
      </c>
      <c r="J97" s="25" t="s">
        <v>20</v>
      </c>
      <c r="K97" s="25" t="s">
        <v>25</v>
      </c>
      <c r="L97" s="25">
        <v>6.65</v>
      </c>
      <c r="M97" s="25">
        <v>0.6</v>
      </c>
      <c r="N97" s="25">
        <v>0</v>
      </c>
      <c r="O97" s="25">
        <v>29.61</v>
      </c>
      <c r="P97" s="25">
        <v>36.856200000000001</v>
      </c>
      <c r="Q97" s="25">
        <f t="shared" si="2"/>
        <v>0</v>
      </c>
      <c r="R97" s="25">
        <f t="shared" si="3"/>
        <v>27063.143800000002</v>
      </c>
    </row>
    <row r="98" spans="1:18" hidden="1" x14ac:dyDescent="0.25">
      <c r="A98" s="26">
        <v>43784</v>
      </c>
      <c r="B98" s="25" t="s">
        <v>1721</v>
      </c>
      <c r="C98" s="25" t="s">
        <v>17</v>
      </c>
      <c r="D98" s="25">
        <v>1000</v>
      </c>
      <c r="E98" s="25">
        <v>3.75</v>
      </c>
      <c r="F98" s="25">
        <v>3750</v>
      </c>
      <c r="G98" s="25" t="s">
        <v>1735</v>
      </c>
      <c r="H98" s="25">
        <v>2019214</v>
      </c>
      <c r="I98" s="25" t="s">
        <v>19</v>
      </c>
      <c r="J98" s="25" t="s">
        <v>20</v>
      </c>
      <c r="K98" s="25" t="s">
        <v>25</v>
      </c>
      <c r="L98" s="25">
        <v>3.75</v>
      </c>
      <c r="M98" s="25">
        <v>0.08</v>
      </c>
      <c r="N98" s="25">
        <v>0</v>
      </c>
      <c r="O98" s="25">
        <v>59.01</v>
      </c>
      <c r="P98" s="25">
        <v>62.842599999999997</v>
      </c>
      <c r="Q98" s="25">
        <f t="shared" si="2"/>
        <v>3812.8425999999999</v>
      </c>
      <c r="R98" s="25">
        <f t="shared" si="3"/>
        <v>0</v>
      </c>
    </row>
    <row r="99" spans="1:18" hidden="1" x14ac:dyDescent="0.25">
      <c r="A99" s="26">
        <v>43763</v>
      </c>
      <c r="B99" s="25" t="s">
        <v>268</v>
      </c>
      <c r="C99" s="25" t="s">
        <v>23</v>
      </c>
      <c r="D99" s="25">
        <v>150</v>
      </c>
      <c r="E99" s="25">
        <v>278</v>
      </c>
      <c r="F99" s="25">
        <v>41700</v>
      </c>
      <c r="G99" s="25" t="s">
        <v>1542</v>
      </c>
      <c r="H99" s="25">
        <v>2019200</v>
      </c>
      <c r="I99" s="25" t="s">
        <v>19</v>
      </c>
      <c r="J99" s="25" t="s">
        <v>20</v>
      </c>
      <c r="K99" s="25" t="s">
        <v>25</v>
      </c>
      <c r="L99" s="25">
        <v>10.52</v>
      </c>
      <c r="M99" s="25">
        <v>0.92</v>
      </c>
      <c r="N99" s="25">
        <v>0</v>
      </c>
      <c r="O99" s="25">
        <v>29.66</v>
      </c>
      <c r="P99" s="25">
        <v>41.0976</v>
      </c>
      <c r="Q99" s="25">
        <f t="shared" si="2"/>
        <v>0</v>
      </c>
      <c r="R99" s="25">
        <f t="shared" si="3"/>
        <v>41658.902399999999</v>
      </c>
    </row>
    <row r="100" spans="1:18" hidden="1" x14ac:dyDescent="0.25">
      <c r="A100" s="26">
        <v>43763</v>
      </c>
      <c r="B100" s="25" t="s">
        <v>268</v>
      </c>
      <c r="C100" s="25" t="s">
        <v>23</v>
      </c>
      <c r="D100" s="25">
        <v>250</v>
      </c>
      <c r="E100" s="25">
        <v>284</v>
      </c>
      <c r="F100" s="25">
        <v>71000</v>
      </c>
      <c r="G100" s="25" t="s">
        <v>1543</v>
      </c>
      <c r="H100" s="25">
        <v>2019200</v>
      </c>
      <c r="I100" s="25" t="s">
        <v>19</v>
      </c>
      <c r="J100" s="25" t="s">
        <v>20</v>
      </c>
      <c r="K100" s="25" t="s">
        <v>25</v>
      </c>
      <c r="L100" s="25">
        <v>17.53</v>
      </c>
      <c r="M100" s="25">
        <v>1.56</v>
      </c>
      <c r="N100" s="25">
        <v>0</v>
      </c>
      <c r="O100" s="25">
        <v>42.17</v>
      </c>
      <c r="P100" s="25">
        <v>61.262</v>
      </c>
      <c r="Q100" s="25">
        <f t="shared" si="2"/>
        <v>0</v>
      </c>
      <c r="R100" s="25">
        <f t="shared" si="3"/>
        <v>70938.737999999998</v>
      </c>
    </row>
    <row r="101" spans="1:18" x14ac:dyDescent="0.25">
      <c r="A101" s="26">
        <v>43782</v>
      </c>
      <c r="B101" s="25" t="s">
        <v>100</v>
      </c>
      <c r="C101" s="25" t="s">
        <v>23</v>
      </c>
      <c r="D101" s="25">
        <v>2500</v>
      </c>
      <c r="E101" s="25">
        <v>78.25</v>
      </c>
      <c r="F101" s="25">
        <v>195625</v>
      </c>
      <c r="G101" s="25" t="s">
        <v>1738</v>
      </c>
      <c r="H101" s="25">
        <v>2019212</v>
      </c>
      <c r="I101" s="25" t="s">
        <v>19</v>
      </c>
      <c r="J101" s="25" t="s">
        <v>20</v>
      </c>
      <c r="K101" s="25" t="s">
        <v>25</v>
      </c>
      <c r="L101" s="25">
        <v>50.4</v>
      </c>
      <c r="M101" s="25">
        <v>4.3</v>
      </c>
      <c r="N101" s="25">
        <v>0</v>
      </c>
      <c r="O101" s="25">
        <v>116.19</v>
      </c>
      <c r="P101" s="25">
        <v>170.8937</v>
      </c>
      <c r="Q101" s="25">
        <f t="shared" si="2"/>
        <v>0</v>
      </c>
      <c r="R101" s="25">
        <f t="shared" si="3"/>
        <v>195454.10630000001</v>
      </c>
    </row>
    <row r="102" spans="1:18" hidden="1" x14ac:dyDescent="0.25">
      <c r="A102" s="26">
        <v>43782</v>
      </c>
      <c r="B102" s="25" t="s">
        <v>480</v>
      </c>
      <c r="C102" s="25" t="s">
        <v>23</v>
      </c>
      <c r="D102" s="25">
        <v>5000</v>
      </c>
      <c r="E102" s="25">
        <v>83.4</v>
      </c>
      <c r="F102" s="25">
        <v>417000</v>
      </c>
      <c r="G102" s="25" t="s">
        <v>1739</v>
      </c>
      <c r="H102" s="25">
        <v>2019212</v>
      </c>
      <c r="I102" s="25" t="s">
        <v>19</v>
      </c>
      <c r="J102" s="25" t="s">
        <v>20</v>
      </c>
      <c r="K102" s="25" t="s">
        <v>25</v>
      </c>
      <c r="L102" s="25">
        <v>103.84</v>
      </c>
      <c r="M102" s="25">
        <v>9.17</v>
      </c>
      <c r="N102" s="25">
        <v>0</v>
      </c>
      <c r="O102" s="25">
        <v>247.68</v>
      </c>
      <c r="P102" s="25">
        <v>360.69400000000002</v>
      </c>
      <c r="Q102" s="25">
        <f t="shared" si="2"/>
        <v>0</v>
      </c>
      <c r="R102" s="25">
        <f t="shared" si="3"/>
        <v>416639.30599999998</v>
      </c>
    </row>
    <row r="103" spans="1:18" x14ac:dyDescent="0.25">
      <c r="A103" s="26">
        <v>43782</v>
      </c>
      <c r="B103" s="25" t="s">
        <v>100</v>
      </c>
      <c r="C103" s="25" t="s">
        <v>23</v>
      </c>
      <c r="D103" s="25">
        <v>2500</v>
      </c>
      <c r="E103" s="25">
        <v>79.400000000000006</v>
      </c>
      <c r="F103" s="25">
        <v>198500</v>
      </c>
      <c r="G103" s="25" t="s">
        <v>1740</v>
      </c>
      <c r="H103" s="25">
        <v>2019212</v>
      </c>
      <c r="I103" s="25" t="s">
        <v>19</v>
      </c>
      <c r="J103" s="25" t="s">
        <v>20</v>
      </c>
      <c r="K103" s="25" t="s">
        <v>25</v>
      </c>
      <c r="L103" s="25">
        <v>50.54</v>
      </c>
      <c r="M103" s="25">
        <v>4.37</v>
      </c>
      <c r="N103" s="25">
        <v>85.5</v>
      </c>
      <c r="O103" s="25">
        <v>117.9</v>
      </c>
      <c r="P103" s="25">
        <v>258.30700000000002</v>
      </c>
      <c r="Q103" s="25">
        <f t="shared" si="2"/>
        <v>0</v>
      </c>
      <c r="R103" s="25">
        <f t="shared" si="3"/>
        <v>198241.693</v>
      </c>
    </row>
    <row r="104" spans="1:18" x14ac:dyDescent="0.25">
      <c r="A104" s="26">
        <v>43782</v>
      </c>
      <c r="B104" s="25" t="s">
        <v>100</v>
      </c>
      <c r="C104" s="25" t="s">
        <v>23</v>
      </c>
      <c r="D104" s="25">
        <v>2500</v>
      </c>
      <c r="E104" s="25">
        <v>80.349999999999994</v>
      </c>
      <c r="F104" s="25">
        <v>200875</v>
      </c>
      <c r="G104" s="25" t="s">
        <v>1741</v>
      </c>
      <c r="H104" s="25">
        <v>2019212</v>
      </c>
      <c r="I104" s="25" t="s">
        <v>19</v>
      </c>
      <c r="J104" s="25" t="s">
        <v>20</v>
      </c>
      <c r="K104" s="25" t="s">
        <v>25</v>
      </c>
      <c r="L104" s="25">
        <v>50.4</v>
      </c>
      <c r="M104" s="25">
        <v>4.42</v>
      </c>
      <c r="N104" s="25">
        <v>0</v>
      </c>
      <c r="O104" s="25">
        <v>119.3</v>
      </c>
      <c r="P104" s="25">
        <v>174.1191</v>
      </c>
      <c r="Q104" s="25">
        <f t="shared" si="2"/>
        <v>0</v>
      </c>
      <c r="R104" s="25">
        <f t="shared" si="3"/>
        <v>200700.88089999999</v>
      </c>
    </row>
    <row r="105" spans="1:18" x14ac:dyDescent="0.25">
      <c r="A105" s="26">
        <v>43782</v>
      </c>
      <c r="B105" s="25" t="s">
        <v>100</v>
      </c>
      <c r="C105" s="25" t="s">
        <v>17</v>
      </c>
      <c r="D105" s="25">
        <v>3920</v>
      </c>
      <c r="E105" s="25">
        <v>81.75</v>
      </c>
      <c r="F105" s="25">
        <v>320460</v>
      </c>
      <c r="G105" s="25" t="s">
        <v>1742</v>
      </c>
      <c r="H105" s="25">
        <v>2019212</v>
      </c>
      <c r="I105" s="25" t="s">
        <v>19</v>
      </c>
      <c r="J105" s="25" t="s">
        <v>20</v>
      </c>
      <c r="K105" s="25" t="s">
        <v>25</v>
      </c>
      <c r="L105" s="25">
        <v>0</v>
      </c>
      <c r="M105" s="25">
        <v>7.05</v>
      </c>
      <c r="N105" s="25">
        <v>0</v>
      </c>
      <c r="O105" s="25">
        <v>190.34</v>
      </c>
      <c r="P105" s="25">
        <v>197.39019999999999</v>
      </c>
      <c r="Q105" s="25">
        <f t="shared" si="2"/>
        <v>320657.39020000002</v>
      </c>
      <c r="R105" s="25">
        <f t="shared" si="3"/>
        <v>0</v>
      </c>
    </row>
    <row r="106" spans="1:18" x14ac:dyDescent="0.25">
      <c r="A106" s="26">
        <v>43782</v>
      </c>
      <c r="B106" s="25" t="s">
        <v>100</v>
      </c>
      <c r="C106" s="25" t="s">
        <v>23</v>
      </c>
      <c r="D106" s="25">
        <v>5000</v>
      </c>
      <c r="E106" s="25">
        <v>82</v>
      </c>
      <c r="F106" s="25">
        <v>410000</v>
      </c>
      <c r="G106" s="25" t="s">
        <v>1743</v>
      </c>
      <c r="H106" s="25">
        <v>2019212</v>
      </c>
      <c r="I106" s="25" t="s">
        <v>19</v>
      </c>
      <c r="J106" s="25" t="s">
        <v>20</v>
      </c>
      <c r="K106" s="25" t="s">
        <v>25</v>
      </c>
      <c r="L106" s="25">
        <v>100.81</v>
      </c>
      <c r="M106" s="25">
        <v>9.02</v>
      </c>
      <c r="N106" s="25">
        <v>0</v>
      </c>
      <c r="O106" s="25">
        <v>243.52</v>
      </c>
      <c r="P106" s="25">
        <v>353.35</v>
      </c>
      <c r="Q106" s="25">
        <f t="shared" si="2"/>
        <v>0</v>
      </c>
      <c r="R106" s="25">
        <f t="shared" si="3"/>
        <v>409646.65</v>
      </c>
    </row>
    <row r="107" spans="1:18" hidden="1" x14ac:dyDescent="0.25">
      <c r="A107" s="26">
        <v>43782</v>
      </c>
      <c r="B107" s="25" t="s">
        <v>480</v>
      </c>
      <c r="C107" s="25" t="s">
        <v>17</v>
      </c>
      <c r="D107" s="25">
        <v>5000</v>
      </c>
      <c r="E107" s="25">
        <v>82.75</v>
      </c>
      <c r="F107" s="25">
        <v>413750</v>
      </c>
      <c r="G107" s="25" t="s">
        <v>1744</v>
      </c>
      <c r="H107" s="25">
        <v>2019212</v>
      </c>
      <c r="I107" s="25" t="s">
        <v>19</v>
      </c>
      <c r="J107" s="25" t="s">
        <v>20</v>
      </c>
      <c r="K107" s="25" t="s">
        <v>25</v>
      </c>
      <c r="L107" s="25">
        <v>0</v>
      </c>
      <c r="M107" s="25">
        <v>9.1</v>
      </c>
      <c r="N107" s="25">
        <v>0</v>
      </c>
      <c r="O107" s="25">
        <v>245.75</v>
      </c>
      <c r="P107" s="25">
        <v>254.8526</v>
      </c>
      <c r="Q107" s="25">
        <f t="shared" si="2"/>
        <v>414004.85259999998</v>
      </c>
      <c r="R107" s="25">
        <f t="shared" si="3"/>
        <v>0</v>
      </c>
    </row>
    <row r="108" spans="1:18" x14ac:dyDescent="0.25">
      <c r="A108" s="26">
        <v>43782</v>
      </c>
      <c r="B108" s="25" t="s">
        <v>100</v>
      </c>
      <c r="C108" s="25" t="s">
        <v>17</v>
      </c>
      <c r="D108" s="25">
        <v>8580</v>
      </c>
      <c r="E108" s="25">
        <v>80.5</v>
      </c>
      <c r="F108" s="25">
        <v>690690</v>
      </c>
      <c r="G108" s="25" t="s">
        <v>1745</v>
      </c>
      <c r="H108" s="25">
        <v>2019212</v>
      </c>
      <c r="I108" s="25" t="s">
        <v>19</v>
      </c>
      <c r="J108" s="25" t="s">
        <v>20</v>
      </c>
      <c r="K108" s="25" t="s">
        <v>25</v>
      </c>
      <c r="L108" s="25">
        <v>0</v>
      </c>
      <c r="M108" s="25">
        <v>15.2</v>
      </c>
      <c r="N108" s="25">
        <v>0</v>
      </c>
      <c r="O108" s="25">
        <v>410.24</v>
      </c>
      <c r="P108" s="25">
        <v>425.43520000000001</v>
      </c>
      <c r="Q108" s="25">
        <f t="shared" si="2"/>
        <v>691115.43519999995</v>
      </c>
      <c r="R108" s="25">
        <f t="shared" si="3"/>
        <v>0</v>
      </c>
    </row>
    <row r="109" spans="1:18" hidden="1" x14ac:dyDescent="0.25">
      <c r="A109" s="26">
        <v>43780</v>
      </c>
      <c r="B109" s="25" t="s">
        <v>1476</v>
      </c>
      <c r="C109" s="25" t="s">
        <v>17</v>
      </c>
      <c r="D109" s="25">
        <v>500</v>
      </c>
      <c r="E109" s="25">
        <v>253.5</v>
      </c>
      <c r="F109" s="25">
        <v>126750</v>
      </c>
      <c r="G109" s="25" t="s">
        <v>1746</v>
      </c>
      <c r="H109" s="25">
        <v>2019211</v>
      </c>
      <c r="I109" s="25" t="s">
        <v>19</v>
      </c>
      <c r="J109" s="25" t="s">
        <v>20</v>
      </c>
      <c r="K109" s="25" t="s">
        <v>25</v>
      </c>
      <c r="L109" s="25">
        <v>0</v>
      </c>
      <c r="M109" s="25">
        <v>2.79</v>
      </c>
      <c r="N109" s="25">
        <v>0</v>
      </c>
      <c r="O109" s="25">
        <v>75.290000000000006</v>
      </c>
      <c r="P109" s="25">
        <v>78.078599999999994</v>
      </c>
      <c r="Q109" s="25">
        <f t="shared" si="2"/>
        <v>126828.07859999999</v>
      </c>
      <c r="R109" s="25">
        <f t="shared" si="3"/>
        <v>0</v>
      </c>
    </row>
    <row r="110" spans="1:18" hidden="1" x14ac:dyDescent="0.25">
      <c r="A110" s="26">
        <v>43780</v>
      </c>
      <c r="B110" s="25" t="s">
        <v>1476</v>
      </c>
      <c r="C110" s="25" t="s">
        <v>23</v>
      </c>
      <c r="D110" s="25">
        <v>1000</v>
      </c>
      <c r="E110" s="25">
        <v>249</v>
      </c>
      <c r="F110" s="25">
        <v>249000</v>
      </c>
      <c r="G110" s="25" t="s">
        <v>1747</v>
      </c>
      <c r="H110" s="25">
        <v>2019211</v>
      </c>
      <c r="I110" s="25" t="s">
        <v>19</v>
      </c>
      <c r="J110" s="25" t="s">
        <v>20</v>
      </c>
      <c r="K110" s="25" t="s">
        <v>25</v>
      </c>
      <c r="L110" s="25">
        <v>62.03</v>
      </c>
      <c r="M110" s="25">
        <v>5.48</v>
      </c>
      <c r="N110" s="25">
        <v>0</v>
      </c>
      <c r="O110" s="25">
        <v>147.9</v>
      </c>
      <c r="P110" s="25">
        <v>215.4083</v>
      </c>
      <c r="Q110" s="25">
        <f t="shared" si="2"/>
        <v>0</v>
      </c>
      <c r="R110" s="25">
        <f t="shared" si="3"/>
        <v>248784.59169999999</v>
      </c>
    </row>
    <row r="111" spans="1:18" hidden="1" x14ac:dyDescent="0.25">
      <c r="A111" s="26">
        <v>43780</v>
      </c>
      <c r="B111" s="25" t="s">
        <v>1476</v>
      </c>
      <c r="C111" s="25" t="s">
        <v>17</v>
      </c>
      <c r="D111" s="25">
        <v>500</v>
      </c>
      <c r="E111" s="25">
        <v>251.5</v>
      </c>
      <c r="F111" s="25">
        <v>125750</v>
      </c>
      <c r="G111" s="25" t="s">
        <v>1748</v>
      </c>
      <c r="H111" s="25">
        <v>2019211</v>
      </c>
      <c r="I111" s="25" t="s">
        <v>19</v>
      </c>
      <c r="J111" s="25" t="s">
        <v>20</v>
      </c>
      <c r="K111" s="25" t="s">
        <v>25</v>
      </c>
      <c r="L111" s="25">
        <v>0</v>
      </c>
      <c r="M111" s="25">
        <v>2.77</v>
      </c>
      <c r="N111" s="25">
        <v>0</v>
      </c>
      <c r="O111" s="25">
        <v>74.69</v>
      </c>
      <c r="P111" s="25">
        <v>77.456599999999995</v>
      </c>
      <c r="Q111" s="25">
        <f t="shared" si="2"/>
        <v>125827.4566</v>
      </c>
      <c r="R111" s="25">
        <f t="shared" si="3"/>
        <v>0</v>
      </c>
    </row>
    <row r="112" spans="1:18" hidden="1" x14ac:dyDescent="0.25">
      <c r="A112" s="26">
        <v>43780</v>
      </c>
      <c r="B112" s="25" t="s">
        <v>1476</v>
      </c>
      <c r="C112" s="25" t="s">
        <v>23</v>
      </c>
      <c r="D112" s="25">
        <v>1000</v>
      </c>
      <c r="E112" s="25">
        <v>249</v>
      </c>
      <c r="F112" s="25">
        <v>249000</v>
      </c>
      <c r="G112" s="25" t="s">
        <v>1749</v>
      </c>
      <c r="H112" s="25">
        <v>2019211</v>
      </c>
      <c r="I112" s="25" t="s">
        <v>19</v>
      </c>
      <c r="J112" s="25" t="s">
        <v>20</v>
      </c>
      <c r="K112" s="25" t="s">
        <v>25</v>
      </c>
      <c r="L112" s="25">
        <v>62.46</v>
      </c>
      <c r="M112" s="25">
        <v>5.48</v>
      </c>
      <c r="N112" s="25">
        <v>78.900000000000006</v>
      </c>
      <c r="O112" s="25">
        <v>147.9</v>
      </c>
      <c r="P112" s="25">
        <v>294.738</v>
      </c>
      <c r="Q112" s="25">
        <f t="shared" si="2"/>
        <v>0</v>
      </c>
      <c r="R112" s="25">
        <f t="shared" si="3"/>
        <v>248705.26199999999</v>
      </c>
    </row>
    <row r="113" spans="1:18" hidden="1" x14ac:dyDescent="0.25">
      <c r="A113" s="26">
        <v>43780</v>
      </c>
      <c r="B113" s="25" t="s">
        <v>1476</v>
      </c>
      <c r="C113" s="25" t="s">
        <v>17</v>
      </c>
      <c r="D113" s="25">
        <v>1000</v>
      </c>
      <c r="E113" s="25">
        <v>248.5</v>
      </c>
      <c r="F113" s="25">
        <v>248500</v>
      </c>
      <c r="G113" s="25" t="s">
        <v>1750</v>
      </c>
      <c r="H113" s="25">
        <v>2019211</v>
      </c>
      <c r="I113" s="25" t="s">
        <v>19</v>
      </c>
      <c r="J113" s="25" t="s">
        <v>20</v>
      </c>
      <c r="K113" s="25" t="s">
        <v>25</v>
      </c>
      <c r="L113" s="25">
        <v>0</v>
      </c>
      <c r="M113" s="25">
        <v>5.47</v>
      </c>
      <c r="N113" s="25">
        <v>0</v>
      </c>
      <c r="O113" s="25">
        <v>147.6</v>
      </c>
      <c r="P113" s="25">
        <v>153.06729999999999</v>
      </c>
      <c r="Q113" s="25">
        <f t="shared" si="2"/>
        <v>248653.0673</v>
      </c>
      <c r="R113" s="25">
        <f t="shared" si="3"/>
        <v>0</v>
      </c>
    </row>
    <row r="114" spans="1:18" hidden="1" x14ac:dyDescent="0.25">
      <c r="A114" s="26">
        <v>43780</v>
      </c>
      <c r="B114" s="25" t="s">
        <v>1476</v>
      </c>
      <c r="C114" s="25" t="s">
        <v>17</v>
      </c>
      <c r="D114" s="25">
        <v>1000</v>
      </c>
      <c r="E114" s="25">
        <v>248.95</v>
      </c>
      <c r="F114" s="25">
        <v>248950</v>
      </c>
      <c r="G114" s="25" t="s">
        <v>1751</v>
      </c>
      <c r="H114" s="25">
        <v>2019211</v>
      </c>
      <c r="I114" s="25" t="s">
        <v>19</v>
      </c>
      <c r="J114" s="25" t="s">
        <v>20</v>
      </c>
      <c r="K114" s="25" t="s">
        <v>25</v>
      </c>
      <c r="L114" s="25">
        <v>0</v>
      </c>
      <c r="M114" s="25">
        <v>5.48</v>
      </c>
      <c r="N114" s="25">
        <v>0</v>
      </c>
      <c r="O114" s="25">
        <v>147.86000000000001</v>
      </c>
      <c r="P114" s="25">
        <v>153.33690000000001</v>
      </c>
      <c r="Q114" s="25">
        <f t="shared" si="2"/>
        <v>249103.33689999999</v>
      </c>
      <c r="R114" s="25">
        <f t="shared" si="3"/>
        <v>0</v>
      </c>
    </row>
    <row r="115" spans="1:18" hidden="1" x14ac:dyDescent="0.25">
      <c r="A115" s="26">
        <v>43780</v>
      </c>
      <c r="B115" s="25" t="s">
        <v>1476</v>
      </c>
      <c r="C115" s="25" t="s">
        <v>23</v>
      </c>
      <c r="D115" s="25">
        <v>1000</v>
      </c>
      <c r="E115" s="25">
        <v>245.8</v>
      </c>
      <c r="F115" s="25">
        <v>245800</v>
      </c>
      <c r="G115" s="25" t="s">
        <v>1752</v>
      </c>
      <c r="H115" s="25">
        <v>2019211</v>
      </c>
      <c r="I115" s="25" t="s">
        <v>19</v>
      </c>
      <c r="J115" s="25" t="s">
        <v>20</v>
      </c>
      <c r="K115" s="25" t="s">
        <v>25</v>
      </c>
      <c r="L115" s="25">
        <v>62.03</v>
      </c>
      <c r="M115" s="25">
        <v>5.41</v>
      </c>
      <c r="N115" s="25">
        <v>0</v>
      </c>
      <c r="O115" s="25">
        <v>146</v>
      </c>
      <c r="P115" s="25">
        <v>213.4376</v>
      </c>
      <c r="Q115" s="25">
        <f t="shared" si="2"/>
        <v>0</v>
      </c>
      <c r="R115" s="25">
        <f t="shared" si="3"/>
        <v>245586.5624</v>
      </c>
    </row>
    <row r="116" spans="1:18" hidden="1" x14ac:dyDescent="0.25">
      <c r="A116" s="26">
        <v>43780</v>
      </c>
      <c r="B116" s="25" t="s">
        <v>1476</v>
      </c>
      <c r="C116" s="25" t="s">
        <v>23</v>
      </c>
      <c r="D116" s="25">
        <v>1000</v>
      </c>
      <c r="E116" s="25">
        <v>245.8</v>
      </c>
      <c r="F116" s="25">
        <v>245800</v>
      </c>
      <c r="G116" s="25" t="s">
        <v>1753</v>
      </c>
      <c r="H116" s="25">
        <v>2019211</v>
      </c>
      <c r="I116" s="25" t="s">
        <v>19</v>
      </c>
      <c r="J116" s="25" t="s">
        <v>20</v>
      </c>
      <c r="K116" s="25" t="s">
        <v>25</v>
      </c>
      <c r="L116" s="25">
        <v>62.03</v>
      </c>
      <c r="M116" s="25">
        <v>5.41</v>
      </c>
      <c r="N116" s="25">
        <v>0</v>
      </c>
      <c r="O116" s="25">
        <v>146</v>
      </c>
      <c r="P116" s="25">
        <v>213.43770000000001</v>
      </c>
      <c r="Q116" s="25">
        <f t="shared" si="2"/>
        <v>0</v>
      </c>
      <c r="R116" s="25">
        <f t="shared" si="3"/>
        <v>245586.56229999999</v>
      </c>
    </row>
    <row r="117" spans="1:18" hidden="1" x14ac:dyDescent="0.25">
      <c r="A117" s="26">
        <v>43780</v>
      </c>
      <c r="B117" s="25" t="s">
        <v>1476</v>
      </c>
      <c r="C117" s="25" t="s">
        <v>17</v>
      </c>
      <c r="D117" s="25">
        <v>1000</v>
      </c>
      <c r="E117" s="25">
        <v>245.5</v>
      </c>
      <c r="F117" s="25">
        <v>245500</v>
      </c>
      <c r="G117" s="25" t="s">
        <v>1754</v>
      </c>
      <c r="H117" s="25">
        <v>2019211</v>
      </c>
      <c r="I117" s="25" t="s">
        <v>19</v>
      </c>
      <c r="J117" s="25" t="s">
        <v>20</v>
      </c>
      <c r="K117" s="25" t="s">
        <v>25</v>
      </c>
      <c r="L117" s="25">
        <v>0</v>
      </c>
      <c r="M117" s="25">
        <v>5.4</v>
      </c>
      <c r="N117" s="25">
        <v>0</v>
      </c>
      <c r="O117" s="25">
        <v>145.82</v>
      </c>
      <c r="P117" s="25">
        <v>151.221</v>
      </c>
      <c r="Q117" s="25">
        <f t="shared" si="2"/>
        <v>245651.22099999999</v>
      </c>
      <c r="R117" s="25">
        <f t="shared" si="3"/>
        <v>0</v>
      </c>
    </row>
    <row r="118" spans="1:18" hidden="1" x14ac:dyDescent="0.25">
      <c r="A118" s="26">
        <v>43763</v>
      </c>
      <c r="B118" s="25" t="s">
        <v>268</v>
      </c>
      <c r="C118" s="25" t="s">
        <v>17</v>
      </c>
      <c r="D118" s="25">
        <v>500</v>
      </c>
      <c r="E118" s="25">
        <v>281.5</v>
      </c>
      <c r="F118" s="25">
        <v>140750</v>
      </c>
      <c r="G118" s="25" t="s">
        <v>1544</v>
      </c>
      <c r="H118" s="25">
        <v>2019200</v>
      </c>
      <c r="I118" s="25" t="s">
        <v>19</v>
      </c>
      <c r="J118" s="25" t="s">
        <v>20</v>
      </c>
      <c r="K118" s="25" t="s">
        <v>25</v>
      </c>
      <c r="L118" s="25">
        <v>0</v>
      </c>
      <c r="M118" s="25">
        <v>3.1</v>
      </c>
      <c r="N118" s="25">
        <v>0</v>
      </c>
      <c r="O118" s="25">
        <v>83.6</v>
      </c>
      <c r="P118" s="25">
        <v>86.696399999999997</v>
      </c>
      <c r="Q118" s="25">
        <f t="shared" si="2"/>
        <v>140836.69639999999</v>
      </c>
      <c r="R118" s="25">
        <f t="shared" si="3"/>
        <v>0</v>
      </c>
    </row>
    <row r="119" spans="1:18" hidden="1" x14ac:dyDescent="0.25">
      <c r="A119" s="26">
        <v>43768</v>
      </c>
      <c r="B119" s="25" t="s">
        <v>268</v>
      </c>
      <c r="C119" s="25" t="s">
        <v>23</v>
      </c>
      <c r="D119" s="25">
        <v>100</v>
      </c>
      <c r="E119" s="25">
        <v>283</v>
      </c>
      <c r="F119" s="25">
        <v>28300</v>
      </c>
      <c r="G119" s="25" t="s">
        <v>1521</v>
      </c>
      <c r="H119" s="25">
        <v>2019203</v>
      </c>
      <c r="I119" s="25" t="s">
        <v>19</v>
      </c>
      <c r="J119" s="25" t="s">
        <v>20</v>
      </c>
      <c r="K119" s="25" t="s">
        <v>25</v>
      </c>
      <c r="L119" s="25">
        <v>7.21</v>
      </c>
      <c r="M119" s="25">
        <v>0.62</v>
      </c>
      <c r="N119" s="25">
        <v>0</v>
      </c>
      <c r="O119" s="25">
        <v>29.61</v>
      </c>
      <c r="P119" s="25">
        <v>37.442599999999999</v>
      </c>
      <c r="Q119" s="25">
        <f t="shared" si="2"/>
        <v>0</v>
      </c>
      <c r="R119" s="25">
        <f t="shared" si="3"/>
        <v>28262.557400000002</v>
      </c>
    </row>
    <row r="120" spans="1:18" hidden="1" x14ac:dyDescent="0.25">
      <c r="A120" s="26">
        <v>43777</v>
      </c>
      <c r="B120" s="25" t="s">
        <v>1476</v>
      </c>
      <c r="C120" s="25" t="s">
        <v>23</v>
      </c>
      <c r="D120" s="25">
        <v>250</v>
      </c>
      <c r="E120" s="25">
        <v>240</v>
      </c>
      <c r="F120" s="25">
        <v>60000</v>
      </c>
      <c r="G120" s="25" t="s">
        <v>1477</v>
      </c>
      <c r="H120" s="25">
        <v>2019210</v>
      </c>
      <c r="I120" s="25" t="s">
        <v>19</v>
      </c>
      <c r="J120" s="25" t="s">
        <v>20</v>
      </c>
      <c r="K120" s="25" t="s">
        <v>25</v>
      </c>
      <c r="L120" s="25">
        <v>15.45</v>
      </c>
      <c r="M120" s="25">
        <v>1.32</v>
      </c>
      <c r="N120" s="25">
        <v>0</v>
      </c>
      <c r="O120" s="25">
        <v>35.64</v>
      </c>
      <c r="P120" s="25">
        <v>52.41</v>
      </c>
      <c r="Q120" s="25">
        <f t="shared" si="2"/>
        <v>0</v>
      </c>
      <c r="R120" s="25">
        <f t="shared" si="3"/>
        <v>59947.59</v>
      </c>
    </row>
    <row r="121" spans="1:18" hidden="1" x14ac:dyDescent="0.25">
      <c r="A121" s="26">
        <v>43777</v>
      </c>
      <c r="B121" s="25" t="s">
        <v>1476</v>
      </c>
      <c r="C121" s="25" t="s">
        <v>23</v>
      </c>
      <c r="D121" s="25">
        <v>250</v>
      </c>
      <c r="E121" s="25">
        <v>234.15</v>
      </c>
      <c r="F121" s="25">
        <v>58537.5</v>
      </c>
      <c r="G121" s="25" t="s">
        <v>1478</v>
      </c>
      <c r="H121" s="25">
        <v>2019210</v>
      </c>
      <c r="I121" s="25" t="s">
        <v>19</v>
      </c>
      <c r="J121" s="25" t="s">
        <v>20</v>
      </c>
      <c r="K121" s="25" t="s">
        <v>25</v>
      </c>
      <c r="L121" s="25">
        <v>15.45</v>
      </c>
      <c r="M121" s="25">
        <v>1.29</v>
      </c>
      <c r="N121" s="25">
        <v>0</v>
      </c>
      <c r="O121" s="25">
        <v>34.770000000000003</v>
      </c>
      <c r="P121" s="25">
        <v>51.507800000000003</v>
      </c>
      <c r="Q121" s="25">
        <f t="shared" si="2"/>
        <v>0</v>
      </c>
      <c r="R121" s="25">
        <f t="shared" si="3"/>
        <v>58485.992200000001</v>
      </c>
    </row>
    <row r="122" spans="1:18" hidden="1" x14ac:dyDescent="0.25">
      <c r="A122" s="26">
        <v>43768</v>
      </c>
      <c r="B122" s="25" t="s">
        <v>268</v>
      </c>
      <c r="C122" s="25" t="s">
        <v>23</v>
      </c>
      <c r="D122" s="25">
        <v>100</v>
      </c>
      <c r="E122" s="25">
        <v>285</v>
      </c>
      <c r="F122" s="25">
        <v>28500</v>
      </c>
      <c r="G122" s="25" t="s">
        <v>1525</v>
      </c>
      <c r="H122" s="25">
        <v>2019203</v>
      </c>
      <c r="I122" s="25" t="s">
        <v>19</v>
      </c>
      <c r="J122" s="25" t="s">
        <v>20</v>
      </c>
      <c r="K122" s="25" t="s">
        <v>25</v>
      </c>
      <c r="L122" s="25">
        <v>7.21</v>
      </c>
      <c r="M122" s="25">
        <v>0.63</v>
      </c>
      <c r="N122" s="25">
        <v>0</v>
      </c>
      <c r="O122" s="25">
        <v>29.61</v>
      </c>
      <c r="P122" s="25">
        <v>37.447000000000003</v>
      </c>
      <c r="Q122" s="25">
        <f t="shared" si="2"/>
        <v>0</v>
      </c>
      <c r="R122" s="25">
        <f t="shared" si="3"/>
        <v>28462.553</v>
      </c>
    </row>
    <row r="123" spans="1:18" hidden="1" x14ac:dyDescent="0.25">
      <c r="A123" s="26">
        <v>43777</v>
      </c>
      <c r="B123" s="25" t="s">
        <v>1476</v>
      </c>
      <c r="C123" s="25" t="s">
        <v>17</v>
      </c>
      <c r="D123" s="25">
        <v>500</v>
      </c>
      <c r="E123" s="25">
        <v>240</v>
      </c>
      <c r="F123" s="25">
        <v>120000</v>
      </c>
      <c r="G123" s="25" t="s">
        <v>1480</v>
      </c>
      <c r="H123" s="25">
        <v>2019210</v>
      </c>
      <c r="I123" s="25" t="s">
        <v>19</v>
      </c>
      <c r="J123" s="25" t="s">
        <v>20</v>
      </c>
      <c r="K123" s="25" t="s">
        <v>25</v>
      </c>
      <c r="L123" s="25">
        <v>0</v>
      </c>
      <c r="M123" s="25">
        <v>2.64</v>
      </c>
      <c r="N123" s="25">
        <v>0</v>
      </c>
      <c r="O123" s="25">
        <v>71.28</v>
      </c>
      <c r="P123" s="25">
        <v>73.92</v>
      </c>
      <c r="Q123" s="25">
        <f t="shared" si="2"/>
        <v>120073.92</v>
      </c>
      <c r="R123" s="25">
        <f t="shared" si="3"/>
        <v>0</v>
      </c>
    </row>
    <row r="124" spans="1:18" hidden="1" x14ac:dyDescent="0.25">
      <c r="A124" s="26">
        <v>43777</v>
      </c>
      <c r="B124" s="25" t="s">
        <v>1476</v>
      </c>
      <c r="C124" s="25" t="s">
        <v>17</v>
      </c>
      <c r="D124" s="25">
        <v>1000</v>
      </c>
      <c r="E124" s="25">
        <v>248</v>
      </c>
      <c r="F124" s="25">
        <v>248000</v>
      </c>
      <c r="G124" s="25" t="s">
        <v>1481</v>
      </c>
      <c r="H124" s="25">
        <v>2019210</v>
      </c>
      <c r="I124" s="25" t="s">
        <v>19</v>
      </c>
      <c r="J124" s="25" t="s">
        <v>20</v>
      </c>
      <c r="K124" s="25" t="s">
        <v>25</v>
      </c>
      <c r="L124" s="25">
        <v>0</v>
      </c>
      <c r="M124" s="25">
        <v>5.46</v>
      </c>
      <c r="N124" s="25">
        <v>70.2</v>
      </c>
      <c r="O124" s="25">
        <v>147.30000000000001</v>
      </c>
      <c r="P124" s="25">
        <v>222.95590000000001</v>
      </c>
      <c r="Q124" s="25">
        <f t="shared" si="2"/>
        <v>248222.9559</v>
      </c>
      <c r="R124" s="25">
        <f t="shared" si="3"/>
        <v>0</v>
      </c>
    </row>
    <row r="125" spans="1:18" hidden="1" x14ac:dyDescent="0.25">
      <c r="A125" s="26">
        <v>43777</v>
      </c>
      <c r="B125" s="25" t="s">
        <v>1476</v>
      </c>
      <c r="C125" s="25" t="s">
        <v>23</v>
      </c>
      <c r="D125" s="25">
        <v>1000</v>
      </c>
      <c r="E125" s="25">
        <v>255</v>
      </c>
      <c r="F125" s="25">
        <v>255000</v>
      </c>
      <c r="G125" s="25" t="s">
        <v>1482</v>
      </c>
      <c r="H125" s="25">
        <v>2019210</v>
      </c>
      <c r="I125" s="25" t="s">
        <v>19</v>
      </c>
      <c r="J125" s="25" t="s">
        <v>20</v>
      </c>
      <c r="K125" s="25" t="s">
        <v>25</v>
      </c>
      <c r="L125" s="25">
        <v>61.79</v>
      </c>
      <c r="M125" s="25">
        <v>5.61</v>
      </c>
      <c r="N125" s="25">
        <v>0</v>
      </c>
      <c r="O125" s="25">
        <v>151.46</v>
      </c>
      <c r="P125" s="25">
        <v>218.86</v>
      </c>
      <c r="Q125" s="25">
        <f t="shared" si="2"/>
        <v>0</v>
      </c>
      <c r="R125" s="25">
        <f t="shared" si="3"/>
        <v>254781.14</v>
      </c>
    </row>
    <row r="126" spans="1:18" hidden="1" x14ac:dyDescent="0.25">
      <c r="A126" s="26">
        <v>43768</v>
      </c>
      <c r="B126" s="25" t="s">
        <v>268</v>
      </c>
      <c r="C126" s="25" t="s">
        <v>23</v>
      </c>
      <c r="D126" s="25">
        <v>100</v>
      </c>
      <c r="E126" s="25">
        <v>288</v>
      </c>
      <c r="F126" s="25">
        <v>28800</v>
      </c>
      <c r="G126" s="25" t="s">
        <v>1527</v>
      </c>
      <c r="H126" s="25">
        <v>2019203</v>
      </c>
      <c r="I126" s="25" t="s">
        <v>19</v>
      </c>
      <c r="J126" s="25" t="s">
        <v>20</v>
      </c>
      <c r="K126" s="25" t="s">
        <v>25</v>
      </c>
      <c r="L126" s="25">
        <v>7.21</v>
      </c>
      <c r="M126" s="25">
        <v>0.63</v>
      </c>
      <c r="N126" s="25">
        <v>0</v>
      </c>
      <c r="O126" s="25">
        <v>29.61</v>
      </c>
      <c r="P126" s="25">
        <v>37.453600000000002</v>
      </c>
      <c r="Q126" s="25">
        <f t="shared" si="2"/>
        <v>0</v>
      </c>
      <c r="R126" s="25">
        <f t="shared" si="3"/>
        <v>28762.546399999999</v>
      </c>
    </row>
    <row r="127" spans="1:18" hidden="1" x14ac:dyDescent="0.25">
      <c r="A127" s="26">
        <v>43776</v>
      </c>
      <c r="B127" s="25" t="s">
        <v>16</v>
      </c>
      <c r="C127" s="25" t="s">
        <v>17</v>
      </c>
      <c r="D127" s="25">
        <v>10000</v>
      </c>
      <c r="E127" s="25">
        <v>25</v>
      </c>
      <c r="F127" s="25">
        <v>250000</v>
      </c>
      <c r="G127" s="25" t="s">
        <v>1484</v>
      </c>
      <c r="H127" s="25">
        <v>2019209</v>
      </c>
      <c r="I127" s="25" t="s">
        <v>19</v>
      </c>
      <c r="J127" s="25" t="s">
        <v>20</v>
      </c>
      <c r="K127" s="25" t="s">
        <v>25</v>
      </c>
      <c r="L127" s="25">
        <v>0</v>
      </c>
      <c r="M127" s="25">
        <v>5.5</v>
      </c>
      <c r="N127" s="25">
        <v>0</v>
      </c>
      <c r="O127" s="25">
        <v>148.47999999999999</v>
      </c>
      <c r="P127" s="25">
        <v>153.97980000000001</v>
      </c>
      <c r="Q127" s="25">
        <f t="shared" si="2"/>
        <v>250153.9798</v>
      </c>
      <c r="R127" s="25">
        <f t="shared" si="3"/>
        <v>0</v>
      </c>
    </row>
    <row r="128" spans="1:18" hidden="1" x14ac:dyDescent="0.25">
      <c r="A128" s="26">
        <v>43776</v>
      </c>
      <c r="B128" s="25" t="s">
        <v>270</v>
      </c>
      <c r="C128" s="25" t="s">
        <v>23</v>
      </c>
      <c r="D128" s="25">
        <v>1000</v>
      </c>
      <c r="E128" s="25">
        <v>98.6</v>
      </c>
      <c r="F128" s="25">
        <v>98600</v>
      </c>
      <c r="G128" s="25" t="s">
        <v>1485</v>
      </c>
      <c r="H128" s="25">
        <v>2019209</v>
      </c>
      <c r="I128" s="25" t="s">
        <v>19</v>
      </c>
      <c r="J128" s="25" t="s">
        <v>20</v>
      </c>
      <c r="K128" s="25" t="s">
        <v>25</v>
      </c>
      <c r="L128" s="25">
        <v>24.48</v>
      </c>
      <c r="M128" s="25">
        <v>2.17</v>
      </c>
      <c r="N128" s="25">
        <v>0</v>
      </c>
      <c r="O128" s="25">
        <v>58.56</v>
      </c>
      <c r="P128" s="25">
        <v>85.209199999999996</v>
      </c>
      <c r="Q128" s="25">
        <f t="shared" si="2"/>
        <v>0</v>
      </c>
      <c r="R128" s="25">
        <f t="shared" si="3"/>
        <v>98514.790800000002</v>
      </c>
    </row>
    <row r="129" spans="1:18" hidden="1" x14ac:dyDescent="0.25">
      <c r="A129" s="26">
        <v>43768</v>
      </c>
      <c r="B129" s="25" t="s">
        <v>268</v>
      </c>
      <c r="C129" s="25" t="s">
        <v>23</v>
      </c>
      <c r="D129" s="25">
        <v>200</v>
      </c>
      <c r="E129" s="25">
        <v>288.5</v>
      </c>
      <c r="F129" s="25">
        <v>57700</v>
      </c>
      <c r="G129" s="25" t="s">
        <v>1528</v>
      </c>
      <c r="H129" s="25">
        <v>2019203</v>
      </c>
      <c r="I129" s="25" t="s">
        <v>19</v>
      </c>
      <c r="J129" s="25" t="s">
        <v>20</v>
      </c>
      <c r="K129" s="25" t="s">
        <v>25</v>
      </c>
      <c r="L129" s="25">
        <v>14.42</v>
      </c>
      <c r="M129" s="25">
        <v>1.27</v>
      </c>
      <c r="N129" s="25">
        <v>0</v>
      </c>
      <c r="O129" s="25">
        <v>34.28</v>
      </c>
      <c r="P129" s="25">
        <v>49.9694</v>
      </c>
      <c r="Q129" s="25">
        <f t="shared" si="2"/>
        <v>0</v>
      </c>
      <c r="R129" s="25">
        <f t="shared" si="3"/>
        <v>57650.030599999998</v>
      </c>
    </row>
    <row r="130" spans="1:18" hidden="1" x14ac:dyDescent="0.25">
      <c r="A130" s="26">
        <v>43768</v>
      </c>
      <c r="B130" s="25" t="s">
        <v>268</v>
      </c>
      <c r="C130" s="25" t="s">
        <v>17</v>
      </c>
      <c r="D130" s="25">
        <v>500</v>
      </c>
      <c r="E130" s="25">
        <v>290.2</v>
      </c>
      <c r="F130" s="25">
        <v>145100</v>
      </c>
      <c r="G130" s="25" t="s">
        <v>1529</v>
      </c>
      <c r="H130" s="25">
        <v>2019203</v>
      </c>
      <c r="I130" s="25" t="s">
        <v>19</v>
      </c>
      <c r="J130" s="25" t="s">
        <v>20</v>
      </c>
      <c r="K130" s="25" t="s">
        <v>25</v>
      </c>
      <c r="L130" s="25">
        <v>0</v>
      </c>
      <c r="M130" s="25">
        <v>3.19</v>
      </c>
      <c r="N130" s="25">
        <v>0</v>
      </c>
      <c r="O130" s="25">
        <v>86.18</v>
      </c>
      <c r="P130" s="25">
        <v>89.372200000000007</v>
      </c>
      <c r="Q130" s="25">
        <f t="shared" si="2"/>
        <v>145189.37220000001</v>
      </c>
      <c r="R130" s="25">
        <f t="shared" si="3"/>
        <v>0</v>
      </c>
    </row>
    <row r="131" spans="1:18" hidden="1" x14ac:dyDescent="0.25">
      <c r="A131" s="26">
        <v>43776</v>
      </c>
      <c r="B131" s="25" t="s">
        <v>270</v>
      </c>
      <c r="C131" s="25" t="s">
        <v>17</v>
      </c>
      <c r="D131" s="25">
        <v>1000</v>
      </c>
      <c r="E131" s="25">
        <v>97.25</v>
      </c>
      <c r="F131" s="25">
        <v>97250</v>
      </c>
      <c r="G131" s="25" t="s">
        <v>1488</v>
      </c>
      <c r="H131" s="25">
        <v>2019209</v>
      </c>
      <c r="I131" s="25" t="s">
        <v>19</v>
      </c>
      <c r="J131" s="25" t="s">
        <v>20</v>
      </c>
      <c r="K131" s="25" t="s">
        <v>25</v>
      </c>
      <c r="L131" s="25">
        <v>0</v>
      </c>
      <c r="M131" s="25">
        <v>2.14</v>
      </c>
      <c r="N131" s="25">
        <v>0</v>
      </c>
      <c r="O131" s="25">
        <v>57.76</v>
      </c>
      <c r="P131" s="25">
        <v>59.8996</v>
      </c>
      <c r="Q131" s="25">
        <f t="shared" ref="Q131:Q194" si="4">IF(C131="Buy",F131+P131,0)</f>
        <v>97309.899600000004</v>
      </c>
      <c r="R131" s="25">
        <f t="shared" ref="R131:R194" si="5">IF(C131="Sell",F131-P131,0)</f>
        <v>0</v>
      </c>
    </row>
    <row r="132" spans="1:18" hidden="1" x14ac:dyDescent="0.25">
      <c r="A132" s="26">
        <v>43769</v>
      </c>
      <c r="B132" s="25" t="s">
        <v>268</v>
      </c>
      <c r="C132" s="25" t="s">
        <v>23</v>
      </c>
      <c r="D132" s="25">
        <v>500</v>
      </c>
      <c r="E132" s="25">
        <v>302</v>
      </c>
      <c r="F132" s="25">
        <v>151000</v>
      </c>
      <c r="G132" s="25" t="s">
        <v>1519</v>
      </c>
      <c r="H132" s="25">
        <v>2019204</v>
      </c>
      <c r="I132" s="25" t="s">
        <v>19</v>
      </c>
      <c r="J132" s="25" t="s">
        <v>20</v>
      </c>
      <c r="K132" s="25" t="s">
        <v>25</v>
      </c>
      <c r="L132" s="25">
        <v>38.08</v>
      </c>
      <c r="M132" s="25">
        <v>3.32</v>
      </c>
      <c r="N132" s="25">
        <v>0</v>
      </c>
      <c r="O132" s="25">
        <v>89.68</v>
      </c>
      <c r="P132" s="25">
        <v>131.08199999999999</v>
      </c>
      <c r="Q132" s="25">
        <f t="shared" si="4"/>
        <v>0</v>
      </c>
      <c r="R132" s="25">
        <f t="shared" si="5"/>
        <v>150868.91800000001</v>
      </c>
    </row>
    <row r="133" spans="1:18" hidden="1" x14ac:dyDescent="0.25">
      <c r="A133" s="26">
        <v>43769</v>
      </c>
      <c r="B133" s="25" t="s">
        <v>268</v>
      </c>
      <c r="C133" s="25" t="s">
        <v>17</v>
      </c>
      <c r="D133" s="25">
        <v>500</v>
      </c>
      <c r="E133" s="25">
        <v>304.88</v>
      </c>
      <c r="F133" s="25">
        <v>152440.20000000001</v>
      </c>
      <c r="G133" s="25" t="s">
        <v>1520</v>
      </c>
      <c r="H133" s="25">
        <v>2019204</v>
      </c>
      <c r="I133" s="25" t="s">
        <v>19</v>
      </c>
      <c r="J133" s="25" t="s">
        <v>20</v>
      </c>
      <c r="K133" s="25" t="s">
        <v>25</v>
      </c>
      <c r="L133" s="25">
        <v>0</v>
      </c>
      <c r="M133" s="25">
        <v>3.35</v>
      </c>
      <c r="N133" s="25">
        <v>0</v>
      </c>
      <c r="O133" s="25">
        <v>90.54</v>
      </c>
      <c r="P133" s="25">
        <v>93.893600000000006</v>
      </c>
      <c r="Q133" s="25">
        <f t="shared" si="4"/>
        <v>152534.09360000002</v>
      </c>
      <c r="R133" s="25">
        <f t="shared" si="5"/>
        <v>0</v>
      </c>
    </row>
    <row r="134" spans="1:18" hidden="1" x14ac:dyDescent="0.25">
      <c r="A134" s="26">
        <v>43776</v>
      </c>
      <c r="B134" s="25" t="s">
        <v>16</v>
      </c>
      <c r="C134" s="25" t="s">
        <v>23</v>
      </c>
      <c r="D134" s="25">
        <v>10000</v>
      </c>
      <c r="E134" s="25">
        <v>24.79</v>
      </c>
      <c r="F134" s="25">
        <v>247921.7</v>
      </c>
      <c r="G134" s="25" t="s">
        <v>1491</v>
      </c>
      <c r="H134" s="25">
        <v>2019209</v>
      </c>
      <c r="I134" s="25" t="s">
        <v>19</v>
      </c>
      <c r="J134" s="25" t="s">
        <v>20</v>
      </c>
      <c r="K134" s="25" t="s">
        <v>25</v>
      </c>
      <c r="L134" s="25">
        <v>62.08</v>
      </c>
      <c r="M134" s="25">
        <v>5.45</v>
      </c>
      <c r="N134" s="25">
        <v>59.1</v>
      </c>
      <c r="O134" s="25">
        <v>147.26</v>
      </c>
      <c r="P134" s="25">
        <v>273.89429999999999</v>
      </c>
      <c r="Q134" s="25">
        <f t="shared" si="4"/>
        <v>0</v>
      </c>
      <c r="R134" s="25">
        <f t="shared" si="5"/>
        <v>247647.8057</v>
      </c>
    </row>
    <row r="135" spans="1:18" hidden="1" x14ac:dyDescent="0.25">
      <c r="A135" s="26">
        <v>43770</v>
      </c>
      <c r="B135" s="25" t="s">
        <v>268</v>
      </c>
      <c r="C135" s="25" t="s">
        <v>23</v>
      </c>
      <c r="D135" s="25">
        <v>500</v>
      </c>
      <c r="E135" s="25">
        <v>313.5</v>
      </c>
      <c r="F135" s="25">
        <v>156750</v>
      </c>
      <c r="G135" s="25" t="s">
        <v>1513</v>
      </c>
      <c r="H135" s="25">
        <v>2019205</v>
      </c>
      <c r="I135" s="25" t="s">
        <v>19</v>
      </c>
      <c r="J135" s="25" t="s">
        <v>20</v>
      </c>
      <c r="K135" s="25" t="s">
        <v>25</v>
      </c>
      <c r="L135" s="25">
        <v>38.78</v>
      </c>
      <c r="M135" s="25">
        <v>3.45</v>
      </c>
      <c r="N135" s="25">
        <v>0</v>
      </c>
      <c r="O135" s="25">
        <v>93.1</v>
      </c>
      <c r="P135" s="25">
        <v>135.32859999999999</v>
      </c>
      <c r="Q135" s="25">
        <f t="shared" si="4"/>
        <v>0</v>
      </c>
      <c r="R135" s="25">
        <f t="shared" si="5"/>
        <v>156614.67139999999</v>
      </c>
    </row>
    <row r="136" spans="1:18" hidden="1" x14ac:dyDescent="0.25">
      <c r="A136" s="26">
        <v>43770</v>
      </c>
      <c r="B136" s="25" t="s">
        <v>268</v>
      </c>
      <c r="C136" s="25" t="s">
        <v>17</v>
      </c>
      <c r="D136" s="25">
        <v>1000</v>
      </c>
      <c r="E136" s="25">
        <v>313.98</v>
      </c>
      <c r="F136" s="25">
        <v>313983.59999999998</v>
      </c>
      <c r="G136" s="25" t="s">
        <v>1514</v>
      </c>
      <c r="H136" s="25">
        <v>2019205</v>
      </c>
      <c r="I136" s="25" t="s">
        <v>19</v>
      </c>
      <c r="J136" s="25" t="s">
        <v>20</v>
      </c>
      <c r="K136" s="25" t="s">
        <v>25</v>
      </c>
      <c r="L136" s="25">
        <v>0</v>
      </c>
      <c r="M136" s="25">
        <v>6.91</v>
      </c>
      <c r="N136" s="25">
        <v>18.899999999999999</v>
      </c>
      <c r="O136" s="25">
        <v>186.49</v>
      </c>
      <c r="P136" s="25">
        <v>212.29769999999999</v>
      </c>
      <c r="Q136" s="25">
        <f t="shared" si="4"/>
        <v>314195.89769999997</v>
      </c>
      <c r="R136" s="25">
        <f t="shared" si="5"/>
        <v>0</v>
      </c>
    </row>
    <row r="137" spans="1:18" hidden="1" x14ac:dyDescent="0.25">
      <c r="A137" s="26">
        <v>43770</v>
      </c>
      <c r="B137" s="25" t="s">
        <v>268</v>
      </c>
      <c r="C137" s="25" t="s">
        <v>23</v>
      </c>
      <c r="D137" s="25">
        <v>500</v>
      </c>
      <c r="E137" s="25">
        <v>313.5</v>
      </c>
      <c r="F137" s="25">
        <v>156750</v>
      </c>
      <c r="G137" s="25" t="s">
        <v>1515</v>
      </c>
      <c r="H137" s="25">
        <v>2019205</v>
      </c>
      <c r="I137" s="25" t="s">
        <v>19</v>
      </c>
      <c r="J137" s="25" t="s">
        <v>20</v>
      </c>
      <c r="K137" s="25" t="s">
        <v>25</v>
      </c>
      <c r="L137" s="25">
        <v>39.22</v>
      </c>
      <c r="M137" s="25">
        <v>3.45</v>
      </c>
      <c r="N137" s="25">
        <v>0</v>
      </c>
      <c r="O137" s="25">
        <v>93.1</v>
      </c>
      <c r="P137" s="25">
        <v>135.76859999999999</v>
      </c>
      <c r="Q137" s="25">
        <f t="shared" si="4"/>
        <v>0</v>
      </c>
      <c r="R137" s="25">
        <f t="shared" si="5"/>
        <v>156614.23139999999</v>
      </c>
    </row>
    <row r="138" spans="1:18" hidden="1" x14ac:dyDescent="0.25">
      <c r="A138" s="26">
        <v>43773</v>
      </c>
      <c r="B138" s="25" t="s">
        <v>268</v>
      </c>
      <c r="C138" s="25" t="s">
        <v>17</v>
      </c>
      <c r="D138" s="25">
        <v>1000</v>
      </c>
      <c r="E138" s="25">
        <v>316.3</v>
      </c>
      <c r="F138" s="25">
        <v>316300</v>
      </c>
      <c r="G138" s="25" t="s">
        <v>1507</v>
      </c>
      <c r="H138" s="25">
        <v>2019206</v>
      </c>
      <c r="I138" s="25" t="s">
        <v>19</v>
      </c>
      <c r="J138" s="25" t="s">
        <v>20</v>
      </c>
      <c r="K138" s="25" t="s">
        <v>25</v>
      </c>
      <c r="L138" s="25">
        <v>0</v>
      </c>
      <c r="M138" s="25">
        <v>6.96</v>
      </c>
      <c r="N138" s="25">
        <v>113.4</v>
      </c>
      <c r="O138" s="25">
        <v>187.88</v>
      </c>
      <c r="P138" s="25">
        <v>308.23840000000001</v>
      </c>
      <c r="Q138" s="25">
        <f t="shared" si="4"/>
        <v>316608.23839999997</v>
      </c>
      <c r="R138" s="25">
        <f t="shared" si="5"/>
        <v>0</v>
      </c>
    </row>
    <row r="139" spans="1:18" hidden="1" x14ac:dyDescent="0.25">
      <c r="A139" s="26">
        <v>43775</v>
      </c>
      <c r="B139" s="25" t="s">
        <v>16</v>
      </c>
      <c r="C139" s="25" t="s">
        <v>17</v>
      </c>
      <c r="D139" s="25">
        <v>10000</v>
      </c>
      <c r="E139" s="25">
        <v>25</v>
      </c>
      <c r="F139" s="25">
        <v>250000</v>
      </c>
      <c r="G139" s="25" t="s">
        <v>1496</v>
      </c>
      <c r="H139" s="25">
        <v>2019208</v>
      </c>
      <c r="I139" s="25" t="s">
        <v>19</v>
      </c>
      <c r="J139" s="25" t="s">
        <v>20</v>
      </c>
      <c r="K139" s="25" t="s">
        <v>25</v>
      </c>
      <c r="L139" s="25">
        <v>0</v>
      </c>
      <c r="M139" s="25">
        <v>5.5</v>
      </c>
      <c r="N139" s="25">
        <v>72.3</v>
      </c>
      <c r="O139" s="25">
        <v>148.47</v>
      </c>
      <c r="P139" s="25">
        <v>226.2698</v>
      </c>
      <c r="Q139" s="25">
        <f t="shared" si="4"/>
        <v>250226.26980000001</v>
      </c>
      <c r="R139" s="25">
        <f t="shared" si="5"/>
        <v>0</v>
      </c>
    </row>
    <row r="140" spans="1:18" hidden="1" x14ac:dyDescent="0.25">
      <c r="A140" s="26">
        <v>43775</v>
      </c>
      <c r="B140" s="25" t="s">
        <v>256</v>
      </c>
      <c r="C140" s="25" t="s">
        <v>17</v>
      </c>
      <c r="D140" s="25">
        <v>100</v>
      </c>
      <c r="E140" s="25">
        <v>35.700000000000003</v>
      </c>
      <c r="F140" s="25">
        <v>3570</v>
      </c>
      <c r="G140" s="25" t="s">
        <v>1497</v>
      </c>
      <c r="H140" s="25">
        <v>2019208</v>
      </c>
      <c r="I140" s="25" t="s">
        <v>19</v>
      </c>
      <c r="J140" s="25" t="s">
        <v>20</v>
      </c>
      <c r="K140" s="25" t="s">
        <v>25</v>
      </c>
      <c r="L140" s="25">
        <v>3.57</v>
      </c>
      <c r="M140" s="25">
        <v>0.08</v>
      </c>
      <c r="N140" s="25">
        <v>0</v>
      </c>
      <c r="O140" s="25">
        <v>41.31</v>
      </c>
      <c r="P140" s="25">
        <v>44.958599999999997</v>
      </c>
      <c r="Q140" s="25">
        <f t="shared" si="4"/>
        <v>3614.9585999999999</v>
      </c>
      <c r="R140" s="25">
        <f t="shared" si="5"/>
        <v>0</v>
      </c>
    </row>
    <row r="141" spans="1:18" hidden="1" x14ac:dyDescent="0.25">
      <c r="A141" s="26">
        <v>43775</v>
      </c>
      <c r="B141" s="25" t="s">
        <v>16</v>
      </c>
      <c r="C141" s="25" t="s">
        <v>23</v>
      </c>
      <c r="D141" s="25">
        <v>2074</v>
      </c>
      <c r="E141" s="25">
        <v>24.9</v>
      </c>
      <c r="F141" s="25">
        <v>51642.6</v>
      </c>
      <c r="G141" s="25" t="s">
        <v>1498</v>
      </c>
      <c r="H141" s="25">
        <v>2019208</v>
      </c>
      <c r="I141" s="25" t="s">
        <v>19</v>
      </c>
      <c r="J141" s="25" t="s">
        <v>20</v>
      </c>
      <c r="K141" s="25" t="s">
        <v>25</v>
      </c>
      <c r="L141" s="25">
        <v>12.91</v>
      </c>
      <c r="M141" s="25">
        <v>1.1399999999999999</v>
      </c>
      <c r="N141" s="25">
        <v>0</v>
      </c>
      <c r="O141" s="25">
        <v>30.67</v>
      </c>
      <c r="P141" s="25">
        <v>44.716099999999997</v>
      </c>
      <c r="Q141" s="25">
        <f t="shared" si="4"/>
        <v>0</v>
      </c>
      <c r="R141" s="25">
        <f t="shared" si="5"/>
        <v>51597.883900000001</v>
      </c>
    </row>
    <row r="142" spans="1:18" hidden="1" x14ac:dyDescent="0.25">
      <c r="A142" s="26">
        <v>43775</v>
      </c>
      <c r="B142" s="25" t="s">
        <v>16</v>
      </c>
      <c r="C142" s="25" t="s">
        <v>23</v>
      </c>
      <c r="D142" s="25">
        <v>2417</v>
      </c>
      <c r="E142" s="25">
        <v>24.85</v>
      </c>
      <c r="F142" s="25">
        <v>60062.45</v>
      </c>
      <c r="G142" s="25" t="s">
        <v>1499</v>
      </c>
      <c r="H142" s="25">
        <v>2019208</v>
      </c>
      <c r="I142" s="25" t="s">
        <v>19</v>
      </c>
      <c r="J142" s="25" t="s">
        <v>20</v>
      </c>
      <c r="K142" s="25" t="s">
        <v>25</v>
      </c>
      <c r="L142" s="25">
        <v>14.57</v>
      </c>
      <c r="M142" s="25">
        <v>1.32</v>
      </c>
      <c r="N142" s="25">
        <v>0</v>
      </c>
      <c r="O142" s="25">
        <v>35.67</v>
      </c>
      <c r="P142" s="25">
        <v>51.561500000000002</v>
      </c>
      <c r="Q142" s="25">
        <f t="shared" si="4"/>
        <v>0</v>
      </c>
      <c r="R142" s="25">
        <f t="shared" si="5"/>
        <v>60010.888499999994</v>
      </c>
    </row>
    <row r="143" spans="1:18" hidden="1" x14ac:dyDescent="0.25">
      <c r="A143" s="26">
        <v>43775</v>
      </c>
      <c r="B143" s="25" t="s">
        <v>16</v>
      </c>
      <c r="C143" s="25" t="s">
        <v>23</v>
      </c>
      <c r="D143" s="25">
        <v>5509</v>
      </c>
      <c r="E143" s="25">
        <v>24.74</v>
      </c>
      <c r="F143" s="25">
        <v>136318.85</v>
      </c>
      <c r="G143" s="25" t="s">
        <v>1500</v>
      </c>
      <c r="H143" s="25">
        <v>2019208</v>
      </c>
      <c r="I143" s="25" t="s">
        <v>19</v>
      </c>
      <c r="J143" s="25" t="s">
        <v>20</v>
      </c>
      <c r="K143" s="25" t="s">
        <v>25</v>
      </c>
      <c r="L143" s="25">
        <v>34.299999999999997</v>
      </c>
      <c r="M143" s="25">
        <v>3</v>
      </c>
      <c r="N143" s="25">
        <v>0</v>
      </c>
      <c r="O143" s="25">
        <v>80.95</v>
      </c>
      <c r="P143" s="25">
        <v>118.2491</v>
      </c>
      <c r="Q143" s="25">
        <f t="shared" si="4"/>
        <v>0</v>
      </c>
      <c r="R143" s="25">
        <f t="shared" si="5"/>
        <v>136200.60090000002</v>
      </c>
    </row>
    <row r="144" spans="1:18" hidden="1" x14ac:dyDescent="0.25">
      <c r="A144" s="26">
        <v>43774</v>
      </c>
      <c r="B144" s="25" t="s">
        <v>16</v>
      </c>
      <c r="C144" s="25" t="s">
        <v>17</v>
      </c>
      <c r="D144" s="25">
        <v>5000</v>
      </c>
      <c r="E144" s="25">
        <v>25.25</v>
      </c>
      <c r="F144" s="25">
        <v>126250</v>
      </c>
      <c r="G144" s="25" t="s">
        <v>1501</v>
      </c>
      <c r="H144" s="25">
        <v>2019207</v>
      </c>
      <c r="I144" s="25" t="s">
        <v>19</v>
      </c>
      <c r="J144" s="25" t="s">
        <v>20</v>
      </c>
      <c r="K144" s="25" t="s">
        <v>25</v>
      </c>
      <c r="L144" s="25">
        <v>0</v>
      </c>
      <c r="M144" s="25">
        <v>2.78</v>
      </c>
      <c r="N144" s="25">
        <v>84</v>
      </c>
      <c r="O144" s="25">
        <v>74.989999999999995</v>
      </c>
      <c r="P144" s="25">
        <v>161.76750000000001</v>
      </c>
      <c r="Q144" s="25">
        <f t="shared" si="4"/>
        <v>126411.7675</v>
      </c>
      <c r="R144" s="25">
        <f t="shared" si="5"/>
        <v>0</v>
      </c>
    </row>
    <row r="145" spans="1:18" hidden="1" x14ac:dyDescent="0.25">
      <c r="A145" s="26">
        <v>43773</v>
      </c>
      <c r="B145" s="25" t="s">
        <v>268</v>
      </c>
      <c r="C145" s="25" t="s">
        <v>23</v>
      </c>
      <c r="D145" s="25">
        <v>1000</v>
      </c>
      <c r="E145" s="25">
        <v>313</v>
      </c>
      <c r="F145" s="25">
        <v>313000</v>
      </c>
      <c r="G145" s="25" t="s">
        <v>1508</v>
      </c>
      <c r="H145" s="25">
        <v>2019206</v>
      </c>
      <c r="I145" s="25" t="s">
        <v>19</v>
      </c>
      <c r="J145" s="25" t="s">
        <v>20</v>
      </c>
      <c r="K145" s="25" t="s">
        <v>25</v>
      </c>
      <c r="L145" s="25">
        <v>78.739999999999995</v>
      </c>
      <c r="M145" s="25">
        <v>6.89</v>
      </c>
      <c r="N145" s="25">
        <v>0</v>
      </c>
      <c r="O145" s="25">
        <v>185.91</v>
      </c>
      <c r="P145" s="25">
        <v>271.536</v>
      </c>
      <c r="Q145" s="25">
        <f t="shared" si="4"/>
        <v>0</v>
      </c>
      <c r="R145" s="25">
        <f t="shared" si="5"/>
        <v>312728.46399999998</v>
      </c>
    </row>
    <row r="146" spans="1:18" hidden="1" x14ac:dyDescent="0.25">
      <c r="A146" s="26">
        <v>43773</v>
      </c>
      <c r="B146" s="25" t="s">
        <v>268</v>
      </c>
      <c r="C146" s="25" t="s">
        <v>23</v>
      </c>
      <c r="D146" s="25">
        <v>2500</v>
      </c>
      <c r="E146" s="25">
        <v>313.26</v>
      </c>
      <c r="F146" s="25">
        <v>783153</v>
      </c>
      <c r="G146" s="25" t="s">
        <v>1509</v>
      </c>
      <c r="H146" s="25">
        <v>2019206</v>
      </c>
      <c r="I146" s="25" t="s">
        <v>19</v>
      </c>
      <c r="J146" s="25" t="s">
        <v>20</v>
      </c>
      <c r="K146" s="25" t="s">
        <v>25</v>
      </c>
      <c r="L146" s="25">
        <v>196.35</v>
      </c>
      <c r="M146" s="25">
        <v>17.23</v>
      </c>
      <c r="N146" s="25">
        <v>0</v>
      </c>
      <c r="O146" s="25">
        <v>465.16</v>
      </c>
      <c r="P146" s="25">
        <v>678.73950000000002</v>
      </c>
      <c r="Q146" s="25">
        <f t="shared" si="4"/>
        <v>0</v>
      </c>
      <c r="R146" s="25">
        <f t="shared" si="5"/>
        <v>782474.26049999997</v>
      </c>
    </row>
    <row r="147" spans="1:18" hidden="1" x14ac:dyDescent="0.25">
      <c r="A147" s="26">
        <v>43773</v>
      </c>
      <c r="B147" s="25" t="s">
        <v>268</v>
      </c>
      <c r="C147" s="25" t="s">
        <v>17</v>
      </c>
      <c r="D147" s="25">
        <v>5000</v>
      </c>
      <c r="E147" s="25">
        <v>314</v>
      </c>
      <c r="F147" s="25">
        <v>1570000</v>
      </c>
      <c r="G147" s="25" t="s">
        <v>1510</v>
      </c>
      <c r="H147" s="25">
        <v>2019206</v>
      </c>
      <c r="I147" s="25" t="s">
        <v>19</v>
      </c>
      <c r="J147" s="25" t="s">
        <v>20</v>
      </c>
      <c r="K147" s="25" t="s">
        <v>25</v>
      </c>
      <c r="L147" s="25">
        <v>0</v>
      </c>
      <c r="M147" s="25">
        <v>34.54</v>
      </c>
      <c r="N147" s="25">
        <v>0</v>
      </c>
      <c r="O147" s="25">
        <v>932.52</v>
      </c>
      <c r="P147" s="25">
        <v>967.06</v>
      </c>
      <c r="Q147" s="25">
        <f t="shared" si="4"/>
        <v>1570967.06</v>
      </c>
      <c r="R147" s="25">
        <f t="shared" si="5"/>
        <v>0</v>
      </c>
    </row>
    <row r="148" spans="1:18" hidden="1" x14ac:dyDescent="0.25">
      <c r="A148" s="26">
        <v>43773</v>
      </c>
      <c r="B148" s="25" t="s">
        <v>268</v>
      </c>
      <c r="C148" s="25" t="s">
        <v>23</v>
      </c>
      <c r="D148" s="25">
        <v>2500</v>
      </c>
      <c r="E148" s="25">
        <v>315</v>
      </c>
      <c r="F148" s="25">
        <v>787500</v>
      </c>
      <c r="G148" s="25" t="s">
        <v>1511</v>
      </c>
      <c r="H148" s="25">
        <v>2019206</v>
      </c>
      <c r="I148" s="25" t="s">
        <v>19</v>
      </c>
      <c r="J148" s="25" t="s">
        <v>20</v>
      </c>
      <c r="K148" s="25" t="s">
        <v>25</v>
      </c>
      <c r="L148" s="25">
        <v>196.35</v>
      </c>
      <c r="M148" s="25">
        <v>17.329999999999998</v>
      </c>
      <c r="N148" s="25">
        <v>0</v>
      </c>
      <c r="O148" s="25">
        <v>467.74</v>
      </c>
      <c r="P148" s="25">
        <v>681.41499999999996</v>
      </c>
      <c r="Q148" s="25">
        <f t="shared" si="4"/>
        <v>0</v>
      </c>
      <c r="R148" s="25">
        <f t="shared" si="5"/>
        <v>786818.58499999996</v>
      </c>
    </row>
    <row r="149" spans="1:18" hidden="1" x14ac:dyDescent="0.25">
      <c r="A149" s="26">
        <v>43774</v>
      </c>
      <c r="B149" s="25" t="s">
        <v>16</v>
      </c>
      <c r="C149" s="25" t="s">
        <v>23</v>
      </c>
      <c r="D149" s="25">
        <v>5000</v>
      </c>
      <c r="E149" s="25">
        <v>24.62</v>
      </c>
      <c r="F149" s="25">
        <v>123116.2</v>
      </c>
      <c r="G149" s="25" t="s">
        <v>1506</v>
      </c>
      <c r="H149" s="25">
        <v>2019207</v>
      </c>
      <c r="I149" s="25" t="s">
        <v>19</v>
      </c>
      <c r="J149" s="25" t="s">
        <v>20</v>
      </c>
      <c r="K149" s="25" t="s">
        <v>25</v>
      </c>
      <c r="L149" s="25">
        <v>31.17</v>
      </c>
      <c r="M149" s="25">
        <v>2.71</v>
      </c>
      <c r="N149" s="25">
        <v>0</v>
      </c>
      <c r="O149" s="25">
        <v>73.09</v>
      </c>
      <c r="P149" s="25">
        <v>106.968</v>
      </c>
      <c r="Q149" s="25">
        <f t="shared" si="4"/>
        <v>0</v>
      </c>
      <c r="R149" s="25">
        <f t="shared" si="5"/>
        <v>123009.232</v>
      </c>
    </row>
    <row r="150" spans="1:18" hidden="1" x14ac:dyDescent="0.25">
      <c r="A150" s="26">
        <v>43774</v>
      </c>
      <c r="B150" s="25" t="s">
        <v>268</v>
      </c>
      <c r="C150" s="25" t="s">
        <v>23</v>
      </c>
      <c r="D150" s="25">
        <v>2500</v>
      </c>
      <c r="E150" s="25">
        <v>314</v>
      </c>
      <c r="F150" s="25">
        <v>785000</v>
      </c>
      <c r="G150" s="25" t="s">
        <v>1502</v>
      </c>
      <c r="H150" s="25">
        <v>2019207</v>
      </c>
      <c r="I150" s="25" t="s">
        <v>19</v>
      </c>
      <c r="J150" s="25" t="s">
        <v>20</v>
      </c>
      <c r="K150" s="25" t="s">
        <v>25</v>
      </c>
      <c r="L150" s="25">
        <v>198.52</v>
      </c>
      <c r="M150" s="25">
        <v>17.27</v>
      </c>
      <c r="N150" s="25">
        <v>0</v>
      </c>
      <c r="O150" s="25">
        <v>466.26</v>
      </c>
      <c r="P150" s="25">
        <v>682.05</v>
      </c>
      <c r="Q150" s="25">
        <f t="shared" si="4"/>
        <v>0</v>
      </c>
      <c r="R150" s="25">
        <f t="shared" si="5"/>
        <v>784317.95</v>
      </c>
    </row>
    <row r="151" spans="1:18" hidden="1" x14ac:dyDescent="0.25">
      <c r="A151" s="26">
        <v>43774</v>
      </c>
      <c r="B151" s="25" t="s">
        <v>268</v>
      </c>
      <c r="C151" s="25" t="s">
        <v>17</v>
      </c>
      <c r="D151" s="25">
        <v>1412</v>
      </c>
      <c r="E151" s="25">
        <v>317.93</v>
      </c>
      <c r="F151" s="25">
        <v>448920.4</v>
      </c>
      <c r="G151" s="25" t="s">
        <v>1503</v>
      </c>
      <c r="H151" s="25">
        <v>2019207</v>
      </c>
      <c r="I151" s="25" t="s">
        <v>19</v>
      </c>
      <c r="J151" s="25" t="s">
        <v>20</v>
      </c>
      <c r="K151" s="25" t="s">
        <v>25</v>
      </c>
      <c r="L151" s="25">
        <v>0</v>
      </c>
      <c r="M151" s="25">
        <v>9.8800000000000008</v>
      </c>
      <c r="N151" s="25">
        <v>0</v>
      </c>
      <c r="O151" s="25">
        <v>266.64</v>
      </c>
      <c r="P151" s="25">
        <v>276.51639999999998</v>
      </c>
      <c r="Q151" s="25">
        <f t="shared" si="4"/>
        <v>449196.91640000005</v>
      </c>
      <c r="R151" s="25">
        <f t="shared" si="5"/>
        <v>0</v>
      </c>
    </row>
    <row r="152" spans="1:18" hidden="1" x14ac:dyDescent="0.25">
      <c r="A152" s="26">
        <v>43774</v>
      </c>
      <c r="B152" s="25" t="s">
        <v>268</v>
      </c>
      <c r="C152" s="25" t="s">
        <v>23</v>
      </c>
      <c r="D152" s="25">
        <v>1500</v>
      </c>
      <c r="E152" s="25">
        <v>321</v>
      </c>
      <c r="F152" s="25">
        <v>481500</v>
      </c>
      <c r="G152" s="25" t="s">
        <v>1504</v>
      </c>
      <c r="H152" s="25">
        <v>2019207</v>
      </c>
      <c r="I152" s="25" t="s">
        <v>19</v>
      </c>
      <c r="J152" s="25" t="s">
        <v>20</v>
      </c>
      <c r="K152" s="25" t="s">
        <v>25</v>
      </c>
      <c r="L152" s="25">
        <v>119.31</v>
      </c>
      <c r="M152" s="25">
        <v>10.59</v>
      </c>
      <c r="N152" s="25">
        <v>0</v>
      </c>
      <c r="O152" s="25">
        <v>285.99</v>
      </c>
      <c r="P152" s="25">
        <v>415.89299999999997</v>
      </c>
      <c r="Q152" s="25">
        <f t="shared" si="4"/>
        <v>0</v>
      </c>
      <c r="R152" s="25">
        <f t="shared" si="5"/>
        <v>481084.10700000002</v>
      </c>
    </row>
    <row r="153" spans="1:18" hidden="1" x14ac:dyDescent="0.25">
      <c r="A153" s="26">
        <v>43774</v>
      </c>
      <c r="B153" s="25" t="s">
        <v>268</v>
      </c>
      <c r="C153" s="25" t="s">
        <v>17</v>
      </c>
      <c r="D153" s="25">
        <v>2588</v>
      </c>
      <c r="E153" s="25">
        <v>319</v>
      </c>
      <c r="F153" s="25">
        <v>825572</v>
      </c>
      <c r="G153" s="25" t="s">
        <v>1505</v>
      </c>
      <c r="H153" s="25">
        <v>2019207</v>
      </c>
      <c r="I153" s="25" t="s">
        <v>19</v>
      </c>
      <c r="J153" s="25" t="s">
        <v>20</v>
      </c>
      <c r="K153" s="25" t="s">
        <v>25</v>
      </c>
      <c r="L153" s="25">
        <v>0</v>
      </c>
      <c r="M153" s="25">
        <v>18.16</v>
      </c>
      <c r="N153" s="25">
        <v>0</v>
      </c>
      <c r="O153" s="25">
        <v>490.36</v>
      </c>
      <c r="P153" s="25">
        <v>508.52260000000001</v>
      </c>
      <c r="Q153" s="25">
        <f t="shared" si="4"/>
        <v>826080.52260000003</v>
      </c>
      <c r="R153" s="25">
        <f t="shared" si="5"/>
        <v>0</v>
      </c>
    </row>
    <row r="154" spans="1:18" hidden="1" x14ac:dyDescent="0.25">
      <c r="A154" s="26">
        <v>43775</v>
      </c>
      <c r="B154" s="25" t="s">
        <v>268</v>
      </c>
      <c r="C154" s="25" t="s">
        <v>23</v>
      </c>
      <c r="D154" s="25">
        <v>2500</v>
      </c>
      <c r="E154" s="25">
        <v>318.5</v>
      </c>
      <c r="F154" s="25">
        <v>796250</v>
      </c>
      <c r="G154" s="25" t="s">
        <v>1492</v>
      </c>
      <c r="H154" s="25">
        <v>2019208</v>
      </c>
      <c r="I154" s="25" t="s">
        <v>19</v>
      </c>
      <c r="J154" s="25" t="s">
        <v>20</v>
      </c>
      <c r="K154" s="25" t="s">
        <v>25</v>
      </c>
      <c r="L154" s="25">
        <v>198.05</v>
      </c>
      <c r="M154" s="25">
        <v>17.52</v>
      </c>
      <c r="N154" s="25">
        <v>0</v>
      </c>
      <c r="O154" s="25">
        <v>472.94</v>
      </c>
      <c r="P154" s="25">
        <v>688.50800000000004</v>
      </c>
      <c r="Q154" s="25">
        <f t="shared" si="4"/>
        <v>0</v>
      </c>
      <c r="R154" s="25">
        <f t="shared" si="5"/>
        <v>795561.49199999997</v>
      </c>
    </row>
    <row r="155" spans="1:18" hidden="1" x14ac:dyDescent="0.25">
      <c r="A155" s="26">
        <v>43773</v>
      </c>
      <c r="B155" s="25" t="s">
        <v>74</v>
      </c>
      <c r="C155" s="25" t="s">
        <v>17</v>
      </c>
      <c r="D155" s="25">
        <v>5</v>
      </c>
      <c r="E155" s="25">
        <v>710.55</v>
      </c>
      <c r="F155" s="25">
        <v>3552.75</v>
      </c>
      <c r="G155" s="25" t="s">
        <v>1512</v>
      </c>
      <c r="H155" s="25">
        <v>2019206</v>
      </c>
      <c r="I155" s="25" t="s">
        <v>19</v>
      </c>
      <c r="J155" s="25" t="s">
        <v>20</v>
      </c>
      <c r="K155" s="25" t="s">
        <v>25</v>
      </c>
      <c r="L155" s="25">
        <v>3.55</v>
      </c>
      <c r="M155" s="25">
        <v>0.08</v>
      </c>
      <c r="N155" s="25">
        <v>0</v>
      </c>
      <c r="O155" s="25">
        <v>41.31</v>
      </c>
      <c r="P155" s="25">
        <v>44.938200000000002</v>
      </c>
      <c r="Q155" s="25">
        <f t="shared" si="4"/>
        <v>3597.6882000000001</v>
      </c>
      <c r="R155" s="25">
        <f t="shared" si="5"/>
        <v>0</v>
      </c>
    </row>
    <row r="156" spans="1:18" hidden="1" x14ac:dyDescent="0.25">
      <c r="A156" s="26">
        <v>43775</v>
      </c>
      <c r="B156" s="25" t="s">
        <v>268</v>
      </c>
      <c r="C156" s="25" t="s">
        <v>17</v>
      </c>
      <c r="D156" s="25">
        <v>2500</v>
      </c>
      <c r="E156" s="25">
        <v>315.39999999999998</v>
      </c>
      <c r="F156" s="25">
        <v>788500</v>
      </c>
      <c r="G156" s="25" t="s">
        <v>1493</v>
      </c>
      <c r="H156" s="25">
        <v>2019208</v>
      </c>
      <c r="I156" s="25" t="s">
        <v>19</v>
      </c>
      <c r="J156" s="25" t="s">
        <v>20</v>
      </c>
      <c r="K156" s="25" t="s">
        <v>25</v>
      </c>
      <c r="L156" s="25">
        <v>0</v>
      </c>
      <c r="M156" s="25">
        <v>17.350000000000001</v>
      </c>
      <c r="N156" s="25">
        <v>0</v>
      </c>
      <c r="O156" s="25">
        <v>468.34</v>
      </c>
      <c r="P156" s="25">
        <v>485.68700000000001</v>
      </c>
      <c r="Q156" s="25">
        <f t="shared" si="4"/>
        <v>788985.68700000003</v>
      </c>
      <c r="R156" s="25">
        <f t="shared" si="5"/>
        <v>0</v>
      </c>
    </row>
    <row r="157" spans="1:18" hidden="1" x14ac:dyDescent="0.25">
      <c r="A157" s="26">
        <v>43775</v>
      </c>
      <c r="B157" s="25" t="s">
        <v>268</v>
      </c>
      <c r="C157" s="25" t="s">
        <v>17</v>
      </c>
      <c r="D157" s="25">
        <v>500</v>
      </c>
      <c r="E157" s="25">
        <v>315.5</v>
      </c>
      <c r="F157" s="25">
        <v>157750</v>
      </c>
      <c r="G157" s="25" t="s">
        <v>1494</v>
      </c>
      <c r="H157" s="25">
        <v>2019208</v>
      </c>
      <c r="I157" s="25" t="s">
        <v>19</v>
      </c>
      <c r="J157" s="25" t="s">
        <v>20</v>
      </c>
      <c r="K157" s="25" t="s">
        <v>25</v>
      </c>
      <c r="L157" s="25">
        <v>0</v>
      </c>
      <c r="M157" s="25">
        <v>3.47</v>
      </c>
      <c r="N157" s="25">
        <v>0</v>
      </c>
      <c r="O157" s="25">
        <v>93.7</v>
      </c>
      <c r="P157" s="25">
        <v>97.170599999999993</v>
      </c>
      <c r="Q157" s="25">
        <f t="shared" si="4"/>
        <v>157847.17060000001</v>
      </c>
      <c r="R157" s="25">
        <f t="shared" si="5"/>
        <v>0</v>
      </c>
    </row>
    <row r="158" spans="1:18" hidden="1" x14ac:dyDescent="0.25">
      <c r="A158" s="26">
        <v>43775</v>
      </c>
      <c r="B158" s="25" t="s">
        <v>268</v>
      </c>
      <c r="C158" s="25" t="s">
        <v>23</v>
      </c>
      <c r="D158" s="25">
        <v>500</v>
      </c>
      <c r="E158" s="25">
        <v>317.5</v>
      </c>
      <c r="F158" s="25">
        <v>158750</v>
      </c>
      <c r="G158" s="25" t="s">
        <v>1495</v>
      </c>
      <c r="H158" s="25">
        <v>2019208</v>
      </c>
      <c r="I158" s="25" t="s">
        <v>19</v>
      </c>
      <c r="J158" s="25" t="s">
        <v>20</v>
      </c>
      <c r="K158" s="25" t="s">
        <v>25</v>
      </c>
      <c r="L158" s="25">
        <v>39.61</v>
      </c>
      <c r="M158" s="25">
        <v>3.49</v>
      </c>
      <c r="N158" s="25">
        <v>0</v>
      </c>
      <c r="O158" s="25">
        <v>94.29</v>
      </c>
      <c r="P158" s="25">
        <v>137.39259999999999</v>
      </c>
      <c r="Q158" s="25">
        <f t="shared" si="4"/>
        <v>0</v>
      </c>
      <c r="R158" s="25">
        <f t="shared" si="5"/>
        <v>158612.60740000001</v>
      </c>
    </row>
    <row r="159" spans="1:18" hidden="1" x14ac:dyDescent="0.25">
      <c r="A159" s="26">
        <v>43769</v>
      </c>
      <c r="B159" s="25" t="s">
        <v>98</v>
      </c>
      <c r="C159" s="25" t="s">
        <v>17</v>
      </c>
      <c r="D159" s="25">
        <v>5000</v>
      </c>
      <c r="E159" s="25">
        <v>22</v>
      </c>
      <c r="F159" s="25">
        <v>110000</v>
      </c>
      <c r="G159" s="25" t="s">
        <v>1516</v>
      </c>
      <c r="H159" s="25">
        <v>2019204</v>
      </c>
      <c r="I159" s="25" t="s">
        <v>19</v>
      </c>
      <c r="J159" s="25" t="s">
        <v>20</v>
      </c>
      <c r="K159" s="25" t="s">
        <v>25</v>
      </c>
      <c r="L159" s="25">
        <v>0</v>
      </c>
      <c r="M159" s="25">
        <v>2.42</v>
      </c>
      <c r="N159" s="25">
        <v>16.2</v>
      </c>
      <c r="O159" s="25">
        <v>65.33</v>
      </c>
      <c r="P159" s="25">
        <v>83.95</v>
      </c>
      <c r="Q159" s="25">
        <f t="shared" si="4"/>
        <v>110083.95</v>
      </c>
      <c r="R159" s="25">
        <f t="shared" si="5"/>
        <v>0</v>
      </c>
    </row>
    <row r="160" spans="1:18" hidden="1" x14ac:dyDescent="0.25">
      <c r="A160" s="26">
        <v>43769</v>
      </c>
      <c r="B160" s="25" t="s">
        <v>98</v>
      </c>
      <c r="C160" s="25" t="s">
        <v>23</v>
      </c>
      <c r="D160" s="25">
        <v>5000</v>
      </c>
      <c r="E160" s="25">
        <v>23.61</v>
      </c>
      <c r="F160" s="25">
        <v>118072.75</v>
      </c>
      <c r="G160" s="25" t="s">
        <v>1517</v>
      </c>
      <c r="H160" s="25">
        <v>2019204</v>
      </c>
      <c r="I160" s="25" t="s">
        <v>19</v>
      </c>
      <c r="J160" s="25" t="s">
        <v>20</v>
      </c>
      <c r="K160" s="25" t="s">
        <v>25</v>
      </c>
      <c r="L160" s="25">
        <v>28.51</v>
      </c>
      <c r="M160" s="25">
        <v>2.6</v>
      </c>
      <c r="N160" s="25">
        <v>0</v>
      </c>
      <c r="O160" s="25">
        <v>70.14</v>
      </c>
      <c r="P160" s="25">
        <v>101.2475</v>
      </c>
      <c r="Q160" s="25">
        <f t="shared" si="4"/>
        <v>0</v>
      </c>
      <c r="R160" s="25">
        <f t="shared" si="5"/>
        <v>117971.5025</v>
      </c>
    </row>
    <row r="161" spans="1:18" hidden="1" x14ac:dyDescent="0.25">
      <c r="A161" s="26">
        <v>43769</v>
      </c>
      <c r="B161" s="25" t="s">
        <v>659</v>
      </c>
      <c r="C161" s="25" t="s">
        <v>17</v>
      </c>
      <c r="D161" s="25">
        <v>25</v>
      </c>
      <c r="E161" s="25">
        <v>56.5</v>
      </c>
      <c r="F161" s="25">
        <v>1412.5</v>
      </c>
      <c r="G161" s="25" t="s">
        <v>1518</v>
      </c>
      <c r="H161" s="25">
        <v>2019204</v>
      </c>
      <c r="I161" s="25" t="s">
        <v>19</v>
      </c>
      <c r="J161" s="25" t="s">
        <v>20</v>
      </c>
      <c r="K161" s="25" t="s">
        <v>25</v>
      </c>
      <c r="L161" s="25">
        <v>1.41</v>
      </c>
      <c r="M161" s="25">
        <v>0.03</v>
      </c>
      <c r="N161" s="25">
        <v>0</v>
      </c>
      <c r="O161" s="25">
        <v>41.31</v>
      </c>
      <c r="P161" s="25">
        <v>42.751100000000001</v>
      </c>
      <c r="Q161" s="25">
        <f t="shared" si="4"/>
        <v>1455.2511</v>
      </c>
      <c r="R161" s="25">
        <f t="shared" si="5"/>
        <v>0</v>
      </c>
    </row>
    <row r="162" spans="1:18" hidden="1" x14ac:dyDescent="0.25">
      <c r="A162" s="26">
        <v>43776</v>
      </c>
      <c r="B162" s="25" t="s">
        <v>268</v>
      </c>
      <c r="C162" s="25" t="s">
        <v>23</v>
      </c>
      <c r="D162" s="25">
        <v>1000</v>
      </c>
      <c r="E162" s="25">
        <v>320</v>
      </c>
      <c r="F162" s="25">
        <v>320000</v>
      </c>
      <c r="G162" s="25" t="s">
        <v>1486</v>
      </c>
      <c r="H162" s="25">
        <v>2019209</v>
      </c>
      <c r="I162" s="25" t="s">
        <v>19</v>
      </c>
      <c r="J162" s="25" t="s">
        <v>20</v>
      </c>
      <c r="K162" s="25" t="s">
        <v>25</v>
      </c>
      <c r="L162" s="25">
        <v>79.72</v>
      </c>
      <c r="M162" s="25">
        <v>7.04</v>
      </c>
      <c r="N162" s="25">
        <v>0</v>
      </c>
      <c r="O162" s="25">
        <v>190.07</v>
      </c>
      <c r="P162" s="25">
        <v>276.83</v>
      </c>
      <c r="Q162" s="25">
        <f t="shared" si="4"/>
        <v>0</v>
      </c>
      <c r="R162" s="25">
        <f t="shared" si="5"/>
        <v>319723.17</v>
      </c>
    </row>
    <row r="163" spans="1:18" hidden="1" x14ac:dyDescent="0.25">
      <c r="A163" s="26">
        <v>43776</v>
      </c>
      <c r="B163" s="25" t="s">
        <v>268</v>
      </c>
      <c r="C163" s="25" t="s">
        <v>17</v>
      </c>
      <c r="D163" s="25">
        <v>1000</v>
      </c>
      <c r="E163" s="25">
        <v>318</v>
      </c>
      <c r="F163" s="25">
        <v>318000</v>
      </c>
      <c r="G163" s="25" t="s">
        <v>1487</v>
      </c>
      <c r="H163" s="25">
        <v>2019209</v>
      </c>
      <c r="I163" s="25" t="s">
        <v>19</v>
      </c>
      <c r="J163" s="25" t="s">
        <v>20</v>
      </c>
      <c r="K163" s="25" t="s">
        <v>25</v>
      </c>
      <c r="L163" s="25">
        <v>0</v>
      </c>
      <c r="M163" s="25">
        <v>7</v>
      </c>
      <c r="N163" s="25">
        <v>0</v>
      </c>
      <c r="O163" s="25">
        <v>188.88</v>
      </c>
      <c r="P163" s="25">
        <v>195.876</v>
      </c>
      <c r="Q163" s="25">
        <f t="shared" si="4"/>
        <v>318195.87599999999</v>
      </c>
      <c r="R163" s="25">
        <f t="shared" si="5"/>
        <v>0</v>
      </c>
    </row>
    <row r="164" spans="1:18" hidden="1" x14ac:dyDescent="0.25">
      <c r="A164" s="26">
        <v>43776</v>
      </c>
      <c r="B164" s="25" t="s">
        <v>268</v>
      </c>
      <c r="C164" s="25" t="s">
        <v>23</v>
      </c>
      <c r="D164" s="25">
        <v>1000</v>
      </c>
      <c r="E164" s="25">
        <v>318.5</v>
      </c>
      <c r="F164" s="25">
        <v>318500</v>
      </c>
      <c r="G164" s="25" t="s">
        <v>1489</v>
      </c>
      <c r="H164" s="25">
        <v>2019209</v>
      </c>
      <c r="I164" s="25" t="s">
        <v>19</v>
      </c>
      <c r="J164" s="25" t="s">
        <v>20</v>
      </c>
      <c r="K164" s="25" t="s">
        <v>25</v>
      </c>
      <c r="L164" s="25">
        <v>79.72</v>
      </c>
      <c r="M164" s="25">
        <v>7.01</v>
      </c>
      <c r="N164" s="25">
        <v>0</v>
      </c>
      <c r="O164" s="25">
        <v>189.18</v>
      </c>
      <c r="P164" s="25">
        <v>275.90699999999998</v>
      </c>
      <c r="Q164" s="25">
        <f t="shared" si="4"/>
        <v>0</v>
      </c>
      <c r="R164" s="25">
        <f t="shared" si="5"/>
        <v>318224.09299999999</v>
      </c>
    </row>
    <row r="165" spans="1:18" hidden="1" x14ac:dyDescent="0.25">
      <c r="A165" s="26">
        <v>43768</v>
      </c>
      <c r="B165" s="25" t="s">
        <v>1522</v>
      </c>
      <c r="C165" s="25" t="s">
        <v>23</v>
      </c>
      <c r="D165" s="25">
        <v>50</v>
      </c>
      <c r="E165" s="25">
        <v>895</v>
      </c>
      <c r="F165" s="25">
        <v>44750</v>
      </c>
      <c r="G165" s="25" t="s">
        <v>1523</v>
      </c>
      <c r="H165" s="25">
        <v>2019203</v>
      </c>
      <c r="I165" s="25" t="s">
        <v>19</v>
      </c>
      <c r="J165" s="25" t="s">
        <v>20</v>
      </c>
      <c r="K165" s="25" t="s">
        <v>25</v>
      </c>
      <c r="L165" s="25">
        <v>11.7</v>
      </c>
      <c r="M165" s="25">
        <v>0.98</v>
      </c>
      <c r="N165" s="25">
        <v>14.1</v>
      </c>
      <c r="O165" s="25">
        <v>29.68</v>
      </c>
      <c r="P165" s="25">
        <v>56.464599999999997</v>
      </c>
      <c r="Q165" s="25">
        <f t="shared" si="4"/>
        <v>0</v>
      </c>
      <c r="R165" s="25">
        <f t="shared" si="5"/>
        <v>44693.535400000001</v>
      </c>
    </row>
    <row r="166" spans="1:18" hidden="1" x14ac:dyDescent="0.25">
      <c r="A166" s="26">
        <v>43768</v>
      </c>
      <c r="B166" s="25" t="s">
        <v>1522</v>
      </c>
      <c r="C166" s="25" t="s">
        <v>23</v>
      </c>
      <c r="D166" s="25">
        <v>50</v>
      </c>
      <c r="E166" s="25">
        <v>915</v>
      </c>
      <c r="F166" s="25">
        <v>45750</v>
      </c>
      <c r="G166" s="25" t="s">
        <v>1524</v>
      </c>
      <c r="H166" s="25">
        <v>2019203</v>
      </c>
      <c r="I166" s="25" t="s">
        <v>19</v>
      </c>
      <c r="J166" s="25" t="s">
        <v>20</v>
      </c>
      <c r="K166" s="25" t="s">
        <v>25</v>
      </c>
      <c r="L166" s="25">
        <v>11.25</v>
      </c>
      <c r="M166" s="25">
        <v>1.01</v>
      </c>
      <c r="N166" s="25">
        <v>0</v>
      </c>
      <c r="O166" s="25">
        <v>29.68</v>
      </c>
      <c r="P166" s="25">
        <v>41.936599999999999</v>
      </c>
      <c r="Q166" s="25">
        <f t="shared" si="4"/>
        <v>0</v>
      </c>
      <c r="R166" s="25">
        <f t="shared" si="5"/>
        <v>45708.063399999999</v>
      </c>
    </row>
    <row r="167" spans="1:18" hidden="1" x14ac:dyDescent="0.25">
      <c r="A167" s="26">
        <v>43776</v>
      </c>
      <c r="B167" s="25" t="s">
        <v>268</v>
      </c>
      <c r="C167" s="25" t="s">
        <v>17</v>
      </c>
      <c r="D167" s="25">
        <v>1000</v>
      </c>
      <c r="E167" s="25">
        <v>319</v>
      </c>
      <c r="F167" s="25">
        <v>319000</v>
      </c>
      <c r="G167" s="25" t="s">
        <v>1490</v>
      </c>
      <c r="H167" s="25">
        <v>2019209</v>
      </c>
      <c r="I167" s="25" t="s">
        <v>19</v>
      </c>
      <c r="J167" s="25" t="s">
        <v>20</v>
      </c>
      <c r="K167" s="25" t="s">
        <v>25</v>
      </c>
      <c r="L167" s="25">
        <v>0</v>
      </c>
      <c r="M167" s="25">
        <v>7.02</v>
      </c>
      <c r="N167" s="25">
        <v>0</v>
      </c>
      <c r="O167" s="25">
        <v>189.47</v>
      </c>
      <c r="P167" s="25">
        <v>196.488</v>
      </c>
      <c r="Q167" s="25">
        <f t="shared" si="4"/>
        <v>319196.48800000001</v>
      </c>
      <c r="R167" s="25">
        <f t="shared" si="5"/>
        <v>0</v>
      </c>
    </row>
    <row r="168" spans="1:18" hidden="1" x14ac:dyDescent="0.25">
      <c r="A168" s="26">
        <v>43768</v>
      </c>
      <c r="B168" s="25" t="s">
        <v>1522</v>
      </c>
      <c r="C168" s="25" t="s">
        <v>17</v>
      </c>
      <c r="D168" s="25">
        <v>100</v>
      </c>
      <c r="E168" s="25">
        <v>895</v>
      </c>
      <c r="F168" s="25">
        <v>89500</v>
      </c>
      <c r="G168" s="25" t="s">
        <v>1526</v>
      </c>
      <c r="H168" s="25">
        <v>2019203</v>
      </c>
      <c r="I168" s="25" t="s">
        <v>19</v>
      </c>
      <c r="J168" s="25" t="s">
        <v>20</v>
      </c>
      <c r="K168" s="25" t="s">
        <v>25</v>
      </c>
      <c r="L168" s="25">
        <v>0</v>
      </c>
      <c r="M168" s="25">
        <v>1.97</v>
      </c>
      <c r="N168" s="25">
        <v>0</v>
      </c>
      <c r="O168" s="25">
        <v>53.16</v>
      </c>
      <c r="P168" s="25">
        <v>55.128999999999998</v>
      </c>
      <c r="Q168" s="25">
        <f t="shared" si="4"/>
        <v>89555.129000000001</v>
      </c>
      <c r="R168" s="25">
        <f t="shared" si="5"/>
        <v>0</v>
      </c>
    </row>
    <row r="169" spans="1:18" hidden="1" x14ac:dyDescent="0.25">
      <c r="A169" s="26">
        <v>43777</v>
      </c>
      <c r="B169" s="25" t="s">
        <v>268</v>
      </c>
      <c r="C169" s="25" t="s">
        <v>17</v>
      </c>
      <c r="D169" s="25">
        <v>2500</v>
      </c>
      <c r="E169" s="25">
        <v>316.5</v>
      </c>
      <c r="F169" s="25">
        <v>791250</v>
      </c>
      <c r="G169" s="25" t="s">
        <v>1479</v>
      </c>
      <c r="H169" s="25">
        <v>2019210</v>
      </c>
      <c r="I169" s="25" t="s">
        <v>19</v>
      </c>
      <c r="J169" s="25" t="s">
        <v>20</v>
      </c>
      <c r="K169" s="25" t="s">
        <v>25</v>
      </c>
      <c r="L169" s="25">
        <v>0</v>
      </c>
      <c r="M169" s="25">
        <v>17.41</v>
      </c>
      <c r="N169" s="25">
        <v>0</v>
      </c>
      <c r="O169" s="25">
        <v>469.97</v>
      </c>
      <c r="P169" s="25">
        <v>487.37759999999997</v>
      </c>
      <c r="Q169" s="25">
        <f t="shared" si="4"/>
        <v>791737.37760000001</v>
      </c>
      <c r="R169" s="25">
        <f t="shared" si="5"/>
        <v>0</v>
      </c>
    </row>
    <row r="170" spans="1:18" hidden="1" x14ac:dyDescent="0.25">
      <c r="A170" s="26">
        <v>43777</v>
      </c>
      <c r="B170" s="25" t="s">
        <v>268</v>
      </c>
      <c r="C170" s="25" t="s">
        <v>23</v>
      </c>
      <c r="D170" s="25">
        <v>2500</v>
      </c>
      <c r="E170" s="25">
        <v>319.5</v>
      </c>
      <c r="F170" s="25">
        <v>798750</v>
      </c>
      <c r="G170" s="25" t="s">
        <v>1483</v>
      </c>
      <c r="H170" s="25">
        <v>2019210</v>
      </c>
      <c r="I170" s="25" t="s">
        <v>19</v>
      </c>
      <c r="J170" s="25" t="s">
        <v>20</v>
      </c>
      <c r="K170" s="25" t="s">
        <v>25</v>
      </c>
      <c r="L170" s="25">
        <v>198.31</v>
      </c>
      <c r="M170" s="25">
        <v>17.57</v>
      </c>
      <c r="N170" s="25">
        <v>0</v>
      </c>
      <c r="O170" s="25">
        <v>474.42</v>
      </c>
      <c r="P170" s="25">
        <v>690.30250000000001</v>
      </c>
      <c r="Q170" s="25">
        <f t="shared" si="4"/>
        <v>0</v>
      </c>
      <c r="R170" s="25">
        <f t="shared" si="5"/>
        <v>798059.69750000001</v>
      </c>
    </row>
    <row r="171" spans="1:18" hidden="1" x14ac:dyDescent="0.25">
      <c r="A171" s="26">
        <v>43780</v>
      </c>
      <c r="B171" s="25" t="s">
        <v>268</v>
      </c>
      <c r="C171" s="25" t="s">
        <v>17</v>
      </c>
      <c r="D171" s="25">
        <v>1000</v>
      </c>
      <c r="E171" s="25">
        <v>318</v>
      </c>
      <c r="F171" s="25">
        <v>318000</v>
      </c>
      <c r="G171" s="25" t="s">
        <v>1755</v>
      </c>
      <c r="H171" s="25">
        <v>2019211</v>
      </c>
      <c r="I171" s="25" t="s">
        <v>19</v>
      </c>
      <c r="J171" s="25" t="s">
        <v>20</v>
      </c>
      <c r="K171" s="25" t="s">
        <v>25</v>
      </c>
      <c r="L171" s="25">
        <v>0</v>
      </c>
      <c r="M171" s="25">
        <v>7</v>
      </c>
      <c r="N171" s="25">
        <v>0</v>
      </c>
      <c r="O171" s="25">
        <v>188.88</v>
      </c>
      <c r="P171" s="25">
        <v>195.876</v>
      </c>
      <c r="Q171" s="25">
        <f t="shared" si="4"/>
        <v>318195.87599999999</v>
      </c>
      <c r="R171" s="25">
        <f t="shared" si="5"/>
        <v>0</v>
      </c>
    </row>
    <row r="172" spans="1:18" hidden="1" x14ac:dyDescent="0.25">
      <c r="A172" s="26">
        <v>43767</v>
      </c>
      <c r="B172" s="25" t="s">
        <v>282</v>
      </c>
      <c r="C172" s="25" t="s">
        <v>17</v>
      </c>
      <c r="D172" s="25">
        <v>250</v>
      </c>
      <c r="E172" s="25">
        <v>242</v>
      </c>
      <c r="F172" s="25">
        <v>60500</v>
      </c>
      <c r="G172" s="25" t="s">
        <v>1530</v>
      </c>
      <c r="H172" s="25">
        <v>2019202</v>
      </c>
      <c r="I172" s="25" t="s">
        <v>19</v>
      </c>
      <c r="J172" s="25" t="s">
        <v>20</v>
      </c>
      <c r="K172" s="25" t="s">
        <v>25</v>
      </c>
      <c r="L172" s="25">
        <v>0</v>
      </c>
      <c r="M172" s="25">
        <v>1.33</v>
      </c>
      <c r="N172" s="25">
        <v>0</v>
      </c>
      <c r="O172" s="25">
        <v>35.93</v>
      </c>
      <c r="P172" s="25">
        <v>37.261000000000003</v>
      </c>
      <c r="Q172" s="25">
        <f t="shared" si="4"/>
        <v>60537.260999999999</v>
      </c>
      <c r="R172" s="25">
        <f t="shared" si="5"/>
        <v>0</v>
      </c>
    </row>
    <row r="173" spans="1:18" hidden="1" x14ac:dyDescent="0.25">
      <c r="A173" s="26">
        <v>43767</v>
      </c>
      <c r="B173" s="25" t="s">
        <v>282</v>
      </c>
      <c r="C173" s="25" t="s">
        <v>23</v>
      </c>
      <c r="D173" s="25">
        <v>250</v>
      </c>
      <c r="E173" s="25">
        <v>246</v>
      </c>
      <c r="F173" s="25">
        <v>61500</v>
      </c>
      <c r="G173" s="25" t="s">
        <v>1531</v>
      </c>
      <c r="H173" s="25">
        <v>2019202</v>
      </c>
      <c r="I173" s="25" t="s">
        <v>19</v>
      </c>
      <c r="J173" s="25" t="s">
        <v>20</v>
      </c>
      <c r="K173" s="25" t="s">
        <v>25</v>
      </c>
      <c r="L173" s="25">
        <v>15</v>
      </c>
      <c r="M173" s="25">
        <v>1.35</v>
      </c>
      <c r="N173" s="25">
        <v>3.9</v>
      </c>
      <c r="O173" s="25">
        <v>36.53</v>
      </c>
      <c r="P173" s="25">
        <v>56.783000000000001</v>
      </c>
      <c r="Q173" s="25">
        <f t="shared" si="4"/>
        <v>0</v>
      </c>
      <c r="R173" s="25">
        <f t="shared" si="5"/>
        <v>61443.216999999997</v>
      </c>
    </row>
    <row r="174" spans="1:18" hidden="1" x14ac:dyDescent="0.25">
      <c r="A174" s="26">
        <v>43765</v>
      </c>
      <c r="B174" s="25" t="s">
        <v>480</v>
      </c>
      <c r="C174" s="25" t="s">
        <v>17</v>
      </c>
      <c r="D174" s="25">
        <v>2500</v>
      </c>
      <c r="E174" s="25">
        <v>81.400000000000006</v>
      </c>
      <c r="F174" s="25">
        <v>203500</v>
      </c>
      <c r="G174" s="25" t="s">
        <v>1532</v>
      </c>
      <c r="H174" s="25">
        <v>2019201</v>
      </c>
      <c r="I174" s="25" t="s">
        <v>19</v>
      </c>
      <c r="J174" s="25" t="s">
        <v>20</v>
      </c>
      <c r="K174" s="25" t="s">
        <v>25</v>
      </c>
      <c r="L174" s="25">
        <v>0</v>
      </c>
      <c r="M174" s="25">
        <v>4.4800000000000004</v>
      </c>
      <c r="N174" s="25">
        <v>17.100000000000001</v>
      </c>
      <c r="O174" s="25">
        <v>120.87</v>
      </c>
      <c r="P174" s="25">
        <v>142.447</v>
      </c>
      <c r="Q174" s="25">
        <f t="shared" si="4"/>
        <v>203642.44699999999</v>
      </c>
      <c r="R174" s="25">
        <f t="shared" si="5"/>
        <v>0</v>
      </c>
    </row>
    <row r="175" spans="1:18" hidden="1" x14ac:dyDescent="0.25">
      <c r="A175" s="26">
        <v>43765</v>
      </c>
      <c r="B175" s="25" t="s">
        <v>480</v>
      </c>
      <c r="C175" s="25" t="s">
        <v>17</v>
      </c>
      <c r="D175" s="25">
        <v>1000</v>
      </c>
      <c r="E175" s="25">
        <v>81</v>
      </c>
      <c r="F175" s="25">
        <v>81000</v>
      </c>
      <c r="G175" s="25" t="s">
        <v>1533</v>
      </c>
      <c r="H175" s="25">
        <v>2019201</v>
      </c>
      <c r="I175" s="25" t="s">
        <v>19</v>
      </c>
      <c r="J175" s="25" t="s">
        <v>20</v>
      </c>
      <c r="K175" s="25" t="s">
        <v>25</v>
      </c>
      <c r="L175" s="25">
        <v>0</v>
      </c>
      <c r="M175" s="25">
        <v>1.78</v>
      </c>
      <c r="N175" s="25">
        <v>0</v>
      </c>
      <c r="O175" s="25">
        <v>48.11</v>
      </c>
      <c r="P175" s="25">
        <v>49.892000000000003</v>
      </c>
      <c r="Q175" s="25">
        <f t="shared" si="4"/>
        <v>81049.892000000007</v>
      </c>
      <c r="R175" s="25">
        <f t="shared" si="5"/>
        <v>0</v>
      </c>
    </row>
    <row r="176" spans="1:18" hidden="1" x14ac:dyDescent="0.25">
      <c r="A176" s="26">
        <v>43765</v>
      </c>
      <c r="B176" s="25" t="s">
        <v>480</v>
      </c>
      <c r="C176" s="25" t="s">
        <v>23</v>
      </c>
      <c r="D176" s="25">
        <v>3500</v>
      </c>
      <c r="E176" s="25">
        <v>80.849999999999994</v>
      </c>
      <c r="F176" s="25">
        <v>282975</v>
      </c>
      <c r="G176" s="25" t="s">
        <v>1534</v>
      </c>
      <c r="H176" s="25">
        <v>2019201</v>
      </c>
      <c r="I176" s="25" t="s">
        <v>19</v>
      </c>
      <c r="J176" s="25" t="s">
        <v>20</v>
      </c>
      <c r="K176" s="25" t="s">
        <v>25</v>
      </c>
      <c r="L176" s="25">
        <v>70.930000000000007</v>
      </c>
      <c r="M176" s="25">
        <v>6.23</v>
      </c>
      <c r="N176" s="25">
        <v>0</v>
      </c>
      <c r="O176" s="25">
        <v>168.08</v>
      </c>
      <c r="P176" s="25">
        <v>245.23560000000001</v>
      </c>
      <c r="Q176" s="25">
        <f t="shared" si="4"/>
        <v>0</v>
      </c>
      <c r="R176" s="25">
        <f t="shared" si="5"/>
        <v>282729.76439999999</v>
      </c>
    </row>
    <row r="177" spans="1:18" hidden="1" x14ac:dyDescent="0.25">
      <c r="A177" s="26">
        <v>43765</v>
      </c>
      <c r="B177" s="25" t="s">
        <v>282</v>
      </c>
      <c r="C177" s="25" t="s">
        <v>17</v>
      </c>
      <c r="D177" s="25">
        <v>5</v>
      </c>
      <c r="E177" s="25">
        <v>242.5</v>
      </c>
      <c r="F177" s="25">
        <v>1212.5</v>
      </c>
      <c r="G177" s="25" t="s">
        <v>1535</v>
      </c>
      <c r="H177" s="25">
        <v>2019201</v>
      </c>
      <c r="I177" s="25" t="s">
        <v>19</v>
      </c>
      <c r="J177" s="25" t="s">
        <v>20</v>
      </c>
      <c r="K177" s="25" t="s">
        <v>25</v>
      </c>
      <c r="L177" s="25">
        <v>1.07</v>
      </c>
      <c r="M177" s="25">
        <v>0.03</v>
      </c>
      <c r="N177" s="25">
        <v>0</v>
      </c>
      <c r="O177" s="25">
        <v>35.770000000000003</v>
      </c>
      <c r="P177" s="25">
        <v>36.866700000000002</v>
      </c>
      <c r="Q177" s="25">
        <f t="shared" si="4"/>
        <v>1249.3667</v>
      </c>
      <c r="R177" s="25">
        <f t="shared" si="5"/>
        <v>0</v>
      </c>
    </row>
    <row r="178" spans="1:18" hidden="1" x14ac:dyDescent="0.25">
      <c r="A178" s="26">
        <v>43763</v>
      </c>
      <c r="B178" s="25" t="s">
        <v>981</v>
      </c>
      <c r="C178" s="25" t="s">
        <v>17</v>
      </c>
      <c r="D178" s="25">
        <v>500</v>
      </c>
      <c r="E178" s="25">
        <v>141.5</v>
      </c>
      <c r="F178" s="25">
        <v>70750</v>
      </c>
      <c r="G178" s="25" t="s">
        <v>1536</v>
      </c>
      <c r="H178" s="25">
        <v>2019200</v>
      </c>
      <c r="I178" s="25" t="s">
        <v>19</v>
      </c>
      <c r="J178" s="25" t="s">
        <v>20</v>
      </c>
      <c r="K178" s="25" t="s">
        <v>25</v>
      </c>
      <c r="L178" s="25">
        <v>0</v>
      </c>
      <c r="M178" s="25">
        <v>1.56</v>
      </c>
      <c r="N178" s="25">
        <v>0</v>
      </c>
      <c r="O178" s="25">
        <v>42.02</v>
      </c>
      <c r="P178" s="25">
        <v>43.576599999999999</v>
      </c>
      <c r="Q178" s="25">
        <f t="shared" si="4"/>
        <v>70793.5766</v>
      </c>
      <c r="R178" s="25">
        <f t="shared" si="5"/>
        <v>0</v>
      </c>
    </row>
    <row r="179" spans="1:18" hidden="1" x14ac:dyDescent="0.25">
      <c r="A179" s="26">
        <v>43763</v>
      </c>
      <c r="B179" s="25" t="s">
        <v>981</v>
      </c>
      <c r="C179" s="25" t="s">
        <v>23</v>
      </c>
      <c r="D179" s="25">
        <v>500</v>
      </c>
      <c r="E179" s="25">
        <v>144</v>
      </c>
      <c r="F179" s="25">
        <v>72000</v>
      </c>
      <c r="G179" s="25" t="s">
        <v>1537</v>
      </c>
      <c r="H179" s="25">
        <v>2019200</v>
      </c>
      <c r="I179" s="25" t="s">
        <v>19</v>
      </c>
      <c r="J179" s="25" t="s">
        <v>20</v>
      </c>
      <c r="K179" s="25" t="s">
        <v>25</v>
      </c>
      <c r="L179" s="25">
        <v>17.84</v>
      </c>
      <c r="M179" s="25">
        <v>1.58</v>
      </c>
      <c r="N179" s="25">
        <v>0</v>
      </c>
      <c r="O179" s="25">
        <v>42.77</v>
      </c>
      <c r="P179" s="25">
        <v>62.194000000000003</v>
      </c>
      <c r="Q179" s="25">
        <f t="shared" si="4"/>
        <v>0</v>
      </c>
      <c r="R179" s="25">
        <f t="shared" si="5"/>
        <v>71937.805999999997</v>
      </c>
    </row>
    <row r="180" spans="1:18" hidden="1" x14ac:dyDescent="0.25">
      <c r="A180" s="26">
        <v>43780</v>
      </c>
      <c r="B180" s="25" t="s">
        <v>268</v>
      </c>
      <c r="C180" s="25" t="s">
        <v>23</v>
      </c>
      <c r="D180" s="25">
        <v>1000</v>
      </c>
      <c r="E180" s="25">
        <v>317.5</v>
      </c>
      <c r="F180" s="25">
        <v>317500</v>
      </c>
      <c r="G180" s="25" t="s">
        <v>1756</v>
      </c>
      <c r="H180" s="25">
        <v>2019211</v>
      </c>
      <c r="I180" s="25" t="s">
        <v>19</v>
      </c>
      <c r="J180" s="25" t="s">
        <v>20</v>
      </c>
      <c r="K180" s="25" t="s">
        <v>25</v>
      </c>
      <c r="L180" s="25">
        <v>79.44</v>
      </c>
      <c r="M180" s="25">
        <v>6.99</v>
      </c>
      <c r="N180" s="25">
        <v>0</v>
      </c>
      <c r="O180" s="25">
        <v>188.58</v>
      </c>
      <c r="P180" s="25">
        <v>275.005</v>
      </c>
      <c r="Q180" s="25">
        <f t="shared" si="4"/>
        <v>0</v>
      </c>
      <c r="R180" s="25">
        <f t="shared" si="5"/>
        <v>317224.995</v>
      </c>
    </row>
    <row r="181" spans="1:18" hidden="1" x14ac:dyDescent="0.25">
      <c r="A181" s="26">
        <v>43763</v>
      </c>
      <c r="B181" s="25" t="s">
        <v>1539</v>
      </c>
      <c r="C181" s="25" t="s">
        <v>17</v>
      </c>
      <c r="D181" s="25">
        <v>25</v>
      </c>
      <c r="E181" s="25">
        <v>1471.34</v>
      </c>
      <c r="F181" s="25">
        <v>36783.449999999997</v>
      </c>
      <c r="G181" s="25" t="s">
        <v>1540</v>
      </c>
      <c r="H181" s="25">
        <v>2019200</v>
      </c>
      <c r="I181" s="25" t="s">
        <v>19</v>
      </c>
      <c r="J181" s="25" t="s">
        <v>20</v>
      </c>
      <c r="K181" s="25" t="s">
        <v>25</v>
      </c>
      <c r="L181" s="25">
        <v>0</v>
      </c>
      <c r="M181" s="25">
        <v>0.81</v>
      </c>
      <c r="N181" s="25">
        <v>15</v>
      </c>
      <c r="O181" s="25">
        <v>29.66</v>
      </c>
      <c r="P181" s="25">
        <v>45.469299999999997</v>
      </c>
      <c r="Q181" s="25">
        <f t="shared" si="4"/>
        <v>36828.919299999994</v>
      </c>
      <c r="R181" s="25">
        <f t="shared" si="5"/>
        <v>0</v>
      </c>
    </row>
    <row r="182" spans="1:18" hidden="1" x14ac:dyDescent="0.25">
      <c r="A182" s="26">
        <v>43763</v>
      </c>
      <c r="B182" s="25" t="s">
        <v>1539</v>
      </c>
      <c r="C182" s="25" t="s">
        <v>23</v>
      </c>
      <c r="D182" s="25">
        <v>25</v>
      </c>
      <c r="E182" s="25">
        <v>1552.8</v>
      </c>
      <c r="F182" s="25">
        <v>38820</v>
      </c>
      <c r="G182" s="25" t="s">
        <v>1541</v>
      </c>
      <c r="H182" s="25">
        <v>2019200</v>
      </c>
      <c r="I182" s="25" t="s">
        <v>19</v>
      </c>
      <c r="J182" s="25" t="s">
        <v>20</v>
      </c>
      <c r="K182" s="25" t="s">
        <v>25</v>
      </c>
      <c r="L182" s="25">
        <v>9.4499999999999993</v>
      </c>
      <c r="M182" s="25">
        <v>0.85</v>
      </c>
      <c r="N182" s="25">
        <v>0</v>
      </c>
      <c r="O182" s="25">
        <v>29.65</v>
      </c>
      <c r="P182" s="25">
        <v>39.954000000000001</v>
      </c>
      <c r="Q182" s="25">
        <f t="shared" si="4"/>
        <v>0</v>
      </c>
      <c r="R182" s="25">
        <f t="shared" si="5"/>
        <v>38780.046000000002</v>
      </c>
    </row>
    <row r="183" spans="1:18" hidden="1" x14ac:dyDescent="0.25">
      <c r="A183" s="26">
        <v>43783</v>
      </c>
      <c r="B183" s="25" t="s">
        <v>268</v>
      </c>
      <c r="C183" s="25" t="s">
        <v>17</v>
      </c>
      <c r="D183" s="25">
        <v>250</v>
      </c>
      <c r="E183" s="25">
        <v>303</v>
      </c>
      <c r="F183" s="25">
        <v>75750</v>
      </c>
      <c r="G183" s="25" t="s">
        <v>1736</v>
      </c>
      <c r="H183" s="25">
        <v>2019213</v>
      </c>
      <c r="I183" s="25" t="s">
        <v>19</v>
      </c>
      <c r="J183" s="25" t="s">
        <v>20</v>
      </c>
      <c r="K183" s="25" t="s">
        <v>25</v>
      </c>
      <c r="L183" s="25">
        <v>0</v>
      </c>
      <c r="M183" s="25">
        <v>1.67</v>
      </c>
      <c r="N183" s="25">
        <v>0</v>
      </c>
      <c r="O183" s="25">
        <v>45</v>
      </c>
      <c r="P183" s="25">
        <v>46.666400000000003</v>
      </c>
      <c r="Q183" s="25">
        <f t="shared" si="4"/>
        <v>75796.666400000002</v>
      </c>
      <c r="R183" s="25">
        <f t="shared" si="5"/>
        <v>0</v>
      </c>
    </row>
    <row r="184" spans="1:18" hidden="1" x14ac:dyDescent="0.25">
      <c r="A184" s="26">
        <v>43783</v>
      </c>
      <c r="B184" s="25" t="s">
        <v>268</v>
      </c>
      <c r="C184" s="25" t="s">
        <v>23</v>
      </c>
      <c r="D184" s="25">
        <v>250</v>
      </c>
      <c r="E184" s="25">
        <v>304.5</v>
      </c>
      <c r="F184" s="25">
        <v>76125</v>
      </c>
      <c r="G184" s="25" t="s">
        <v>1737</v>
      </c>
      <c r="H184" s="25">
        <v>2019213</v>
      </c>
      <c r="I184" s="25" t="s">
        <v>19</v>
      </c>
      <c r="J184" s="25" t="s">
        <v>20</v>
      </c>
      <c r="K184" s="25" t="s">
        <v>25</v>
      </c>
      <c r="L184" s="25">
        <v>19</v>
      </c>
      <c r="M184" s="25">
        <v>1.67</v>
      </c>
      <c r="N184" s="25">
        <v>4.8</v>
      </c>
      <c r="O184" s="25">
        <v>45.22</v>
      </c>
      <c r="P184" s="25">
        <v>70.694699999999997</v>
      </c>
      <c r="Q184" s="25">
        <f t="shared" si="4"/>
        <v>0</v>
      </c>
      <c r="R184" s="25">
        <f t="shared" si="5"/>
        <v>76054.305300000007</v>
      </c>
    </row>
    <row r="185" spans="1:18" hidden="1" x14ac:dyDescent="0.25">
      <c r="A185" s="26">
        <v>43784</v>
      </c>
      <c r="B185" s="25" t="s">
        <v>268</v>
      </c>
      <c r="C185" s="25" t="s">
        <v>23</v>
      </c>
      <c r="D185" s="25">
        <v>250</v>
      </c>
      <c r="E185" s="25">
        <v>312</v>
      </c>
      <c r="F185" s="25">
        <v>78000</v>
      </c>
      <c r="G185" s="25" t="s">
        <v>1727</v>
      </c>
      <c r="H185" s="25">
        <v>2019214</v>
      </c>
      <c r="I185" s="25" t="s">
        <v>19</v>
      </c>
      <c r="J185" s="25" t="s">
        <v>20</v>
      </c>
      <c r="K185" s="25" t="s">
        <v>25</v>
      </c>
      <c r="L185" s="25">
        <v>19.809999999999999</v>
      </c>
      <c r="M185" s="25">
        <v>1.72</v>
      </c>
      <c r="N185" s="25">
        <v>0</v>
      </c>
      <c r="O185" s="25">
        <v>46.33</v>
      </c>
      <c r="P185" s="25">
        <v>67.855999999999995</v>
      </c>
      <c r="Q185" s="25">
        <f t="shared" si="4"/>
        <v>0</v>
      </c>
      <c r="R185" s="25">
        <f t="shared" si="5"/>
        <v>77932.144</v>
      </c>
    </row>
    <row r="186" spans="1:18" hidden="1" x14ac:dyDescent="0.25">
      <c r="A186" s="26">
        <v>43762</v>
      </c>
      <c r="B186" s="25" t="s">
        <v>74</v>
      </c>
      <c r="C186" s="25" t="s">
        <v>17</v>
      </c>
      <c r="D186" s="25">
        <v>5</v>
      </c>
      <c r="E186" s="25">
        <v>640</v>
      </c>
      <c r="F186" s="25">
        <v>3200</v>
      </c>
      <c r="G186" s="25" t="s">
        <v>1545</v>
      </c>
      <c r="H186" s="25">
        <v>2019199</v>
      </c>
      <c r="I186" s="25" t="s">
        <v>19</v>
      </c>
      <c r="J186" s="25" t="s">
        <v>20</v>
      </c>
      <c r="K186" s="25" t="s">
        <v>25</v>
      </c>
      <c r="L186" s="25">
        <v>3.2</v>
      </c>
      <c r="M186" s="25">
        <v>7.0000000000000007E-2</v>
      </c>
      <c r="N186" s="25">
        <v>0</v>
      </c>
      <c r="O186" s="25">
        <v>41.31</v>
      </c>
      <c r="P186" s="25">
        <v>44.580399999999997</v>
      </c>
      <c r="Q186" s="25">
        <f t="shared" si="4"/>
        <v>3244.5803999999998</v>
      </c>
      <c r="R186" s="25">
        <f t="shared" si="5"/>
        <v>0</v>
      </c>
    </row>
    <row r="187" spans="1:18" hidden="1" x14ac:dyDescent="0.25">
      <c r="A187" s="26">
        <v>43762</v>
      </c>
      <c r="B187" s="25" t="s">
        <v>282</v>
      </c>
      <c r="C187" s="25" t="s">
        <v>17</v>
      </c>
      <c r="D187" s="25">
        <v>250</v>
      </c>
      <c r="E187" s="25">
        <v>246</v>
      </c>
      <c r="F187" s="25">
        <v>61500</v>
      </c>
      <c r="G187" s="25" t="s">
        <v>1546</v>
      </c>
      <c r="H187" s="25">
        <v>2019199</v>
      </c>
      <c r="I187" s="25" t="s">
        <v>19</v>
      </c>
      <c r="J187" s="25" t="s">
        <v>20</v>
      </c>
      <c r="K187" s="25" t="s">
        <v>25</v>
      </c>
      <c r="L187" s="25">
        <v>0</v>
      </c>
      <c r="M187" s="25">
        <v>1.35</v>
      </c>
      <c r="N187" s="25">
        <v>0</v>
      </c>
      <c r="O187" s="25">
        <v>36.53</v>
      </c>
      <c r="P187" s="25">
        <v>37.883000000000003</v>
      </c>
      <c r="Q187" s="25">
        <f t="shared" si="4"/>
        <v>61537.883000000002</v>
      </c>
      <c r="R187" s="25">
        <f t="shared" si="5"/>
        <v>0</v>
      </c>
    </row>
    <row r="188" spans="1:18" hidden="1" x14ac:dyDescent="0.25">
      <c r="A188" s="26">
        <v>43762</v>
      </c>
      <c r="B188" s="25" t="s">
        <v>282</v>
      </c>
      <c r="C188" s="25" t="s">
        <v>17</v>
      </c>
      <c r="D188" s="25">
        <v>250</v>
      </c>
      <c r="E188" s="25">
        <v>243</v>
      </c>
      <c r="F188" s="25">
        <v>60750</v>
      </c>
      <c r="G188" s="25" t="s">
        <v>1547</v>
      </c>
      <c r="H188" s="25">
        <v>2019199</v>
      </c>
      <c r="I188" s="25" t="s">
        <v>19</v>
      </c>
      <c r="J188" s="25" t="s">
        <v>20</v>
      </c>
      <c r="K188" s="25" t="s">
        <v>25</v>
      </c>
      <c r="L188" s="25">
        <v>0</v>
      </c>
      <c r="M188" s="25">
        <v>1.34</v>
      </c>
      <c r="N188" s="25">
        <v>0</v>
      </c>
      <c r="O188" s="25">
        <v>36.08</v>
      </c>
      <c r="P188" s="25">
        <v>37.416600000000003</v>
      </c>
      <c r="Q188" s="25">
        <f t="shared" si="4"/>
        <v>60787.416599999997</v>
      </c>
      <c r="R188" s="25">
        <f t="shared" si="5"/>
        <v>0</v>
      </c>
    </row>
    <row r="189" spans="1:18" hidden="1" x14ac:dyDescent="0.25">
      <c r="A189" s="26">
        <v>43762</v>
      </c>
      <c r="B189" s="25" t="s">
        <v>1037</v>
      </c>
      <c r="C189" s="25" t="s">
        <v>17</v>
      </c>
      <c r="D189" s="25">
        <v>100</v>
      </c>
      <c r="E189" s="25">
        <v>469</v>
      </c>
      <c r="F189" s="25">
        <v>46900</v>
      </c>
      <c r="G189" s="25" t="s">
        <v>1548</v>
      </c>
      <c r="H189" s="25">
        <v>2019199</v>
      </c>
      <c r="I189" s="25" t="s">
        <v>19</v>
      </c>
      <c r="J189" s="25" t="s">
        <v>20</v>
      </c>
      <c r="K189" s="25" t="s">
        <v>25</v>
      </c>
      <c r="L189" s="25">
        <v>0</v>
      </c>
      <c r="M189" s="25">
        <v>1.03</v>
      </c>
      <c r="N189" s="25">
        <v>0</v>
      </c>
      <c r="O189" s="25">
        <v>29.69</v>
      </c>
      <c r="P189" s="25">
        <v>30.721800000000002</v>
      </c>
      <c r="Q189" s="25">
        <f t="shared" si="4"/>
        <v>46930.721799999999</v>
      </c>
      <c r="R189" s="25">
        <f t="shared" si="5"/>
        <v>0</v>
      </c>
    </row>
    <row r="190" spans="1:18" hidden="1" x14ac:dyDescent="0.25">
      <c r="A190" s="26">
        <v>43762</v>
      </c>
      <c r="B190" s="25" t="s">
        <v>1037</v>
      </c>
      <c r="C190" s="25" t="s">
        <v>23</v>
      </c>
      <c r="D190" s="25">
        <v>100</v>
      </c>
      <c r="E190" s="25">
        <v>472</v>
      </c>
      <c r="F190" s="25">
        <v>47200</v>
      </c>
      <c r="G190" s="25" t="s">
        <v>1549</v>
      </c>
      <c r="H190" s="25">
        <v>2019199</v>
      </c>
      <c r="I190" s="25" t="s">
        <v>19</v>
      </c>
      <c r="J190" s="25" t="s">
        <v>20</v>
      </c>
      <c r="K190" s="25" t="s">
        <v>25</v>
      </c>
      <c r="L190" s="25">
        <v>11.43</v>
      </c>
      <c r="M190" s="25">
        <v>1.04</v>
      </c>
      <c r="N190" s="25">
        <v>19.2</v>
      </c>
      <c r="O190" s="25">
        <v>29.69</v>
      </c>
      <c r="P190" s="25">
        <v>61.358400000000003</v>
      </c>
      <c r="Q190" s="25">
        <f t="shared" si="4"/>
        <v>0</v>
      </c>
      <c r="R190" s="25">
        <f t="shared" si="5"/>
        <v>47138.641600000003</v>
      </c>
    </row>
    <row r="191" spans="1:18" hidden="1" x14ac:dyDescent="0.25">
      <c r="A191" s="26">
        <v>43762</v>
      </c>
      <c r="B191" s="25" t="s">
        <v>282</v>
      </c>
      <c r="C191" s="25" t="s">
        <v>23</v>
      </c>
      <c r="D191" s="25">
        <v>500</v>
      </c>
      <c r="E191" s="25">
        <v>246.88</v>
      </c>
      <c r="F191" s="25">
        <v>123441.4</v>
      </c>
      <c r="G191" s="25" t="s">
        <v>1550</v>
      </c>
      <c r="H191" s="25">
        <v>2019199</v>
      </c>
      <c r="I191" s="25" t="s">
        <v>19</v>
      </c>
      <c r="J191" s="25" t="s">
        <v>20</v>
      </c>
      <c r="K191" s="25" t="s">
        <v>25</v>
      </c>
      <c r="L191" s="25">
        <v>30.71</v>
      </c>
      <c r="M191" s="25">
        <v>2.72</v>
      </c>
      <c r="N191" s="25">
        <v>0</v>
      </c>
      <c r="O191" s="25">
        <v>73.319999999999993</v>
      </c>
      <c r="P191" s="25">
        <v>106.74550000000001</v>
      </c>
      <c r="Q191" s="25">
        <f t="shared" si="4"/>
        <v>0</v>
      </c>
      <c r="R191" s="25">
        <f t="shared" si="5"/>
        <v>123334.65449999999</v>
      </c>
    </row>
    <row r="192" spans="1:18" hidden="1" x14ac:dyDescent="0.25">
      <c r="A192" s="26">
        <v>43762</v>
      </c>
      <c r="B192" s="25" t="s">
        <v>871</v>
      </c>
      <c r="C192" s="25" t="s">
        <v>23</v>
      </c>
      <c r="D192" s="25">
        <v>1000</v>
      </c>
      <c r="E192" s="25">
        <v>147.03</v>
      </c>
      <c r="F192" s="25">
        <v>147025</v>
      </c>
      <c r="G192" s="25" t="s">
        <v>1551</v>
      </c>
      <c r="H192" s="25">
        <v>2019199</v>
      </c>
      <c r="I192" s="25" t="s">
        <v>19</v>
      </c>
      <c r="J192" s="25" t="s">
        <v>20</v>
      </c>
      <c r="K192" s="25" t="s">
        <v>25</v>
      </c>
      <c r="L192" s="25">
        <v>36.659999999999997</v>
      </c>
      <c r="M192" s="25">
        <v>3.23</v>
      </c>
      <c r="N192" s="25">
        <v>0</v>
      </c>
      <c r="O192" s="25">
        <v>87.33</v>
      </c>
      <c r="P192" s="25">
        <v>127.2244</v>
      </c>
      <c r="Q192" s="25">
        <f t="shared" si="4"/>
        <v>0</v>
      </c>
      <c r="R192" s="25">
        <f t="shared" si="5"/>
        <v>146897.77559999999</v>
      </c>
    </row>
    <row r="193" spans="1:18" hidden="1" x14ac:dyDescent="0.25">
      <c r="A193" s="26">
        <v>43762</v>
      </c>
      <c r="B193" s="25" t="s">
        <v>871</v>
      </c>
      <c r="C193" s="25" t="s">
        <v>17</v>
      </c>
      <c r="D193" s="25">
        <v>1000</v>
      </c>
      <c r="E193" s="25">
        <v>146.25</v>
      </c>
      <c r="F193" s="25">
        <v>146250</v>
      </c>
      <c r="G193" s="25" t="s">
        <v>1552</v>
      </c>
      <c r="H193" s="25">
        <v>2019199</v>
      </c>
      <c r="I193" s="25" t="s">
        <v>19</v>
      </c>
      <c r="J193" s="25" t="s">
        <v>20</v>
      </c>
      <c r="K193" s="25" t="s">
        <v>25</v>
      </c>
      <c r="L193" s="25">
        <v>0</v>
      </c>
      <c r="M193" s="25">
        <v>3.22</v>
      </c>
      <c r="N193" s="25">
        <v>0</v>
      </c>
      <c r="O193" s="25">
        <v>86.86</v>
      </c>
      <c r="P193" s="25">
        <v>90.077500000000001</v>
      </c>
      <c r="Q193" s="25">
        <f t="shared" si="4"/>
        <v>146340.07750000001</v>
      </c>
      <c r="R193" s="25">
        <f t="shared" si="5"/>
        <v>0</v>
      </c>
    </row>
    <row r="194" spans="1:18" hidden="1" x14ac:dyDescent="0.25">
      <c r="A194" s="26">
        <v>43761</v>
      </c>
      <c r="B194" s="25" t="s">
        <v>16</v>
      </c>
      <c r="C194" s="25" t="s">
        <v>17</v>
      </c>
      <c r="D194" s="25">
        <v>50</v>
      </c>
      <c r="E194" s="25">
        <v>23.5</v>
      </c>
      <c r="F194" s="25">
        <v>1175</v>
      </c>
      <c r="G194" s="25" t="s">
        <v>1553</v>
      </c>
      <c r="H194" s="25">
        <v>2019198</v>
      </c>
      <c r="I194" s="25" t="s">
        <v>19</v>
      </c>
      <c r="J194" s="25" t="s">
        <v>20</v>
      </c>
      <c r="K194" s="25" t="s">
        <v>25</v>
      </c>
      <c r="L194" s="25">
        <v>1</v>
      </c>
      <c r="M194" s="25">
        <v>0.03</v>
      </c>
      <c r="N194" s="25">
        <v>0.3</v>
      </c>
      <c r="O194" s="25">
        <v>34.67</v>
      </c>
      <c r="P194" s="25">
        <v>35.995899999999999</v>
      </c>
      <c r="Q194" s="25">
        <f t="shared" si="4"/>
        <v>1210.9958999999999</v>
      </c>
      <c r="R194" s="25">
        <f t="shared" si="5"/>
        <v>0</v>
      </c>
    </row>
    <row r="195" spans="1:18" hidden="1" x14ac:dyDescent="0.25">
      <c r="A195" s="26">
        <v>43760</v>
      </c>
      <c r="B195" s="25" t="s">
        <v>1407</v>
      </c>
      <c r="C195" s="25" t="s">
        <v>17</v>
      </c>
      <c r="D195" s="25">
        <v>100</v>
      </c>
      <c r="E195" s="25">
        <v>290</v>
      </c>
      <c r="F195" s="25">
        <v>29000</v>
      </c>
      <c r="G195" s="25" t="s">
        <v>1554</v>
      </c>
      <c r="H195" s="25">
        <v>2019197</v>
      </c>
      <c r="I195" s="25" t="s">
        <v>19</v>
      </c>
      <c r="J195" s="25" t="s">
        <v>20</v>
      </c>
      <c r="K195" s="25" t="s">
        <v>25</v>
      </c>
      <c r="L195" s="25">
        <v>0</v>
      </c>
      <c r="M195" s="25">
        <v>0.64</v>
      </c>
      <c r="N195" s="25">
        <v>0</v>
      </c>
      <c r="O195" s="25">
        <v>29.61</v>
      </c>
      <c r="P195" s="25">
        <v>30.248000000000001</v>
      </c>
      <c r="Q195" s="25">
        <f t="shared" ref="Q195:Q258" si="6">IF(C195="Buy",F195+P195,0)</f>
        <v>29030.248</v>
      </c>
      <c r="R195" s="25">
        <f t="shared" ref="R195:R258" si="7">IF(C195="Sell",F195-P195,0)</f>
        <v>0</v>
      </c>
    </row>
    <row r="196" spans="1:18" hidden="1" x14ac:dyDescent="0.25">
      <c r="A196" s="26">
        <v>43760</v>
      </c>
      <c r="B196" s="25" t="s">
        <v>1407</v>
      </c>
      <c r="C196" s="25" t="s">
        <v>23</v>
      </c>
      <c r="D196" s="25">
        <v>100</v>
      </c>
      <c r="E196" s="25">
        <v>286.3</v>
      </c>
      <c r="F196" s="25">
        <v>28629.8</v>
      </c>
      <c r="G196" s="25" t="s">
        <v>1555</v>
      </c>
      <c r="H196" s="25">
        <v>2019197</v>
      </c>
      <c r="I196" s="25" t="s">
        <v>19</v>
      </c>
      <c r="J196" s="25" t="s">
        <v>20</v>
      </c>
      <c r="K196" s="25" t="s">
        <v>25</v>
      </c>
      <c r="L196" s="25">
        <v>7</v>
      </c>
      <c r="M196" s="25">
        <v>0.63</v>
      </c>
      <c r="N196" s="25">
        <v>1.8</v>
      </c>
      <c r="O196" s="25">
        <v>29.61</v>
      </c>
      <c r="P196" s="25">
        <v>39.0398</v>
      </c>
      <c r="Q196" s="25">
        <f t="shared" si="6"/>
        <v>0</v>
      </c>
      <c r="R196" s="25">
        <f t="shared" si="7"/>
        <v>28590.760200000001</v>
      </c>
    </row>
    <row r="197" spans="1:18" hidden="1" x14ac:dyDescent="0.25">
      <c r="A197" s="26">
        <v>43756</v>
      </c>
      <c r="B197" s="25" t="s">
        <v>247</v>
      </c>
      <c r="C197" s="25" t="s">
        <v>23</v>
      </c>
      <c r="D197" s="25">
        <v>50</v>
      </c>
      <c r="E197" s="25">
        <v>346.25</v>
      </c>
      <c r="F197" s="25">
        <v>17312.5</v>
      </c>
      <c r="G197" s="25" t="s">
        <v>1556</v>
      </c>
      <c r="H197" s="25">
        <v>2019196</v>
      </c>
      <c r="I197" s="25" t="s">
        <v>19</v>
      </c>
      <c r="J197" s="25" t="s">
        <v>20</v>
      </c>
      <c r="K197" s="25" t="s">
        <v>25</v>
      </c>
      <c r="L197" s="25">
        <v>4.43</v>
      </c>
      <c r="M197" s="25">
        <v>0.38</v>
      </c>
      <c r="N197" s="25">
        <v>12.6</v>
      </c>
      <c r="O197" s="25">
        <v>29.56</v>
      </c>
      <c r="P197" s="25">
        <v>46.970999999999997</v>
      </c>
      <c r="Q197" s="25">
        <f t="shared" si="6"/>
        <v>0</v>
      </c>
      <c r="R197" s="25">
        <f t="shared" si="7"/>
        <v>17265.528999999999</v>
      </c>
    </row>
    <row r="198" spans="1:18" hidden="1" x14ac:dyDescent="0.25">
      <c r="A198" s="26">
        <v>43756</v>
      </c>
      <c r="B198" s="25" t="s">
        <v>1522</v>
      </c>
      <c r="C198" s="25" t="s">
        <v>23</v>
      </c>
      <c r="D198" s="25">
        <v>50</v>
      </c>
      <c r="E198" s="25">
        <v>730</v>
      </c>
      <c r="F198" s="25">
        <v>36500</v>
      </c>
      <c r="G198" s="25" t="s">
        <v>1557</v>
      </c>
      <c r="H198" s="25">
        <v>2019196</v>
      </c>
      <c r="I198" s="25" t="s">
        <v>19</v>
      </c>
      <c r="J198" s="25" t="s">
        <v>20</v>
      </c>
      <c r="K198" s="25" t="s">
        <v>25</v>
      </c>
      <c r="L198" s="25">
        <v>9.51</v>
      </c>
      <c r="M198" s="25">
        <v>0.8</v>
      </c>
      <c r="N198" s="25">
        <v>0</v>
      </c>
      <c r="O198" s="25">
        <v>29.64</v>
      </c>
      <c r="P198" s="25">
        <v>39.953000000000003</v>
      </c>
      <c r="Q198" s="25">
        <f t="shared" si="6"/>
        <v>0</v>
      </c>
      <c r="R198" s="25">
        <f t="shared" si="7"/>
        <v>36460.046999999999</v>
      </c>
    </row>
    <row r="199" spans="1:18" hidden="1" x14ac:dyDescent="0.25">
      <c r="A199" s="26">
        <v>43756</v>
      </c>
      <c r="B199" s="25" t="s">
        <v>1522</v>
      </c>
      <c r="C199" s="25" t="s">
        <v>17</v>
      </c>
      <c r="D199" s="25">
        <v>50</v>
      </c>
      <c r="E199" s="25">
        <v>725</v>
      </c>
      <c r="F199" s="25">
        <v>36250</v>
      </c>
      <c r="G199" s="25" t="s">
        <v>1558</v>
      </c>
      <c r="H199" s="25">
        <v>2019196</v>
      </c>
      <c r="I199" s="25" t="s">
        <v>19</v>
      </c>
      <c r="J199" s="25" t="s">
        <v>20</v>
      </c>
      <c r="K199" s="25" t="s">
        <v>25</v>
      </c>
      <c r="L199" s="25">
        <v>0</v>
      </c>
      <c r="M199" s="25">
        <v>0.8</v>
      </c>
      <c r="N199" s="25">
        <v>0</v>
      </c>
      <c r="O199" s="25">
        <v>29.64</v>
      </c>
      <c r="P199" s="25">
        <v>30.4376</v>
      </c>
      <c r="Q199" s="25">
        <f t="shared" si="6"/>
        <v>36280.437599999997</v>
      </c>
      <c r="R199" s="25">
        <f t="shared" si="7"/>
        <v>0</v>
      </c>
    </row>
    <row r="200" spans="1:18" hidden="1" x14ac:dyDescent="0.25">
      <c r="A200" s="26">
        <v>43756</v>
      </c>
      <c r="B200" s="25" t="s">
        <v>1522</v>
      </c>
      <c r="C200" s="25" t="s">
        <v>23</v>
      </c>
      <c r="D200" s="25">
        <v>100</v>
      </c>
      <c r="E200" s="25">
        <v>742</v>
      </c>
      <c r="F200" s="25">
        <v>74200</v>
      </c>
      <c r="G200" s="25" t="s">
        <v>1559</v>
      </c>
      <c r="H200" s="25">
        <v>2019196</v>
      </c>
      <c r="I200" s="25" t="s">
        <v>19</v>
      </c>
      <c r="J200" s="25" t="s">
        <v>20</v>
      </c>
      <c r="K200" s="25" t="s">
        <v>25</v>
      </c>
      <c r="L200" s="25">
        <v>19.03</v>
      </c>
      <c r="M200" s="25">
        <v>1.63</v>
      </c>
      <c r="N200" s="25">
        <v>0</v>
      </c>
      <c r="O200" s="25">
        <v>44.07</v>
      </c>
      <c r="P200" s="25">
        <v>64.732399999999998</v>
      </c>
      <c r="Q200" s="25">
        <f t="shared" si="6"/>
        <v>0</v>
      </c>
      <c r="R200" s="25">
        <f t="shared" si="7"/>
        <v>74135.267600000006</v>
      </c>
    </row>
    <row r="201" spans="1:18" hidden="1" x14ac:dyDescent="0.25">
      <c r="A201" s="26">
        <v>43756</v>
      </c>
      <c r="B201" s="25" t="s">
        <v>1522</v>
      </c>
      <c r="C201" s="25" t="s">
        <v>23</v>
      </c>
      <c r="D201" s="25">
        <v>50</v>
      </c>
      <c r="E201" s="25">
        <v>772.85</v>
      </c>
      <c r="F201" s="25">
        <v>38642.5</v>
      </c>
      <c r="G201" s="25" t="s">
        <v>1560</v>
      </c>
      <c r="H201" s="25">
        <v>2019196</v>
      </c>
      <c r="I201" s="25" t="s">
        <v>19</v>
      </c>
      <c r="J201" s="25" t="s">
        <v>20</v>
      </c>
      <c r="K201" s="25" t="s">
        <v>25</v>
      </c>
      <c r="L201" s="25">
        <v>9.51</v>
      </c>
      <c r="M201" s="25">
        <v>0.85</v>
      </c>
      <c r="N201" s="25">
        <v>0</v>
      </c>
      <c r="O201" s="25">
        <v>29.65</v>
      </c>
      <c r="P201" s="25">
        <v>40.010100000000001</v>
      </c>
      <c r="Q201" s="25">
        <f t="shared" si="6"/>
        <v>0</v>
      </c>
      <c r="R201" s="25">
        <f t="shared" si="7"/>
        <v>38602.4899</v>
      </c>
    </row>
    <row r="202" spans="1:18" hidden="1" x14ac:dyDescent="0.25">
      <c r="A202" s="26">
        <v>43756</v>
      </c>
      <c r="B202" s="25" t="s">
        <v>1522</v>
      </c>
      <c r="C202" s="25" t="s">
        <v>23</v>
      </c>
      <c r="D202" s="25">
        <v>50</v>
      </c>
      <c r="E202" s="25">
        <v>779.1</v>
      </c>
      <c r="F202" s="25">
        <v>38955</v>
      </c>
      <c r="G202" s="25" t="s">
        <v>1561</v>
      </c>
      <c r="H202" s="25">
        <v>2019196</v>
      </c>
      <c r="I202" s="25" t="s">
        <v>19</v>
      </c>
      <c r="J202" s="25" t="s">
        <v>20</v>
      </c>
      <c r="K202" s="25" t="s">
        <v>25</v>
      </c>
      <c r="L202" s="25">
        <v>9.51</v>
      </c>
      <c r="M202" s="25">
        <v>0.86</v>
      </c>
      <c r="N202" s="25">
        <v>0</v>
      </c>
      <c r="O202" s="25">
        <v>29.65</v>
      </c>
      <c r="P202" s="25">
        <v>40.017099999999999</v>
      </c>
      <c r="Q202" s="25">
        <f t="shared" si="6"/>
        <v>0</v>
      </c>
      <c r="R202" s="25">
        <f t="shared" si="7"/>
        <v>38914.982900000003</v>
      </c>
    </row>
    <row r="203" spans="1:18" hidden="1" x14ac:dyDescent="0.25">
      <c r="A203" s="26">
        <v>43756</v>
      </c>
      <c r="B203" s="25" t="s">
        <v>247</v>
      </c>
      <c r="C203" s="25" t="s">
        <v>17</v>
      </c>
      <c r="D203" s="25">
        <v>50</v>
      </c>
      <c r="E203" s="25">
        <v>338.88</v>
      </c>
      <c r="F203" s="25">
        <v>16943.849999999999</v>
      </c>
      <c r="G203" s="25" t="s">
        <v>1562</v>
      </c>
      <c r="H203" s="25">
        <v>2019196</v>
      </c>
      <c r="I203" s="25" t="s">
        <v>19</v>
      </c>
      <c r="J203" s="25" t="s">
        <v>20</v>
      </c>
      <c r="K203" s="25" t="s">
        <v>25</v>
      </c>
      <c r="L203" s="25">
        <v>0</v>
      </c>
      <c r="M203" s="25">
        <v>0.37</v>
      </c>
      <c r="N203" s="25">
        <v>0</v>
      </c>
      <c r="O203" s="25">
        <v>29.57</v>
      </c>
      <c r="P203" s="25">
        <v>29.942900000000002</v>
      </c>
      <c r="Q203" s="25">
        <f t="shared" si="6"/>
        <v>16973.792899999997</v>
      </c>
      <c r="R203" s="25">
        <f t="shared" si="7"/>
        <v>0</v>
      </c>
    </row>
    <row r="204" spans="1:18" hidden="1" x14ac:dyDescent="0.25">
      <c r="A204" s="26">
        <v>43756</v>
      </c>
      <c r="B204" s="25" t="s">
        <v>1522</v>
      </c>
      <c r="C204" s="25" t="s">
        <v>17</v>
      </c>
      <c r="D204" s="25">
        <v>200</v>
      </c>
      <c r="E204" s="25">
        <v>779.9</v>
      </c>
      <c r="F204" s="25">
        <v>155980</v>
      </c>
      <c r="G204" s="25" t="s">
        <v>1563</v>
      </c>
      <c r="H204" s="25">
        <v>2019196</v>
      </c>
      <c r="I204" s="25" t="s">
        <v>19</v>
      </c>
      <c r="J204" s="25" t="s">
        <v>20</v>
      </c>
      <c r="K204" s="25" t="s">
        <v>25</v>
      </c>
      <c r="L204" s="25">
        <v>0</v>
      </c>
      <c r="M204" s="25">
        <v>3.43</v>
      </c>
      <c r="N204" s="25">
        <v>0</v>
      </c>
      <c r="O204" s="25">
        <v>92.65</v>
      </c>
      <c r="P204" s="25">
        <v>96.081599999999995</v>
      </c>
      <c r="Q204" s="25">
        <f t="shared" si="6"/>
        <v>156076.0816</v>
      </c>
      <c r="R204" s="25">
        <f t="shared" si="7"/>
        <v>0</v>
      </c>
    </row>
    <row r="205" spans="1:18" hidden="1" x14ac:dyDescent="0.25">
      <c r="A205" s="26">
        <v>43755</v>
      </c>
      <c r="B205" s="25" t="s">
        <v>247</v>
      </c>
      <c r="C205" s="25" t="s">
        <v>23</v>
      </c>
      <c r="D205" s="25">
        <v>100</v>
      </c>
      <c r="E205" s="25">
        <v>324</v>
      </c>
      <c r="F205" s="25">
        <v>32400</v>
      </c>
      <c r="G205" s="25" t="s">
        <v>1564</v>
      </c>
      <c r="H205" s="25">
        <v>2019195</v>
      </c>
      <c r="I205" s="25" t="s">
        <v>19</v>
      </c>
      <c r="J205" s="25" t="s">
        <v>20</v>
      </c>
      <c r="K205" s="25" t="s">
        <v>25</v>
      </c>
      <c r="L205" s="25">
        <v>7.68</v>
      </c>
      <c r="M205" s="25">
        <v>0.71</v>
      </c>
      <c r="N205" s="25">
        <v>0</v>
      </c>
      <c r="O205" s="25">
        <v>29.63</v>
      </c>
      <c r="P205" s="25">
        <v>38.022799999999997</v>
      </c>
      <c r="Q205" s="25">
        <f t="shared" si="6"/>
        <v>0</v>
      </c>
      <c r="R205" s="25">
        <f t="shared" si="7"/>
        <v>32361.977200000001</v>
      </c>
    </row>
    <row r="206" spans="1:18" hidden="1" x14ac:dyDescent="0.25">
      <c r="A206" s="26">
        <v>43755</v>
      </c>
      <c r="B206" s="25" t="s">
        <v>247</v>
      </c>
      <c r="C206" s="25" t="s">
        <v>23</v>
      </c>
      <c r="D206" s="25">
        <v>102</v>
      </c>
      <c r="E206" s="25">
        <v>326</v>
      </c>
      <c r="F206" s="25">
        <v>33252</v>
      </c>
      <c r="G206" s="25" t="s">
        <v>1565</v>
      </c>
      <c r="H206" s="25">
        <v>2019195</v>
      </c>
      <c r="I206" s="25" t="s">
        <v>19</v>
      </c>
      <c r="J206" s="25" t="s">
        <v>20</v>
      </c>
      <c r="K206" s="25" t="s">
        <v>25</v>
      </c>
      <c r="L206" s="25">
        <v>7.88</v>
      </c>
      <c r="M206" s="25">
        <v>0.73</v>
      </c>
      <c r="N206" s="25">
        <v>9.6</v>
      </c>
      <c r="O206" s="25">
        <v>29.63</v>
      </c>
      <c r="P206" s="25">
        <v>47.8414</v>
      </c>
      <c r="Q206" s="25">
        <f t="shared" si="6"/>
        <v>0</v>
      </c>
      <c r="R206" s="25">
        <f t="shared" si="7"/>
        <v>33204.158600000002</v>
      </c>
    </row>
    <row r="207" spans="1:18" hidden="1" x14ac:dyDescent="0.25">
      <c r="A207" s="26">
        <v>43755</v>
      </c>
      <c r="B207" s="25" t="s">
        <v>480</v>
      </c>
      <c r="C207" s="25" t="s">
        <v>23</v>
      </c>
      <c r="D207" s="25">
        <v>250</v>
      </c>
      <c r="E207" s="25">
        <v>83.55</v>
      </c>
      <c r="F207" s="25">
        <v>20887.5</v>
      </c>
      <c r="G207" s="25" t="s">
        <v>1566</v>
      </c>
      <c r="H207" s="25">
        <v>2019195</v>
      </c>
      <c r="I207" s="25" t="s">
        <v>19</v>
      </c>
      <c r="J207" s="25" t="s">
        <v>20</v>
      </c>
      <c r="K207" s="25" t="s">
        <v>25</v>
      </c>
      <c r="L207" s="25">
        <v>5.24</v>
      </c>
      <c r="M207" s="25">
        <v>0.46</v>
      </c>
      <c r="N207" s="25">
        <v>0</v>
      </c>
      <c r="O207" s="25">
        <v>29.58</v>
      </c>
      <c r="P207" s="25">
        <v>35.279499999999999</v>
      </c>
      <c r="Q207" s="25">
        <f t="shared" si="6"/>
        <v>0</v>
      </c>
      <c r="R207" s="25">
        <f t="shared" si="7"/>
        <v>20852.220499999999</v>
      </c>
    </row>
    <row r="208" spans="1:18" hidden="1" x14ac:dyDescent="0.25">
      <c r="A208" s="26">
        <v>43755</v>
      </c>
      <c r="B208" s="25" t="s">
        <v>480</v>
      </c>
      <c r="C208" s="25" t="s">
        <v>17</v>
      </c>
      <c r="D208" s="25">
        <v>250</v>
      </c>
      <c r="E208" s="25">
        <v>84.2</v>
      </c>
      <c r="F208" s="25">
        <v>21050</v>
      </c>
      <c r="G208" s="25" t="s">
        <v>1567</v>
      </c>
      <c r="H208" s="25">
        <v>2019195</v>
      </c>
      <c r="I208" s="25" t="s">
        <v>19</v>
      </c>
      <c r="J208" s="25" t="s">
        <v>20</v>
      </c>
      <c r="K208" s="25" t="s">
        <v>25</v>
      </c>
      <c r="L208" s="25">
        <v>0</v>
      </c>
      <c r="M208" s="25">
        <v>0.46</v>
      </c>
      <c r="N208" s="25">
        <v>0</v>
      </c>
      <c r="O208" s="25">
        <v>29.58</v>
      </c>
      <c r="P208" s="25">
        <v>30.043199999999999</v>
      </c>
      <c r="Q208" s="25">
        <f t="shared" si="6"/>
        <v>21080.0432</v>
      </c>
      <c r="R208" s="25">
        <f t="shared" si="7"/>
        <v>0</v>
      </c>
    </row>
    <row r="209" spans="1:18" hidden="1" x14ac:dyDescent="0.25">
      <c r="A209" s="26">
        <v>43755</v>
      </c>
      <c r="B209" s="25" t="s">
        <v>247</v>
      </c>
      <c r="C209" s="25" t="s">
        <v>17</v>
      </c>
      <c r="D209" s="25">
        <v>202</v>
      </c>
      <c r="E209" s="25">
        <v>301</v>
      </c>
      <c r="F209" s="25">
        <v>60802</v>
      </c>
      <c r="G209" s="25" t="s">
        <v>1568</v>
      </c>
      <c r="H209" s="25">
        <v>2019195</v>
      </c>
      <c r="I209" s="25" t="s">
        <v>19</v>
      </c>
      <c r="J209" s="25" t="s">
        <v>20</v>
      </c>
      <c r="K209" s="25" t="s">
        <v>25</v>
      </c>
      <c r="L209" s="25">
        <v>0</v>
      </c>
      <c r="M209" s="25">
        <v>1.34</v>
      </c>
      <c r="N209" s="25">
        <v>0</v>
      </c>
      <c r="O209" s="25">
        <v>36.11</v>
      </c>
      <c r="P209" s="25">
        <v>37.447600000000001</v>
      </c>
      <c r="Q209" s="25">
        <f t="shared" si="6"/>
        <v>60839.4476</v>
      </c>
      <c r="R209" s="25">
        <f t="shared" si="7"/>
        <v>0</v>
      </c>
    </row>
    <row r="210" spans="1:18" hidden="1" x14ac:dyDescent="0.25">
      <c r="A210" s="26">
        <v>43755</v>
      </c>
      <c r="B210" s="25" t="s">
        <v>247</v>
      </c>
      <c r="C210" s="25" t="s">
        <v>17</v>
      </c>
      <c r="D210" s="25">
        <v>250</v>
      </c>
      <c r="E210" s="25">
        <v>298.99</v>
      </c>
      <c r="F210" s="25">
        <v>74746.45</v>
      </c>
      <c r="G210" s="25" t="s">
        <v>1569</v>
      </c>
      <c r="H210" s="25">
        <v>2019195</v>
      </c>
      <c r="I210" s="25" t="s">
        <v>19</v>
      </c>
      <c r="J210" s="25" t="s">
        <v>20</v>
      </c>
      <c r="K210" s="25" t="s">
        <v>25</v>
      </c>
      <c r="L210" s="25">
        <v>0</v>
      </c>
      <c r="M210" s="25">
        <v>1.64</v>
      </c>
      <c r="N210" s="25">
        <v>0</v>
      </c>
      <c r="O210" s="25">
        <v>44.39</v>
      </c>
      <c r="P210" s="25">
        <v>46.034399999999998</v>
      </c>
      <c r="Q210" s="25">
        <f t="shared" si="6"/>
        <v>74792.484400000001</v>
      </c>
      <c r="R210" s="25">
        <f t="shared" si="7"/>
        <v>0</v>
      </c>
    </row>
    <row r="211" spans="1:18" hidden="1" x14ac:dyDescent="0.25">
      <c r="A211" s="26">
        <v>43755</v>
      </c>
      <c r="B211" s="25" t="s">
        <v>247</v>
      </c>
      <c r="C211" s="25" t="s">
        <v>23</v>
      </c>
      <c r="D211" s="25">
        <v>250</v>
      </c>
      <c r="E211" s="25">
        <v>306</v>
      </c>
      <c r="F211" s="25">
        <v>76500</v>
      </c>
      <c r="G211" s="25" t="s">
        <v>1570</v>
      </c>
      <c r="H211" s="25">
        <v>2019195</v>
      </c>
      <c r="I211" s="25" t="s">
        <v>19</v>
      </c>
      <c r="J211" s="25" t="s">
        <v>20</v>
      </c>
      <c r="K211" s="25" t="s">
        <v>25</v>
      </c>
      <c r="L211" s="25">
        <v>19.2</v>
      </c>
      <c r="M211" s="25">
        <v>1.68</v>
      </c>
      <c r="N211" s="25">
        <v>0</v>
      </c>
      <c r="O211" s="25">
        <v>45.44</v>
      </c>
      <c r="P211" s="25">
        <v>66.322999999999993</v>
      </c>
      <c r="Q211" s="25">
        <f t="shared" si="6"/>
        <v>0</v>
      </c>
      <c r="R211" s="25">
        <f t="shared" si="7"/>
        <v>76433.676999999996</v>
      </c>
    </row>
    <row r="212" spans="1:18" hidden="1" x14ac:dyDescent="0.25">
      <c r="A212" s="26">
        <v>43754</v>
      </c>
      <c r="B212" s="25" t="s">
        <v>1522</v>
      </c>
      <c r="C212" s="25" t="s">
        <v>23</v>
      </c>
      <c r="D212" s="25">
        <v>100</v>
      </c>
      <c r="E212" s="25">
        <v>710</v>
      </c>
      <c r="F212" s="25">
        <v>71000</v>
      </c>
      <c r="G212" s="25" t="s">
        <v>1571</v>
      </c>
      <c r="H212" s="25">
        <v>2019194</v>
      </c>
      <c r="I212" s="25" t="s">
        <v>19</v>
      </c>
      <c r="J212" s="25" t="s">
        <v>20</v>
      </c>
      <c r="K212" s="25" t="s">
        <v>25</v>
      </c>
      <c r="L212" s="25">
        <v>17.75</v>
      </c>
      <c r="M212" s="25">
        <v>1.56</v>
      </c>
      <c r="N212" s="25">
        <v>6.9</v>
      </c>
      <c r="O212" s="25">
        <v>42.17</v>
      </c>
      <c r="P212" s="25">
        <v>68.382199999999997</v>
      </c>
      <c r="Q212" s="25">
        <f t="shared" si="6"/>
        <v>0</v>
      </c>
      <c r="R212" s="25">
        <f t="shared" si="7"/>
        <v>70931.617800000007</v>
      </c>
    </row>
    <row r="213" spans="1:18" hidden="1" x14ac:dyDescent="0.25">
      <c r="A213" s="26">
        <v>43754</v>
      </c>
      <c r="B213" s="25" t="s">
        <v>1522</v>
      </c>
      <c r="C213" s="25" t="s">
        <v>17</v>
      </c>
      <c r="D213" s="25">
        <v>100</v>
      </c>
      <c r="E213" s="25">
        <v>704</v>
      </c>
      <c r="F213" s="25">
        <v>70400</v>
      </c>
      <c r="G213" s="25" t="s">
        <v>1572</v>
      </c>
      <c r="H213" s="25">
        <v>2019194</v>
      </c>
      <c r="I213" s="25" t="s">
        <v>19</v>
      </c>
      <c r="J213" s="25" t="s">
        <v>20</v>
      </c>
      <c r="K213" s="25" t="s">
        <v>25</v>
      </c>
      <c r="L213" s="25">
        <v>0</v>
      </c>
      <c r="M213" s="25">
        <v>1.55</v>
      </c>
      <c r="N213" s="25">
        <v>0</v>
      </c>
      <c r="O213" s="25">
        <v>41.81</v>
      </c>
      <c r="P213" s="25">
        <v>43.358800000000002</v>
      </c>
      <c r="Q213" s="25">
        <f t="shared" si="6"/>
        <v>70443.358800000002</v>
      </c>
      <c r="R213" s="25">
        <f t="shared" si="7"/>
        <v>0</v>
      </c>
    </row>
    <row r="214" spans="1:18" hidden="1" x14ac:dyDescent="0.25">
      <c r="A214" s="26">
        <v>43754</v>
      </c>
      <c r="B214" s="25" t="s">
        <v>480</v>
      </c>
      <c r="C214" s="25" t="s">
        <v>23</v>
      </c>
      <c r="D214" s="25">
        <v>500</v>
      </c>
      <c r="E214" s="25">
        <v>81.5</v>
      </c>
      <c r="F214" s="25">
        <v>40750</v>
      </c>
      <c r="G214" s="25" t="s">
        <v>1573</v>
      </c>
      <c r="H214" s="25">
        <v>2019194</v>
      </c>
      <c r="I214" s="25" t="s">
        <v>19</v>
      </c>
      <c r="J214" s="25" t="s">
        <v>20</v>
      </c>
      <c r="K214" s="25" t="s">
        <v>25</v>
      </c>
      <c r="L214" s="25">
        <v>10.25</v>
      </c>
      <c r="M214" s="25">
        <v>0.9</v>
      </c>
      <c r="N214" s="25">
        <v>0</v>
      </c>
      <c r="O214" s="25">
        <v>29.66</v>
      </c>
      <c r="P214" s="25">
        <v>40.806600000000003</v>
      </c>
      <c r="Q214" s="25">
        <f t="shared" si="6"/>
        <v>0</v>
      </c>
      <c r="R214" s="25">
        <f t="shared" si="7"/>
        <v>40709.193399999996</v>
      </c>
    </row>
    <row r="215" spans="1:18" hidden="1" x14ac:dyDescent="0.25">
      <c r="A215" s="26">
        <v>43754</v>
      </c>
      <c r="B215" s="25" t="s">
        <v>480</v>
      </c>
      <c r="C215" s="25" t="s">
        <v>17</v>
      </c>
      <c r="D215" s="25">
        <v>500</v>
      </c>
      <c r="E215" s="25">
        <v>82.5</v>
      </c>
      <c r="F215" s="25">
        <v>41250</v>
      </c>
      <c r="G215" s="25" t="s">
        <v>1574</v>
      </c>
      <c r="H215" s="25">
        <v>2019194</v>
      </c>
      <c r="I215" s="25" t="s">
        <v>19</v>
      </c>
      <c r="J215" s="25" t="s">
        <v>20</v>
      </c>
      <c r="K215" s="25" t="s">
        <v>25</v>
      </c>
      <c r="L215" s="25">
        <v>0</v>
      </c>
      <c r="M215" s="25">
        <v>0.91</v>
      </c>
      <c r="N215" s="25">
        <v>0</v>
      </c>
      <c r="O215" s="25">
        <v>29.66</v>
      </c>
      <c r="P215" s="25">
        <v>30.567599999999999</v>
      </c>
      <c r="Q215" s="25">
        <f t="shared" si="6"/>
        <v>41280.567600000002</v>
      </c>
      <c r="R215" s="25">
        <f t="shared" si="7"/>
        <v>0</v>
      </c>
    </row>
    <row r="216" spans="1:18" hidden="1" x14ac:dyDescent="0.25">
      <c r="A216" s="26">
        <v>43753</v>
      </c>
      <c r="B216" s="25" t="s">
        <v>247</v>
      </c>
      <c r="C216" s="25" t="s">
        <v>23</v>
      </c>
      <c r="D216" s="25">
        <v>250</v>
      </c>
      <c r="E216" s="25">
        <v>320.01</v>
      </c>
      <c r="F216" s="25">
        <v>80002.100000000006</v>
      </c>
      <c r="G216" s="25" t="s">
        <v>1575</v>
      </c>
      <c r="H216" s="25">
        <v>2019193</v>
      </c>
      <c r="I216" s="25" t="s">
        <v>19</v>
      </c>
      <c r="J216" s="25" t="s">
        <v>20</v>
      </c>
      <c r="K216" s="25" t="s">
        <v>25</v>
      </c>
      <c r="L216" s="25">
        <v>20</v>
      </c>
      <c r="M216" s="25">
        <v>1.76</v>
      </c>
      <c r="N216" s="25">
        <v>4.8</v>
      </c>
      <c r="O216" s="25">
        <v>47.51</v>
      </c>
      <c r="P216" s="25">
        <v>74.070099999999996</v>
      </c>
      <c r="Q216" s="25">
        <f t="shared" si="6"/>
        <v>0</v>
      </c>
      <c r="R216" s="25">
        <f t="shared" si="7"/>
        <v>79928.029900000009</v>
      </c>
    </row>
    <row r="217" spans="1:18" hidden="1" x14ac:dyDescent="0.25">
      <c r="A217" s="26">
        <v>43753</v>
      </c>
      <c r="B217" s="25" t="s">
        <v>247</v>
      </c>
      <c r="C217" s="25" t="s">
        <v>17</v>
      </c>
      <c r="D217" s="25">
        <v>250</v>
      </c>
      <c r="E217" s="25">
        <v>319.26</v>
      </c>
      <c r="F217" s="25">
        <v>79814.5</v>
      </c>
      <c r="G217" s="25" t="s">
        <v>1576</v>
      </c>
      <c r="H217" s="25">
        <v>2019193</v>
      </c>
      <c r="I217" s="25" t="s">
        <v>19</v>
      </c>
      <c r="J217" s="25" t="s">
        <v>20</v>
      </c>
      <c r="K217" s="25" t="s">
        <v>25</v>
      </c>
      <c r="L217" s="25">
        <v>0</v>
      </c>
      <c r="M217" s="25">
        <v>1.76</v>
      </c>
      <c r="N217" s="25">
        <v>0</v>
      </c>
      <c r="O217" s="25">
        <v>47.4</v>
      </c>
      <c r="P217" s="25">
        <v>49.155900000000003</v>
      </c>
      <c r="Q217" s="25">
        <f t="shared" si="6"/>
        <v>79863.655899999998</v>
      </c>
      <c r="R217" s="25">
        <f t="shared" si="7"/>
        <v>0</v>
      </c>
    </row>
    <row r="218" spans="1:18" hidden="1" x14ac:dyDescent="0.25">
      <c r="A218" s="26">
        <v>43752</v>
      </c>
      <c r="B218" s="25" t="s">
        <v>738</v>
      </c>
      <c r="C218" s="25" t="s">
        <v>23</v>
      </c>
      <c r="D218" s="25">
        <v>250</v>
      </c>
      <c r="E218" s="25">
        <v>430</v>
      </c>
      <c r="F218" s="25">
        <v>107500</v>
      </c>
      <c r="G218" s="25" t="s">
        <v>1577</v>
      </c>
      <c r="H218" s="25">
        <v>2019192</v>
      </c>
      <c r="I218" s="25" t="s">
        <v>19</v>
      </c>
      <c r="J218" s="25" t="s">
        <v>20</v>
      </c>
      <c r="K218" s="25" t="s">
        <v>25</v>
      </c>
      <c r="L218" s="25">
        <v>27.13</v>
      </c>
      <c r="M218" s="25">
        <v>2.37</v>
      </c>
      <c r="N218" s="25">
        <v>12.9</v>
      </c>
      <c r="O218" s="25">
        <v>63.85</v>
      </c>
      <c r="P218" s="25">
        <v>106.245</v>
      </c>
      <c r="Q218" s="25">
        <f t="shared" si="6"/>
        <v>0</v>
      </c>
      <c r="R218" s="25">
        <f t="shared" si="7"/>
        <v>107393.755</v>
      </c>
    </row>
    <row r="219" spans="1:18" hidden="1" x14ac:dyDescent="0.25">
      <c r="A219" s="26">
        <v>43752</v>
      </c>
      <c r="B219" s="25" t="s">
        <v>738</v>
      </c>
      <c r="C219" s="25" t="s">
        <v>17</v>
      </c>
      <c r="D219" s="25">
        <v>500</v>
      </c>
      <c r="E219" s="25">
        <v>429.5</v>
      </c>
      <c r="F219" s="25">
        <v>214750</v>
      </c>
      <c r="G219" s="25" t="s">
        <v>1578</v>
      </c>
      <c r="H219" s="25">
        <v>2019192</v>
      </c>
      <c r="I219" s="25" t="s">
        <v>19</v>
      </c>
      <c r="J219" s="25" t="s">
        <v>20</v>
      </c>
      <c r="K219" s="25" t="s">
        <v>25</v>
      </c>
      <c r="L219" s="25">
        <v>0</v>
      </c>
      <c r="M219" s="25">
        <v>4.72</v>
      </c>
      <c r="N219" s="25">
        <v>0</v>
      </c>
      <c r="O219" s="25">
        <v>127.55</v>
      </c>
      <c r="P219" s="25">
        <v>132.27459999999999</v>
      </c>
      <c r="Q219" s="25">
        <f t="shared" si="6"/>
        <v>214882.2746</v>
      </c>
      <c r="R219" s="25">
        <f t="shared" si="7"/>
        <v>0</v>
      </c>
    </row>
    <row r="220" spans="1:18" hidden="1" x14ac:dyDescent="0.25">
      <c r="A220" s="26">
        <v>43752</v>
      </c>
      <c r="B220" s="25" t="s">
        <v>738</v>
      </c>
      <c r="C220" s="25" t="s">
        <v>23</v>
      </c>
      <c r="D220" s="25">
        <v>250</v>
      </c>
      <c r="E220" s="25">
        <v>431</v>
      </c>
      <c r="F220" s="25">
        <v>107750</v>
      </c>
      <c r="G220" s="25" t="s">
        <v>1579</v>
      </c>
      <c r="H220" s="25">
        <v>2019192</v>
      </c>
      <c r="I220" s="25" t="s">
        <v>19</v>
      </c>
      <c r="J220" s="25" t="s">
        <v>20</v>
      </c>
      <c r="K220" s="25" t="s">
        <v>25</v>
      </c>
      <c r="L220" s="25">
        <v>26.88</v>
      </c>
      <c r="M220" s="25">
        <v>2.37</v>
      </c>
      <c r="N220" s="25">
        <v>0</v>
      </c>
      <c r="O220" s="25">
        <v>64</v>
      </c>
      <c r="P220" s="25">
        <v>93.250600000000006</v>
      </c>
      <c r="Q220" s="25">
        <f t="shared" si="6"/>
        <v>0</v>
      </c>
      <c r="R220" s="25">
        <f t="shared" si="7"/>
        <v>107656.7494</v>
      </c>
    </row>
    <row r="221" spans="1:18" hidden="1" x14ac:dyDescent="0.25">
      <c r="A221" s="26">
        <v>43749</v>
      </c>
      <c r="B221" s="25" t="s">
        <v>1476</v>
      </c>
      <c r="C221" s="25" t="s">
        <v>17</v>
      </c>
      <c r="D221" s="25">
        <v>250</v>
      </c>
      <c r="E221" s="25">
        <v>185</v>
      </c>
      <c r="F221" s="25">
        <v>46250</v>
      </c>
      <c r="G221" s="25" t="s">
        <v>1580</v>
      </c>
      <c r="H221" s="25">
        <v>2019191</v>
      </c>
      <c r="I221" s="25" t="s">
        <v>19</v>
      </c>
      <c r="J221" s="25" t="s">
        <v>20</v>
      </c>
      <c r="K221" s="25" t="s">
        <v>25</v>
      </c>
      <c r="L221" s="25">
        <v>0</v>
      </c>
      <c r="M221" s="25">
        <v>1.02</v>
      </c>
      <c r="N221" s="25">
        <v>0</v>
      </c>
      <c r="O221" s="25">
        <v>29.68</v>
      </c>
      <c r="P221" s="25">
        <v>30.697600000000001</v>
      </c>
      <c r="Q221" s="25">
        <f t="shared" si="6"/>
        <v>46280.6976</v>
      </c>
      <c r="R221" s="25">
        <f t="shared" si="7"/>
        <v>0</v>
      </c>
    </row>
    <row r="222" spans="1:18" hidden="1" x14ac:dyDescent="0.25">
      <c r="A222" s="26">
        <v>43784</v>
      </c>
      <c r="B222" s="25" t="s">
        <v>268</v>
      </c>
      <c r="C222" s="25" t="s">
        <v>23</v>
      </c>
      <c r="D222" s="25">
        <v>250</v>
      </c>
      <c r="E222" s="25">
        <v>315</v>
      </c>
      <c r="F222" s="25">
        <v>78750</v>
      </c>
      <c r="G222" s="25" t="s">
        <v>1728</v>
      </c>
      <c r="H222" s="25">
        <v>2019214</v>
      </c>
      <c r="I222" s="25" t="s">
        <v>19</v>
      </c>
      <c r="J222" s="25" t="s">
        <v>20</v>
      </c>
      <c r="K222" s="25" t="s">
        <v>25</v>
      </c>
      <c r="L222" s="25">
        <v>19.809999999999999</v>
      </c>
      <c r="M222" s="25">
        <v>1.73</v>
      </c>
      <c r="N222" s="25">
        <v>0</v>
      </c>
      <c r="O222" s="25">
        <v>46.77</v>
      </c>
      <c r="P222" s="25">
        <v>68.312600000000003</v>
      </c>
      <c r="Q222" s="25">
        <f t="shared" si="6"/>
        <v>0</v>
      </c>
      <c r="R222" s="25">
        <f t="shared" si="7"/>
        <v>78681.687399999995</v>
      </c>
    </row>
    <row r="223" spans="1:18" hidden="1" x14ac:dyDescent="0.25">
      <c r="A223" s="26">
        <v>43784</v>
      </c>
      <c r="B223" s="25" t="s">
        <v>268</v>
      </c>
      <c r="C223" s="25" t="s">
        <v>17</v>
      </c>
      <c r="D223" s="25">
        <v>500</v>
      </c>
      <c r="E223" s="25">
        <v>314.7</v>
      </c>
      <c r="F223" s="25">
        <v>157350</v>
      </c>
      <c r="G223" s="25" t="s">
        <v>1729</v>
      </c>
      <c r="H223" s="25">
        <v>2019214</v>
      </c>
      <c r="I223" s="25" t="s">
        <v>19</v>
      </c>
      <c r="J223" s="25" t="s">
        <v>20</v>
      </c>
      <c r="K223" s="25" t="s">
        <v>25</v>
      </c>
      <c r="L223" s="25">
        <v>0</v>
      </c>
      <c r="M223" s="25">
        <v>3.46</v>
      </c>
      <c r="N223" s="25">
        <v>0</v>
      </c>
      <c r="O223" s="25">
        <v>93.46</v>
      </c>
      <c r="P223" s="25">
        <v>96.921800000000005</v>
      </c>
      <c r="Q223" s="25">
        <f t="shared" si="6"/>
        <v>157446.92180000001</v>
      </c>
      <c r="R223" s="25">
        <f t="shared" si="7"/>
        <v>0</v>
      </c>
    </row>
    <row r="224" spans="1:18" hidden="1" x14ac:dyDescent="0.25">
      <c r="A224" s="26">
        <v>43749</v>
      </c>
      <c r="B224" s="25" t="s">
        <v>1476</v>
      </c>
      <c r="C224" s="25" t="s">
        <v>23</v>
      </c>
      <c r="D224" s="25">
        <v>250</v>
      </c>
      <c r="E224" s="25">
        <v>205</v>
      </c>
      <c r="F224" s="25">
        <v>51250</v>
      </c>
      <c r="G224" s="25" t="s">
        <v>1583</v>
      </c>
      <c r="H224" s="25">
        <v>2019191</v>
      </c>
      <c r="I224" s="25" t="s">
        <v>19</v>
      </c>
      <c r="J224" s="25" t="s">
        <v>20</v>
      </c>
      <c r="K224" s="25" t="s">
        <v>25</v>
      </c>
      <c r="L224" s="25">
        <v>11.96</v>
      </c>
      <c r="M224" s="25">
        <v>1.1299999999999999</v>
      </c>
      <c r="N224" s="25">
        <v>7.2</v>
      </c>
      <c r="O224" s="25">
        <v>30.44</v>
      </c>
      <c r="P224" s="25">
        <v>50.727600000000002</v>
      </c>
      <c r="Q224" s="25">
        <f t="shared" si="6"/>
        <v>0</v>
      </c>
      <c r="R224" s="25">
        <f t="shared" si="7"/>
        <v>51199.272400000002</v>
      </c>
    </row>
    <row r="225" spans="1:18" hidden="1" x14ac:dyDescent="0.25">
      <c r="A225" s="26">
        <v>43749</v>
      </c>
      <c r="B225" s="25" t="s">
        <v>288</v>
      </c>
      <c r="C225" s="25" t="s">
        <v>17</v>
      </c>
      <c r="D225" s="25">
        <v>250</v>
      </c>
      <c r="E225" s="25">
        <v>24.9</v>
      </c>
      <c r="F225" s="25">
        <v>6225</v>
      </c>
      <c r="G225" s="25" t="s">
        <v>1584</v>
      </c>
      <c r="H225" s="25">
        <v>2019191</v>
      </c>
      <c r="I225" s="25" t="s">
        <v>19</v>
      </c>
      <c r="J225" s="25" t="s">
        <v>20</v>
      </c>
      <c r="K225" s="25" t="s">
        <v>25</v>
      </c>
      <c r="L225" s="25">
        <v>6.23</v>
      </c>
      <c r="M225" s="25">
        <v>0.14000000000000001</v>
      </c>
      <c r="N225" s="25">
        <v>0</v>
      </c>
      <c r="O225" s="25">
        <v>41.32</v>
      </c>
      <c r="P225" s="25">
        <v>47.686900000000001</v>
      </c>
      <c r="Q225" s="25">
        <f t="shared" si="6"/>
        <v>6272.6868999999997</v>
      </c>
      <c r="R225" s="25">
        <f t="shared" si="7"/>
        <v>0</v>
      </c>
    </row>
    <row r="226" spans="1:18" hidden="1" x14ac:dyDescent="0.25">
      <c r="A226" s="26">
        <v>43748</v>
      </c>
      <c r="B226" s="25" t="s">
        <v>1476</v>
      </c>
      <c r="C226" s="25" t="s">
        <v>23</v>
      </c>
      <c r="D226" s="25">
        <v>250</v>
      </c>
      <c r="E226" s="25">
        <v>240</v>
      </c>
      <c r="F226" s="25">
        <v>60000</v>
      </c>
      <c r="G226" s="25" t="s">
        <v>1585</v>
      </c>
      <c r="H226" s="25">
        <v>2019190</v>
      </c>
      <c r="I226" s="25" t="s">
        <v>19</v>
      </c>
      <c r="J226" s="25" t="s">
        <v>20</v>
      </c>
      <c r="K226" s="25" t="s">
        <v>25</v>
      </c>
      <c r="L226" s="25">
        <v>12.97</v>
      </c>
      <c r="M226" s="25">
        <v>1.32</v>
      </c>
      <c r="N226" s="25">
        <v>19.8</v>
      </c>
      <c r="O226" s="25">
        <v>35.64</v>
      </c>
      <c r="P226" s="25">
        <v>69.73</v>
      </c>
      <c r="Q226" s="25">
        <f t="shared" si="6"/>
        <v>0</v>
      </c>
      <c r="R226" s="25">
        <f t="shared" si="7"/>
        <v>59930.27</v>
      </c>
    </row>
    <row r="227" spans="1:18" hidden="1" x14ac:dyDescent="0.25">
      <c r="A227" s="26">
        <v>43748</v>
      </c>
      <c r="B227" s="25" t="s">
        <v>226</v>
      </c>
      <c r="C227" s="25" t="s">
        <v>23</v>
      </c>
      <c r="D227" s="25">
        <v>100</v>
      </c>
      <c r="E227" s="25">
        <v>247</v>
      </c>
      <c r="F227" s="25">
        <v>24700</v>
      </c>
      <c r="G227" s="25" t="s">
        <v>1586</v>
      </c>
      <c r="H227" s="25">
        <v>2019190</v>
      </c>
      <c r="I227" s="25" t="s">
        <v>19</v>
      </c>
      <c r="J227" s="25" t="s">
        <v>20</v>
      </c>
      <c r="K227" s="25" t="s">
        <v>25</v>
      </c>
      <c r="L227" s="25">
        <v>6.14</v>
      </c>
      <c r="M227" s="25">
        <v>0.54</v>
      </c>
      <c r="N227" s="25">
        <v>0</v>
      </c>
      <c r="O227" s="25">
        <v>29.6</v>
      </c>
      <c r="P227" s="25">
        <v>36.2834</v>
      </c>
      <c r="Q227" s="25">
        <f t="shared" si="6"/>
        <v>0</v>
      </c>
      <c r="R227" s="25">
        <f t="shared" si="7"/>
        <v>24663.7166</v>
      </c>
    </row>
    <row r="228" spans="1:18" hidden="1" x14ac:dyDescent="0.25">
      <c r="A228" s="26">
        <v>43748</v>
      </c>
      <c r="B228" s="25" t="s">
        <v>1476</v>
      </c>
      <c r="C228" s="25" t="s">
        <v>17</v>
      </c>
      <c r="D228" s="25">
        <v>250</v>
      </c>
      <c r="E228" s="25">
        <v>212.47</v>
      </c>
      <c r="F228" s="25">
        <v>53116.95</v>
      </c>
      <c r="G228" s="25" t="s">
        <v>1587</v>
      </c>
      <c r="H228" s="25">
        <v>2019190</v>
      </c>
      <c r="I228" s="25" t="s">
        <v>19</v>
      </c>
      <c r="J228" s="25" t="s">
        <v>20</v>
      </c>
      <c r="K228" s="25" t="s">
        <v>25</v>
      </c>
      <c r="L228" s="25">
        <v>0</v>
      </c>
      <c r="M228" s="25">
        <v>1.17</v>
      </c>
      <c r="N228" s="25">
        <v>0</v>
      </c>
      <c r="O228" s="25">
        <v>31.54</v>
      </c>
      <c r="P228" s="25">
        <v>32.7087</v>
      </c>
      <c r="Q228" s="25">
        <f t="shared" si="6"/>
        <v>53149.6587</v>
      </c>
      <c r="R228" s="25">
        <f t="shared" si="7"/>
        <v>0</v>
      </c>
    </row>
    <row r="229" spans="1:18" hidden="1" x14ac:dyDescent="0.25">
      <c r="A229" s="26">
        <v>43748</v>
      </c>
      <c r="B229" s="25" t="s">
        <v>226</v>
      </c>
      <c r="C229" s="25" t="s">
        <v>17</v>
      </c>
      <c r="D229" s="25">
        <v>500</v>
      </c>
      <c r="E229" s="25">
        <v>245.3</v>
      </c>
      <c r="F229" s="25">
        <v>122650</v>
      </c>
      <c r="G229" s="25" t="s">
        <v>1588</v>
      </c>
      <c r="H229" s="25">
        <v>2019190</v>
      </c>
      <c r="I229" s="25" t="s">
        <v>19</v>
      </c>
      <c r="J229" s="25" t="s">
        <v>20</v>
      </c>
      <c r="K229" s="25" t="s">
        <v>25</v>
      </c>
      <c r="L229" s="25">
        <v>0</v>
      </c>
      <c r="M229" s="25">
        <v>2.7</v>
      </c>
      <c r="N229" s="25">
        <v>0</v>
      </c>
      <c r="O229" s="25">
        <v>87.88</v>
      </c>
      <c r="P229" s="25">
        <v>90.578299999999999</v>
      </c>
      <c r="Q229" s="25">
        <f t="shared" si="6"/>
        <v>122740.57829999999</v>
      </c>
      <c r="R229" s="25">
        <f t="shared" si="7"/>
        <v>0</v>
      </c>
    </row>
    <row r="230" spans="1:18" hidden="1" x14ac:dyDescent="0.25">
      <c r="A230" s="26">
        <v>43748</v>
      </c>
      <c r="B230" s="25" t="s">
        <v>226</v>
      </c>
      <c r="C230" s="25" t="s">
        <v>23</v>
      </c>
      <c r="D230" s="25">
        <v>400</v>
      </c>
      <c r="E230" s="25">
        <v>245.2</v>
      </c>
      <c r="F230" s="25">
        <v>98080</v>
      </c>
      <c r="G230" s="25" t="s">
        <v>1589</v>
      </c>
      <c r="H230" s="25">
        <v>2019190</v>
      </c>
      <c r="I230" s="25" t="s">
        <v>19</v>
      </c>
      <c r="J230" s="25" t="s">
        <v>20</v>
      </c>
      <c r="K230" s="25" t="s">
        <v>25</v>
      </c>
      <c r="L230" s="25">
        <v>24.54</v>
      </c>
      <c r="M230" s="25">
        <v>2.16</v>
      </c>
      <c r="N230" s="25">
        <v>0</v>
      </c>
      <c r="O230" s="25">
        <v>58.26</v>
      </c>
      <c r="P230" s="25">
        <v>84.957800000000006</v>
      </c>
      <c r="Q230" s="25">
        <f t="shared" si="6"/>
        <v>0</v>
      </c>
      <c r="R230" s="25">
        <f t="shared" si="7"/>
        <v>97995.042199999996</v>
      </c>
    </row>
    <row r="231" spans="1:18" hidden="1" x14ac:dyDescent="0.25">
      <c r="A231" s="26">
        <v>43748</v>
      </c>
      <c r="B231" s="25" t="s">
        <v>1476</v>
      </c>
      <c r="C231" s="25" t="s">
        <v>17</v>
      </c>
      <c r="D231" s="25">
        <v>500</v>
      </c>
      <c r="E231" s="25">
        <v>201.38</v>
      </c>
      <c r="F231" s="25">
        <v>100691.95</v>
      </c>
      <c r="G231" s="25" t="s">
        <v>1590</v>
      </c>
      <c r="H231" s="25">
        <v>2019190</v>
      </c>
      <c r="I231" s="25" t="s">
        <v>19</v>
      </c>
      <c r="J231" s="25" t="s">
        <v>20</v>
      </c>
      <c r="K231" s="25" t="s">
        <v>25</v>
      </c>
      <c r="L231" s="25">
        <v>0</v>
      </c>
      <c r="M231" s="25">
        <v>2.2200000000000002</v>
      </c>
      <c r="N231" s="25">
        <v>0</v>
      </c>
      <c r="O231" s="25">
        <v>59.8</v>
      </c>
      <c r="P231" s="25">
        <v>62.015300000000003</v>
      </c>
      <c r="Q231" s="25">
        <f t="shared" si="6"/>
        <v>100753.9653</v>
      </c>
      <c r="R231" s="25">
        <f t="shared" si="7"/>
        <v>0</v>
      </c>
    </row>
    <row r="232" spans="1:18" hidden="1" x14ac:dyDescent="0.25">
      <c r="A232" s="26">
        <v>43748</v>
      </c>
      <c r="B232" s="25" t="s">
        <v>1476</v>
      </c>
      <c r="C232" s="25" t="s">
        <v>17</v>
      </c>
      <c r="D232" s="25">
        <v>250</v>
      </c>
      <c r="E232" s="25">
        <v>195</v>
      </c>
      <c r="F232" s="25">
        <v>48750</v>
      </c>
      <c r="G232" s="25" t="s">
        <v>1591</v>
      </c>
      <c r="H232" s="25">
        <v>2019190</v>
      </c>
      <c r="I232" s="25" t="s">
        <v>19</v>
      </c>
      <c r="J232" s="25" t="s">
        <v>20</v>
      </c>
      <c r="K232" s="25" t="s">
        <v>25</v>
      </c>
      <c r="L232" s="25">
        <v>0</v>
      </c>
      <c r="M232" s="25">
        <v>1.07</v>
      </c>
      <c r="N232" s="25">
        <v>0</v>
      </c>
      <c r="O232" s="25">
        <v>29.69</v>
      </c>
      <c r="P232" s="25">
        <v>30.762599999999999</v>
      </c>
      <c r="Q232" s="25">
        <f t="shared" si="6"/>
        <v>48780.762600000002</v>
      </c>
      <c r="R232" s="25">
        <f t="shared" si="7"/>
        <v>0</v>
      </c>
    </row>
    <row r="233" spans="1:18" hidden="1" x14ac:dyDescent="0.25">
      <c r="A233" s="26">
        <v>43748</v>
      </c>
      <c r="B233" s="25" t="s">
        <v>1476</v>
      </c>
      <c r="C233" s="25" t="s">
        <v>23</v>
      </c>
      <c r="D233" s="25">
        <v>366</v>
      </c>
      <c r="E233" s="25">
        <v>193.13</v>
      </c>
      <c r="F233" s="25">
        <v>70685.850000000006</v>
      </c>
      <c r="G233" s="25" t="s">
        <v>1592</v>
      </c>
      <c r="H233" s="25">
        <v>2019190</v>
      </c>
      <c r="I233" s="25" t="s">
        <v>19</v>
      </c>
      <c r="J233" s="25" t="s">
        <v>20</v>
      </c>
      <c r="K233" s="25" t="s">
        <v>25</v>
      </c>
      <c r="L233" s="25">
        <v>18.72</v>
      </c>
      <c r="M233" s="25">
        <v>1.56</v>
      </c>
      <c r="N233" s="25">
        <v>0</v>
      </c>
      <c r="O233" s="25">
        <v>41.99</v>
      </c>
      <c r="P233" s="25">
        <v>62.265099999999997</v>
      </c>
      <c r="Q233" s="25">
        <f t="shared" si="6"/>
        <v>0</v>
      </c>
      <c r="R233" s="25">
        <f t="shared" si="7"/>
        <v>70623.584900000002</v>
      </c>
    </row>
    <row r="234" spans="1:18" hidden="1" x14ac:dyDescent="0.25">
      <c r="A234" s="26">
        <v>43748</v>
      </c>
      <c r="B234" s="25" t="s">
        <v>1476</v>
      </c>
      <c r="C234" s="25" t="s">
        <v>23</v>
      </c>
      <c r="D234" s="25">
        <v>384</v>
      </c>
      <c r="E234" s="25">
        <v>197.5</v>
      </c>
      <c r="F234" s="25">
        <v>75840</v>
      </c>
      <c r="G234" s="25" t="s">
        <v>1593</v>
      </c>
      <c r="H234" s="25">
        <v>2019190</v>
      </c>
      <c r="I234" s="25" t="s">
        <v>19</v>
      </c>
      <c r="J234" s="25" t="s">
        <v>20</v>
      </c>
      <c r="K234" s="25" t="s">
        <v>25</v>
      </c>
      <c r="L234" s="25">
        <v>19.64</v>
      </c>
      <c r="M234" s="25">
        <v>1.67</v>
      </c>
      <c r="N234" s="25">
        <v>0</v>
      </c>
      <c r="O234" s="25">
        <v>45.05</v>
      </c>
      <c r="P234" s="25">
        <v>66.358400000000003</v>
      </c>
      <c r="Q234" s="25">
        <f t="shared" si="6"/>
        <v>0</v>
      </c>
      <c r="R234" s="25">
        <f t="shared" si="7"/>
        <v>75773.641600000003</v>
      </c>
    </row>
    <row r="235" spans="1:18" hidden="1" x14ac:dyDescent="0.25">
      <c r="A235" s="26">
        <v>43784</v>
      </c>
      <c r="B235" s="25" t="s">
        <v>268</v>
      </c>
      <c r="C235" s="25" t="s">
        <v>17</v>
      </c>
      <c r="D235" s="25">
        <v>500</v>
      </c>
      <c r="E235" s="25">
        <v>314.5</v>
      </c>
      <c r="F235" s="25">
        <v>157250</v>
      </c>
      <c r="G235" s="25" t="s">
        <v>1730</v>
      </c>
      <c r="H235" s="25">
        <v>2019214</v>
      </c>
      <c r="I235" s="25" t="s">
        <v>19</v>
      </c>
      <c r="J235" s="25" t="s">
        <v>20</v>
      </c>
      <c r="K235" s="25" t="s">
        <v>25</v>
      </c>
      <c r="L235" s="25">
        <v>0</v>
      </c>
      <c r="M235" s="25">
        <v>3.46</v>
      </c>
      <c r="N235" s="25">
        <v>28.8</v>
      </c>
      <c r="O235" s="25">
        <v>93.4</v>
      </c>
      <c r="P235" s="25">
        <v>125.6596</v>
      </c>
      <c r="Q235" s="25">
        <f t="shared" si="6"/>
        <v>157375.65960000001</v>
      </c>
      <c r="R235" s="25">
        <f t="shared" si="7"/>
        <v>0</v>
      </c>
    </row>
    <row r="236" spans="1:18" hidden="1" x14ac:dyDescent="0.25">
      <c r="A236" s="26">
        <v>43784</v>
      </c>
      <c r="B236" s="25" t="s">
        <v>268</v>
      </c>
      <c r="C236" s="25" t="s">
        <v>23</v>
      </c>
      <c r="D236" s="25">
        <v>500</v>
      </c>
      <c r="E236" s="25">
        <v>317.5</v>
      </c>
      <c r="F236" s="25">
        <v>158750</v>
      </c>
      <c r="G236" s="25" t="s">
        <v>1731</v>
      </c>
      <c r="H236" s="25">
        <v>2019214</v>
      </c>
      <c r="I236" s="25" t="s">
        <v>19</v>
      </c>
      <c r="J236" s="25" t="s">
        <v>20</v>
      </c>
      <c r="K236" s="25" t="s">
        <v>25</v>
      </c>
      <c r="L236" s="25">
        <v>40.020000000000003</v>
      </c>
      <c r="M236" s="25">
        <v>3.49</v>
      </c>
      <c r="N236" s="25">
        <v>0</v>
      </c>
      <c r="O236" s="25">
        <v>94.29</v>
      </c>
      <c r="P236" s="25">
        <v>137.80250000000001</v>
      </c>
      <c r="Q236" s="25">
        <f t="shared" si="6"/>
        <v>0</v>
      </c>
      <c r="R236" s="25">
        <f t="shared" si="7"/>
        <v>158612.19750000001</v>
      </c>
    </row>
    <row r="237" spans="1:18" hidden="1" x14ac:dyDescent="0.25">
      <c r="A237" s="26">
        <v>43784</v>
      </c>
      <c r="B237" s="25" t="s">
        <v>268</v>
      </c>
      <c r="C237" s="25" t="s">
        <v>23</v>
      </c>
      <c r="D237" s="25">
        <v>250</v>
      </c>
      <c r="E237" s="25">
        <v>317.5</v>
      </c>
      <c r="F237" s="25">
        <v>79375</v>
      </c>
      <c r="G237" s="25" t="s">
        <v>1732</v>
      </c>
      <c r="H237" s="25">
        <v>2019214</v>
      </c>
      <c r="I237" s="25" t="s">
        <v>19</v>
      </c>
      <c r="J237" s="25" t="s">
        <v>20</v>
      </c>
      <c r="K237" s="25" t="s">
        <v>25</v>
      </c>
      <c r="L237" s="25">
        <v>19.809999999999999</v>
      </c>
      <c r="M237" s="25">
        <v>1.75</v>
      </c>
      <c r="N237" s="25">
        <v>0</v>
      </c>
      <c r="O237" s="25">
        <v>47.15</v>
      </c>
      <c r="P237" s="25">
        <v>68.706299999999999</v>
      </c>
      <c r="Q237" s="25">
        <f t="shared" si="6"/>
        <v>0</v>
      </c>
      <c r="R237" s="25">
        <f t="shared" si="7"/>
        <v>79306.293699999995</v>
      </c>
    </row>
    <row r="238" spans="1:18" hidden="1" x14ac:dyDescent="0.25">
      <c r="A238" s="26">
        <v>43747</v>
      </c>
      <c r="B238" s="25" t="s">
        <v>237</v>
      </c>
      <c r="C238" s="25" t="s">
        <v>17</v>
      </c>
      <c r="D238" s="25">
        <v>500</v>
      </c>
      <c r="E238" s="25">
        <v>212.45</v>
      </c>
      <c r="F238" s="25">
        <v>106225</v>
      </c>
      <c r="G238" s="25" t="s">
        <v>1597</v>
      </c>
      <c r="H238" s="25">
        <v>2019189</v>
      </c>
      <c r="I238" s="25" t="s">
        <v>19</v>
      </c>
      <c r="J238" s="25" t="s">
        <v>20</v>
      </c>
      <c r="K238" s="25" t="s">
        <v>25</v>
      </c>
      <c r="L238" s="25">
        <v>0</v>
      </c>
      <c r="M238" s="25">
        <v>2.34</v>
      </c>
      <c r="N238" s="25">
        <v>0</v>
      </c>
      <c r="O238" s="25">
        <v>63.09</v>
      </c>
      <c r="P238" s="25">
        <v>65.426900000000003</v>
      </c>
      <c r="Q238" s="25">
        <f t="shared" si="6"/>
        <v>106290.42690000001</v>
      </c>
      <c r="R238" s="25">
        <f t="shared" si="7"/>
        <v>0</v>
      </c>
    </row>
    <row r="239" spans="1:18" hidden="1" x14ac:dyDescent="0.25">
      <c r="A239" s="26">
        <v>43747</v>
      </c>
      <c r="B239" s="25" t="s">
        <v>237</v>
      </c>
      <c r="C239" s="25" t="s">
        <v>23</v>
      </c>
      <c r="D239" s="25">
        <v>500</v>
      </c>
      <c r="E239" s="25">
        <v>213.5</v>
      </c>
      <c r="F239" s="25">
        <v>106750</v>
      </c>
      <c r="G239" s="25" t="s">
        <v>1598</v>
      </c>
      <c r="H239" s="25">
        <v>2019189</v>
      </c>
      <c r="I239" s="25" t="s">
        <v>19</v>
      </c>
      <c r="J239" s="25" t="s">
        <v>20</v>
      </c>
      <c r="K239" s="25" t="s">
        <v>25</v>
      </c>
      <c r="L239" s="25">
        <v>26.62</v>
      </c>
      <c r="M239" s="25">
        <v>2.35</v>
      </c>
      <c r="N239" s="25">
        <v>0</v>
      </c>
      <c r="O239" s="25">
        <v>63.4</v>
      </c>
      <c r="P239" s="25">
        <v>92.368600000000001</v>
      </c>
      <c r="Q239" s="25">
        <f t="shared" si="6"/>
        <v>0</v>
      </c>
      <c r="R239" s="25">
        <f t="shared" si="7"/>
        <v>106657.6314</v>
      </c>
    </row>
    <row r="240" spans="1:18" hidden="1" x14ac:dyDescent="0.25">
      <c r="A240" s="26">
        <v>43747</v>
      </c>
      <c r="B240" s="25" t="s">
        <v>288</v>
      </c>
      <c r="C240" s="25" t="s">
        <v>17</v>
      </c>
      <c r="D240" s="25">
        <v>100</v>
      </c>
      <c r="E240" s="25">
        <v>26</v>
      </c>
      <c r="F240" s="25">
        <v>2600</v>
      </c>
      <c r="G240" s="25" t="s">
        <v>1599</v>
      </c>
      <c r="H240" s="25">
        <v>2019189</v>
      </c>
      <c r="I240" s="25" t="s">
        <v>19</v>
      </c>
      <c r="J240" s="25" t="s">
        <v>20</v>
      </c>
      <c r="K240" s="25" t="s">
        <v>25</v>
      </c>
      <c r="L240" s="25">
        <v>2.72</v>
      </c>
      <c r="M240" s="25">
        <v>0.06</v>
      </c>
      <c r="N240" s="25">
        <v>29.1</v>
      </c>
      <c r="O240" s="25">
        <v>41.31</v>
      </c>
      <c r="P240" s="25">
        <v>73.187200000000004</v>
      </c>
      <c r="Q240" s="25">
        <f t="shared" si="6"/>
        <v>2673.1871999999998</v>
      </c>
      <c r="R240" s="25">
        <f t="shared" si="7"/>
        <v>0</v>
      </c>
    </row>
    <row r="241" spans="1:18" hidden="1" x14ac:dyDescent="0.25">
      <c r="A241" s="26">
        <v>43784</v>
      </c>
      <c r="B241" s="25" t="s">
        <v>268</v>
      </c>
      <c r="C241" s="25" t="s">
        <v>23</v>
      </c>
      <c r="D241" s="25">
        <v>250</v>
      </c>
      <c r="E241" s="25">
        <v>320.5</v>
      </c>
      <c r="F241" s="25">
        <v>80125</v>
      </c>
      <c r="G241" s="25" t="s">
        <v>1733</v>
      </c>
      <c r="H241" s="25">
        <v>2019214</v>
      </c>
      <c r="I241" s="25" t="s">
        <v>19</v>
      </c>
      <c r="J241" s="25" t="s">
        <v>20</v>
      </c>
      <c r="K241" s="25" t="s">
        <v>25</v>
      </c>
      <c r="L241" s="25">
        <v>19.809999999999999</v>
      </c>
      <c r="M241" s="25">
        <v>1.76</v>
      </c>
      <c r="N241" s="25">
        <v>0</v>
      </c>
      <c r="O241" s="25">
        <v>47.59</v>
      </c>
      <c r="P241" s="25">
        <v>69.162700000000001</v>
      </c>
      <c r="Q241" s="25">
        <f t="shared" si="6"/>
        <v>0</v>
      </c>
      <c r="R241" s="25">
        <f t="shared" si="7"/>
        <v>80055.837299999999</v>
      </c>
    </row>
    <row r="242" spans="1:18" hidden="1" x14ac:dyDescent="0.25">
      <c r="A242" s="26">
        <v>43784</v>
      </c>
      <c r="B242" s="25" t="s">
        <v>268</v>
      </c>
      <c r="C242" s="25" t="s">
        <v>17</v>
      </c>
      <c r="D242" s="25">
        <v>500</v>
      </c>
      <c r="E242" s="25">
        <v>322.2</v>
      </c>
      <c r="F242" s="25">
        <v>161100</v>
      </c>
      <c r="G242" s="25" t="s">
        <v>1734</v>
      </c>
      <c r="H242" s="25">
        <v>2019214</v>
      </c>
      <c r="I242" s="25" t="s">
        <v>19</v>
      </c>
      <c r="J242" s="25" t="s">
        <v>20</v>
      </c>
      <c r="K242" s="25" t="s">
        <v>25</v>
      </c>
      <c r="L242" s="25">
        <v>0</v>
      </c>
      <c r="M242" s="25">
        <v>3.54</v>
      </c>
      <c r="N242" s="25">
        <v>0</v>
      </c>
      <c r="O242" s="25">
        <v>95.69</v>
      </c>
      <c r="P242" s="25">
        <v>99.234200000000001</v>
      </c>
      <c r="Q242" s="25">
        <f t="shared" si="6"/>
        <v>161199.23420000001</v>
      </c>
      <c r="R242" s="25">
        <f t="shared" si="7"/>
        <v>0</v>
      </c>
    </row>
    <row r="243" spans="1:18" hidden="1" x14ac:dyDescent="0.25">
      <c r="A243" s="26">
        <v>43788</v>
      </c>
      <c r="B243" s="25" t="s">
        <v>268</v>
      </c>
      <c r="C243" s="25" t="s">
        <v>23</v>
      </c>
      <c r="D243" s="25">
        <v>250</v>
      </c>
      <c r="E243" s="25">
        <v>323</v>
      </c>
      <c r="F243" s="25">
        <v>80750</v>
      </c>
      <c r="G243" s="25" t="s">
        <v>1724</v>
      </c>
      <c r="H243" s="25">
        <v>2019216</v>
      </c>
      <c r="I243" s="25" t="s">
        <v>19</v>
      </c>
      <c r="J243" s="25" t="s">
        <v>20</v>
      </c>
      <c r="K243" s="25" t="s">
        <v>25</v>
      </c>
      <c r="L243" s="25">
        <v>20.43</v>
      </c>
      <c r="M243" s="25">
        <v>1.78</v>
      </c>
      <c r="N243" s="25">
        <v>0</v>
      </c>
      <c r="O243" s="25">
        <v>47.96</v>
      </c>
      <c r="P243" s="25">
        <v>70.166600000000003</v>
      </c>
      <c r="Q243" s="25">
        <f t="shared" si="6"/>
        <v>0</v>
      </c>
      <c r="R243" s="25">
        <f t="shared" si="7"/>
        <v>80679.833400000003</v>
      </c>
    </row>
    <row r="244" spans="1:18" hidden="1" x14ac:dyDescent="0.25">
      <c r="A244" s="26">
        <v>43745</v>
      </c>
      <c r="B244" s="25" t="s">
        <v>288</v>
      </c>
      <c r="C244" s="25" t="s">
        <v>17</v>
      </c>
      <c r="D244" s="25">
        <v>50</v>
      </c>
      <c r="E244" s="25">
        <v>28</v>
      </c>
      <c r="F244" s="25">
        <v>1400</v>
      </c>
      <c r="G244" s="25" t="s">
        <v>1603</v>
      </c>
      <c r="H244" s="25">
        <v>2019188</v>
      </c>
      <c r="I244" s="25" t="s">
        <v>19</v>
      </c>
      <c r="J244" s="25" t="s">
        <v>20</v>
      </c>
      <c r="K244" s="25" t="s">
        <v>25</v>
      </c>
      <c r="L244" s="25">
        <v>1.4</v>
      </c>
      <c r="M244" s="25">
        <v>0.03</v>
      </c>
      <c r="N244" s="25">
        <v>0</v>
      </c>
      <c r="O244" s="25">
        <v>41.31</v>
      </c>
      <c r="P244" s="25">
        <v>42.7408</v>
      </c>
      <c r="Q244" s="25">
        <f t="shared" si="6"/>
        <v>1442.7408</v>
      </c>
      <c r="R244" s="25">
        <f t="shared" si="7"/>
        <v>0</v>
      </c>
    </row>
    <row r="245" spans="1:18" hidden="1" x14ac:dyDescent="0.25">
      <c r="A245" s="26">
        <v>43788</v>
      </c>
      <c r="B245" s="25" t="s">
        <v>268</v>
      </c>
      <c r="C245" s="25" t="s">
        <v>17</v>
      </c>
      <c r="D245" s="25">
        <v>250</v>
      </c>
      <c r="E245" s="25">
        <v>330.65</v>
      </c>
      <c r="F245" s="25">
        <v>82661.600000000006</v>
      </c>
      <c r="G245" s="25" t="s">
        <v>1726</v>
      </c>
      <c r="H245" s="25">
        <v>2019216</v>
      </c>
      <c r="I245" s="25" t="s">
        <v>19</v>
      </c>
      <c r="J245" s="25" t="s">
        <v>20</v>
      </c>
      <c r="K245" s="25" t="s">
        <v>25</v>
      </c>
      <c r="L245" s="25">
        <v>0</v>
      </c>
      <c r="M245" s="25">
        <v>1.82</v>
      </c>
      <c r="N245" s="25">
        <v>0</v>
      </c>
      <c r="O245" s="25">
        <v>49.09</v>
      </c>
      <c r="P245" s="25">
        <v>50.9086</v>
      </c>
      <c r="Q245" s="25">
        <f t="shared" si="6"/>
        <v>82712.508600000001</v>
      </c>
      <c r="R245" s="25">
        <f t="shared" si="7"/>
        <v>0</v>
      </c>
    </row>
    <row r="246" spans="1:18" hidden="1" x14ac:dyDescent="0.25">
      <c r="A246" s="26">
        <v>43801</v>
      </c>
      <c r="B246" s="25" t="s">
        <v>268</v>
      </c>
      <c r="C246" s="25" t="s">
        <v>23</v>
      </c>
      <c r="D246" s="25">
        <v>250</v>
      </c>
      <c r="E246" s="25">
        <v>339</v>
      </c>
      <c r="F246" s="25">
        <v>84750</v>
      </c>
      <c r="G246" s="25" t="s">
        <v>1685</v>
      </c>
      <c r="H246" s="25">
        <v>2019225</v>
      </c>
      <c r="I246" s="25" t="s">
        <v>19</v>
      </c>
      <c r="J246" s="25" t="s">
        <v>20</v>
      </c>
      <c r="K246" s="25" t="s">
        <v>25</v>
      </c>
      <c r="L246" s="25">
        <v>21.13</v>
      </c>
      <c r="M246" s="25">
        <v>1.86</v>
      </c>
      <c r="N246" s="25">
        <v>0</v>
      </c>
      <c r="O246" s="25">
        <v>50.34</v>
      </c>
      <c r="P246" s="25">
        <v>73.334599999999995</v>
      </c>
      <c r="Q246" s="25">
        <f t="shared" si="6"/>
        <v>0</v>
      </c>
      <c r="R246" s="25">
        <f t="shared" si="7"/>
        <v>84676.665399999998</v>
      </c>
    </row>
    <row r="247" spans="1:18" hidden="1" x14ac:dyDescent="0.25">
      <c r="A247" s="26">
        <v>43801</v>
      </c>
      <c r="B247" s="25" t="s">
        <v>268</v>
      </c>
      <c r="C247" s="25" t="s">
        <v>17</v>
      </c>
      <c r="D247" s="25">
        <v>250</v>
      </c>
      <c r="E247" s="25">
        <v>337</v>
      </c>
      <c r="F247" s="25">
        <v>84250</v>
      </c>
      <c r="G247" s="25" t="s">
        <v>1686</v>
      </c>
      <c r="H247" s="25">
        <v>2019225</v>
      </c>
      <c r="I247" s="25" t="s">
        <v>19</v>
      </c>
      <c r="J247" s="25" t="s">
        <v>20</v>
      </c>
      <c r="K247" s="25" t="s">
        <v>25</v>
      </c>
      <c r="L247" s="25">
        <v>0</v>
      </c>
      <c r="M247" s="25">
        <v>1.85</v>
      </c>
      <c r="N247" s="25">
        <v>0</v>
      </c>
      <c r="O247" s="25">
        <v>50.04</v>
      </c>
      <c r="P247" s="25">
        <v>51.893599999999999</v>
      </c>
      <c r="Q247" s="25">
        <f t="shared" si="6"/>
        <v>84301.893599999996</v>
      </c>
      <c r="R247" s="25">
        <f t="shared" si="7"/>
        <v>0</v>
      </c>
    </row>
    <row r="248" spans="1:18" hidden="1" x14ac:dyDescent="0.25">
      <c r="A248" s="26">
        <v>43802</v>
      </c>
      <c r="B248" s="25" t="s">
        <v>268</v>
      </c>
      <c r="C248" s="25" t="s">
        <v>23</v>
      </c>
      <c r="D248" s="25">
        <v>250</v>
      </c>
      <c r="E248" s="25">
        <v>342</v>
      </c>
      <c r="F248" s="25">
        <v>85500</v>
      </c>
      <c r="G248" s="25" t="s">
        <v>1679</v>
      </c>
      <c r="H248" s="25">
        <v>2019226</v>
      </c>
      <c r="I248" s="25" t="s">
        <v>19</v>
      </c>
      <c r="J248" s="25" t="s">
        <v>20</v>
      </c>
      <c r="K248" s="25" t="s">
        <v>25</v>
      </c>
      <c r="L248" s="25">
        <v>21.19</v>
      </c>
      <c r="M248" s="25">
        <v>1.88</v>
      </c>
      <c r="N248" s="25">
        <v>0</v>
      </c>
      <c r="O248" s="25">
        <v>50.78</v>
      </c>
      <c r="P248" s="25">
        <v>73.850999999999999</v>
      </c>
      <c r="Q248" s="25">
        <f t="shared" si="6"/>
        <v>0</v>
      </c>
      <c r="R248" s="25">
        <f t="shared" si="7"/>
        <v>85426.149000000005</v>
      </c>
    </row>
    <row r="249" spans="1:18" hidden="1" x14ac:dyDescent="0.25">
      <c r="A249" s="26">
        <v>43802</v>
      </c>
      <c r="B249" s="25" t="s">
        <v>268</v>
      </c>
      <c r="C249" s="25" t="s">
        <v>17</v>
      </c>
      <c r="D249" s="25">
        <v>250</v>
      </c>
      <c r="E249" s="25">
        <v>336</v>
      </c>
      <c r="F249" s="25">
        <v>84000</v>
      </c>
      <c r="G249" s="25" t="s">
        <v>1680</v>
      </c>
      <c r="H249" s="25">
        <v>2019226</v>
      </c>
      <c r="I249" s="25" t="s">
        <v>19</v>
      </c>
      <c r="J249" s="25" t="s">
        <v>20</v>
      </c>
      <c r="K249" s="25" t="s">
        <v>25</v>
      </c>
      <c r="L249" s="25">
        <v>0</v>
      </c>
      <c r="M249" s="25">
        <v>1.85</v>
      </c>
      <c r="N249" s="25">
        <v>0</v>
      </c>
      <c r="O249" s="25">
        <v>49.89</v>
      </c>
      <c r="P249" s="25">
        <v>51.738</v>
      </c>
      <c r="Q249" s="25">
        <f t="shared" si="6"/>
        <v>84051.737999999998</v>
      </c>
      <c r="R249" s="25">
        <f t="shared" si="7"/>
        <v>0</v>
      </c>
    </row>
    <row r="250" spans="1:18" hidden="1" x14ac:dyDescent="0.25">
      <c r="A250" s="26">
        <v>43803</v>
      </c>
      <c r="B250" s="25" t="s">
        <v>268</v>
      </c>
      <c r="C250" s="25" t="s">
        <v>17</v>
      </c>
      <c r="D250" s="25">
        <v>250</v>
      </c>
      <c r="E250" s="25">
        <v>337</v>
      </c>
      <c r="F250" s="25">
        <v>84250</v>
      </c>
      <c r="G250" s="25" t="s">
        <v>1675</v>
      </c>
      <c r="H250" s="25">
        <v>2019227</v>
      </c>
      <c r="I250" s="25" t="s">
        <v>19</v>
      </c>
      <c r="J250" s="25" t="s">
        <v>20</v>
      </c>
      <c r="K250" s="25" t="s">
        <v>25</v>
      </c>
      <c r="L250" s="25">
        <v>0</v>
      </c>
      <c r="M250" s="25">
        <v>1.85</v>
      </c>
      <c r="N250" s="25">
        <v>5.0999999999999996</v>
      </c>
      <c r="O250" s="25">
        <v>50.05</v>
      </c>
      <c r="P250" s="25">
        <v>57.003399999999999</v>
      </c>
      <c r="Q250" s="25">
        <f t="shared" si="6"/>
        <v>84307.003400000001</v>
      </c>
      <c r="R250" s="25">
        <f t="shared" si="7"/>
        <v>0</v>
      </c>
    </row>
    <row r="251" spans="1:18" hidden="1" x14ac:dyDescent="0.25">
      <c r="A251" s="26">
        <v>43803</v>
      </c>
      <c r="B251" s="25" t="s">
        <v>268</v>
      </c>
      <c r="C251" s="25" t="s">
        <v>23</v>
      </c>
      <c r="D251" s="25">
        <v>250</v>
      </c>
      <c r="E251" s="25">
        <v>339.5</v>
      </c>
      <c r="F251" s="25">
        <v>84875</v>
      </c>
      <c r="G251" s="25" t="s">
        <v>1676</v>
      </c>
      <c r="H251" s="25">
        <v>2019227</v>
      </c>
      <c r="I251" s="25" t="s">
        <v>19</v>
      </c>
      <c r="J251" s="25" t="s">
        <v>20</v>
      </c>
      <c r="K251" s="25" t="s">
        <v>25</v>
      </c>
      <c r="L251" s="25">
        <v>21</v>
      </c>
      <c r="M251" s="25">
        <v>1.87</v>
      </c>
      <c r="N251" s="25">
        <v>0</v>
      </c>
      <c r="O251" s="25">
        <v>50.41</v>
      </c>
      <c r="P251" s="25">
        <v>73.277299999999997</v>
      </c>
      <c r="Q251" s="25">
        <f t="shared" si="6"/>
        <v>0</v>
      </c>
      <c r="R251" s="25">
        <f t="shared" si="7"/>
        <v>84801.722699999998</v>
      </c>
    </row>
    <row r="252" spans="1:18" hidden="1" x14ac:dyDescent="0.25">
      <c r="A252" s="26">
        <v>43739</v>
      </c>
      <c r="B252" s="25" t="s">
        <v>1086</v>
      </c>
      <c r="C252" s="25" t="s">
        <v>23</v>
      </c>
      <c r="D252" s="25">
        <v>500</v>
      </c>
      <c r="E252" s="25">
        <v>56.15</v>
      </c>
      <c r="F252" s="25">
        <v>28075</v>
      </c>
      <c r="G252" s="25" t="s">
        <v>1611</v>
      </c>
      <c r="H252" s="25">
        <v>2019185</v>
      </c>
      <c r="I252" s="25" t="s">
        <v>19</v>
      </c>
      <c r="J252" s="25" t="s">
        <v>20</v>
      </c>
      <c r="K252" s="25" t="s">
        <v>25</v>
      </c>
      <c r="L252" s="25">
        <v>7.43</v>
      </c>
      <c r="M252" s="25">
        <v>0.62</v>
      </c>
      <c r="N252" s="25">
        <v>2.1</v>
      </c>
      <c r="O252" s="25">
        <v>29.62</v>
      </c>
      <c r="P252" s="25">
        <v>39.767699999999998</v>
      </c>
      <c r="Q252" s="25">
        <f t="shared" si="6"/>
        <v>0</v>
      </c>
      <c r="R252" s="25">
        <f t="shared" si="7"/>
        <v>28035.2323</v>
      </c>
    </row>
    <row r="253" spans="1:18" hidden="1" x14ac:dyDescent="0.25">
      <c r="A253" s="26">
        <v>43739</v>
      </c>
      <c r="B253" s="25" t="s">
        <v>1086</v>
      </c>
      <c r="C253" s="25" t="s">
        <v>17</v>
      </c>
      <c r="D253" s="25">
        <v>500</v>
      </c>
      <c r="E253" s="25">
        <v>54.8</v>
      </c>
      <c r="F253" s="25">
        <v>27400</v>
      </c>
      <c r="G253" s="25" t="s">
        <v>1612</v>
      </c>
      <c r="H253" s="25">
        <v>2019185</v>
      </c>
      <c r="I253" s="25" t="s">
        <v>19</v>
      </c>
      <c r="J253" s="25" t="s">
        <v>20</v>
      </c>
      <c r="K253" s="25" t="s">
        <v>25</v>
      </c>
      <c r="L253" s="25">
        <v>0</v>
      </c>
      <c r="M253" s="25">
        <v>0.6</v>
      </c>
      <c r="N253" s="25">
        <v>0</v>
      </c>
      <c r="O253" s="25">
        <v>29.61</v>
      </c>
      <c r="P253" s="25">
        <v>30.212800000000001</v>
      </c>
      <c r="Q253" s="25">
        <f t="shared" si="6"/>
        <v>27430.212800000001</v>
      </c>
      <c r="R253" s="25">
        <f t="shared" si="7"/>
        <v>0</v>
      </c>
    </row>
    <row r="254" spans="1:18" hidden="1" x14ac:dyDescent="0.25">
      <c r="A254" s="26">
        <v>43739</v>
      </c>
      <c r="B254" s="25" t="s">
        <v>288</v>
      </c>
      <c r="C254" s="25" t="s">
        <v>17</v>
      </c>
      <c r="D254" s="25">
        <v>50</v>
      </c>
      <c r="E254" s="25">
        <v>30</v>
      </c>
      <c r="F254" s="25">
        <v>1500</v>
      </c>
      <c r="G254" s="25" t="s">
        <v>1613</v>
      </c>
      <c r="H254" s="25">
        <v>2019185</v>
      </c>
      <c r="I254" s="25" t="s">
        <v>19</v>
      </c>
      <c r="J254" s="25" t="s">
        <v>20</v>
      </c>
      <c r="K254" s="25" t="s">
        <v>25</v>
      </c>
      <c r="L254" s="25">
        <v>1.5</v>
      </c>
      <c r="M254" s="25">
        <v>0.03</v>
      </c>
      <c r="N254" s="25">
        <v>0</v>
      </c>
      <c r="O254" s="25">
        <v>41.31</v>
      </c>
      <c r="P254" s="25">
        <v>42.843000000000004</v>
      </c>
      <c r="Q254" s="25">
        <f t="shared" si="6"/>
        <v>1542.8430000000001</v>
      </c>
      <c r="R254" s="25">
        <f t="shared" si="7"/>
        <v>0</v>
      </c>
    </row>
    <row r="255" spans="1:18" hidden="1" x14ac:dyDescent="0.25">
      <c r="A255" s="26">
        <v>43739</v>
      </c>
      <c r="B255" s="25" t="s">
        <v>659</v>
      </c>
      <c r="C255" s="25" t="s">
        <v>17</v>
      </c>
      <c r="D255" s="25">
        <v>100</v>
      </c>
      <c r="E255" s="25">
        <v>31</v>
      </c>
      <c r="F255" s="25">
        <v>3100</v>
      </c>
      <c r="G255" s="25" t="s">
        <v>1614</v>
      </c>
      <c r="H255" s="25">
        <v>2019185</v>
      </c>
      <c r="I255" s="25" t="s">
        <v>19</v>
      </c>
      <c r="J255" s="25" t="s">
        <v>20</v>
      </c>
      <c r="K255" s="25" t="s">
        <v>25</v>
      </c>
      <c r="L255" s="25">
        <v>3.26</v>
      </c>
      <c r="M255" s="25">
        <v>7.0000000000000007E-2</v>
      </c>
      <c r="N255" s="25">
        <v>0</v>
      </c>
      <c r="O255" s="25">
        <v>41.31</v>
      </c>
      <c r="P255" s="25">
        <v>44.638199999999998</v>
      </c>
      <c r="Q255" s="25">
        <f t="shared" si="6"/>
        <v>3144.6381999999999</v>
      </c>
      <c r="R255" s="25">
        <f t="shared" si="7"/>
        <v>0</v>
      </c>
    </row>
    <row r="256" spans="1:18" hidden="1" x14ac:dyDescent="0.25">
      <c r="A256" s="26">
        <v>43739</v>
      </c>
      <c r="B256" s="25" t="s">
        <v>659</v>
      </c>
      <c r="C256" s="25" t="s">
        <v>17</v>
      </c>
      <c r="D256" s="25">
        <v>25</v>
      </c>
      <c r="E256" s="25">
        <v>39</v>
      </c>
      <c r="F256" s="25">
        <v>975</v>
      </c>
      <c r="G256" s="25" t="s">
        <v>1615</v>
      </c>
      <c r="H256" s="25">
        <v>2019185</v>
      </c>
      <c r="I256" s="25" t="s">
        <v>19</v>
      </c>
      <c r="J256" s="25" t="s">
        <v>20</v>
      </c>
      <c r="K256" s="25" t="s">
        <v>25</v>
      </c>
      <c r="L256" s="25">
        <v>0.82</v>
      </c>
      <c r="M256" s="25">
        <v>0.02</v>
      </c>
      <c r="N256" s="25">
        <v>0</v>
      </c>
      <c r="O256" s="25">
        <v>28.77</v>
      </c>
      <c r="P256" s="25">
        <v>29.611499999999999</v>
      </c>
      <c r="Q256" s="25">
        <f t="shared" si="6"/>
        <v>1004.6115</v>
      </c>
      <c r="R256" s="25">
        <f t="shared" si="7"/>
        <v>0</v>
      </c>
    </row>
    <row r="257" spans="1:18" hidden="1" x14ac:dyDescent="0.25">
      <c r="A257" s="26">
        <v>43738</v>
      </c>
      <c r="B257" s="25" t="s">
        <v>659</v>
      </c>
      <c r="C257" s="25" t="s">
        <v>17</v>
      </c>
      <c r="D257" s="25">
        <v>30</v>
      </c>
      <c r="E257" s="25">
        <v>44.5</v>
      </c>
      <c r="F257" s="25">
        <v>1335</v>
      </c>
      <c r="G257" s="25" t="s">
        <v>1616</v>
      </c>
      <c r="H257" s="25">
        <v>2019184</v>
      </c>
      <c r="I257" s="25" t="s">
        <v>19</v>
      </c>
      <c r="J257" s="25" t="s">
        <v>20</v>
      </c>
      <c r="K257" s="25" t="s">
        <v>25</v>
      </c>
      <c r="L257" s="25">
        <v>1</v>
      </c>
      <c r="M257" s="25">
        <v>0.03</v>
      </c>
      <c r="N257" s="25">
        <v>0.3</v>
      </c>
      <c r="O257" s="25">
        <v>39.39</v>
      </c>
      <c r="P257" s="25">
        <v>40.719299999999997</v>
      </c>
      <c r="Q257" s="25">
        <f t="shared" si="6"/>
        <v>1375.7193</v>
      </c>
      <c r="R257" s="25">
        <f t="shared" si="7"/>
        <v>0</v>
      </c>
    </row>
    <row r="258" spans="1:18" hidden="1" x14ac:dyDescent="0.25">
      <c r="A258" s="26">
        <v>43735</v>
      </c>
      <c r="B258" s="25" t="s">
        <v>659</v>
      </c>
      <c r="C258" s="25" t="s">
        <v>17</v>
      </c>
      <c r="D258" s="25">
        <v>10</v>
      </c>
      <c r="E258" s="25">
        <v>49</v>
      </c>
      <c r="F258" s="25">
        <v>490</v>
      </c>
      <c r="G258" s="25" t="s">
        <v>1617</v>
      </c>
      <c r="H258" s="25">
        <v>2019183</v>
      </c>
      <c r="I258" s="25" t="s">
        <v>19</v>
      </c>
      <c r="J258" s="25" t="s">
        <v>20</v>
      </c>
      <c r="K258" s="25" t="s">
        <v>25</v>
      </c>
      <c r="L258" s="25">
        <v>0</v>
      </c>
      <c r="M258" s="25">
        <v>0.01</v>
      </c>
      <c r="N258" s="25">
        <v>0.3</v>
      </c>
      <c r="O258" s="25">
        <v>14.46</v>
      </c>
      <c r="P258" s="25">
        <v>14.770799999999999</v>
      </c>
      <c r="Q258" s="25">
        <f t="shared" si="6"/>
        <v>504.77080000000001</v>
      </c>
      <c r="R258" s="25">
        <f t="shared" si="7"/>
        <v>0</v>
      </c>
    </row>
    <row r="259" spans="1:18" hidden="1" x14ac:dyDescent="0.25">
      <c r="A259" s="26">
        <v>43733</v>
      </c>
      <c r="B259" s="25" t="s">
        <v>282</v>
      </c>
      <c r="C259" s="25" t="s">
        <v>17</v>
      </c>
      <c r="D259" s="25">
        <v>10</v>
      </c>
      <c r="E259" s="25">
        <v>218</v>
      </c>
      <c r="F259" s="25">
        <v>2180</v>
      </c>
      <c r="G259" s="25" t="s">
        <v>1618</v>
      </c>
      <c r="H259" s="25">
        <v>2019181</v>
      </c>
      <c r="I259" s="25" t="s">
        <v>19</v>
      </c>
      <c r="J259" s="25" t="s">
        <v>20</v>
      </c>
      <c r="K259" s="25" t="s">
        <v>25</v>
      </c>
      <c r="L259" s="25">
        <v>2</v>
      </c>
      <c r="M259" s="25">
        <v>0.05</v>
      </c>
      <c r="N259" s="25">
        <v>0.3</v>
      </c>
      <c r="O259" s="25">
        <v>41.31</v>
      </c>
      <c r="P259" s="25">
        <v>43.658000000000001</v>
      </c>
      <c r="Q259" s="25">
        <f t="shared" ref="Q259:Q322" si="8">IF(C259="Buy",F259+P259,0)</f>
        <v>2223.6579999999999</v>
      </c>
      <c r="R259" s="25">
        <f t="shared" ref="R259:R322" si="9">IF(C259="Sell",F259-P259,0)</f>
        <v>0</v>
      </c>
    </row>
    <row r="260" spans="1:18" hidden="1" x14ac:dyDescent="0.25">
      <c r="A260" s="26">
        <v>43732</v>
      </c>
      <c r="B260" s="25" t="s">
        <v>226</v>
      </c>
      <c r="C260" s="25" t="s">
        <v>23</v>
      </c>
      <c r="D260" s="25">
        <v>100</v>
      </c>
      <c r="E260" s="25">
        <v>276.26</v>
      </c>
      <c r="F260" s="25">
        <v>27625.9</v>
      </c>
      <c r="G260" s="25" t="s">
        <v>1619</v>
      </c>
      <c r="H260" s="25">
        <v>2019180</v>
      </c>
      <c r="I260" s="25" t="s">
        <v>19</v>
      </c>
      <c r="J260" s="25" t="s">
        <v>20</v>
      </c>
      <c r="K260" s="25" t="s">
        <v>25</v>
      </c>
      <c r="L260" s="25">
        <v>7</v>
      </c>
      <c r="M260" s="25">
        <v>0.61</v>
      </c>
      <c r="N260" s="25">
        <v>1.8</v>
      </c>
      <c r="O260" s="25">
        <v>29.62</v>
      </c>
      <c r="P260" s="25">
        <v>39.027799999999999</v>
      </c>
      <c r="Q260" s="25">
        <f t="shared" si="8"/>
        <v>0</v>
      </c>
      <c r="R260" s="25">
        <f t="shared" si="9"/>
        <v>27586.872200000002</v>
      </c>
    </row>
    <row r="261" spans="1:18" hidden="1" x14ac:dyDescent="0.25">
      <c r="A261" s="26">
        <v>43732</v>
      </c>
      <c r="B261" s="25" t="s">
        <v>226</v>
      </c>
      <c r="C261" s="25" t="s">
        <v>17</v>
      </c>
      <c r="D261" s="25">
        <v>100</v>
      </c>
      <c r="E261" s="25">
        <v>274</v>
      </c>
      <c r="F261" s="25">
        <v>27400</v>
      </c>
      <c r="G261" s="25" t="s">
        <v>1620</v>
      </c>
      <c r="H261" s="25">
        <v>2019180</v>
      </c>
      <c r="I261" s="25" t="s">
        <v>19</v>
      </c>
      <c r="J261" s="25" t="s">
        <v>20</v>
      </c>
      <c r="K261" s="25" t="s">
        <v>25</v>
      </c>
      <c r="L261" s="25">
        <v>0</v>
      </c>
      <c r="M261" s="25">
        <v>0.6</v>
      </c>
      <c r="N261" s="25">
        <v>0</v>
      </c>
      <c r="O261" s="25">
        <v>29.61</v>
      </c>
      <c r="P261" s="25">
        <v>30.212800000000001</v>
      </c>
      <c r="Q261" s="25">
        <f t="shared" si="8"/>
        <v>27430.212800000001</v>
      </c>
      <c r="R261" s="25">
        <f t="shared" si="9"/>
        <v>0</v>
      </c>
    </row>
    <row r="262" spans="1:18" hidden="1" x14ac:dyDescent="0.25">
      <c r="A262" s="26">
        <v>43732</v>
      </c>
      <c r="B262" s="25" t="s">
        <v>288</v>
      </c>
      <c r="C262" s="25" t="s">
        <v>17</v>
      </c>
      <c r="D262" s="25">
        <v>100</v>
      </c>
      <c r="E262" s="25">
        <v>30</v>
      </c>
      <c r="F262" s="25">
        <v>3000</v>
      </c>
      <c r="G262" s="25" t="s">
        <v>1621</v>
      </c>
      <c r="H262" s="25">
        <v>2019180</v>
      </c>
      <c r="I262" s="25" t="s">
        <v>19</v>
      </c>
      <c r="J262" s="25" t="s">
        <v>20</v>
      </c>
      <c r="K262" s="25" t="s">
        <v>25</v>
      </c>
      <c r="L262" s="25">
        <v>3</v>
      </c>
      <c r="M262" s="25">
        <v>7.0000000000000007E-2</v>
      </c>
      <c r="N262" s="25">
        <v>0</v>
      </c>
      <c r="O262" s="25">
        <v>41.31</v>
      </c>
      <c r="P262" s="25">
        <v>44.375999999999998</v>
      </c>
      <c r="Q262" s="25">
        <f t="shared" si="8"/>
        <v>3044.3760000000002</v>
      </c>
      <c r="R262" s="25">
        <f t="shared" si="9"/>
        <v>0</v>
      </c>
    </row>
    <row r="263" spans="1:18" hidden="1" x14ac:dyDescent="0.25">
      <c r="A263" s="26">
        <v>43727</v>
      </c>
      <c r="B263" s="25" t="s">
        <v>659</v>
      </c>
      <c r="C263" s="25" t="s">
        <v>17</v>
      </c>
      <c r="D263" s="25">
        <v>10</v>
      </c>
      <c r="E263" s="25">
        <v>54</v>
      </c>
      <c r="F263" s="25">
        <v>540</v>
      </c>
      <c r="G263" s="25" t="s">
        <v>1622</v>
      </c>
      <c r="H263" s="25">
        <v>2019177</v>
      </c>
      <c r="I263" s="25" t="s">
        <v>19</v>
      </c>
      <c r="J263" s="25" t="s">
        <v>20</v>
      </c>
      <c r="K263" s="25" t="s">
        <v>25</v>
      </c>
      <c r="L263" s="25">
        <v>1</v>
      </c>
      <c r="M263" s="25">
        <v>0.01</v>
      </c>
      <c r="N263" s="25">
        <v>0.3</v>
      </c>
      <c r="O263" s="25">
        <v>15.93</v>
      </c>
      <c r="P263" s="25">
        <v>17.241800000000001</v>
      </c>
      <c r="Q263" s="25">
        <f t="shared" si="8"/>
        <v>557.24180000000001</v>
      </c>
      <c r="R263" s="25">
        <f t="shared" si="9"/>
        <v>0</v>
      </c>
    </row>
    <row r="264" spans="1:18" hidden="1" x14ac:dyDescent="0.25">
      <c r="A264" s="26">
        <v>43711</v>
      </c>
      <c r="B264" s="25" t="s">
        <v>1086</v>
      </c>
      <c r="C264" s="25" t="s">
        <v>17</v>
      </c>
      <c r="D264" s="25">
        <v>1000</v>
      </c>
      <c r="E264" s="25">
        <v>55</v>
      </c>
      <c r="F264" s="25">
        <v>55000</v>
      </c>
      <c r="G264" s="25" t="s">
        <v>1623</v>
      </c>
      <c r="H264" s="25">
        <v>2019166</v>
      </c>
      <c r="I264" s="25" t="s">
        <v>19</v>
      </c>
      <c r="J264" s="25" t="s">
        <v>20</v>
      </c>
      <c r="K264" s="25" t="s">
        <v>25</v>
      </c>
      <c r="L264" s="25">
        <v>0</v>
      </c>
      <c r="M264" s="25">
        <v>1.21</v>
      </c>
      <c r="N264" s="25">
        <v>0</v>
      </c>
      <c r="O264" s="25">
        <v>32.67</v>
      </c>
      <c r="P264" s="25">
        <v>33.880000000000003</v>
      </c>
      <c r="Q264" s="25">
        <f t="shared" si="8"/>
        <v>55033.88</v>
      </c>
      <c r="R264" s="25">
        <f t="shared" si="9"/>
        <v>0</v>
      </c>
    </row>
    <row r="265" spans="1:18" hidden="1" x14ac:dyDescent="0.25">
      <c r="A265" s="26">
        <v>43711</v>
      </c>
      <c r="B265" s="25" t="s">
        <v>1086</v>
      </c>
      <c r="C265" s="25" t="s">
        <v>23</v>
      </c>
      <c r="D265" s="25">
        <v>1000</v>
      </c>
      <c r="E265" s="25">
        <v>55.1</v>
      </c>
      <c r="F265" s="25">
        <v>55100</v>
      </c>
      <c r="G265" s="25" t="s">
        <v>1624</v>
      </c>
      <c r="H265" s="25">
        <v>2019166</v>
      </c>
      <c r="I265" s="25" t="s">
        <v>19</v>
      </c>
      <c r="J265" s="25" t="s">
        <v>20</v>
      </c>
      <c r="K265" s="25" t="s">
        <v>25</v>
      </c>
      <c r="L265" s="25">
        <v>13.3</v>
      </c>
      <c r="M265" s="25">
        <v>1.21</v>
      </c>
      <c r="N265" s="25">
        <v>0</v>
      </c>
      <c r="O265" s="25">
        <v>32.729999999999997</v>
      </c>
      <c r="P265" s="25">
        <v>47.242199999999997</v>
      </c>
      <c r="Q265" s="25">
        <f t="shared" si="8"/>
        <v>0</v>
      </c>
      <c r="R265" s="25">
        <f t="shared" si="9"/>
        <v>55052.757799999999</v>
      </c>
    </row>
    <row r="266" spans="1:18" hidden="1" x14ac:dyDescent="0.25">
      <c r="A266" s="26">
        <v>43711</v>
      </c>
      <c r="B266" s="25" t="s">
        <v>1086</v>
      </c>
      <c r="C266" s="25" t="s">
        <v>17</v>
      </c>
      <c r="D266" s="25">
        <v>1000</v>
      </c>
      <c r="E266" s="25">
        <v>55</v>
      </c>
      <c r="F266" s="25">
        <v>55000</v>
      </c>
      <c r="G266" s="25" t="s">
        <v>1625</v>
      </c>
      <c r="H266" s="25">
        <v>2019166</v>
      </c>
      <c r="I266" s="25" t="s">
        <v>19</v>
      </c>
      <c r="J266" s="25" t="s">
        <v>20</v>
      </c>
      <c r="K266" s="25" t="s">
        <v>25</v>
      </c>
      <c r="L266" s="25">
        <v>0</v>
      </c>
      <c r="M266" s="25">
        <v>1.21</v>
      </c>
      <c r="N266" s="25">
        <v>6.6</v>
      </c>
      <c r="O266" s="25">
        <v>32.659999999999997</v>
      </c>
      <c r="P266" s="25">
        <v>40.47</v>
      </c>
      <c r="Q266" s="25">
        <f t="shared" si="8"/>
        <v>55040.47</v>
      </c>
      <c r="R266" s="25">
        <f t="shared" si="9"/>
        <v>0</v>
      </c>
    </row>
    <row r="267" spans="1:18" hidden="1" x14ac:dyDescent="0.25">
      <c r="A267" s="26">
        <v>43711</v>
      </c>
      <c r="B267" s="25" t="s">
        <v>1086</v>
      </c>
      <c r="C267" s="25" t="s">
        <v>23</v>
      </c>
      <c r="D267" s="25">
        <v>1000</v>
      </c>
      <c r="E267" s="25">
        <v>54.1</v>
      </c>
      <c r="F267" s="25">
        <v>54100</v>
      </c>
      <c r="G267" s="25" t="s">
        <v>1626</v>
      </c>
      <c r="H267" s="25">
        <v>2019166</v>
      </c>
      <c r="I267" s="25" t="s">
        <v>19</v>
      </c>
      <c r="J267" s="25" t="s">
        <v>20</v>
      </c>
      <c r="K267" s="25" t="s">
        <v>25</v>
      </c>
      <c r="L267" s="25">
        <v>13.7</v>
      </c>
      <c r="M267" s="25">
        <v>1.19</v>
      </c>
      <c r="N267" s="25">
        <v>0</v>
      </c>
      <c r="O267" s="25">
        <v>32.130000000000003</v>
      </c>
      <c r="P267" s="25">
        <v>47.020200000000003</v>
      </c>
      <c r="Q267" s="25">
        <f t="shared" si="8"/>
        <v>0</v>
      </c>
      <c r="R267" s="25">
        <f t="shared" si="9"/>
        <v>54052.979800000001</v>
      </c>
    </row>
    <row r="268" spans="1:18" hidden="1" x14ac:dyDescent="0.25">
      <c r="A268" s="26">
        <v>43707</v>
      </c>
      <c r="B268" s="25" t="s">
        <v>659</v>
      </c>
      <c r="C268" s="25" t="s">
        <v>17</v>
      </c>
      <c r="D268" s="25">
        <v>1000</v>
      </c>
      <c r="E268" s="25">
        <v>57.7</v>
      </c>
      <c r="F268" s="25">
        <v>57700</v>
      </c>
      <c r="G268" s="25" t="s">
        <v>1627</v>
      </c>
      <c r="H268" s="25">
        <v>2019165</v>
      </c>
      <c r="I268" s="25" t="s">
        <v>19</v>
      </c>
      <c r="J268" s="25" t="s">
        <v>20</v>
      </c>
      <c r="K268" s="25" t="s">
        <v>25</v>
      </c>
      <c r="L268" s="25">
        <v>0</v>
      </c>
      <c r="M268" s="25">
        <v>1.27</v>
      </c>
      <c r="N268" s="25">
        <v>3.6</v>
      </c>
      <c r="O268" s="25">
        <v>34.270000000000003</v>
      </c>
      <c r="P268" s="25">
        <v>39.139400000000002</v>
      </c>
      <c r="Q268" s="25">
        <f t="shared" si="8"/>
        <v>57739.1394</v>
      </c>
      <c r="R268" s="25">
        <f t="shared" si="9"/>
        <v>0</v>
      </c>
    </row>
    <row r="269" spans="1:18" hidden="1" x14ac:dyDescent="0.25">
      <c r="A269" s="26">
        <v>43707</v>
      </c>
      <c r="B269" s="25" t="s">
        <v>659</v>
      </c>
      <c r="C269" s="25" t="s">
        <v>23</v>
      </c>
      <c r="D269" s="25">
        <v>1000</v>
      </c>
      <c r="E269" s="25">
        <v>58</v>
      </c>
      <c r="F269" s="25">
        <v>58000</v>
      </c>
      <c r="G269" s="25" t="s">
        <v>1628</v>
      </c>
      <c r="H269" s="25">
        <v>2019165</v>
      </c>
      <c r="I269" s="25" t="s">
        <v>19</v>
      </c>
      <c r="J269" s="25" t="s">
        <v>20</v>
      </c>
      <c r="K269" s="25" t="s">
        <v>25</v>
      </c>
      <c r="L269" s="25">
        <v>14</v>
      </c>
      <c r="M269" s="25">
        <v>1.28</v>
      </c>
      <c r="N269" s="25">
        <v>0</v>
      </c>
      <c r="O269" s="25">
        <v>34.450000000000003</v>
      </c>
      <c r="P269" s="25">
        <v>49.725999999999999</v>
      </c>
      <c r="Q269" s="25">
        <f t="shared" si="8"/>
        <v>0</v>
      </c>
      <c r="R269" s="25">
        <f t="shared" si="9"/>
        <v>57950.273999999998</v>
      </c>
    </row>
    <row r="270" spans="1:18" hidden="1" x14ac:dyDescent="0.25">
      <c r="A270" s="26">
        <v>43704</v>
      </c>
      <c r="B270" s="25" t="s">
        <v>1086</v>
      </c>
      <c r="C270" s="25" t="s">
        <v>23</v>
      </c>
      <c r="D270" s="25">
        <v>5000</v>
      </c>
      <c r="E270" s="25">
        <v>55.6</v>
      </c>
      <c r="F270" s="25">
        <v>278000</v>
      </c>
      <c r="G270" s="25" t="s">
        <v>1629</v>
      </c>
      <c r="H270" s="25">
        <v>2019162</v>
      </c>
      <c r="I270" s="25" t="s">
        <v>19</v>
      </c>
      <c r="J270" s="25" t="s">
        <v>20</v>
      </c>
      <c r="K270" s="25" t="s">
        <v>25</v>
      </c>
      <c r="L270" s="25">
        <v>72.010000000000005</v>
      </c>
      <c r="M270" s="25">
        <v>6.12</v>
      </c>
      <c r="N270" s="25">
        <v>0</v>
      </c>
      <c r="O270" s="25">
        <v>165.12</v>
      </c>
      <c r="P270" s="25">
        <v>243.24600000000001</v>
      </c>
      <c r="Q270" s="25">
        <f t="shared" si="8"/>
        <v>0</v>
      </c>
      <c r="R270" s="25">
        <f t="shared" si="9"/>
        <v>277756.75400000002</v>
      </c>
    </row>
    <row r="271" spans="1:18" hidden="1" x14ac:dyDescent="0.25">
      <c r="A271" s="26">
        <v>43704</v>
      </c>
      <c r="B271" s="25" t="s">
        <v>1086</v>
      </c>
      <c r="C271" s="25" t="s">
        <v>17</v>
      </c>
      <c r="D271" s="25">
        <v>2621</v>
      </c>
      <c r="E271" s="25">
        <v>57.4</v>
      </c>
      <c r="F271" s="25">
        <v>150445.4</v>
      </c>
      <c r="G271" s="25" t="s">
        <v>1630</v>
      </c>
      <c r="H271" s="25">
        <v>2019162</v>
      </c>
      <c r="I271" s="25" t="s">
        <v>19</v>
      </c>
      <c r="J271" s="25" t="s">
        <v>20</v>
      </c>
      <c r="K271" s="25" t="s">
        <v>25</v>
      </c>
      <c r="L271" s="25">
        <v>0</v>
      </c>
      <c r="M271" s="25">
        <v>3.31</v>
      </c>
      <c r="N271" s="25">
        <v>34.799999999999997</v>
      </c>
      <c r="O271" s="25">
        <v>89.33</v>
      </c>
      <c r="P271" s="25">
        <v>127.44</v>
      </c>
      <c r="Q271" s="25">
        <f t="shared" si="8"/>
        <v>150572.84</v>
      </c>
      <c r="R271" s="25">
        <f t="shared" si="9"/>
        <v>0</v>
      </c>
    </row>
    <row r="272" spans="1:18" hidden="1" x14ac:dyDescent="0.25">
      <c r="A272" s="26">
        <v>43704</v>
      </c>
      <c r="B272" s="25" t="s">
        <v>1086</v>
      </c>
      <c r="C272" s="25" t="s">
        <v>17</v>
      </c>
      <c r="D272" s="25">
        <v>2379</v>
      </c>
      <c r="E272" s="25">
        <v>57.45</v>
      </c>
      <c r="F272" s="25">
        <v>136673.54999999999</v>
      </c>
      <c r="G272" s="25" t="s">
        <v>1631</v>
      </c>
      <c r="H272" s="25">
        <v>2019162</v>
      </c>
      <c r="I272" s="25" t="s">
        <v>19</v>
      </c>
      <c r="J272" s="25" t="s">
        <v>20</v>
      </c>
      <c r="K272" s="25" t="s">
        <v>25</v>
      </c>
      <c r="L272" s="25">
        <v>0</v>
      </c>
      <c r="M272" s="25">
        <v>3.01</v>
      </c>
      <c r="N272" s="25">
        <v>0</v>
      </c>
      <c r="O272" s="25">
        <v>81.180000000000007</v>
      </c>
      <c r="P272" s="25">
        <v>84.186800000000005</v>
      </c>
      <c r="Q272" s="25">
        <f t="shared" si="8"/>
        <v>136757.73679999998</v>
      </c>
      <c r="R272" s="25">
        <f t="shared" si="9"/>
        <v>0</v>
      </c>
    </row>
    <row r="273" spans="1:18" hidden="1" x14ac:dyDescent="0.25">
      <c r="A273" s="26">
        <v>43704</v>
      </c>
      <c r="B273" s="25" t="s">
        <v>1086</v>
      </c>
      <c r="C273" s="25" t="s">
        <v>23</v>
      </c>
      <c r="D273" s="25">
        <v>5000</v>
      </c>
      <c r="E273" s="25">
        <v>58.4</v>
      </c>
      <c r="F273" s="25">
        <v>292000</v>
      </c>
      <c r="G273" s="25" t="s">
        <v>1632</v>
      </c>
      <c r="H273" s="25">
        <v>2019162</v>
      </c>
      <c r="I273" s="25" t="s">
        <v>19</v>
      </c>
      <c r="J273" s="25" t="s">
        <v>20</v>
      </c>
      <c r="K273" s="25" t="s">
        <v>25</v>
      </c>
      <c r="L273" s="25">
        <v>71.989999999999995</v>
      </c>
      <c r="M273" s="25">
        <v>6.42</v>
      </c>
      <c r="N273" s="25">
        <v>0</v>
      </c>
      <c r="O273" s="25">
        <v>173.43</v>
      </c>
      <c r="P273" s="25">
        <v>251.84399999999999</v>
      </c>
      <c r="Q273" s="25">
        <f t="shared" si="8"/>
        <v>0</v>
      </c>
      <c r="R273" s="25">
        <f t="shared" si="9"/>
        <v>291748.15600000002</v>
      </c>
    </row>
    <row r="274" spans="1:18" hidden="1" x14ac:dyDescent="0.25">
      <c r="A274" s="26">
        <v>43704</v>
      </c>
      <c r="B274" s="25" t="s">
        <v>1086</v>
      </c>
      <c r="C274" s="25" t="s">
        <v>17</v>
      </c>
      <c r="D274" s="25">
        <v>5000</v>
      </c>
      <c r="E274" s="25">
        <v>59</v>
      </c>
      <c r="F274" s="25">
        <v>295000</v>
      </c>
      <c r="G274" s="25" t="s">
        <v>1633</v>
      </c>
      <c r="H274" s="25">
        <v>2019162</v>
      </c>
      <c r="I274" s="25" t="s">
        <v>19</v>
      </c>
      <c r="J274" s="25" t="s">
        <v>20</v>
      </c>
      <c r="K274" s="25" t="s">
        <v>25</v>
      </c>
      <c r="L274" s="25">
        <v>0</v>
      </c>
      <c r="M274" s="25">
        <v>6.49</v>
      </c>
      <c r="N274" s="25">
        <v>0</v>
      </c>
      <c r="O274" s="25">
        <v>175.22</v>
      </c>
      <c r="P274" s="25">
        <v>181.71</v>
      </c>
      <c r="Q274" s="25">
        <f t="shared" si="8"/>
        <v>295181.71000000002</v>
      </c>
      <c r="R274" s="25">
        <f t="shared" si="9"/>
        <v>0</v>
      </c>
    </row>
    <row r="275" spans="1:18" hidden="1" x14ac:dyDescent="0.25">
      <c r="A275" s="26">
        <v>43703</v>
      </c>
      <c r="B275" s="25" t="s">
        <v>1156</v>
      </c>
      <c r="C275" s="25" t="s">
        <v>23</v>
      </c>
      <c r="D275" s="25">
        <v>1000</v>
      </c>
      <c r="E275" s="25">
        <v>60.25</v>
      </c>
      <c r="F275" s="25">
        <v>60250</v>
      </c>
      <c r="G275" s="25" t="s">
        <v>1460</v>
      </c>
      <c r="H275" s="25">
        <v>2019161</v>
      </c>
      <c r="I275" s="25" t="s">
        <v>19</v>
      </c>
      <c r="J275" s="25" t="s">
        <v>20</v>
      </c>
      <c r="K275" s="25" t="s">
        <v>25</v>
      </c>
      <c r="L275" s="25">
        <v>15.2</v>
      </c>
      <c r="M275" s="25">
        <v>1.33</v>
      </c>
      <c r="N275" s="25">
        <v>0</v>
      </c>
      <c r="O275" s="25">
        <v>35.78</v>
      </c>
      <c r="P275" s="25">
        <v>52.305500000000002</v>
      </c>
      <c r="Q275" s="25">
        <f t="shared" si="8"/>
        <v>0</v>
      </c>
      <c r="R275" s="25">
        <f t="shared" si="9"/>
        <v>60197.694499999998</v>
      </c>
    </row>
    <row r="276" spans="1:18" hidden="1" x14ac:dyDescent="0.25">
      <c r="A276" s="26">
        <v>43703</v>
      </c>
      <c r="B276" s="25" t="s">
        <v>1156</v>
      </c>
      <c r="C276" s="25" t="s">
        <v>23</v>
      </c>
      <c r="D276" s="25">
        <v>680</v>
      </c>
      <c r="E276" s="25">
        <v>61</v>
      </c>
      <c r="F276" s="25">
        <v>41480</v>
      </c>
      <c r="G276" s="25" t="s">
        <v>1461</v>
      </c>
      <c r="H276" s="25">
        <v>2019161</v>
      </c>
      <c r="I276" s="25" t="s">
        <v>19</v>
      </c>
      <c r="J276" s="25" t="s">
        <v>20</v>
      </c>
      <c r="K276" s="25" t="s">
        <v>25</v>
      </c>
      <c r="L276" s="25">
        <v>10.33</v>
      </c>
      <c r="M276" s="25">
        <v>0.91</v>
      </c>
      <c r="N276" s="25">
        <v>0</v>
      </c>
      <c r="O276" s="25">
        <v>29.66</v>
      </c>
      <c r="P276" s="25">
        <v>40.9026</v>
      </c>
      <c r="Q276" s="25">
        <f t="shared" si="8"/>
        <v>0</v>
      </c>
      <c r="R276" s="25">
        <f t="shared" si="9"/>
        <v>41439.097399999999</v>
      </c>
    </row>
    <row r="277" spans="1:18" hidden="1" x14ac:dyDescent="0.25">
      <c r="A277" s="26">
        <v>43703</v>
      </c>
      <c r="B277" s="25" t="s">
        <v>1086</v>
      </c>
      <c r="C277" s="25" t="s">
        <v>23</v>
      </c>
      <c r="D277" s="25">
        <v>2500</v>
      </c>
      <c r="E277" s="25">
        <v>54.5</v>
      </c>
      <c r="F277" s="25">
        <v>136250</v>
      </c>
      <c r="G277" s="25" t="s">
        <v>1462</v>
      </c>
      <c r="H277" s="25">
        <v>2019161</v>
      </c>
      <c r="I277" s="25" t="s">
        <v>19</v>
      </c>
      <c r="J277" s="25" t="s">
        <v>20</v>
      </c>
      <c r="K277" s="25" t="s">
        <v>25</v>
      </c>
      <c r="L277" s="25">
        <v>34.340000000000003</v>
      </c>
      <c r="M277" s="25">
        <v>3</v>
      </c>
      <c r="N277" s="25">
        <v>0</v>
      </c>
      <c r="O277" s="25">
        <v>80.930000000000007</v>
      </c>
      <c r="P277" s="25">
        <v>118.26730000000001</v>
      </c>
      <c r="Q277" s="25">
        <f t="shared" si="8"/>
        <v>0</v>
      </c>
      <c r="R277" s="25">
        <f t="shared" si="9"/>
        <v>136131.73269999999</v>
      </c>
    </row>
    <row r="278" spans="1:18" hidden="1" x14ac:dyDescent="0.25">
      <c r="A278" s="26">
        <v>43703</v>
      </c>
      <c r="B278" s="25" t="s">
        <v>1086</v>
      </c>
      <c r="C278" s="25" t="s">
        <v>17</v>
      </c>
      <c r="D278" s="25">
        <v>2500</v>
      </c>
      <c r="E278" s="25">
        <v>53.7</v>
      </c>
      <c r="F278" s="25">
        <v>134250</v>
      </c>
      <c r="G278" s="25" t="s">
        <v>1463</v>
      </c>
      <c r="H278" s="25">
        <v>2019161</v>
      </c>
      <c r="I278" s="25" t="s">
        <v>19</v>
      </c>
      <c r="J278" s="25" t="s">
        <v>20</v>
      </c>
      <c r="K278" s="25" t="s">
        <v>25</v>
      </c>
      <c r="L278" s="25">
        <v>0</v>
      </c>
      <c r="M278" s="25">
        <v>2.95</v>
      </c>
      <c r="N278" s="25">
        <v>46.2</v>
      </c>
      <c r="O278" s="25">
        <v>79.73</v>
      </c>
      <c r="P278" s="25">
        <v>128.8836</v>
      </c>
      <c r="Q278" s="25">
        <f t="shared" si="8"/>
        <v>134378.8836</v>
      </c>
      <c r="R278" s="25">
        <f t="shared" si="9"/>
        <v>0</v>
      </c>
    </row>
    <row r="279" spans="1:18" hidden="1" x14ac:dyDescent="0.25">
      <c r="A279" s="26">
        <v>43703</v>
      </c>
      <c r="B279" s="25" t="s">
        <v>1156</v>
      </c>
      <c r="C279" s="25" t="s">
        <v>17</v>
      </c>
      <c r="D279" s="25">
        <v>1680</v>
      </c>
      <c r="E279" s="25">
        <v>60.7</v>
      </c>
      <c r="F279" s="25">
        <v>101976</v>
      </c>
      <c r="G279" s="25" t="s">
        <v>1464</v>
      </c>
      <c r="H279" s="25">
        <v>2019161</v>
      </c>
      <c r="I279" s="25" t="s">
        <v>19</v>
      </c>
      <c r="J279" s="25" t="s">
        <v>20</v>
      </c>
      <c r="K279" s="25" t="s">
        <v>25</v>
      </c>
      <c r="L279" s="25">
        <v>0</v>
      </c>
      <c r="M279" s="25">
        <v>2.2400000000000002</v>
      </c>
      <c r="N279" s="25">
        <v>0</v>
      </c>
      <c r="O279" s="25">
        <v>60.57</v>
      </c>
      <c r="P279" s="25">
        <v>62.813400000000001</v>
      </c>
      <c r="Q279" s="25">
        <f t="shared" si="8"/>
        <v>102038.8134</v>
      </c>
      <c r="R279" s="25">
        <f t="shared" si="9"/>
        <v>0</v>
      </c>
    </row>
    <row r="280" spans="1:18" hidden="1" x14ac:dyDescent="0.25">
      <c r="A280" s="26">
        <v>43703</v>
      </c>
      <c r="B280" s="25" t="s">
        <v>1156</v>
      </c>
      <c r="C280" s="25" t="s">
        <v>17</v>
      </c>
      <c r="D280" s="25">
        <v>2500</v>
      </c>
      <c r="E280" s="25">
        <v>60.6</v>
      </c>
      <c r="F280" s="25">
        <v>151500</v>
      </c>
      <c r="G280" s="25" t="s">
        <v>1465</v>
      </c>
      <c r="H280" s="25">
        <v>2019161</v>
      </c>
      <c r="I280" s="25" t="s">
        <v>19</v>
      </c>
      <c r="J280" s="25" t="s">
        <v>20</v>
      </c>
      <c r="K280" s="25" t="s">
        <v>25</v>
      </c>
      <c r="L280" s="25">
        <v>0</v>
      </c>
      <c r="M280" s="25">
        <v>3.33</v>
      </c>
      <c r="N280" s="25">
        <v>0</v>
      </c>
      <c r="O280" s="25">
        <v>89.99</v>
      </c>
      <c r="P280" s="25">
        <v>93.322999999999993</v>
      </c>
      <c r="Q280" s="25">
        <f t="shared" si="8"/>
        <v>151593.323</v>
      </c>
      <c r="R280" s="25">
        <f t="shared" si="9"/>
        <v>0</v>
      </c>
    </row>
    <row r="281" spans="1:18" hidden="1" x14ac:dyDescent="0.25">
      <c r="A281" s="26">
        <v>43703</v>
      </c>
      <c r="B281" s="25" t="s">
        <v>1156</v>
      </c>
      <c r="C281" s="25" t="s">
        <v>17</v>
      </c>
      <c r="D281" s="25">
        <v>1000</v>
      </c>
      <c r="E281" s="25">
        <v>60.1</v>
      </c>
      <c r="F281" s="25">
        <v>60100</v>
      </c>
      <c r="G281" s="25" t="s">
        <v>1466</v>
      </c>
      <c r="H281" s="25">
        <v>2019161</v>
      </c>
      <c r="I281" s="25" t="s">
        <v>19</v>
      </c>
      <c r="J281" s="25" t="s">
        <v>20</v>
      </c>
      <c r="K281" s="25" t="s">
        <v>25</v>
      </c>
      <c r="L281" s="25">
        <v>0</v>
      </c>
      <c r="M281" s="25">
        <v>1.32</v>
      </c>
      <c r="N281" s="25">
        <v>0</v>
      </c>
      <c r="O281" s="25">
        <v>35.700000000000003</v>
      </c>
      <c r="P281" s="25">
        <v>37.022199999999998</v>
      </c>
      <c r="Q281" s="25">
        <f t="shared" si="8"/>
        <v>60137.022199999999</v>
      </c>
      <c r="R281" s="25">
        <f t="shared" si="9"/>
        <v>0</v>
      </c>
    </row>
    <row r="282" spans="1:18" hidden="1" x14ac:dyDescent="0.25">
      <c r="A282" s="26">
        <v>43703</v>
      </c>
      <c r="B282" s="25" t="s">
        <v>1156</v>
      </c>
      <c r="C282" s="25" t="s">
        <v>23</v>
      </c>
      <c r="D282" s="25">
        <v>3500</v>
      </c>
      <c r="E282" s="25">
        <v>61.25</v>
      </c>
      <c r="F282" s="25">
        <v>214375</v>
      </c>
      <c r="G282" s="25" t="s">
        <v>1467</v>
      </c>
      <c r="H282" s="25">
        <v>2019161</v>
      </c>
      <c r="I282" s="25" t="s">
        <v>19</v>
      </c>
      <c r="J282" s="25" t="s">
        <v>20</v>
      </c>
      <c r="K282" s="25" t="s">
        <v>25</v>
      </c>
      <c r="L282" s="25">
        <v>52.83</v>
      </c>
      <c r="M282" s="25">
        <v>4.72</v>
      </c>
      <c r="N282" s="25">
        <v>0</v>
      </c>
      <c r="O282" s="25">
        <v>127.33</v>
      </c>
      <c r="P282" s="25">
        <v>184.87629999999999</v>
      </c>
      <c r="Q282" s="25">
        <f t="shared" si="8"/>
        <v>0</v>
      </c>
      <c r="R282" s="25">
        <f t="shared" si="9"/>
        <v>214190.1237</v>
      </c>
    </row>
    <row r="283" spans="1:18" hidden="1" x14ac:dyDescent="0.25">
      <c r="A283" s="26">
        <v>43703</v>
      </c>
      <c r="B283" s="25" t="s">
        <v>1086</v>
      </c>
      <c r="C283" s="25" t="s">
        <v>23</v>
      </c>
      <c r="D283" s="25">
        <v>1000</v>
      </c>
      <c r="E283" s="25">
        <v>53.5</v>
      </c>
      <c r="F283" s="25">
        <v>53500</v>
      </c>
      <c r="G283" s="25" t="s">
        <v>1468</v>
      </c>
      <c r="H283" s="25">
        <v>2019161</v>
      </c>
      <c r="I283" s="25" t="s">
        <v>19</v>
      </c>
      <c r="J283" s="25" t="s">
        <v>20</v>
      </c>
      <c r="K283" s="25" t="s">
        <v>25</v>
      </c>
      <c r="L283" s="25">
        <v>13.74</v>
      </c>
      <c r="M283" s="25">
        <v>1.18</v>
      </c>
      <c r="N283" s="25">
        <v>0</v>
      </c>
      <c r="O283" s="25">
        <v>31.78</v>
      </c>
      <c r="P283" s="25">
        <v>46.697000000000003</v>
      </c>
      <c r="Q283" s="25">
        <f t="shared" si="8"/>
        <v>0</v>
      </c>
      <c r="R283" s="25">
        <f t="shared" si="9"/>
        <v>53453.303</v>
      </c>
    </row>
    <row r="284" spans="1:18" hidden="1" x14ac:dyDescent="0.25">
      <c r="A284" s="26">
        <v>43703</v>
      </c>
      <c r="B284" s="25" t="s">
        <v>1086</v>
      </c>
      <c r="C284" s="25" t="s">
        <v>23</v>
      </c>
      <c r="D284" s="25">
        <v>1000</v>
      </c>
      <c r="E284" s="25">
        <v>54.5</v>
      </c>
      <c r="F284" s="25">
        <v>54500</v>
      </c>
      <c r="G284" s="25" t="s">
        <v>1469</v>
      </c>
      <c r="H284" s="25">
        <v>2019161</v>
      </c>
      <c r="I284" s="25" t="s">
        <v>19</v>
      </c>
      <c r="J284" s="25" t="s">
        <v>20</v>
      </c>
      <c r="K284" s="25" t="s">
        <v>25</v>
      </c>
      <c r="L284" s="25">
        <v>13.74</v>
      </c>
      <c r="M284" s="25">
        <v>1.2</v>
      </c>
      <c r="N284" s="25">
        <v>0</v>
      </c>
      <c r="O284" s="25">
        <v>32.369999999999997</v>
      </c>
      <c r="P284" s="25">
        <v>47.308999999999997</v>
      </c>
      <c r="Q284" s="25">
        <f t="shared" si="8"/>
        <v>0</v>
      </c>
      <c r="R284" s="25">
        <f t="shared" si="9"/>
        <v>54452.690999999999</v>
      </c>
    </row>
    <row r="285" spans="1:18" hidden="1" x14ac:dyDescent="0.25">
      <c r="A285" s="26">
        <v>43703</v>
      </c>
      <c r="B285" s="25" t="s">
        <v>1329</v>
      </c>
      <c r="C285" s="25" t="s">
        <v>17</v>
      </c>
      <c r="D285" s="25">
        <v>200</v>
      </c>
      <c r="E285" s="25">
        <v>193.5</v>
      </c>
      <c r="F285" s="25">
        <v>38700</v>
      </c>
      <c r="G285" s="25" t="s">
        <v>1470</v>
      </c>
      <c r="H285" s="25">
        <v>2019161</v>
      </c>
      <c r="I285" s="25" t="s">
        <v>19</v>
      </c>
      <c r="J285" s="25" t="s">
        <v>20</v>
      </c>
      <c r="K285" s="25" t="s">
        <v>25</v>
      </c>
      <c r="L285" s="25">
        <v>0</v>
      </c>
      <c r="M285" s="25">
        <v>0.85</v>
      </c>
      <c r="N285" s="25">
        <v>0</v>
      </c>
      <c r="O285" s="25">
        <v>29.65</v>
      </c>
      <c r="P285" s="25">
        <v>30.5014</v>
      </c>
      <c r="Q285" s="25">
        <f t="shared" si="8"/>
        <v>38730.501400000001</v>
      </c>
      <c r="R285" s="25">
        <f t="shared" si="9"/>
        <v>0</v>
      </c>
    </row>
    <row r="286" spans="1:18" hidden="1" x14ac:dyDescent="0.25">
      <c r="A286" s="26">
        <v>43703</v>
      </c>
      <c r="B286" s="25" t="s">
        <v>1086</v>
      </c>
      <c r="C286" s="25" t="s">
        <v>23</v>
      </c>
      <c r="D286" s="25">
        <v>1000</v>
      </c>
      <c r="E286" s="25">
        <v>55</v>
      </c>
      <c r="F286" s="25">
        <v>55000</v>
      </c>
      <c r="G286" s="25" t="s">
        <v>1471</v>
      </c>
      <c r="H286" s="25">
        <v>2019161</v>
      </c>
      <c r="I286" s="25" t="s">
        <v>19</v>
      </c>
      <c r="J286" s="25" t="s">
        <v>20</v>
      </c>
      <c r="K286" s="25" t="s">
        <v>25</v>
      </c>
      <c r="L286" s="25">
        <v>13.74</v>
      </c>
      <c r="M286" s="25">
        <v>1.21</v>
      </c>
      <c r="N286" s="25">
        <v>0</v>
      </c>
      <c r="O286" s="25">
        <v>32.67</v>
      </c>
      <c r="P286" s="25">
        <v>47.62</v>
      </c>
      <c r="Q286" s="25">
        <f t="shared" si="8"/>
        <v>0</v>
      </c>
      <c r="R286" s="25">
        <f t="shared" si="9"/>
        <v>54952.38</v>
      </c>
    </row>
    <row r="287" spans="1:18" hidden="1" x14ac:dyDescent="0.25">
      <c r="A287" s="26">
        <v>43703</v>
      </c>
      <c r="B287" s="25" t="s">
        <v>1086</v>
      </c>
      <c r="C287" s="25" t="s">
        <v>23</v>
      </c>
      <c r="D287" s="25">
        <v>1000</v>
      </c>
      <c r="E287" s="25">
        <v>55.5</v>
      </c>
      <c r="F287" s="25">
        <v>55500</v>
      </c>
      <c r="G287" s="25" t="s">
        <v>1472</v>
      </c>
      <c r="H287" s="25">
        <v>2019161</v>
      </c>
      <c r="I287" s="25" t="s">
        <v>19</v>
      </c>
      <c r="J287" s="25" t="s">
        <v>20</v>
      </c>
      <c r="K287" s="25" t="s">
        <v>25</v>
      </c>
      <c r="L287" s="25">
        <v>13.74</v>
      </c>
      <c r="M287" s="25">
        <v>1.22</v>
      </c>
      <c r="N287" s="25">
        <v>0</v>
      </c>
      <c r="O287" s="25">
        <v>32.96</v>
      </c>
      <c r="P287" s="25">
        <v>47.920999999999999</v>
      </c>
      <c r="Q287" s="25">
        <f t="shared" si="8"/>
        <v>0</v>
      </c>
      <c r="R287" s="25">
        <f t="shared" si="9"/>
        <v>55452.078999999998</v>
      </c>
    </row>
    <row r="288" spans="1:18" hidden="1" x14ac:dyDescent="0.25">
      <c r="A288" s="26">
        <v>43703</v>
      </c>
      <c r="B288" s="25" t="s">
        <v>1086</v>
      </c>
      <c r="C288" s="25" t="s">
        <v>23</v>
      </c>
      <c r="D288" s="25">
        <v>1000</v>
      </c>
      <c r="E288" s="25">
        <v>55.7</v>
      </c>
      <c r="F288" s="25">
        <v>55700</v>
      </c>
      <c r="G288" s="25" t="s">
        <v>1473</v>
      </c>
      <c r="H288" s="25">
        <v>2019161</v>
      </c>
      <c r="I288" s="25" t="s">
        <v>19</v>
      </c>
      <c r="J288" s="25" t="s">
        <v>20</v>
      </c>
      <c r="K288" s="25" t="s">
        <v>25</v>
      </c>
      <c r="L288" s="25">
        <v>13.74</v>
      </c>
      <c r="M288" s="25">
        <v>1.23</v>
      </c>
      <c r="N288" s="25">
        <v>0</v>
      </c>
      <c r="O288" s="25">
        <v>33.08</v>
      </c>
      <c r="P288" s="25">
        <v>48.045400000000001</v>
      </c>
      <c r="Q288" s="25">
        <f t="shared" si="8"/>
        <v>0</v>
      </c>
      <c r="R288" s="25">
        <f t="shared" si="9"/>
        <v>55651.954599999997</v>
      </c>
    </row>
    <row r="289" spans="1:18" hidden="1" x14ac:dyDescent="0.25">
      <c r="A289" s="26">
        <v>43703</v>
      </c>
      <c r="B289" s="25" t="s">
        <v>1086</v>
      </c>
      <c r="C289" s="25" t="s">
        <v>17</v>
      </c>
      <c r="D289" s="25">
        <v>5000</v>
      </c>
      <c r="E289" s="25">
        <v>55.9</v>
      </c>
      <c r="F289" s="25">
        <v>279500</v>
      </c>
      <c r="G289" s="25" t="s">
        <v>1474</v>
      </c>
      <c r="H289" s="25">
        <v>2019161</v>
      </c>
      <c r="I289" s="25" t="s">
        <v>19</v>
      </c>
      <c r="J289" s="25" t="s">
        <v>20</v>
      </c>
      <c r="K289" s="25" t="s">
        <v>25</v>
      </c>
      <c r="L289" s="25">
        <v>0</v>
      </c>
      <c r="M289" s="25">
        <v>6.15</v>
      </c>
      <c r="N289" s="25">
        <v>0</v>
      </c>
      <c r="O289" s="25">
        <v>166.01</v>
      </c>
      <c r="P289" s="25">
        <v>172.15899999999999</v>
      </c>
      <c r="Q289" s="25">
        <f t="shared" si="8"/>
        <v>279672.15899999999</v>
      </c>
      <c r="R289" s="25">
        <f t="shared" si="9"/>
        <v>0</v>
      </c>
    </row>
    <row r="290" spans="1:18" hidden="1" x14ac:dyDescent="0.25">
      <c r="A290" s="26">
        <v>43703</v>
      </c>
      <c r="B290" s="25" t="s">
        <v>1329</v>
      </c>
      <c r="C290" s="25" t="s">
        <v>23</v>
      </c>
      <c r="D290" s="25">
        <v>200</v>
      </c>
      <c r="E290" s="25">
        <v>191.14</v>
      </c>
      <c r="F290" s="25">
        <v>38228.6</v>
      </c>
      <c r="G290" s="25" t="s">
        <v>1475</v>
      </c>
      <c r="H290" s="25">
        <v>2019161</v>
      </c>
      <c r="I290" s="25" t="s">
        <v>19</v>
      </c>
      <c r="J290" s="25" t="s">
        <v>20</v>
      </c>
      <c r="K290" s="25" t="s">
        <v>25</v>
      </c>
      <c r="L290" s="25">
        <v>9.6199999999999992</v>
      </c>
      <c r="M290" s="25">
        <v>0.84</v>
      </c>
      <c r="N290" s="25">
        <v>0</v>
      </c>
      <c r="O290" s="25">
        <v>29.65</v>
      </c>
      <c r="P290" s="25">
        <v>40.110999999999997</v>
      </c>
      <c r="Q290" s="25">
        <f t="shared" si="8"/>
        <v>0</v>
      </c>
      <c r="R290" s="25">
        <f t="shared" si="9"/>
        <v>38188.489000000001</v>
      </c>
    </row>
    <row r="291" spans="1:18" hidden="1" x14ac:dyDescent="0.25">
      <c r="A291" s="26">
        <v>43700</v>
      </c>
      <c r="B291" s="25" t="s">
        <v>1156</v>
      </c>
      <c r="C291" s="25" t="s">
        <v>17</v>
      </c>
      <c r="D291" s="25">
        <v>5000</v>
      </c>
      <c r="E291" s="25">
        <v>59.1</v>
      </c>
      <c r="F291" s="25">
        <v>295500</v>
      </c>
      <c r="G291" s="25" t="s">
        <v>1316</v>
      </c>
      <c r="H291" s="25">
        <v>2019160</v>
      </c>
      <c r="I291" s="25" t="s">
        <v>19</v>
      </c>
      <c r="J291" s="25" t="s">
        <v>20</v>
      </c>
      <c r="K291" s="25" t="s">
        <v>25</v>
      </c>
      <c r="L291" s="25">
        <v>0</v>
      </c>
      <c r="M291" s="25">
        <v>6.5</v>
      </c>
      <c r="N291" s="25">
        <v>0</v>
      </c>
      <c r="O291" s="25">
        <v>175.51</v>
      </c>
      <c r="P291" s="25">
        <v>182.011</v>
      </c>
      <c r="Q291" s="25">
        <f t="shared" si="8"/>
        <v>295682.011</v>
      </c>
      <c r="R291" s="25">
        <f t="shared" si="9"/>
        <v>0</v>
      </c>
    </row>
    <row r="292" spans="1:18" hidden="1" x14ac:dyDescent="0.25">
      <c r="A292" s="26">
        <v>43700</v>
      </c>
      <c r="B292" s="25" t="s">
        <v>1086</v>
      </c>
      <c r="C292" s="25" t="s">
        <v>23</v>
      </c>
      <c r="D292" s="25">
        <v>1000</v>
      </c>
      <c r="E292" s="25">
        <v>52.6</v>
      </c>
      <c r="F292" s="25">
        <v>52600</v>
      </c>
      <c r="G292" s="25" t="s">
        <v>1317</v>
      </c>
      <c r="H292" s="25">
        <v>2019160</v>
      </c>
      <c r="I292" s="25" t="s">
        <v>19</v>
      </c>
      <c r="J292" s="25" t="s">
        <v>20</v>
      </c>
      <c r="K292" s="25" t="s">
        <v>25</v>
      </c>
      <c r="L292" s="25">
        <v>13.87</v>
      </c>
      <c r="M292" s="25">
        <v>1.1599999999999999</v>
      </c>
      <c r="N292" s="25">
        <v>0</v>
      </c>
      <c r="O292" s="25">
        <v>31.24</v>
      </c>
      <c r="P292" s="25">
        <v>46.267200000000003</v>
      </c>
      <c r="Q292" s="25">
        <f t="shared" si="8"/>
        <v>0</v>
      </c>
      <c r="R292" s="25">
        <f t="shared" si="9"/>
        <v>52553.732799999998</v>
      </c>
    </row>
    <row r="293" spans="1:18" hidden="1" x14ac:dyDescent="0.25">
      <c r="A293" s="26">
        <v>43700</v>
      </c>
      <c r="B293" s="25" t="s">
        <v>1086</v>
      </c>
      <c r="C293" s="25" t="s">
        <v>17</v>
      </c>
      <c r="D293" s="25">
        <v>522</v>
      </c>
      <c r="E293" s="25">
        <v>54.25</v>
      </c>
      <c r="F293" s="25">
        <v>28318.5</v>
      </c>
      <c r="G293" s="25" t="s">
        <v>1318</v>
      </c>
      <c r="H293" s="25">
        <v>2019160</v>
      </c>
      <c r="I293" s="25" t="s">
        <v>19</v>
      </c>
      <c r="J293" s="25" t="s">
        <v>20</v>
      </c>
      <c r="K293" s="25" t="s">
        <v>25</v>
      </c>
      <c r="L293" s="25">
        <v>0</v>
      </c>
      <c r="M293" s="25">
        <v>0.62</v>
      </c>
      <c r="N293" s="25">
        <v>21</v>
      </c>
      <c r="O293" s="25">
        <v>29.61</v>
      </c>
      <c r="P293" s="25">
        <v>51.232999999999997</v>
      </c>
      <c r="Q293" s="25">
        <f t="shared" si="8"/>
        <v>28369.733</v>
      </c>
      <c r="R293" s="25">
        <f t="shared" si="9"/>
        <v>0</v>
      </c>
    </row>
    <row r="294" spans="1:18" hidden="1" x14ac:dyDescent="0.25">
      <c r="A294" s="26">
        <v>43700</v>
      </c>
      <c r="B294" s="25" t="s">
        <v>1086</v>
      </c>
      <c r="C294" s="25" t="s">
        <v>17</v>
      </c>
      <c r="D294" s="25">
        <v>478</v>
      </c>
      <c r="E294" s="25">
        <v>54.45</v>
      </c>
      <c r="F294" s="25">
        <v>26027.1</v>
      </c>
      <c r="G294" s="25" t="s">
        <v>1319</v>
      </c>
      <c r="H294" s="25">
        <v>2019160</v>
      </c>
      <c r="I294" s="25" t="s">
        <v>19</v>
      </c>
      <c r="J294" s="25" t="s">
        <v>20</v>
      </c>
      <c r="K294" s="25" t="s">
        <v>25</v>
      </c>
      <c r="L294" s="25">
        <v>0</v>
      </c>
      <c r="M294" s="25">
        <v>0.56999999999999995</v>
      </c>
      <c r="N294" s="25">
        <v>0</v>
      </c>
      <c r="O294" s="25">
        <v>29.6</v>
      </c>
      <c r="P294" s="25">
        <v>30.172599999999999</v>
      </c>
      <c r="Q294" s="25">
        <f t="shared" si="8"/>
        <v>26057.2726</v>
      </c>
      <c r="R294" s="25">
        <f t="shared" si="9"/>
        <v>0</v>
      </c>
    </row>
    <row r="295" spans="1:18" hidden="1" x14ac:dyDescent="0.25">
      <c r="A295" s="26">
        <v>43700</v>
      </c>
      <c r="B295" s="25" t="s">
        <v>1156</v>
      </c>
      <c r="C295" s="25" t="s">
        <v>23</v>
      </c>
      <c r="D295" s="25">
        <v>1029</v>
      </c>
      <c r="E295" s="25">
        <v>59.7</v>
      </c>
      <c r="F295" s="25">
        <v>61431.3</v>
      </c>
      <c r="G295" s="25" t="s">
        <v>1320</v>
      </c>
      <c r="H295" s="25">
        <v>2019160</v>
      </c>
      <c r="I295" s="25" t="s">
        <v>19</v>
      </c>
      <c r="J295" s="25" t="s">
        <v>20</v>
      </c>
      <c r="K295" s="25" t="s">
        <v>25</v>
      </c>
      <c r="L295" s="25">
        <v>15.26</v>
      </c>
      <c r="M295" s="25">
        <v>1.35</v>
      </c>
      <c r="N295" s="25">
        <v>0</v>
      </c>
      <c r="O295" s="25">
        <v>36.49</v>
      </c>
      <c r="P295" s="25">
        <v>53.101599999999998</v>
      </c>
      <c r="Q295" s="25">
        <f t="shared" si="8"/>
        <v>0</v>
      </c>
      <c r="R295" s="25">
        <f t="shared" si="9"/>
        <v>61378.198400000001</v>
      </c>
    </row>
    <row r="296" spans="1:18" hidden="1" x14ac:dyDescent="0.25">
      <c r="A296" s="26">
        <v>43700</v>
      </c>
      <c r="B296" s="25" t="s">
        <v>1156</v>
      </c>
      <c r="C296" s="25" t="s">
        <v>23</v>
      </c>
      <c r="D296" s="25">
        <v>3971</v>
      </c>
      <c r="E296" s="25">
        <v>59.45</v>
      </c>
      <c r="F296" s="25">
        <v>236075.95</v>
      </c>
      <c r="G296" s="25" t="s">
        <v>1321</v>
      </c>
      <c r="H296" s="25">
        <v>2019160</v>
      </c>
      <c r="I296" s="25" t="s">
        <v>19</v>
      </c>
      <c r="J296" s="25" t="s">
        <v>20</v>
      </c>
      <c r="K296" s="25" t="s">
        <v>25</v>
      </c>
      <c r="L296" s="25">
        <v>58.87</v>
      </c>
      <c r="M296" s="25">
        <v>5.19</v>
      </c>
      <c r="N296" s="25">
        <v>0</v>
      </c>
      <c r="O296" s="25">
        <v>140.22</v>
      </c>
      <c r="P296" s="25">
        <v>204.28360000000001</v>
      </c>
      <c r="Q296" s="25">
        <f t="shared" si="8"/>
        <v>0</v>
      </c>
      <c r="R296" s="25">
        <f t="shared" si="9"/>
        <v>235871.66640000002</v>
      </c>
    </row>
    <row r="297" spans="1:18" hidden="1" x14ac:dyDescent="0.25">
      <c r="A297" s="26">
        <v>43699</v>
      </c>
      <c r="B297" s="25" t="s">
        <v>1147</v>
      </c>
      <c r="C297" s="25" t="s">
        <v>23</v>
      </c>
      <c r="D297" s="25">
        <v>1250</v>
      </c>
      <c r="E297" s="25">
        <v>184.5</v>
      </c>
      <c r="F297" s="25">
        <v>230625</v>
      </c>
      <c r="G297" s="25" t="s">
        <v>1322</v>
      </c>
      <c r="H297" s="25">
        <v>2019159</v>
      </c>
      <c r="I297" s="25" t="s">
        <v>19</v>
      </c>
      <c r="J297" s="25" t="s">
        <v>1634</v>
      </c>
      <c r="K297" s="25" t="s">
        <v>25</v>
      </c>
      <c r="L297" s="25">
        <v>231</v>
      </c>
      <c r="M297" s="25">
        <v>5.07</v>
      </c>
      <c r="N297" s="25">
        <v>7.2</v>
      </c>
      <c r="O297" s="25">
        <v>1497.67</v>
      </c>
      <c r="P297" s="25">
        <v>1740.9437</v>
      </c>
      <c r="Q297" s="25">
        <f t="shared" si="8"/>
        <v>0</v>
      </c>
      <c r="R297" s="25">
        <f t="shared" si="9"/>
        <v>228884.0563</v>
      </c>
    </row>
    <row r="298" spans="1:18" hidden="1" x14ac:dyDescent="0.25">
      <c r="A298" s="26">
        <v>43698</v>
      </c>
      <c r="B298" s="25" t="s">
        <v>1156</v>
      </c>
      <c r="C298" s="25" t="s">
        <v>17</v>
      </c>
      <c r="D298" s="25">
        <v>5000</v>
      </c>
      <c r="E298" s="25">
        <v>61.35</v>
      </c>
      <c r="F298" s="25">
        <v>306750</v>
      </c>
      <c r="G298" s="25" t="s">
        <v>1323</v>
      </c>
      <c r="H298" s="25">
        <v>2019158</v>
      </c>
      <c r="I298" s="25" t="s">
        <v>19</v>
      </c>
      <c r="J298" s="25" t="s">
        <v>20</v>
      </c>
      <c r="K298" s="25" t="s">
        <v>25</v>
      </c>
      <c r="L298" s="25">
        <v>0</v>
      </c>
      <c r="M298" s="25">
        <v>6.75</v>
      </c>
      <c r="N298" s="25">
        <v>0</v>
      </c>
      <c r="O298" s="25">
        <v>182.2</v>
      </c>
      <c r="P298" s="25">
        <v>188.9486</v>
      </c>
      <c r="Q298" s="25">
        <f t="shared" si="8"/>
        <v>306938.9486</v>
      </c>
      <c r="R298" s="25">
        <f t="shared" si="9"/>
        <v>0</v>
      </c>
    </row>
    <row r="299" spans="1:18" hidden="1" x14ac:dyDescent="0.25">
      <c r="A299" s="26">
        <v>43698</v>
      </c>
      <c r="B299" s="25" t="s">
        <v>1156</v>
      </c>
      <c r="C299" s="25" t="s">
        <v>23</v>
      </c>
      <c r="D299" s="25">
        <v>5000</v>
      </c>
      <c r="E299" s="25">
        <v>62</v>
      </c>
      <c r="F299" s="25">
        <v>310000</v>
      </c>
      <c r="G299" s="25" t="s">
        <v>1324</v>
      </c>
      <c r="H299" s="25">
        <v>2019158</v>
      </c>
      <c r="I299" s="25" t="s">
        <v>19</v>
      </c>
      <c r="J299" s="25" t="s">
        <v>20</v>
      </c>
      <c r="K299" s="25" t="s">
        <v>25</v>
      </c>
      <c r="L299" s="25">
        <v>77.09</v>
      </c>
      <c r="M299" s="25">
        <v>6.82</v>
      </c>
      <c r="N299" s="25">
        <v>0</v>
      </c>
      <c r="O299" s="25">
        <v>184.16</v>
      </c>
      <c r="P299" s="25">
        <v>268.07040000000001</v>
      </c>
      <c r="Q299" s="25">
        <f t="shared" si="8"/>
        <v>0</v>
      </c>
      <c r="R299" s="25">
        <f t="shared" si="9"/>
        <v>309731.92959999997</v>
      </c>
    </row>
    <row r="300" spans="1:18" hidden="1" x14ac:dyDescent="0.25">
      <c r="A300" s="26">
        <v>43698</v>
      </c>
      <c r="B300" s="25" t="s">
        <v>1147</v>
      </c>
      <c r="C300" s="25" t="s">
        <v>17</v>
      </c>
      <c r="D300" s="25">
        <v>500</v>
      </c>
      <c r="E300" s="25">
        <v>192.4</v>
      </c>
      <c r="F300" s="25">
        <v>96200</v>
      </c>
      <c r="G300" s="25" t="s">
        <v>1325</v>
      </c>
      <c r="H300" s="25">
        <v>2019158</v>
      </c>
      <c r="I300" s="25" t="s">
        <v>19</v>
      </c>
      <c r="J300" s="25" t="s">
        <v>1634</v>
      </c>
      <c r="K300" s="25" t="s">
        <v>25</v>
      </c>
      <c r="L300" s="25">
        <v>0</v>
      </c>
      <c r="M300" s="25">
        <v>2.12</v>
      </c>
      <c r="N300" s="25">
        <v>0</v>
      </c>
      <c r="O300" s="25">
        <v>57.14</v>
      </c>
      <c r="P300" s="25">
        <v>59.256399999999999</v>
      </c>
      <c r="Q300" s="25">
        <f t="shared" si="8"/>
        <v>96259.256399999998</v>
      </c>
      <c r="R300" s="25">
        <f t="shared" si="9"/>
        <v>0</v>
      </c>
    </row>
    <row r="301" spans="1:18" hidden="1" x14ac:dyDescent="0.25">
      <c r="A301" s="26">
        <v>43698</v>
      </c>
      <c r="B301" s="25" t="s">
        <v>1147</v>
      </c>
      <c r="C301" s="25" t="s">
        <v>23</v>
      </c>
      <c r="D301" s="25">
        <v>500</v>
      </c>
      <c r="E301" s="25">
        <v>195</v>
      </c>
      <c r="F301" s="25">
        <v>97500</v>
      </c>
      <c r="G301" s="25" t="s">
        <v>1326</v>
      </c>
      <c r="H301" s="25">
        <v>2019158</v>
      </c>
      <c r="I301" s="25" t="s">
        <v>19</v>
      </c>
      <c r="J301" s="25" t="s">
        <v>1634</v>
      </c>
      <c r="K301" s="25" t="s">
        <v>25</v>
      </c>
      <c r="L301" s="25">
        <v>23.93</v>
      </c>
      <c r="M301" s="25">
        <v>2.15</v>
      </c>
      <c r="N301" s="25">
        <v>0</v>
      </c>
      <c r="O301" s="25">
        <v>57.91</v>
      </c>
      <c r="P301" s="25">
        <v>83.984999999999999</v>
      </c>
      <c r="Q301" s="25">
        <f t="shared" si="8"/>
        <v>0</v>
      </c>
      <c r="R301" s="25">
        <f t="shared" si="9"/>
        <v>97416.014999999999</v>
      </c>
    </row>
    <row r="302" spans="1:18" hidden="1" x14ac:dyDescent="0.25">
      <c r="A302" s="26">
        <v>43698</v>
      </c>
      <c r="B302" s="25" t="s">
        <v>981</v>
      </c>
      <c r="C302" s="25" t="s">
        <v>17</v>
      </c>
      <c r="D302" s="25">
        <v>10</v>
      </c>
      <c r="E302" s="25">
        <v>122.5</v>
      </c>
      <c r="F302" s="25">
        <v>1225</v>
      </c>
      <c r="G302" s="25" t="s">
        <v>1327</v>
      </c>
      <c r="H302" s="25">
        <v>2019158</v>
      </c>
      <c r="I302" s="25" t="s">
        <v>19</v>
      </c>
      <c r="J302" s="25" t="s">
        <v>20</v>
      </c>
      <c r="K302" s="25" t="s">
        <v>25</v>
      </c>
      <c r="L302" s="25">
        <v>1.23</v>
      </c>
      <c r="M302" s="25">
        <v>0.03</v>
      </c>
      <c r="N302" s="25">
        <v>0</v>
      </c>
      <c r="O302" s="25">
        <v>36.14</v>
      </c>
      <c r="P302" s="25">
        <v>37.396999999999998</v>
      </c>
      <c r="Q302" s="25">
        <f t="shared" si="8"/>
        <v>1262.3969999999999</v>
      </c>
      <c r="R302" s="25">
        <f t="shared" si="9"/>
        <v>0</v>
      </c>
    </row>
    <row r="303" spans="1:18" hidden="1" x14ac:dyDescent="0.25">
      <c r="A303" s="26">
        <v>43698</v>
      </c>
      <c r="B303" s="25" t="s">
        <v>288</v>
      </c>
      <c r="C303" s="25" t="s">
        <v>17</v>
      </c>
      <c r="D303" s="25">
        <v>25</v>
      </c>
      <c r="E303" s="25">
        <v>32</v>
      </c>
      <c r="F303" s="25">
        <v>800</v>
      </c>
      <c r="G303" s="25" t="s">
        <v>1328</v>
      </c>
      <c r="H303" s="25">
        <v>2019158</v>
      </c>
      <c r="I303" s="25" t="s">
        <v>19</v>
      </c>
      <c r="J303" s="25" t="s">
        <v>20</v>
      </c>
      <c r="K303" s="25" t="s">
        <v>25</v>
      </c>
      <c r="L303" s="25">
        <v>0.41</v>
      </c>
      <c r="M303" s="25">
        <v>0.02</v>
      </c>
      <c r="N303" s="25">
        <v>35.1</v>
      </c>
      <c r="O303" s="25">
        <v>23.6</v>
      </c>
      <c r="P303" s="25">
        <v>59.127600000000001</v>
      </c>
      <c r="Q303" s="25">
        <f t="shared" si="8"/>
        <v>859.12760000000003</v>
      </c>
      <c r="R303" s="25">
        <f t="shared" si="9"/>
        <v>0</v>
      </c>
    </row>
    <row r="304" spans="1:18" hidden="1" x14ac:dyDescent="0.25">
      <c r="A304" s="26">
        <v>43698</v>
      </c>
      <c r="B304" s="25" t="s">
        <v>1329</v>
      </c>
      <c r="C304" s="25" t="s">
        <v>23</v>
      </c>
      <c r="D304" s="25">
        <v>100</v>
      </c>
      <c r="E304" s="25">
        <v>180</v>
      </c>
      <c r="F304" s="25">
        <v>18000</v>
      </c>
      <c r="G304" s="25" t="s">
        <v>1330</v>
      </c>
      <c r="H304" s="25">
        <v>2019158</v>
      </c>
      <c r="I304" s="25" t="s">
        <v>19</v>
      </c>
      <c r="J304" s="25" t="s">
        <v>20</v>
      </c>
      <c r="K304" s="25" t="s">
        <v>25</v>
      </c>
      <c r="L304" s="25">
        <v>4.6500000000000004</v>
      </c>
      <c r="M304" s="25">
        <v>0.4</v>
      </c>
      <c r="N304" s="25">
        <v>0</v>
      </c>
      <c r="O304" s="25">
        <v>29.57</v>
      </c>
      <c r="P304" s="25">
        <v>34.616</v>
      </c>
      <c r="Q304" s="25">
        <f t="shared" si="8"/>
        <v>0</v>
      </c>
      <c r="R304" s="25">
        <f t="shared" si="9"/>
        <v>17965.383999999998</v>
      </c>
    </row>
    <row r="305" spans="1:18" hidden="1" x14ac:dyDescent="0.25">
      <c r="A305" s="26">
        <v>43698</v>
      </c>
      <c r="B305" s="25" t="s">
        <v>1147</v>
      </c>
      <c r="C305" s="25" t="s">
        <v>17</v>
      </c>
      <c r="D305" s="25">
        <v>250</v>
      </c>
      <c r="E305" s="25">
        <v>192</v>
      </c>
      <c r="F305" s="25">
        <v>48000</v>
      </c>
      <c r="G305" s="25" t="s">
        <v>1331</v>
      </c>
      <c r="H305" s="25">
        <v>2019158</v>
      </c>
      <c r="I305" s="25" t="s">
        <v>19</v>
      </c>
      <c r="J305" s="25" t="s">
        <v>1634</v>
      </c>
      <c r="K305" s="25" t="s">
        <v>25</v>
      </c>
      <c r="L305" s="25">
        <v>47.86</v>
      </c>
      <c r="M305" s="25">
        <v>1.06</v>
      </c>
      <c r="N305" s="25">
        <v>0</v>
      </c>
      <c r="O305" s="25">
        <v>311.70999999999998</v>
      </c>
      <c r="P305" s="25">
        <v>360.62599999999998</v>
      </c>
      <c r="Q305" s="25">
        <f t="shared" si="8"/>
        <v>48360.625999999997</v>
      </c>
      <c r="R305" s="25">
        <f t="shared" si="9"/>
        <v>0</v>
      </c>
    </row>
    <row r="306" spans="1:18" hidden="1" x14ac:dyDescent="0.25">
      <c r="A306" s="26">
        <v>43698</v>
      </c>
      <c r="B306" s="25" t="s">
        <v>1329</v>
      </c>
      <c r="C306" s="25" t="s">
        <v>17</v>
      </c>
      <c r="D306" s="25">
        <v>300</v>
      </c>
      <c r="E306" s="25">
        <v>187</v>
      </c>
      <c r="F306" s="25">
        <v>56100</v>
      </c>
      <c r="G306" s="25" t="s">
        <v>1332</v>
      </c>
      <c r="H306" s="25">
        <v>2019158</v>
      </c>
      <c r="I306" s="25" t="s">
        <v>19</v>
      </c>
      <c r="J306" s="25" t="s">
        <v>20</v>
      </c>
      <c r="K306" s="25" t="s">
        <v>25</v>
      </c>
      <c r="L306" s="25">
        <v>0</v>
      </c>
      <c r="M306" s="25">
        <v>1.23</v>
      </c>
      <c r="N306" s="25">
        <v>0</v>
      </c>
      <c r="O306" s="25">
        <v>33.32</v>
      </c>
      <c r="P306" s="25">
        <v>34.554200000000002</v>
      </c>
      <c r="Q306" s="25">
        <f t="shared" si="8"/>
        <v>56134.554199999999</v>
      </c>
      <c r="R306" s="25">
        <f t="shared" si="9"/>
        <v>0</v>
      </c>
    </row>
    <row r="307" spans="1:18" hidden="1" x14ac:dyDescent="0.25">
      <c r="A307" s="26">
        <v>43698</v>
      </c>
      <c r="B307" s="25" t="s">
        <v>1147</v>
      </c>
      <c r="C307" s="25" t="s">
        <v>17</v>
      </c>
      <c r="D307" s="25">
        <v>1000</v>
      </c>
      <c r="E307" s="25">
        <v>189</v>
      </c>
      <c r="F307" s="25">
        <v>189000</v>
      </c>
      <c r="G307" s="25" t="s">
        <v>1333</v>
      </c>
      <c r="H307" s="25">
        <v>2019158</v>
      </c>
      <c r="I307" s="25" t="s">
        <v>19</v>
      </c>
      <c r="J307" s="25" t="s">
        <v>1634</v>
      </c>
      <c r="K307" s="25" t="s">
        <v>25</v>
      </c>
      <c r="L307" s="25">
        <v>191.42</v>
      </c>
      <c r="M307" s="25">
        <v>4.16</v>
      </c>
      <c r="N307" s="25">
        <v>0</v>
      </c>
      <c r="O307" s="25">
        <v>1227.3599999999999</v>
      </c>
      <c r="P307" s="25">
        <v>1422.9380000000001</v>
      </c>
      <c r="Q307" s="25">
        <f t="shared" si="8"/>
        <v>190422.93799999999</v>
      </c>
      <c r="R307" s="25">
        <f t="shared" si="9"/>
        <v>0</v>
      </c>
    </row>
    <row r="308" spans="1:18" hidden="1" x14ac:dyDescent="0.25">
      <c r="A308" s="26">
        <v>43698</v>
      </c>
      <c r="B308" s="25" t="s">
        <v>1329</v>
      </c>
      <c r="C308" s="25" t="s">
        <v>23</v>
      </c>
      <c r="D308" s="25">
        <v>200</v>
      </c>
      <c r="E308" s="25">
        <v>188</v>
      </c>
      <c r="F308" s="25">
        <v>37600</v>
      </c>
      <c r="G308" s="25" t="s">
        <v>1334</v>
      </c>
      <c r="H308" s="25">
        <v>2019158</v>
      </c>
      <c r="I308" s="25" t="s">
        <v>19</v>
      </c>
      <c r="J308" s="25" t="s">
        <v>20</v>
      </c>
      <c r="K308" s="25" t="s">
        <v>25</v>
      </c>
      <c r="L308" s="25">
        <v>9.31</v>
      </c>
      <c r="M308" s="25">
        <v>0.83</v>
      </c>
      <c r="N308" s="25">
        <v>0</v>
      </c>
      <c r="O308" s="25">
        <v>29.65</v>
      </c>
      <c r="P308" s="25">
        <v>39.787199999999999</v>
      </c>
      <c r="Q308" s="25">
        <f t="shared" si="8"/>
        <v>0</v>
      </c>
      <c r="R308" s="25">
        <f t="shared" si="9"/>
        <v>37560.212800000001</v>
      </c>
    </row>
    <row r="309" spans="1:18" hidden="1" x14ac:dyDescent="0.25">
      <c r="A309" s="26">
        <v>43698</v>
      </c>
      <c r="B309" s="25" t="s">
        <v>16</v>
      </c>
      <c r="C309" s="25" t="s">
        <v>17</v>
      </c>
      <c r="D309" s="25">
        <v>100</v>
      </c>
      <c r="E309" s="25">
        <v>21</v>
      </c>
      <c r="F309" s="25">
        <v>2100</v>
      </c>
      <c r="G309" s="25" t="s">
        <v>1335</v>
      </c>
      <c r="H309" s="25">
        <v>2019158</v>
      </c>
      <c r="I309" s="25" t="s">
        <v>19</v>
      </c>
      <c r="J309" s="25" t="s">
        <v>20</v>
      </c>
      <c r="K309" s="25" t="s">
        <v>25</v>
      </c>
      <c r="L309" s="25">
        <v>2.1</v>
      </c>
      <c r="M309" s="25">
        <v>0.05</v>
      </c>
      <c r="N309" s="25">
        <v>0</v>
      </c>
      <c r="O309" s="25">
        <v>41.31</v>
      </c>
      <c r="P309" s="25">
        <v>43.456200000000003</v>
      </c>
      <c r="Q309" s="25">
        <f t="shared" si="8"/>
        <v>2143.4562000000001</v>
      </c>
      <c r="R309" s="25">
        <f t="shared" si="9"/>
        <v>0</v>
      </c>
    </row>
    <row r="310" spans="1:18" hidden="1" x14ac:dyDescent="0.25">
      <c r="A310" s="26">
        <v>43697</v>
      </c>
      <c r="B310" s="25" t="s">
        <v>1156</v>
      </c>
      <c r="C310" s="25" t="s">
        <v>17</v>
      </c>
      <c r="D310" s="25">
        <v>1000</v>
      </c>
      <c r="E310" s="25">
        <v>62.25</v>
      </c>
      <c r="F310" s="25">
        <v>62250</v>
      </c>
      <c r="G310" s="25" t="s">
        <v>1336</v>
      </c>
      <c r="H310" s="25">
        <v>2019157</v>
      </c>
      <c r="I310" s="25" t="s">
        <v>19</v>
      </c>
      <c r="J310" s="25" t="s">
        <v>20</v>
      </c>
      <c r="K310" s="25" t="s">
        <v>25</v>
      </c>
      <c r="L310" s="25">
        <v>0</v>
      </c>
      <c r="M310" s="25">
        <v>1.37</v>
      </c>
      <c r="N310" s="25">
        <v>0</v>
      </c>
      <c r="O310" s="25">
        <v>36.97</v>
      </c>
      <c r="P310" s="25">
        <v>38.339599999999997</v>
      </c>
      <c r="Q310" s="25">
        <f t="shared" si="8"/>
        <v>62288.339599999999</v>
      </c>
      <c r="R310" s="25">
        <f t="shared" si="9"/>
        <v>0</v>
      </c>
    </row>
    <row r="311" spans="1:18" hidden="1" x14ac:dyDescent="0.25">
      <c r="A311" s="26">
        <v>43697</v>
      </c>
      <c r="B311" s="25" t="s">
        <v>1156</v>
      </c>
      <c r="C311" s="25" t="s">
        <v>17</v>
      </c>
      <c r="D311" s="25">
        <v>1500</v>
      </c>
      <c r="E311" s="25">
        <v>61.9</v>
      </c>
      <c r="F311" s="25">
        <v>92850</v>
      </c>
      <c r="G311" s="25" t="s">
        <v>1337</v>
      </c>
      <c r="H311" s="25">
        <v>2019157</v>
      </c>
      <c r="I311" s="25" t="s">
        <v>19</v>
      </c>
      <c r="J311" s="25" t="s">
        <v>20</v>
      </c>
      <c r="K311" s="25" t="s">
        <v>25</v>
      </c>
      <c r="L311" s="25">
        <v>0</v>
      </c>
      <c r="M311" s="25">
        <v>2.04</v>
      </c>
      <c r="N311" s="25">
        <v>9.6</v>
      </c>
      <c r="O311" s="25">
        <v>55.15</v>
      </c>
      <c r="P311" s="25">
        <v>66.7928</v>
      </c>
      <c r="Q311" s="25">
        <f t="shared" si="8"/>
        <v>92916.792799999996</v>
      </c>
      <c r="R311" s="25">
        <f t="shared" si="9"/>
        <v>0</v>
      </c>
    </row>
    <row r="312" spans="1:18" hidden="1" x14ac:dyDescent="0.25">
      <c r="A312" s="26">
        <v>43697</v>
      </c>
      <c r="B312" s="25" t="s">
        <v>1156</v>
      </c>
      <c r="C312" s="25" t="s">
        <v>23</v>
      </c>
      <c r="D312" s="25">
        <v>2500</v>
      </c>
      <c r="E312" s="25">
        <v>61.6</v>
      </c>
      <c r="F312" s="25">
        <v>154000</v>
      </c>
      <c r="G312" s="25" t="s">
        <v>1338</v>
      </c>
      <c r="H312" s="25">
        <v>2019157</v>
      </c>
      <c r="I312" s="25" t="s">
        <v>19</v>
      </c>
      <c r="J312" s="25" t="s">
        <v>20</v>
      </c>
      <c r="K312" s="25" t="s">
        <v>25</v>
      </c>
      <c r="L312" s="25">
        <v>39.04</v>
      </c>
      <c r="M312" s="25">
        <v>3.39</v>
      </c>
      <c r="N312" s="25">
        <v>0</v>
      </c>
      <c r="O312" s="25">
        <v>91.47</v>
      </c>
      <c r="P312" s="25">
        <v>133.898</v>
      </c>
      <c r="Q312" s="25">
        <f t="shared" si="8"/>
        <v>0</v>
      </c>
      <c r="R312" s="25">
        <f t="shared" si="9"/>
        <v>153866.10200000001</v>
      </c>
    </row>
    <row r="313" spans="1:18" hidden="1" x14ac:dyDescent="0.25">
      <c r="A313" s="26">
        <v>43697</v>
      </c>
      <c r="B313" s="25" t="s">
        <v>288</v>
      </c>
      <c r="C313" s="25" t="s">
        <v>17</v>
      </c>
      <c r="D313" s="25">
        <v>25</v>
      </c>
      <c r="E313" s="25">
        <v>34.5</v>
      </c>
      <c r="F313" s="25">
        <v>862.5</v>
      </c>
      <c r="G313" s="25" t="s">
        <v>1339</v>
      </c>
      <c r="H313" s="25">
        <v>2019157</v>
      </c>
      <c r="I313" s="25" t="s">
        <v>19</v>
      </c>
      <c r="J313" s="25" t="s">
        <v>20</v>
      </c>
      <c r="K313" s="25" t="s">
        <v>25</v>
      </c>
      <c r="L313" s="25">
        <v>0.86</v>
      </c>
      <c r="M313" s="25">
        <v>0.02</v>
      </c>
      <c r="N313" s="25">
        <v>0</v>
      </c>
      <c r="O313" s="25">
        <v>25.45</v>
      </c>
      <c r="P313" s="25">
        <v>26.329000000000001</v>
      </c>
      <c r="Q313" s="25">
        <f t="shared" si="8"/>
        <v>888.82899999999995</v>
      </c>
      <c r="R313" s="25">
        <f t="shared" si="9"/>
        <v>0</v>
      </c>
    </row>
    <row r="314" spans="1:18" hidden="1" x14ac:dyDescent="0.25">
      <c r="A314" s="26">
        <v>43697</v>
      </c>
      <c r="B314" s="25" t="s">
        <v>288</v>
      </c>
      <c r="C314" s="25" t="s">
        <v>17</v>
      </c>
      <c r="D314" s="25">
        <v>25</v>
      </c>
      <c r="E314" s="25">
        <v>34</v>
      </c>
      <c r="F314" s="25">
        <v>850</v>
      </c>
      <c r="G314" s="25" t="s">
        <v>1340</v>
      </c>
      <c r="H314" s="25">
        <v>2019157</v>
      </c>
      <c r="I314" s="25" t="s">
        <v>19</v>
      </c>
      <c r="J314" s="25" t="s">
        <v>20</v>
      </c>
      <c r="K314" s="25" t="s">
        <v>25</v>
      </c>
      <c r="L314" s="25">
        <v>0.86</v>
      </c>
      <c r="M314" s="25">
        <v>0.02</v>
      </c>
      <c r="N314" s="25">
        <v>0</v>
      </c>
      <c r="O314" s="25">
        <v>25.08</v>
      </c>
      <c r="P314" s="25">
        <v>25.9588</v>
      </c>
      <c r="Q314" s="25">
        <f t="shared" si="8"/>
        <v>875.9588</v>
      </c>
      <c r="R314" s="25">
        <f t="shared" si="9"/>
        <v>0</v>
      </c>
    </row>
    <row r="315" spans="1:18" hidden="1" x14ac:dyDescent="0.25">
      <c r="A315" s="26">
        <v>43697</v>
      </c>
      <c r="B315" s="25" t="s">
        <v>179</v>
      </c>
      <c r="C315" s="25" t="s">
        <v>17</v>
      </c>
      <c r="D315" s="25">
        <v>50</v>
      </c>
      <c r="E315" s="25">
        <v>25</v>
      </c>
      <c r="F315" s="25">
        <v>1250</v>
      </c>
      <c r="G315" s="25" t="s">
        <v>1341</v>
      </c>
      <c r="H315" s="25">
        <v>2019157</v>
      </c>
      <c r="I315" s="25" t="s">
        <v>19</v>
      </c>
      <c r="J315" s="25" t="s">
        <v>20</v>
      </c>
      <c r="K315" s="25" t="s">
        <v>25</v>
      </c>
      <c r="L315" s="25">
        <v>1.25</v>
      </c>
      <c r="M315" s="25">
        <v>0.03</v>
      </c>
      <c r="N315" s="25">
        <v>0</v>
      </c>
      <c r="O315" s="25">
        <v>36.880000000000003</v>
      </c>
      <c r="P315" s="25">
        <v>38.157600000000002</v>
      </c>
      <c r="Q315" s="25">
        <f t="shared" si="8"/>
        <v>1288.1576</v>
      </c>
      <c r="R315" s="25">
        <f t="shared" si="9"/>
        <v>0</v>
      </c>
    </row>
    <row r="316" spans="1:18" hidden="1" x14ac:dyDescent="0.25">
      <c r="A316" s="26">
        <v>43696</v>
      </c>
      <c r="B316" s="25" t="s">
        <v>1121</v>
      </c>
      <c r="C316" s="25" t="s">
        <v>17</v>
      </c>
      <c r="D316" s="25">
        <v>25</v>
      </c>
      <c r="E316" s="25">
        <v>1610.5</v>
      </c>
      <c r="F316" s="25">
        <v>40262.5</v>
      </c>
      <c r="G316" s="25" t="s">
        <v>1342</v>
      </c>
      <c r="H316" s="25">
        <v>2019156</v>
      </c>
      <c r="I316" s="25" t="s">
        <v>19</v>
      </c>
      <c r="J316" s="25" t="s">
        <v>20</v>
      </c>
      <c r="K316" s="25" t="s">
        <v>25</v>
      </c>
      <c r="L316" s="25">
        <v>0</v>
      </c>
      <c r="M316" s="25">
        <v>0.89</v>
      </c>
      <c r="N316" s="25">
        <v>0</v>
      </c>
      <c r="O316" s="25">
        <v>29.66</v>
      </c>
      <c r="P316" s="25">
        <v>30.5458</v>
      </c>
      <c r="Q316" s="25">
        <f t="shared" si="8"/>
        <v>40293.0458</v>
      </c>
      <c r="R316" s="25">
        <f t="shared" si="9"/>
        <v>0</v>
      </c>
    </row>
    <row r="317" spans="1:18" hidden="1" x14ac:dyDescent="0.25">
      <c r="A317" s="26">
        <v>43696</v>
      </c>
      <c r="B317" s="25" t="s">
        <v>1121</v>
      </c>
      <c r="C317" s="25" t="s">
        <v>23</v>
      </c>
      <c r="D317" s="25">
        <v>25</v>
      </c>
      <c r="E317" s="25">
        <v>1603.36</v>
      </c>
      <c r="F317" s="25">
        <v>40084</v>
      </c>
      <c r="G317" s="25" t="s">
        <v>1343</v>
      </c>
      <c r="H317" s="25">
        <v>2019156</v>
      </c>
      <c r="I317" s="25" t="s">
        <v>19</v>
      </c>
      <c r="J317" s="25" t="s">
        <v>20</v>
      </c>
      <c r="K317" s="25" t="s">
        <v>25</v>
      </c>
      <c r="L317" s="25">
        <v>9.65</v>
      </c>
      <c r="M317" s="25">
        <v>0.88</v>
      </c>
      <c r="N317" s="25">
        <v>10.199999999999999</v>
      </c>
      <c r="O317" s="25">
        <v>29.66</v>
      </c>
      <c r="P317" s="25">
        <v>50.391800000000003</v>
      </c>
      <c r="Q317" s="25">
        <f t="shared" si="8"/>
        <v>0</v>
      </c>
      <c r="R317" s="25">
        <f t="shared" si="9"/>
        <v>40033.608200000002</v>
      </c>
    </row>
    <row r="318" spans="1:18" hidden="1" x14ac:dyDescent="0.25">
      <c r="A318" s="26">
        <v>43696</v>
      </c>
      <c r="B318" s="25" t="s">
        <v>1156</v>
      </c>
      <c r="C318" s="25" t="s">
        <v>23</v>
      </c>
      <c r="D318" s="25">
        <v>1000</v>
      </c>
      <c r="E318" s="25">
        <v>64.599999999999994</v>
      </c>
      <c r="F318" s="25">
        <v>64600</v>
      </c>
      <c r="G318" s="25" t="s">
        <v>1344</v>
      </c>
      <c r="H318" s="25">
        <v>2019156</v>
      </c>
      <c r="I318" s="25" t="s">
        <v>19</v>
      </c>
      <c r="J318" s="25" t="s">
        <v>20</v>
      </c>
      <c r="K318" s="25" t="s">
        <v>25</v>
      </c>
      <c r="L318" s="25">
        <v>16.079999999999998</v>
      </c>
      <c r="M318" s="25">
        <v>1.42</v>
      </c>
      <c r="N318" s="25">
        <v>0</v>
      </c>
      <c r="O318" s="25">
        <v>38.369999999999997</v>
      </c>
      <c r="P318" s="25">
        <v>55.871200000000002</v>
      </c>
      <c r="Q318" s="25">
        <f t="shared" si="8"/>
        <v>0</v>
      </c>
      <c r="R318" s="25">
        <f t="shared" si="9"/>
        <v>64544.128799999999</v>
      </c>
    </row>
    <row r="319" spans="1:18" hidden="1" x14ac:dyDescent="0.25">
      <c r="A319" s="26">
        <v>43696</v>
      </c>
      <c r="B319" s="25" t="s">
        <v>1156</v>
      </c>
      <c r="C319" s="25" t="s">
        <v>17</v>
      </c>
      <c r="D319" s="25">
        <v>1000</v>
      </c>
      <c r="E319" s="25">
        <v>64.45</v>
      </c>
      <c r="F319" s="25">
        <v>64450</v>
      </c>
      <c r="G319" s="25" t="s">
        <v>1345</v>
      </c>
      <c r="H319" s="25">
        <v>2019156</v>
      </c>
      <c r="I319" s="25" t="s">
        <v>19</v>
      </c>
      <c r="J319" s="25" t="s">
        <v>20</v>
      </c>
      <c r="K319" s="25" t="s">
        <v>25</v>
      </c>
      <c r="L319" s="25">
        <v>0</v>
      </c>
      <c r="M319" s="25">
        <v>1.42</v>
      </c>
      <c r="N319" s="25">
        <v>0</v>
      </c>
      <c r="O319" s="25">
        <v>38.29</v>
      </c>
      <c r="P319" s="25">
        <v>39.707799999999999</v>
      </c>
      <c r="Q319" s="25">
        <f t="shared" si="8"/>
        <v>64489.707799999996</v>
      </c>
      <c r="R319" s="25">
        <f t="shared" si="9"/>
        <v>0</v>
      </c>
    </row>
    <row r="320" spans="1:18" hidden="1" x14ac:dyDescent="0.25">
      <c r="A320" s="26">
        <v>43696</v>
      </c>
      <c r="B320" s="25" t="s">
        <v>1156</v>
      </c>
      <c r="C320" s="25" t="s">
        <v>17</v>
      </c>
      <c r="D320" s="25">
        <v>1000</v>
      </c>
      <c r="E320" s="25">
        <v>64.099999999999994</v>
      </c>
      <c r="F320" s="25">
        <v>64100</v>
      </c>
      <c r="G320" s="25" t="s">
        <v>1346</v>
      </c>
      <c r="H320" s="25">
        <v>2019156</v>
      </c>
      <c r="I320" s="25" t="s">
        <v>19</v>
      </c>
      <c r="J320" s="25" t="s">
        <v>20</v>
      </c>
      <c r="K320" s="25" t="s">
        <v>25</v>
      </c>
      <c r="L320" s="25">
        <v>0</v>
      </c>
      <c r="M320" s="25">
        <v>1.41</v>
      </c>
      <c r="N320" s="25">
        <v>0</v>
      </c>
      <c r="O320" s="25">
        <v>38.07</v>
      </c>
      <c r="P320" s="25">
        <v>39.480200000000004</v>
      </c>
      <c r="Q320" s="25">
        <f t="shared" si="8"/>
        <v>64139.480199999998</v>
      </c>
      <c r="R320" s="25">
        <f t="shared" si="9"/>
        <v>0</v>
      </c>
    </row>
    <row r="321" spans="1:18" hidden="1" x14ac:dyDescent="0.25">
      <c r="A321" s="26">
        <v>43696</v>
      </c>
      <c r="B321" s="25" t="s">
        <v>1156</v>
      </c>
      <c r="C321" s="25" t="s">
        <v>23</v>
      </c>
      <c r="D321" s="25">
        <v>1000</v>
      </c>
      <c r="E321" s="25">
        <v>64.150000000000006</v>
      </c>
      <c r="F321" s="25">
        <v>64150</v>
      </c>
      <c r="G321" s="25" t="s">
        <v>1347</v>
      </c>
      <c r="H321" s="25">
        <v>2019156</v>
      </c>
      <c r="I321" s="25" t="s">
        <v>19</v>
      </c>
      <c r="J321" s="25" t="s">
        <v>20</v>
      </c>
      <c r="K321" s="25" t="s">
        <v>25</v>
      </c>
      <c r="L321" s="25">
        <v>16.079999999999998</v>
      </c>
      <c r="M321" s="25">
        <v>1.41</v>
      </c>
      <c r="N321" s="25">
        <v>0</v>
      </c>
      <c r="O321" s="25">
        <v>38.11</v>
      </c>
      <c r="P321" s="25">
        <v>55.601300000000002</v>
      </c>
      <c r="Q321" s="25">
        <f t="shared" si="8"/>
        <v>0</v>
      </c>
      <c r="R321" s="25">
        <f t="shared" si="9"/>
        <v>64094.398699999998</v>
      </c>
    </row>
    <row r="322" spans="1:18" hidden="1" x14ac:dyDescent="0.25">
      <c r="A322" s="26">
        <v>43696</v>
      </c>
      <c r="B322" s="25" t="s">
        <v>282</v>
      </c>
      <c r="C322" s="25" t="s">
        <v>17</v>
      </c>
      <c r="D322" s="25">
        <v>10</v>
      </c>
      <c r="E322" s="25">
        <v>219</v>
      </c>
      <c r="F322" s="25">
        <v>2190</v>
      </c>
      <c r="G322" s="25" t="s">
        <v>1348</v>
      </c>
      <c r="H322" s="25">
        <v>2019156</v>
      </c>
      <c r="I322" s="25" t="s">
        <v>19</v>
      </c>
      <c r="J322" s="25" t="s">
        <v>20</v>
      </c>
      <c r="K322" s="25" t="s">
        <v>25</v>
      </c>
      <c r="L322" s="25">
        <v>2.19</v>
      </c>
      <c r="M322" s="25">
        <v>0.05</v>
      </c>
      <c r="N322" s="25">
        <v>0</v>
      </c>
      <c r="O322" s="25">
        <v>41.31</v>
      </c>
      <c r="P322" s="25">
        <v>43.548200000000001</v>
      </c>
      <c r="Q322" s="25">
        <f t="shared" si="8"/>
        <v>2233.5482000000002</v>
      </c>
      <c r="R322" s="25">
        <f t="shared" si="9"/>
        <v>0</v>
      </c>
    </row>
    <row r="323" spans="1:18" hidden="1" x14ac:dyDescent="0.25">
      <c r="A323" s="26">
        <v>43693</v>
      </c>
      <c r="B323" s="25" t="s">
        <v>1156</v>
      </c>
      <c r="C323" s="25" t="s">
        <v>23</v>
      </c>
      <c r="D323" s="25">
        <v>1000</v>
      </c>
      <c r="E323" s="25">
        <v>62.5</v>
      </c>
      <c r="F323" s="25">
        <v>62500</v>
      </c>
      <c r="G323" s="25" t="s">
        <v>1349</v>
      </c>
      <c r="H323" s="25">
        <v>2019155</v>
      </c>
      <c r="I323" s="25" t="s">
        <v>19</v>
      </c>
      <c r="J323" s="25" t="s">
        <v>20</v>
      </c>
      <c r="K323" s="25" t="s">
        <v>25</v>
      </c>
      <c r="L323" s="25">
        <v>16.079999999999998</v>
      </c>
      <c r="M323" s="25">
        <v>1.38</v>
      </c>
      <c r="N323" s="25">
        <v>0</v>
      </c>
      <c r="O323" s="25">
        <v>37.119999999999997</v>
      </c>
      <c r="P323" s="25">
        <v>54.575000000000003</v>
      </c>
      <c r="Q323" s="25">
        <f t="shared" ref="Q323:Q386" si="10">IF(C323="Buy",F323+P323,0)</f>
        <v>0</v>
      </c>
      <c r="R323" s="25">
        <f t="shared" ref="R323:R386" si="11">IF(C323="Sell",F323-P323,0)</f>
        <v>62445.425000000003</v>
      </c>
    </row>
    <row r="324" spans="1:18" hidden="1" x14ac:dyDescent="0.25">
      <c r="A324" s="26">
        <v>43693</v>
      </c>
      <c r="B324" s="25" t="s">
        <v>1156</v>
      </c>
      <c r="C324" s="25" t="s">
        <v>23</v>
      </c>
      <c r="D324" s="25">
        <v>1000</v>
      </c>
      <c r="E324" s="25">
        <v>63.5</v>
      </c>
      <c r="F324" s="25">
        <v>63500</v>
      </c>
      <c r="G324" s="25" t="s">
        <v>1350</v>
      </c>
      <c r="H324" s="25">
        <v>2019155</v>
      </c>
      <c r="I324" s="25" t="s">
        <v>19</v>
      </c>
      <c r="J324" s="25" t="s">
        <v>20</v>
      </c>
      <c r="K324" s="25" t="s">
        <v>25</v>
      </c>
      <c r="L324" s="25">
        <v>16.53</v>
      </c>
      <c r="M324" s="25">
        <v>1.4</v>
      </c>
      <c r="N324" s="25">
        <v>0</v>
      </c>
      <c r="O324" s="25">
        <v>37.72</v>
      </c>
      <c r="P324" s="25">
        <v>55.646999999999998</v>
      </c>
      <c r="Q324" s="25">
        <f t="shared" si="10"/>
        <v>0</v>
      </c>
      <c r="R324" s="25">
        <f t="shared" si="11"/>
        <v>63444.353000000003</v>
      </c>
    </row>
    <row r="325" spans="1:18" hidden="1" x14ac:dyDescent="0.25">
      <c r="A325" s="26">
        <v>43693</v>
      </c>
      <c r="B325" s="25" t="s">
        <v>1156</v>
      </c>
      <c r="C325" s="25" t="s">
        <v>23</v>
      </c>
      <c r="D325" s="25">
        <v>1000</v>
      </c>
      <c r="E325" s="25">
        <v>64.2</v>
      </c>
      <c r="F325" s="25">
        <v>64200</v>
      </c>
      <c r="G325" s="25" t="s">
        <v>1351</v>
      </c>
      <c r="H325" s="25">
        <v>2019155</v>
      </c>
      <c r="I325" s="25" t="s">
        <v>19</v>
      </c>
      <c r="J325" s="25" t="s">
        <v>20</v>
      </c>
      <c r="K325" s="25" t="s">
        <v>25</v>
      </c>
      <c r="L325" s="25">
        <v>16.079999999999998</v>
      </c>
      <c r="M325" s="25">
        <v>1.41</v>
      </c>
      <c r="N325" s="25">
        <v>0</v>
      </c>
      <c r="O325" s="25">
        <v>38.130000000000003</v>
      </c>
      <c r="P325" s="25">
        <v>55.622399999999999</v>
      </c>
      <c r="Q325" s="25">
        <f t="shared" si="10"/>
        <v>0</v>
      </c>
      <c r="R325" s="25">
        <f t="shared" si="11"/>
        <v>64144.3776</v>
      </c>
    </row>
    <row r="326" spans="1:18" hidden="1" x14ac:dyDescent="0.25">
      <c r="A326" s="26">
        <v>43693</v>
      </c>
      <c r="B326" s="25" t="s">
        <v>1156</v>
      </c>
      <c r="C326" s="25" t="s">
        <v>23</v>
      </c>
      <c r="D326" s="25">
        <v>1000</v>
      </c>
      <c r="E326" s="25">
        <v>64.5</v>
      </c>
      <c r="F326" s="25">
        <v>64500</v>
      </c>
      <c r="G326" s="25" t="s">
        <v>1352</v>
      </c>
      <c r="H326" s="25">
        <v>2019155</v>
      </c>
      <c r="I326" s="25" t="s">
        <v>19</v>
      </c>
      <c r="J326" s="25" t="s">
        <v>20</v>
      </c>
      <c r="K326" s="25" t="s">
        <v>25</v>
      </c>
      <c r="L326" s="25">
        <v>16.079999999999998</v>
      </c>
      <c r="M326" s="25">
        <v>1.42</v>
      </c>
      <c r="N326" s="25">
        <v>0</v>
      </c>
      <c r="O326" s="25">
        <v>38.31</v>
      </c>
      <c r="P326" s="25">
        <v>55.808999999999997</v>
      </c>
      <c r="Q326" s="25">
        <f t="shared" si="10"/>
        <v>0</v>
      </c>
      <c r="R326" s="25">
        <f t="shared" si="11"/>
        <v>64444.190999999999</v>
      </c>
    </row>
    <row r="327" spans="1:18" hidden="1" x14ac:dyDescent="0.25">
      <c r="A327" s="26">
        <v>43693</v>
      </c>
      <c r="B327" s="25" t="s">
        <v>1156</v>
      </c>
      <c r="C327" s="25" t="s">
        <v>23</v>
      </c>
      <c r="D327" s="25">
        <v>3000</v>
      </c>
      <c r="E327" s="25">
        <v>65</v>
      </c>
      <c r="F327" s="25">
        <v>195000</v>
      </c>
      <c r="G327" s="25" t="s">
        <v>1353</v>
      </c>
      <c r="H327" s="25">
        <v>2019155</v>
      </c>
      <c r="I327" s="25" t="s">
        <v>19</v>
      </c>
      <c r="J327" s="25" t="s">
        <v>20</v>
      </c>
      <c r="K327" s="25" t="s">
        <v>25</v>
      </c>
      <c r="L327" s="25">
        <v>48.23</v>
      </c>
      <c r="M327" s="25">
        <v>4.29</v>
      </c>
      <c r="N327" s="25">
        <v>0</v>
      </c>
      <c r="O327" s="25">
        <v>115.82</v>
      </c>
      <c r="P327" s="25">
        <v>168.34</v>
      </c>
      <c r="Q327" s="25">
        <f t="shared" si="10"/>
        <v>0</v>
      </c>
      <c r="R327" s="25">
        <f t="shared" si="11"/>
        <v>194831.66</v>
      </c>
    </row>
    <row r="328" spans="1:18" hidden="1" x14ac:dyDescent="0.25">
      <c r="A328" s="26">
        <v>43693</v>
      </c>
      <c r="B328" s="25" t="s">
        <v>1156</v>
      </c>
      <c r="C328" s="25" t="s">
        <v>17</v>
      </c>
      <c r="D328" s="25">
        <v>7000</v>
      </c>
      <c r="E328" s="25">
        <v>64.38</v>
      </c>
      <c r="F328" s="25">
        <v>450680.25</v>
      </c>
      <c r="G328" s="25" t="s">
        <v>1354</v>
      </c>
      <c r="H328" s="25">
        <v>2019155</v>
      </c>
      <c r="I328" s="25" t="s">
        <v>19</v>
      </c>
      <c r="J328" s="25" t="s">
        <v>20</v>
      </c>
      <c r="K328" s="25" t="s">
        <v>25</v>
      </c>
      <c r="L328" s="25">
        <v>0</v>
      </c>
      <c r="M328" s="25">
        <v>9.92</v>
      </c>
      <c r="N328" s="25">
        <v>27.3</v>
      </c>
      <c r="O328" s="25">
        <v>267.7</v>
      </c>
      <c r="P328" s="25">
        <v>304.91520000000003</v>
      </c>
      <c r="Q328" s="25">
        <f t="shared" si="10"/>
        <v>450985.16519999999</v>
      </c>
      <c r="R328" s="25">
        <f t="shared" si="11"/>
        <v>0</v>
      </c>
    </row>
    <row r="329" spans="1:18" hidden="1" x14ac:dyDescent="0.25">
      <c r="A329" s="26">
        <v>43691</v>
      </c>
      <c r="B329" s="25" t="s">
        <v>291</v>
      </c>
      <c r="C329" s="25" t="s">
        <v>23</v>
      </c>
      <c r="D329" s="25">
        <v>500</v>
      </c>
      <c r="E329" s="25">
        <v>94.5</v>
      </c>
      <c r="F329" s="25">
        <v>47250</v>
      </c>
      <c r="G329" s="25" t="s">
        <v>1355</v>
      </c>
      <c r="H329" s="25">
        <v>2019154</v>
      </c>
      <c r="I329" s="25" t="s">
        <v>19</v>
      </c>
      <c r="J329" s="25" t="s">
        <v>20</v>
      </c>
      <c r="K329" s="25" t="s">
        <v>25</v>
      </c>
      <c r="L329" s="25">
        <v>11.79</v>
      </c>
      <c r="M329" s="25">
        <v>1.04</v>
      </c>
      <c r="N329" s="25">
        <v>20.399999999999999</v>
      </c>
      <c r="O329" s="25">
        <v>29.69</v>
      </c>
      <c r="P329" s="25">
        <v>62.919600000000003</v>
      </c>
      <c r="Q329" s="25">
        <f t="shared" si="10"/>
        <v>0</v>
      </c>
      <c r="R329" s="25">
        <f t="shared" si="11"/>
        <v>47187.080399999999</v>
      </c>
    </row>
    <row r="330" spans="1:18" hidden="1" x14ac:dyDescent="0.25">
      <c r="A330" s="26">
        <v>43691</v>
      </c>
      <c r="B330" s="25" t="s">
        <v>291</v>
      </c>
      <c r="C330" s="25" t="s">
        <v>17</v>
      </c>
      <c r="D330" s="25">
        <v>500</v>
      </c>
      <c r="E330" s="25">
        <v>94.15</v>
      </c>
      <c r="F330" s="25">
        <v>47075</v>
      </c>
      <c r="G330" s="25" t="s">
        <v>1356</v>
      </c>
      <c r="H330" s="25">
        <v>2019154</v>
      </c>
      <c r="I330" s="25" t="s">
        <v>19</v>
      </c>
      <c r="J330" s="25" t="s">
        <v>20</v>
      </c>
      <c r="K330" s="25" t="s">
        <v>25</v>
      </c>
      <c r="L330" s="25">
        <v>0</v>
      </c>
      <c r="M330" s="25">
        <v>1.04</v>
      </c>
      <c r="N330" s="25">
        <v>0</v>
      </c>
      <c r="O330" s="25">
        <v>29.69</v>
      </c>
      <c r="P330" s="25">
        <v>30.7256</v>
      </c>
      <c r="Q330" s="25">
        <f t="shared" si="10"/>
        <v>47105.725599999998</v>
      </c>
      <c r="R330" s="25">
        <f t="shared" si="11"/>
        <v>0</v>
      </c>
    </row>
    <row r="331" spans="1:18" hidden="1" x14ac:dyDescent="0.25">
      <c r="A331" s="26">
        <v>43691</v>
      </c>
      <c r="B331" s="25" t="s">
        <v>1156</v>
      </c>
      <c r="C331" s="25" t="s">
        <v>17</v>
      </c>
      <c r="D331" s="25">
        <v>2095</v>
      </c>
      <c r="E331" s="25">
        <v>63.45</v>
      </c>
      <c r="F331" s="25">
        <v>132927.75</v>
      </c>
      <c r="G331" s="25" t="s">
        <v>1357</v>
      </c>
      <c r="H331" s="25">
        <v>2019154</v>
      </c>
      <c r="I331" s="25" t="s">
        <v>19</v>
      </c>
      <c r="J331" s="25" t="s">
        <v>20</v>
      </c>
      <c r="K331" s="25" t="s">
        <v>25</v>
      </c>
      <c r="L331" s="25">
        <v>0</v>
      </c>
      <c r="M331" s="25">
        <v>2.92</v>
      </c>
      <c r="N331" s="25">
        <v>0</v>
      </c>
      <c r="O331" s="25">
        <v>78.959999999999994</v>
      </c>
      <c r="P331" s="25">
        <v>81.884299999999996</v>
      </c>
      <c r="Q331" s="25">
        <f t="shared" si="10"/>
        <v>133009.63430000001</v>
      </c>
      <c r="R331" s="25">
        <f t="shared" si="11"/>
        <v>0</v>
      </c>
    </row>
    <row r="332" spans="1:18" hidden="1" x14ac:dyDescent="0.25">
      <c r="A332" s="26">
        <v>43691</v>
      </c>
      <c r="B332" s="25" t="s">
        <v>1156</v>
      </c>
      <c r="C332" s="25" t="s">
        <v>23</v>
      </c>
      <c r="D332" s="25">
        <v>2095</v>
      </c>
      <c r="E332" s="25">
        <v>63.7</v>
      </c>
      <c r="F332" s="25">
        <v>133451.5</v>
      </c>
      <c r="G332" s="25" t="s">
        <v>1358</v>
      </c>
      <c r="H332" s="25">
        <v>2019154</v>
      </c>
      <c r="I332" s="25" t="s">
        <v>19</v>
      </c>
      <c r="J332" s="25" t="s">
        <v>20</v>
      </c>
      <c r="K332" s="25" t="s">
        <v>25</v>
      </c>
      <c r="L332" s="25">
        <v>33.29</v>
      </c>
      <c r="M332" s="25">
        <v>2.94</v>
      </c>
      <c r="N332" s="25">
        <v>0</v>
      </c>
      <c r="O332" s="25">
        <v>79.27</v>
      </c>
      <c r="P332" s="25">
        <v>115.496</v>
      </c>
      <c r="Q332" s="25">
        <f t="shared" si="10"/>
        <v>0</v>
      </c>
      <c r="R332" s="25">
        <f t="shared" si="11"/>
        <v>133336.00399999999</v>
      </c>
    </row>
    <row r="333" spans="1:18" hidden="1" x14ac:dyDescent="0.25">
      <c r="A333" s="26">
        <v>43691</v>
      </c>
      <c r="B333" s="25" t="s">
        <v>1156</v>
      </c>
      <c r="C333" s="25" t="s">
        <v>23</v>
      </c>
      <c r="D333" s="25">
        <v>1000</v>
      </c>
      <c r="E333" s="25">
        <v>63.5</v>
      </c>
      <c r="F333" s="25">
        <v>63500</v>
      </c>
      <c r="G333" s="25" t="s">
        <v>1359</v>
      </c>
      <c r="H333" s="25">
        <v>2019154</v>
      </c>
      <c r="I333" s="25" t="s">
        <v>19</v>
      </c>
      <c r="J333" s="25" t="s">
        <v>20</v>
      </c>
      <c r="K333" s="25" t="s">
        <v>25</v>
      </c>
      <c r="L333" s="25">
        <v>15.89</v>
      </c>
      <c r="M333" s="25">
        <v>1.4</v>
      </c>
      <c r="N333" s="25">
        <v>0</v>
      </c>
      <c r="O333" s="25">
        <v>37.72</v>
      </c>
      <c r="P333" s="25">
        <v>55.006999999999998</v>
      </c>
      <c r="Q333" s="25">
        <f t="shared" si="10"/>
        <v>0</v>
      </c>
      <c r="R333" s="25">
        <f t="shared" si="11"/>
        <v>63444.993000000002</v>
      </c>
    </row>
    <row r="334" spans="1:18" hidden="1" x14ac:dyDescent="0.25">
      <c r="A334" s="26">
        <v>43691</v>
      </c>
      <c r="B334" s="25" t="s">
        <v>665</v>
      </c>
      <c r="C334" s="25" t="s">
        <v>23</v>
      </c>
      <c r="D334" s="25">
        <v>2000</v>
      </c>
      <c r="E334" s="25">
        <v>47</v>
      </c>
      <c r="F334" s="25">
        <v>94000</v>
      </c>
      <c r="G334" s="25" t="s">
        <v>1360</v>
      </c>
      <c r="H334" s="25">
        <v>2019154</v>
      </c>
      <c r="I334" s="25" t="s">
        <v>19</v>
      </c>
      <c r="J334" s="25" t="s">
        <v>20</v>
      </c>
      <c r="K334" s="25" t="s">
        <v>25</v>
      </c>
      <c r="L334" s="25">
        <v>23.02</v>
      </c>
      <c r="M334" s="25">
        <v>2.0699999999999998</v>
      </c>
      <c r="N334" s="25">
        <v>0</v>
      </c>
      <c r="O334" s="25">
        <v>55.84</v>
      </c>
      <c r="P334" s="25">
        <v>80.928700000000006</v>
      </c>
      <c r="Q334" s="25">
        <f t="shared" si="10"/>
        <v>0</v>
      </c>
      <c r="R334" s="25">
        <f t="shared" si="11"/>
        <v>93919.071299999996</v>
      </c>
    </row>
    <row r="335" spans="1:18" hidden="1" x14ac:dyDescent="0.25">
      <c r="A335" s="26">
        <v>43691</v>
      </c>
      <c r="B335" s="25" t="s">
        <v>665</v>
      </c>
      <c r="C335" s="25" t="s">
        <v>17</v>
      </c>
      <c r="D335" s="25">
        <v>2000</v>
      </c>
      <c r="E335" s="25">
        <v>46.25</v>
      </c>
      <c r="F335" s="25">
        <v>92500</v>
      </c>
      <c r="G335" s="25" t="s">
        <v>1361</v>
      </c>
      <c r="H335" s="25">
        <v>2019154</v>
      </c>
      <c r="I335" s="25" t="s">
        <v>19</v>
      </c>
      <c r="J335" s="25" t="s">
        <v>20</v>
      </c>
      <c r="K335" s="25" t="s">
        <v>25</v>
      </c>
      <c r="L335" s="25">
        <v>0</v>
      </c>
      <c r="M335" s="25">
        <v>2.04</v>
      </c>
      <c r="N335" s="25">
        <v>0</v>
      </c>
      <c r="O335" s="25">
        <v>54.94</v>
      </c>
      <c r="P335" s="25">
        <v>56.975000000000001</v>
      </c>
      <c r="Q335" s="25">
        <f t="shared" si="10"/>
        <v>92556.975000000006</v>
      </c>
      <c r="R335" s="25">
        <f t="shared" si="11"/>
        <v>0</v>
      </c>
    </row>
    <row r="336" spans="1:18" hidden="1" x14ac:dyDescent="0.25">
      <c r="A336" s="26">
        <v>43691</v>
      </c>
      <c r="B336" s="25" t="s">
        <v>1156</v>
      </c>
      <c r="C336" s="25" t="s">
        <v>17</v>
      </c>
      <c r="D336" s="25">
        <v>1000</v>
      </c>
      <c r="E336" s="25">
        <v>63.6</v>
      </c>
      <c r="F336" s="25">
        <v>63600</v>
      </c>
      <c r="G336" s="25" t="s">
        <v>1362</v>
      </c>
      <c r="H336" s="25">
        <v>2019154</v>
      </c>
      <c r="I336" s="25" t="s">
        <v>19</v>
      </c>
      <c r="J336" s="25" t="s">
        <v>20</v>
      </c>
      <c r="K336" s="25" t="s">
        <v>25</v>
      </c>
      <c r="L336" s="25">
        <v>0</v>
      </c>
      <c r="M336" s="25">
        <v>1.4</v>
      </c>
      <c r="N336" s="25">
        <v>0</v>
      </c>
      <c r="O336" s="25">
        <v>37.78</v>
      </c>
      <c r="P336" s="25">
        <v>39.179200000000002</v>
      </c>
      <c r="Q336" s="25">
        <f t="shared" si="10"/>
        <v>63639.179199999999</v>
      </c>
      <c r="R336" s="25">
        <f t="shared" si="11"/>
        <v>0</v>
      </c>
    </row>
    <row r="337" spans="1:18" hidden="1" x14ac:dyDescent="0.25">
      <c r="A337" s="26">
        <v>43690</v>
      </c>
      <c r="B337" s="25" t="s">
        <v>1156</v>
      </c>
      <c r="C337" s="25" t="s">
        <v>23</v>
      </c>
      <c r="D337" s="25">
        <v>250</v>
      </c>
      <c r="E337" s="25">
        <v>64.55</v>
      </c>
      <c r="F337" s="25">
        <v>16137.5</v>
      </c>
      <c r="G337" s="25" t="s">
        <v>1363</v>
      </c>
      <c r="H337" s="25">
        <v>2019153</v>
      </c>
      <c r="I337" s="25" t="s">
        <v>19</v>
      </c>
      <c r="J337" s="25" t="s">
        <v>20</v>
      </c>
      <c r="K337" s="25" t="s">
        <v>25</v>
      </c>
      <c r="L337" s="25">
        <v>3.98</v>
      </c>
      <c r="M337" s="25">
        <v>0.36</v>
      </c>
      <c r="N337" s="25">
        <v>2.1</v>
      </c>
      <c r="O337" s="25">
        <v>29.56</v>
      </c>
      <c r="P337" s="25">
        <v>35.994999999999997</v>
      </c>
      <c r="Q337" s="25">
        <f t="shared" si="10"/>
        <v>0</v>
      </c>
      <c r="R337" s="25">
        <f t="shared" si="11"/>
        <v>16101.504999999999</v>
      </c>
    </row>
    <row r="338" spans="1:18" hidden="1" x14ac:dyDescent="0.25">
      <c r="A338" s="26">
        <v>43690</v>
      </c>
      <c r="B338" s="25" t="s">
        <v>1156</v>
      </c>
      <c r="C338" s="25" t="s">
        <v>23</v>
      </c>
      <c r="D338" s="25">
        <v>250</v>
      </c>
      <c r="E338" s="25">
        <v>65.05</v>
      </c>
      <c r="F338" s="25">
        <v>16262.5</v>
      </c>
      <c r="G338" s="25" t="s">
        <v>1364</v>
      </c>
      <c r="H338" s="25">
        <v>2019153</v>
      </c>
      <c r="I338" s="25" t="s">
        <v>19</v>
      </c>
      <c r="J338" s="25" t="s">
        <v>20</v>
      </c>
      <c r="K338" s="25" t="s">
        <v>25</v>
      </c>
      <c r="L338" s="25">
        <v>4.03</v>
      </c>
      <c r="M338" s="25">
        <v>0.36</v>
      </c>
      <c r="N338" s="25">
        <v>0</v>
      </c>
      <c r="O338" s="25">
        <v>29.56</v>
      </c>
      <c r="P338" s="25">
        <v>33.947800000000001</v>
      </c>
      <c r="Q338" s="25">
        <f t="shared" si="10"/>
        <v>0</v>
      </c>
      <c r="R338" s="25">
        <f t="shared" si="11"/>
        <v>16228.5522</v>
      </c>
    </row>
    <row r="339" spans="1:18" hidden="1" x14ac:dyDescent="0.25">
      <c r="A339" s="26">
        <v>43690</v>
      </c>
      <c r="B339" s="25" t="s">
        <v>1156</v>
      </c>
      <c r="C339" s="25" t="s">
        <v>17</v>
      </c>
      <c r="D339" s="25">
        <v>500</v>
      </c>
      <c r="E339" s="25">
        <v>64</v>
      </c>
      <c r="F339" s="25">
        <v>32000</v>
      </c>
      <c r="G339" s="25" t="s">
        <v>1365</v>
      </c>
      <c r="H339" s="25">
        <v>2019153</v>
      </c>
      <c r="I339" s="25" t="s">
        <v>19</v>
      </c>
      <c r="J339" s="25" t="s">
        <v>20</v>
      </c>
      <c r="K339" s="25" t="s">
        <v>25</v>
      </c>
      <c r="L339" s="25">
        <v>0</v>
      </c>
      <c r="M339" s="25">
        <v>0.7</v>
      </c>
      <c r="N339" s="25">
        <v>0</v>
      </c>
      <c r="O339" s="25">
        <v>29.63</v>
      </c>
      <c r="P339" s="25">
        <v>30.334</v>
      </c>
      <c r="Q339" s="25">
        <f t="shared" si="10"/>
        <v>32030.333999999999</v>
      </c>
      <c r="R339" s="25">
        <f t="shared" si="11"/>
        <v>0</v>
      </c>
    </row>
    <row r="340" spans="1:18" hidden="1" x14ac:dyDescent="0.25">
      <c r="A340" s="26">
        <v>43686</v>
      </c>
      <c r="B340" s="25" t="s">
        <v>1366</v>
      </c>
      <c r="C340" s="25" t="s">
        <v>17</v>
      </c>
      <c r="D340" s="25">
        <v>25</v>
      </c>
      <c r="E340" s="25">
        <v>778.8</v>
      </c>
      <c r="F340" s="25">
        <v>19470</v>
      </c>
      <c r="G340" s="25" t="s">
        <v>1367</v>
      </c>
      <c r="H340" s="25">
        <v>2019152</v>
      </c>
      <c r="I340" s="25" t="s">
        <v>19</v>
      </c>
      <c r="J340" s="25" t="s">
        <v>20</v>
      </c>
      <c r="K340" s="25" t="s">
        <v>25</v>
      </c>
      <c r="L340" s="25">
        <v>0</v>
      </c>
      <c r="M340" s="25">
        <v>0.7</v>
      </c>
      <c r="N340" s="25">
        <v>0</v>
      </c>
      <c r="O340" s="25">
        <v>29.63</v>
      </c>
      <c r="P340" s="25">
        <v>30.331</v>
      </c>
      <c r="Q340" s="25">
        <f t="shared" si="10"/>
        <v>19500.330999999998</v>
      </c>
      <c r="R340" s="25">
        <f t="shared" si="11"/>
        <v>0</v>
      </c>
    </row>
    <row r="341" spans="1:18" hidden="1" x14ac:dyDescent="0.25">
      <c r="A341" s="26">
        <v>43686</v>
      </c>
      <c r="B341" s="25" t="s">
        <v>1128</v>
      </c>
      <c r="C341" s="25" t="s">
        <v>23</v>
      </c>
      <c r="D341" s="25">
        <v>1000</v>
      </c>
      <c r="E341" s="25">
        <v>111.95</v>
      </c>
      <c r="F341" s="25">
        <v>111950</v>
      </c>
      <c r="G341" s="25" t="s">
        <v>1368</v>
      </c>
      <c r="H341" s="25">
        <v>2019152</v>
      </c>
      <c r="I341" s="25" t="s">
        <v>19</v>
      </c>
      <c r="J341" s="25" t="s">
        <v>20</v>
      </c>
      <c r="K341" s="25" t="s">
        <v>25</v>
      </c>
      <c r="L341" s="25">
        <v>27.73</v>
      </c>
      <c r="M341" s="25">
        <v>4.03</v>
      </c>
      <c r="N341" s="25">
        <v>0</v>
      </c>
      <c r="O341" s="25">
        <v>66.77</v>
      </c>
      <c r="P341" s="25">
        <v>98.530199999999994</v>
      </c>
      <c r="Q341" s="25">
        <f t="shared" si="10"/>
        <v>0</v>
      </c>
      <c r="R341" s="25">
        <f t="shared" si="11"/>
        <v>111851.46980000001</v>
      </c>
    </row>
    <row r="342" spans="1:18" hidden="1" x14ac:dyDescent="0.25">
      <c r="A342" s="26">
        <v>43686</v>
      </c>
      <c r="B342" s="25" t="s">
        <v>1128</v>
      </c>
      <c r="C342" s="25" t="s">
        <v>17</v>
      </c>
      <c r="D342" s="25">
        <v>1000</v>
      </c>
      <c r="E342" s="25">
        <v>111.15</v>
      </c>
      <c r="F342" s="25">
        <v>111150</v>
      </c>
      <c r="G342" s="25" t="s">
        <v>1369</v>
      </c>
      <c r="H342" s="25">
        <v>2019152</v>
      </c>
      <c r="I342" s="25" t="s">
        <v>19</v>
      </c>
      <c r="J342" s="25" t="s">
        <v>20</v>
      </c>
      <c r="K342" s="25" t="s">
        <v>25</v>
      </c>
      <c r="L342" s="25">
        <v>0</v>
      </c>
      <c r="M342" s="25">
        <v>4</v>
      </c>
      <c r="N342" s="25">
        <v>0</v>
      </c>
      <c r="O342" s="25">
        <v>66.290000000000006</v>
      </c>
      <c r="P342" s="25">
        <v>70.291399999999996</v>
      </c>
      <c r="Q342" s="25">
        <f t="shared" si="10"/>
        <v>111220.2914</v>
      </c>
      <c r="R342" s="25">
        <f t="shared" si="11"/>
        <v>0</v>
      </c>
    </row>
    <row r="343" spans="1:18" hidden="1" x14ac:dyDescent="0.25">
      <c r="A343" s="26">
        <v>43686</v>
      </c>
      <c r="B343" s="25" t="s">
        <v>1366</v>
      </c>
      <c r="C343" s="25" t="s">
        <v>23</v>
      </c>
      <c r="D343" s="25">
        <v>100</v>
      </c>
      <c r="E343" s="25">
        <v>772</v>
      </c>
      <c r="F343" s="25">
        <v>77200</v>
      </c>
      <c r="G343" s="25" t="s">
        <v>1370</v>
      </c>
      <c r="H343" s="25">
        <v>2019152</v>
      </c>
      <c r="I343" s="25" t="s">
        <v>19</v>
      </c>
      <c r="J343" s="25" t="s">
        <v>20</v>
      </c>
      <c r="K343" s="25" t="s">
        <v>25</v>
      </c>
      <c r="L343" s="25">
        <v>19.27</v>
      </c>
      <c r="M343" s="25">
        <v>2.78</v>
      </c>
      <c r="N343" s="25">
        <v>0</v>
      </c>
      <c r="O343" s="25">
        <v>46.05</v>
      </c>
      <c r="P343" s="25">
        <v>68.099199999999996</v>
      </c>
      <c r="Q343" s="25">
        <f t="shared" si="10"/>
        <v>0</v>
      </c>
      <c r="R343" s="25">
        <f t="shared" si="11"/>
        <v>77131.900800000003</v>
      </c>
    </row>
    <row r="344" spans="1:18" hidden="1" x14ac:dyDescent="0.25">
      <c r="A344" s="26">
        <v>43686</v>
      </c>
      <c r="B344" s="25" t="s">
        <v>1366</v>
      </c>
      <c r="C344" s="25" t="s">
        <v>17</v>
      </c>
      <c r="D344" s="25">
        <v>25</v>
      </c>
      <c r="E344" s="25">
        <v>777</v>
      </c>
      <c r="F344" s="25">
        <v>19425</v>
      </c>
      <c r="G344" s="25" t="s">
        <v>1371</v>
      </c>
      <c r="H344" s="25">
        <v>2019152</v>
      </c>
      <c r="I344" s="25" t="s">
        <v>19</v>
      </c>
      <c r="J344" s="25" t="s">
        <v>20</v>
      </c>
      <c r="K344" s="25" t="s">
        <v>25</v>
      </c>
      <c r="L344" s="25">
        <v>0</v>
      </c>
      <c r="M344" s="25">
        <v>0.7</v>
      </c>
      <c r="N344" s="25">
        <v>11.4</v>
      </c>
      <c r="O344" s="25">
        <v>29.63</v>
      </c>
      <c r="P344" s="25">
        <v>41.729300000000002</v>
      </c>
      <c r="Q344" s="25">
        <f t="shared" si="10"/>
        <v>19466.729299999999</v>
      </c>
      <c r="R344" s="25">
        <f t="shared" si="11"/>
        <v>0</v>
      </c>
    </row>
    <row r="345" spans="1:18" hidden="1" x14ac:dyDescent="0.25">
      <c r="A345" s="26">
        <v>43686</v>
      </c>
      <c r="B345" s="25" t="s">
        <v>1366</v>
      </c>
      <c r="C345" s="25" t="s">
        <v>17</v>
      </c>
      <c r="D345" s="25">
        <v>50</v>
      </c>
      <c r="E345" s="25">
        <v>762</v>
      </c>
      <c r="F345" s="25">
        <v>38100</v>
      </c>
      <c r="G345" s="25" t="s">
        <v>1372</v>
      </c>
      <c r="H345" s="25">
        <v>2019152</v>
      </c>
      <c r="I345" s="25" t="s">
        <v>19</v>
      </c>
      <c r="J345" s="25" t="s">
        <v>20</v>
      </c>
      <c r="K345" s="25" t="s">
        <v>25</v>
      </c>
      <c r="L345" s="25">
        <v>0</v>
      </c>
      <c r="M345" s="25">
        <v>1.37</v>
      </c>
      <c r="N345" s="25">
        <v>0</v>
      </c>
      <c r="O345" s="25">
        <v>29.75</v>
      </c>
      <c r="P345" s="25">
        <v>31.121600000000001</v>
      </c>
      <c r="Q345" s="25">
        <f t="shared" si="10"/>
        <v>38131.121599999999</v>
      </c>
      <c r="R345" s="25">
        <f t="shared" si="11"/>
        <v>0</v>
      </c>
    </row>
    <row r="346" spans="1:18" hidden="1" x14ac:dyDescent="0.25">
      <c r="A346" s="26">
        <v>43685</v>
      </c>
      <c r="B346" s="25" t="s">
        <v>1156</v>
      </c>
      <c r="C346" s="25" t="s">
        <v>23</v>
      </c>
      <c r="D346" s="25">
        <v>2500</v>
      </c>
      <c r="E346" s="25">
        <v>62</v>
      </c>
      <c r="F346" s="25">
        <v>155000</v>
      </c>
      <c r="G346" s="25" t="s">
        <v>1373</v>
      </c>
      <c r="H346" s="25">
        <v>2019151</v>
      </c>
      <c r="I346" s="25" t="s">
        <v>19</v>
      </c>
      <c r="J346" s="25" t="s">
        <v>20</v>
      </c>
      <c r="K346" s="25" t="s">
        <v>25</v>
      </c>
      <c r="L346" s="25">
        <v>39.64</v>
      </c>
      <c r="M346" s="25">
        <v>5.58</v>
      </c>
      <c r="N346" s="25">
        <v>0</v>
      </c>
      <c r="O346" s="25">
        <v>92.45</v>
      </c>
      <c r="P346" s="25">
        <v>137.66999999999999</v>
      </c>
      <c r="Q346" s="25">
        <f t="shared" si="10"/>
        <v>0</v>
      </c>
      <c r="R346" s="25">
        <f t="shared" si="11"/>
        <v>154862.32999999999</v>
      </c>
    </row>
    <row r="347" spans="1:18" hidden="1" x14ac:dyDescent="0.25">
      <c r="A347" s="26">
        <v>43685</v>
      </c>
      <c r="B347" s="25" t="s">
        <v>1156</v>
      </c>
      <c r="C347" s="25" t="s">
        <v>17</v>
      </c>
      <c r="D347" s="25">
        <v>10000</v>
      </c>
      <c r="E347" s="25">
        <v>63.5</v>
      </c>
      <c r="F347" s="25">
        <v>635000</v>
      </c>
      <c r="G347" s="25" t="s">
        <v>1374</v>
      </c>
      <c r="H347" s="25">
        <v>2019151</v>
      </c>
      <c r="I347" s="25" t="s">
        <v>19</v>
      </c>
      <c r="J347" s="25" t="s">
        <v>20</v>
      </c>
      <c r="K347" s="25" t="s">
        <v>25</v>
      </c>
      <c r="L347" s="25">
        <v>0</v>
      </c>
      <c r="M347" s="25">
        <v>22.86</v>
      </c>
      <c r="N347" s="25">
        <v>0</v>
      </c>
      <c r="O347" s="25">
        <v>378.76</v>
      </c>
      <c r="P347" s="25">
        <v>401.62</v>
      </c>
      <c r="Q347" s="25">
        <f t="shared" si="10"/>
        <v>635401.62</v>
      </c>
      <c r="R347" s="25">
        <f t="shared" si="11"/>
        <v>0</v>
      </c>
    </row>
    <row r="348" spans="1:18" hidden="1" x14ac:dyDescent="0.25">
      <c r="A348" s="26">
        <v>43685</v>
      </c>
      <c r="B348" s="25" t="s">
        <v>1156</v>
      </c>
      <c r="C348" s="25" t="s">
        <v>23</v>
      </c>
      <c r="D348" s="25">
        <v>2500</v>
      </c>
      <c r="E348" s="25">
        <v>63</v>
      </c>
      <c r="F348" s="25">
        <v>157500</v>
      </c>
      <c r="G348" s="25" t="s">
        <v>1375</v>
      </c>
      <c r="H348" s="25">
        <v>2019151</v>
      </c>
      <c r="I348" s="25" t="s">
        <v>19</v>
      </c>
      <c r="J348" s="25" t="s">
        <v>20</v>
      </c>
      <c r="K348" s="25" t="s">
        <v>25</v>
      </c>
      <c r="L348" s="25">
        <v>39.64</v>
      </c>
      <c r="M348" s="25">
        <v>5.67</v>
      </c>
      <c r="N348" s="25">
        <v>0</v>
      </c>
      <c r="O348" s="25">
        <v>93.95</v>
      </c>
      <c r="P348" s="25">
        <v>139.26</v>
      </c>
      <c r="Q348" s="25">
        <f t="shared" si="10"/>
        <v>0</v>
      </c>
      <c r="R348" s="25">
        <f t="shared" si="11"/>
        <v>157360.74</v>
      </c>
    </row>
    <row r="349" spans="1:18" hidden="1" x14ac:dyDescent="0.25">
      <c r="A349" s="26">
        <v>43685</v>
      </c>
      <c r="B349" s="25" t="s">
        <v>1156</v>
      </c>
      <c r="C349" s="25" t="s">
        <v>23</v>
      </c>
      <c r="D349" s="25">
        <v>5000</v>
      </c>
      <c r="E349" s="25">
        <v>64.2</v>
      </c>
      <c r="F349" s="25">
        <v>321000</v>
      </c>
      <c r="G349" s="25" t="s">
        <v>1376</v>
      </c>
      <c r="H349" s="25">
        <v>2019151</v>
      </c>
      <c r="I349" s="25" t="s">
        <v>19</v>
      </c>
      <c r="J349" s="25" t="s">
        <v>20</v>
      </c>
      <c r="K349" s="25" t="s">
        <v>25</v>
      </c>
      <c r="L349" s="25">
        <v>78.89</v>
      </c>
      <c r="M349" s="25">
        <v>11.56</v>
      </c>
      <c r="N349" s="25">
        <v>38.4</v>
      </c>
      <c r="O349" s="25">
        <v>191.48</v>
      </c>
      <c r="P349" s="25">
        <v>320.32600000000002</v>
      </c>
      <c r="Q349" s="25">
        <f t="shared" si="10"/>
        <v>0</v>
      </c>
      <c r="R349" s="25">
        <f t="shared" si="11"/>
        <v>320679.674</v>
      </c>
    </row>
    <row r="350" spans="1:18" hidden="1" x14ac:dyDescent="0.25">
      <c r="A350" s="26">
        <v>43685</v>
      </c>
      <c r="B350" s="25" t="s">
        <v>16</v>
      </c>
      <c r="C350" s="25" t="s">
        <v>17</v>
      </c>
      <c r="D350" s="25">
        <v>100</v>
      </c>
      <c r="E350" s="25">
        <v>18.25</v>
      </c>
      <c r="F350" s="25">
        <v>1825</v>
      </c>
      <c r="G350" s="25" t="s">
        <v>1377</v>
      </c>
      <c r="H350" s="25">
        <v>2019151</v>
      </c>
      <c r="I350" s="25" t="s">
        <v>19</v>
      </c>
      <c r="J350" s="25" t="s">
        <v>20</v>
      </c>
      <c r="K350" s="25" t="s">
        <v>25</v>
      </c>
      <c r="L350" s="25">
        <v>1.83</v>
      </c>
      <c r="M350" s="25">
        <v>7.0000000000000007E-2</v>
      </c>
      <c r="N350" s="25">
        <v>0</v>
      </c>
      <c r="O350" s="25">
        <v>41.31</v>
      </c>
      <c r="P350" s="25">
        <v>43.2057</v>
      </c>
      <c r="Q350" s="25">
        <f t="shared" si="10"/>
        <v>1868.2057</v>
      </c>
      <c r="R350" s="25">
        <f t="shared" si="11"/>
        <v>0</v>
      </c>
    </row>
    <row r="351" spans="1:18" hidden="1" x14ac:dyDescent="0.25">
      <c r="A351" s="26">
        <v>43684</v>
      </c>
      <c r="B351" s="25" t="s">
        <v>111</v>
      </c>
      <c r="C351" s="25" t="s">
        <v>17</v>
      </c>
      <c r="D351" s="25">
        <v>100</v>
      </c>
      <c r="E351" s="25">
        <v>427.25</v>
      </c>
      <c r="F351" s="25">
        <v>42725</v>
      </c>
      <c r="G351" s="25" t="s">
        <v>1378</v>
      </c>
      <c r="H351" s="25">
        <v>2019150</v>
      </c>
      <c r="I351" s="25" t="s">
        <v>19</v>
      </c>
      <c r="J351" s="25" t="s">
        <v>20</v>
      </c>
      <c r="K351" s="25" t="s">
        <v>25</v>
      </c>
      <c r="L351" s="25">
        <v>0</v>
      </c>
      <c r="M351" s="25">
        <v>1.54</v>
      </c>
      <c r="N351" s="25">
        <v>7.8</v>
      </c>
      <c r="O351" s="25">
        <v>29.78</v>
      </c>
      <c r="P351" s="25">
        <v>39.118099999999998</v>
      </c>
      <c r="Q351" s="25">
        <f t="shared" si="10"/>
        <v>42764.1181</v>
      </c>
      <c r="R351" s="25">
        <f t="shared" si="11"/>
        <v>0</v>
      </c>
    </row>
    <row r="352" spans="1:18" hidden="1" x14ac:dyDescent="0.25">
      <c r="A352" s="26">
        <v>43684</v>
      </c>
      <c r="B352" s="25" t="s">
        <v>111</v>
      </c>
      <c r="C352" s="25" t="s">
        <v>23</v>
      </c>
      <c r="D352" s="25">
        <v>300</v>
      </c>
      <c r="E352" s="25">
        <v>424.5</v>
      </c>
      <c r="F352" s="25">
        <v>127350</v>
      </c>
      <c r="G352" s="25" t="s">
        <v>1379</v>
      </c>
      <c r="H352" s="25">
        <v>2019150</v>
      </c>
      <c r="I352" s="25" t="s">
        <v>19</v>
      </c>
      <c r="J352" s="25" t="s">
        <v>20</v>
      </c>
      <c r="K352" s="25" t="s">
        <v>25</v>
      </c>
      <c r="L352" s="25">
        <v>31.42</v>
      </c>
      <c r="M352" s="25">
        <v>4.58</v>
      </c>
      <c r="N352" s="25">
        <v>0</v>
      </c>
      <c r="O352" s="25">
        <v>75.959999999999994</v>
      </c>
      <c r="P352" s="25">
        <v>111.96469999999999</v>
      </c>
      <c r="Q352" s="25">
        <f t="shared" si="10"/>
        <v>0</v>
      </c>
      <c r="R352" s="25">
        <f t="shared" si="11"/>
        <v>127238.0353</v>
      </c>
    </row>
    <row r="353" spans="1:18" hidden="1" x14ac:dyDescent="0.25">
      <c r="A353" s="26">
        <v>43684</v>
      </c>
      <c r="B353" s="25" t="s">
        <v>111</v>
      </c>
      <c r="C353" s="25" t="s">
        <v>17</v>
      </c>
      <c r="D353" s="25">
        <v>200</v>
      </c>
      <c r="E353" s="25">
        <v>420.25</v>
      </c>
      <c r="F353" s="25">
        <v>84050</v>
      </c>
      <c r="G353" s="25" t="s">
        <v>1380</v>
      </c>
      <c r="H353" s="25">
        <v>2019150</v>
      </c>
      <c r="I353" s="25" t="s">
        <v>19</v>
      </c>
      <c r="J353" s="25" t="s">
        <v>20</v>
      </c>
      <c r="K353" s="25" t="s">
        <v>25</v>
      </c>
      <c r="L353" s="25">
        <v>0</v>
      </c>
      <c r="M353" s="25">
        <v>3.03</v>
      </c>
      <c r="N353" s="25">
        <v>0</v>
      </c>
      <c r="O353" s="25">
        <v>50.13</v>
      </c>
      <c r="P353" s="25">
        <v>53.155900000000003</v>
      </c>
      <c r="Q353" s="25">
        <f t="shared" si="10"/>
        <v>84103.155899999998</v>
      </c>
      <c r="R353" s="25">
        <f t="shared" si="11"/>
        <v>0</v>
      </c>
    </row>
    <row r="354" spans="1:18" hidden="1" x14ac:dyDescent="0.25">
      <c r="A354" s="26">
        <v>43684</v>
      </c>
      <c r="B354" s="25" t="s">
        <v>981</v>
      </c>
      <c r="C354" s="25" t="s">
        <v>17</v>
      </c>
      <c r="D354" s="25">
        <v>20</v>
      </c>
      <c r="E354" s="25">
        <v>129</v>
      </c>
      <c r="F354" s="25">
        <v>2580</v>
      </c>
      <c r="G354" s="25" t="s">
        <v>1381</v>
      </c>
      <c r="H354" s="25">
        <v>2019150</v>
      </c>
      <c r="I354" s="25" t="s">
        <v>19</v>
      </c>
      <c r="J354" s="25" t="s">
        <v>20</v>
      </c>
      <c r="K354" s="25" t="s">
        <v>25</v>
      </c>
      <c r="L354" s="25">
        <v>2.58</v>
      </c>
      <c r="M354" s="25">
        <v>0.09</v>
      </c>
      <c r="N354" s="25">
        <v>0</v>
      </c>
      <c r="O354" s="25">
        <v>41.32</v>
      </c>
      <c r="P354" s="25">
        <v>43.992899999999999</v>
      </c>
      <c r="Q354" s="25">
        <f t="shared" si="10"/>
        <v>2623.9929000000002</v>
      </c>
      <c r="R354" s="25">
        <f t="shared" si="11"/>
        <v>0</v>
      </c>
    </row>
    <row r="355" spans="1:18" hidden="1" x14ac:dyDescent="0.25">
      <c r="A355" s="26">
        <v>43682</v>
      </c>
      <c r="B355" s="25" t="s">
        <v>1034</v>
      </c>
      <c r="C355" s="25" t="s">
        <v>23</v>
      </c>
      <c r="D355" s="25">
        <v>100</v>
      </c>
      <c r="E355" s="25">
        <v>224</v>
      </c>
      <c r="F355" s="25">
        <v>22400</v>
      </c>
      <c r="G355" s="25" t="s">
        <v>1382</v>
      </c>
      <c r="H355" s="25">
        <v>2019148</v>
      </c>
      <c r="I355" s="25" t="s">
        <v>19</v>
      </c>
      <c r="J355" s="25" t="s">
        <v>20</v>
      </c>
      <c r="K355" s="25" t="s">
        <v>25</v>
      </c>
      <c r="L355" s="25">
        <v>5.59</v>
      </c>
      <c r="M355" s="25">
        <v>0.81</v>
      </c>
      <c r="N355" s="25">
        <v>0</v>
      </c>
      <c r="O355" s="25">
        <v>29.65</v>
      </c>
      <c r="P355" s="25">
        <v>36.046399999999998</v>
      </c>
      <c r="Q355" s="25">
        <f t="shared" si="10"/>
        <v>0</v>
      </c>
      <c r="R355" s="25">
        <f t="shared" si="11"/>
        <v>22363.953600000001</v>
      </c>
    </row>
    <row r="356" spans="1:18" hidden="1" x14ac:dyDescent="0.25">
      <c r="A356" s="26">
        <v>43682</v>
      </c>
      <c r="B356" s="25" t="s">
        <v>1105</v>
      </c>
      <c r="C356" s="25" t="s">
        <v>23</v>
      </c>
      <c r="D356" s="25">
        <v>100</v>
      </c>
      <c r="E356" s="25">
        <v>782.26</v>
      </c>
      <c r="F356" s="25">
        <v>78226.05</v>
      </c>
      <c r="G356" s="25" t="s">
        <v>1383</v>
      </c>
      <c r="H356" s="25">
        <v>2019148</v>
      </c>
      <c r="I356" s="25" t="s">
        <v>19</v>
      </c>
      <c r="J356" s="25" t="s">
        <v>20</v>
      </c>
      <c r="K356" s="25" t="s">
        <v>25</v>
      </c>
      <c r="L356" s="25">
        <v>19.41</v>
      </c>
      <c r="M356" s="25">
        <v>2.82</v>
      </c>
      <c r="N356" s="25">
        <v>0</v>
      </c>
      <c r="O356" s="25">
        <v>46.65</v>
      </c>
      <c r="P356" s="25">
        <v>68.876199999999997</v>
      </c>
      <c r="Q356" s="25">
        <f t="shared" si="10"/>
        <v>0</v>
      </c>
      <c r="R356" s="25">
        <f t="shared" si="11"/>
        <v>78157.173800000004</v>
      </c>
    </row>
    <row r="357" spans="1:18" hidden="1" x14ac:dyDescent="0.25">
      <c r="A357" s="26">
        <v>43682</v>
      </c>
      <c r="B357" s="25" t="s">
        <v>1034</v>
      </c>
      <c r="C357" s="25" t="s">
        <v>17</v>
      </c>
      <c r="D357" s="25">
        <v>100</v>
      </c>
      <c r="E357" s="25">
        <v>223</v>
      </c>
      <c r="F357" s="25">
        <v>22300</v>
      </c>
      <c r="G357" s="25" t="s">
        <v>1384</v>
      </c>
      <c r="H357" s="25">
        <v>2019148</v>
      </c>
      <c r="I357" s="25" t="s">
        <v>19</v>
      </c>
      <c r="J357" s="25" t="s">
        <v>20</v>
      </c>
      <c r="K357" s="25" t="s">
        <v>25</v>
      </c>
      <c r="L357" s="25">
        <v>0</v>
      </c>
      <c r="M357" s="25">
        <v>0.8</v>
      </c>
      <c r="N357" s="25">
        <v>0</v>
      </c>
      <c r="O357" s="25">
        <v>29.64</v>
      </c>
      <c r="P357" s="25">
        <v>30.442799999999998</v>
      </c>
      <c r="Q357" s="25">
        <f t="shared" si="10"/>
        <v>22330.442800000001</v>
      </c>
      <c r="R357" s="25">
        <f t="shared" si="11"/>
        <v>0</v>
      </c>
    </row>
    <row r="358" spans="1:18" hidden="1" x14ac:dyDescent="0.25">
      <c r="A358" s="26">
        <v>43682</v>
      </c>
      <c r="B358" s="25" t="s">
        <v>1105</v>
      </c>
      <c r="C358" s="25" t="s">
        <v>17</v>
      </c>
      <c r="D358" s="25">
        <v>100</v>
      </c>
      <c r="E358" s="25">
        <v>778</v>
      </c>
      <c r="F358" s="25">
        <v>77800</v>
      </c>
      <c r="G358" s="25" t="s">
        <v>1385</v>
      </c>
      <c r="H358" s="25">
        <v>2019148</v>
      </c>
      <c r="I358" s="25" t="s">
        <v>19</v>
      </c>
      <c r="J358" s="25" t="s">
        <v>20</v>
      </c>
      <c r="K358" s="25" t="s">
        <v>25</v>
      </c>
      <c r="L358" s="25">
        <v>0</v>
      </c>
      <c r="M358" s="25">
        <v>2.8</v>
      </c>
      <c r="N358" s="25">
        <v>6.3</v>
      </c>
      <c r="O358" s="25">
        <v>46.4</v>
      </c>
      <c r="P358" s="25">
        <v>55.500799999999998</v>
      </c>
      <c r="Q358" s="25">
        <f t="shared" si="10"/>
        <v>77855.500799999994</v>
      </c>
      <c r="R358" s="25">
        <f t="shared" si="11"/>
        <v>0</v>
      </c>
    </row>
    <row r="359" spans="1:18" hidden="1" x14ac:dyDescent="0.25">
      <c r="A359" s="26">
        <v>43679</v>
      </c>
      <c r="B359" s="25" t="s">
        <v>179</v>
      </c>
      <c r="C359" s="25" t="s">
        <v>17</v>
      </c>
      <c r="D359" s="25">
        <v>100</v>
      </c>
      <c r="E359" s="25">
        <v>25</v>
      </c>
      <c r="F359" s="25">
        <v>2500</v>
      </c>
      <c r="G359" s="25" t="s">
        <v>1386</v>
      </c>
      <c r="H359" s="25">
        <v>2019147</v>
      </c>
      <c r="I359" s="25" t="s">
        <v>19</v>
      </c>
      <c r="J359" s="25" t="s">
        <v>20</v>
      </c>
      <c r="K359" s="25" t="s">
        <v>25</v>
      </c>
      <c r="L359" s="25">
        <v>3</v>
      </c>
      <c r="M359" s="25">
        <v>0.09</v>
      </c>
      <c r="N359" s="25">
        <v>0.3</v>
      </c>
      <c r="O359" s="25">
        <v>41.32</v>
      </c>
      <c r="P359" s="25">
        <v>44.71</v>
      </c>
      <c r="Q359" s="25">
        <f t="shared" si="10"/>
        <v>2544.71</v>
      </c>
      <c r="R359" s="25">
        <f t="shared" si="11"/>
        <v>0</v>
      </c>
    </row>
    <row r="360" spans="1:18" hidden="1" x14ac:dyDescent="0.25">
      <c r="A360" s="26">
        <v>43676</v>
      </c>
      <c r="B360" s="25" t="s">
        <v>659</v>
      </c>
      <c r="C360" s="25" t="s">
        <v>23</v>
      </c>
      <c r="D360" s="25">
        <v>100</v>
      </c>
      <c r="E360" s="25">
        <v>93.75</v>
      </c>
      <c r="F360" s="25">
        <v>9375</v>
      </c>
      <c r="G360" s="25" t="s">
        <v>1387</v>
      </c>
      <c r="H360" s="25">
        <v>2019144</v>
      </c>
      <c r="I360" s="25" t="s">
        <v>19</v>
      </c>
      <c r="J360" s="25" t="s">
        <v>20</v>
      </c>
      <c r="K360" s="25" t="s">
        <v>25</v>
      </c>
      <c r="L360" s="25">
        <v>2</v>
      </c>
      <c r="M360" s="25">
        <v>0.34</v>
      </c>
      <c r="N360" s="25">
        <v>0.6</v>
      </c>
      <c r="O360" s="25">
        <v>29.56</v>
      </c>
      <c r="P360" s="25">
        <v>32.497500000000002</v>
      </c>
      <c r="Q360" s="25">
        <f t="shared" si="10"/>
        <v>0</v>
      </c>
      <c r="R360" s="25">
        <f t="shared" si="11"/>
        <v>9342.5025000000005</v>
      </c>
    </row>
    <row r="361" spans="1:18" hidden="1" x14ac:dyDescent="0.25">
      <c r="A361" s="26">
        <v>43676</v>
      </c>
      <c r="B361" s="25" t="s">
        <v>659</v>
      </c>
      <c r="C361" s="25" t="s">
        <v>17</v>
      </c>
      <c r="D361" s="25">
        <v>100</v>
      </c>
      <c r="E361" s="25">
        <v>92.1</v>
      </c>
      <c r="F361" s="25">
        <v>9210</v>
      </c>
      <c r="G361" s="25" t="s">
        <v>1388</v>
      </c>
      <c r="H361" s="25">
        <v>2019144</v>
      </c>
      <c r="I361" s="25" t="s">
        <v>19</v>
      </c>
      <c r="J361" s="25" t="s">
        <v>20</v>
      </c>
      <c r="K361" s="25" t="s">
        <v>25</v>
      </c>
      <c r="L361" s="25">
        <v>0</v>
      </c>
      <c r="M361" s="25">
        <v>0.33</v>
      </c>
      <c r="N361" s="25">
        <v>0</v>
      </c>
      <c r="O361" s="25">
        <v>29.56</v>
      </c>
      <c r="P361" s="25">
        <v>29.8916</v>
      </c>
      <c r="Q361" s="25">
        <f t="shared" si="10"/>
        <v>9239.8916000000008</v>
      </c>
      <c r="R361" s="25">
        <f t="shared" si="11"/>
        <v>0</v>
      </c>
    </row>
    <row r="362" spans="1:18" hidden="1" x14ac:dyDescent="0.25">
      <c r="A362" s="26">
        <v>43675</v>
      </c>
      <c r="B362" s="25" t="s">
        <v>981</v>
      </c>
      <c r="C362" s="25" t="s">
        <v>17</v>
      </c>
      <c r="D362" s="25">
        <v>20</v>
      </c>
      <c r="E362" s="25">
        <v>140</v>
      </c>
      <c r="F362" s="25">
        <v>2800</v>
      </c>
      <c r="G362" s="25" t="s">
        <v>1389</v>
      </c>
      <c r="H362" s="25">
        <v>2019143</v>
      </c>
      <c r="I362" s="25" t="s">
        <v>19</v>
      </c>
      <c r="J362" s="25" t="s">
        <v>20</v>
      </c>
      <c r="K362" s="25" t="s">
        <v>25</v>
      </c>
      <c r="L362" s="25">
        <v>3</v>
      </c>
      <c r="M362" s="25">
        <v>0.1</v>
      </c>
      <c r="N362" s="25">
        <v>0.3</v>
      </c>
      <c r="O362" s="25">
        <v>41.32</v>
      </c>
      <c r="P362" s="25">
        <v>44.720799999999997</v>
      </c>
      <c r="Q362" s="25">
        <f t="shared" si="10"/>
        <v>2844.7208000000001</v>
      </c>
      <c r="R362" s="25">
        <f t="shared" si="11"/>
        <v>0</v>
      </c>
    </row>
    <row r="363" spans="1:18" hidden="1" x14ac:dyDescent="0.25">
      <c r="A363" s="26">
        <v>43672</v>
      </c>
      <c r="B363" s="25" t="s">
        <v>321</v>
      </c>
      <c r="C363" s="25" t="s">
        <v>17</v>
      </c>
      <c r="D363" s="25">
        <v>100</v>
      </c>
      <c r="E363" s="25">
        <v>275.95</v>
      </c>
      <c r="F363" s="25">
        <v>27595</v>
      </c>
      <c r="G363" s="25" t="s">
        <v>1390</v>
      </c>
      <c r="H363" s="25">
        <v>2019142</v>
      </c>
      <c r="I363" s="25" t="s">
        <v>19</v>
      </c>
      <c r="J363" s="25" t="s">
        <v>20</v>
      </c>
      <c r="K363" s="25" t="s">
        <v>25</v>
      </c>
      <c r="L363" s="25">
        <v>0</v>
      </c>
      <c r="M363" s="25">
        <v>0.99</v>
      </c>
      <c r="N363" s="25">
        <v>0</v>
      </c>
      <c r="O363" s="25">
        <v>29.68</v>
      </c>
      <c r="P363" s="25">
        <v>30.673400000000001</v>
      </c>
      <c r="Q363" s="25">
        <f t="shared" si="10"/>
        <v>27625.6734</v>
      </c>
      <c r="R363" s="25">
        <f t="shared" si="11"/>
        <v>0</v>
      </c>
    </row>
    <row r="364" spans="1:18" hidden="1" x14ac:dyDescent="0.25">
      <c r="A364" s="26">
        <v>43672</v>
      </c>
      <c r="B364" s="25" t="s">
        <v>321</v>
      </c>
      <c r="C364" s="25" t="s">
        <v>23</v>
      </c>
      <c r="D364" s="25">
        <v>100</v>
      </c>
      <c r="E364" s="25">
        <v>275.39999999999998</v>
      </c>
      <c r="F364" s="25">
        <v>27540</v>
      </c>
      <c r="G364" s="25" t="s">
        <v>1391</v>
      </c>
      <c r="H364" s="25">
        <v>2019142</v>
      </c>
      <c r="I364" s="25" t="s">
        <v>19</v>
      </c>
      <c r="J364" s="25" t="s">
        <v>20</v>
      </c>
      <c r="K364" s="25" t="s">
        <v>25</v>
      </c>
      <c r="L364" s="25">
        <v>7</v>
      </c>
      <c r="M364" s="25">
        <v>0.99</v>
      </c>
      <c r="N364" s="25">
        <v>1.8</v>
      </c>
      <c r="O364" s="25">
        <v>29.68</v>
      </c>
      <c r="P364" s="25">
        <v>39.471400000000003</v>
      </c>
      <c r="Q364" s="25">
        <f t="shared" si="10"/>
        <v>0</v>
      </c>
      <c r="R364" s="25">
        <f t="shared" si="11"/>
        <v>27500.528600000001</v>
      </c>
    </row>
    <row r="365" spans="1:18" hidden="1" x14ac:dyDescent="0.25">
      <c r="A365" s="26">
        <v>43671</v>
      </c>
      <c r="B365" s="25" t="s">
        <v>659</v>
      </c>
      <c r="C365" s="25" t="s">
        <v>23</v>
      </c>
      <c r="D365" s="25">
        <v>250</v>
      </c>
      <c r="E365" s="25">
        <v>89.15</v>
      </c>
      <c r="F365" s="25">
        <v>22287.5</v>
      </c>
      <c r="G365" s="25" t="s">
        <v>1392</v>
      </c>
      <c r="H365" s="25">
        <v>2019141</v>
      </c>
      <c r="I365" s="25" t="s">
        <v>19</v>
      </c>
      <c r="J365" s="25" t="s">
        <v>20</v>
      </c>
      <c r="K365" s="25" t="s">
        <v>25</v>
      </c>
      <c r="L365" s="25">
        <v>5</v>
      </c>
      <c r="M365" s="25">
        <v>0.8</v>
      </c>
      <c r="N365" s="25">
        <v>0</v>
      </c>
      <c r="O365" s="25">
        <v>29.64</v>
      </c>
      <c r="P365" s="25">
        <v>35.442399999999999</v>
      </c>
      <c r="Q365" s="25">
        <f t="shared" si="10"/>
        <v>0</v>
      </c>
      <c r="R365" s="25">
        <f t="shared" si="11"/>
        <v>22252.0576</v>
      </c>
    </row>
    <row r="366" spans="1:18" hidden="1" x14ac:dyDescent="0.25">
      <c r="A366" s="26">
        <v>43671</v>
      </c>
      <c r="B366" s="25" t="s">
        <v>659</v>
      </c>
      <c r="C366" s="25" t="s">
        <v>17</v>
      </c>
      <c r="D366" s="25">
        <v>250</v>
      </c>
      <c r="E366" s="25">
        <v>86.25</v>
      </c>
      <c r="F366" s="25">
        <v>21562.5</v>
      </c>
      <c r="G366" s="25" t="s">
        <v>1393</v>
      </c>
      <c r="H366" s="25">
        <v>2019141</v>
      </c>
      <c r="I366" s="25" t="s">
        <v>19</v>
      </c>
      <c r="J366" s="25" t="s">
        <v>20</v>
      </c>
      <c r="K366" s="25" t="s">
        <v>25</v>
      </c>
      <c r="L366" s="25">
        <v>0</v>
      </c>
      <c r="M366" s="25">
        <v>0.78</v>
      </c>
      <c r="N366" s="25">
        <v>1.5</v>
      </c>
      <c r="O366" s="25">
        <v>29.64</v>
      </c>
      <c r="P366" s="25">
        <v>31.9163</v>
      </c>
      <c r="Q366" s="25">
        <f t="shared" si="10"/>
        <v>21594.416300000001</v>
      </c>
      <c r="R366" s="25">
        <f t="shared" si="11"/>
        <v>0</v>
      </c>
    </row>
    <row r="367" spans="1:18" hidden="1" x14ac:dyDescent="0.25">
      <c r="A367" s="26">
        <v>43670</v>
      </c>
      <c r="B367" s="25" t="s">
        <v>1394</v>
      </c>
      <c r="C367" s="25" t="s">
        <v>17</v>
      </c>
      <c r="D367" s="25">
        <v>250</v>
      </c>
      <c r="E367" s="25">
        <v>125.5</v>
      </c>
      <c r="F367" s="25">
        <v>31375</v>
      </c>
      <c r="G367" s="25" t="s">
        <v>1395</v>
      </c>
      <c r="H367" s="25">
        <v>2019140</v>
      </c>
      <c r="I367" s="25" t="s">
        <v>19</v>
      </c>
      <c r="J367" s="25" t="s">
        <v>20</v>
      </c>
      <c r="K367" s="25" t="s">
        <v>25</v>
      </c>
      <c r="L367" s="25">
        <v>0</v>
      </c>
      <c r="M367" s="25">
        <v>1.1299999999999999</v>
      </c>
      <c r="N367" s="25">
        <v>0</v>
      </c>
      <c r="O367" s="25">
        <v>29.7</v>
      </c>
      <c r="P367" s="25">
        <v>30.829499999999999</v>
      </c>
      <c r="Q367" s="25">
        <f t="shared" si="10"/>
        <v>31405.8295</v>
      </c>
      <c r="R367" s="25">
        <f t="shared" si="11"/>
        <v>0</v>
      </c>
    </row>
    <row r="368" spans="1:18" hidden="1" x14ac:dyDescent="0.25">
      <c r="A368" s="26">
        <v>43670</v>
      </c>
      <c r="B368" s="25" t="s">
        <v>1394</v>
      </c>
      <c r="C368" s="25" t="s">
        <v>23</v>
      </c>
      <c r="D368" s="25">
        <v>250</v>
      </c>
      <c r="E368" s="25">
        <v>124</v>
      </c>
      <c r="F368" s="25">
        <v>31000</v>
      </c>
      <c r="G368" s="25" t="s">
        <v>1396</v>
      </c>
      <c r="H368" s="25">
        <v>2019140</v>
      </c>
      <c r="I368" s="25" t="s">
        <v>19</v>
      </c>
      <c r="J368" s="25" t="s">
        <v>20</v>
      </c>
      <c r="K368" s="25" t="s">
        <v>25</v>
      </c>
      <c r="L368" s="25">
        <v>8</v>
      </c>
      <c r="M368" s="25">
        <v>1.1200000000000001</v>
      </c>
      <c r="N368" s="25">
        <v>2.1</v>
      </c>
      <c r="O368" s="25">
        <v>29.7</v>
      </c>
      <c r="P368" s="25">
        <v>40.915999999999997</v>
      </c>
      <c r="Q368" s="25">
        <f t="shared" si="10"/>
        <v>0</v>
      </c>
      <c r="R368" s="25">
        <f t="shared" si="11"/>
        <v>30959.083999999999</v>
      </c>
    </row>
    <row r="369" spans="1:18" hidden="1" x14ac:dyDescent="0.25">
      <c r="A369" s="26">
        <v>43669</v>
      </c>
      <c r="B369" s="25" t="s">
        <v>179</v>
      </c>
      <c r="C369" s="25" t="s">
        <v>17</v>
      </c>
      <c r="D369" s="25">
        <v>100</v>
      </c>
      <c r="E369" s="25">
        <v>30</v>
      </c>
      <c r="F369" s="25">
        <v>3000</v>
      </c>
      <c r="G369" s="25" t="s">
        <v>1397</v>
      </c>
      <c r="H369" s="25">
        <v>2019139</v>
      </c>
      <c r="I369" s="25" t="s">
        <v>19</v>
      </c>
      <c r="J369" s="25" t="s">
        <v>20</v>
      </c>
      <c r="K369" s="25" t="s">
        <v>25</v>
      </c>
      <c r="L369" s="25">
        <v>3</v>
      </c>
      <c r="M369" s="25">
        <v>0.11</v>
      </c>
      <c r="N369" s="25">
        <v>0.3</v>
      </c>
      <c r="O369" s="25">
        <v>41.32</v>
      </c>
      <c r="P369" s="25">
        <v>44.728000000000002</v>
      </c>
      <c r="Q369" s="25">
        <f t="shared" si="10"/>
        <v>3044.7280000000001</v>
      </c>
      <c r="R369" s="25">
        <f t="shared" si="11"/>
        <v>0</v>
      </c>
    </row>
    <row r="370" spans="1:18" hidden="1" x14ac:dyDescent="0.25">
      <c r="A370" s="26">
        <v>43668</v>
      </c>
      <c r="B370" s="25" t="s">
        <v>205</v>
      </c>
      <c r="C370" s="25" t="s">
        <v>23</v>
      </c>
      <c r="D370" s="25">
        <v>550</v>
      </c>
      <c r="E370" s="25">
        <v>5.9</v>
      </c>
      <c r="F370" s="25">
        <v>3245</v>
      </c>
      <c r="G370" s="25" t="s">
        <v>1398</v>
      </c>
      <c r="H370" s="25">
        <v>2019138</v>
      </c>
      <c r="I370" s="25" t="s">
        <v>19</v>
      </c>
      <c r="J370" s="25" t="s">
        <v>20</v>
      </c>
      <c r="K370" s="25" t="s">
        <v>25</v>
      </c>
      <c r="L370" s="25">
        <v>3</v>
      </c>
      <c r="M370" s="25">
        <v>0.12</v>
      </c>
      <c r="N370" s="25">
        <v>0.3</v>
      </c>
      <c r="O370" s="25">
        <v>41.3</v>
      </c>
      <c r="P370" s="25">
        <v>44.716799999999999</v>
      </c>
      <c r="Q370" s="25">
        <f t="shared" si="10"/>
        <v>0</v>
      </c>
      <c r="R370" s="25">
        <f t="shared" si="11"/>
        <v>3200.2831999999999</v>
      </c>
    </row>
    <row r="371" spans="1:18" hidden="1" x14ac:dyDescent="0.25">
      <c r="A371" s="26">
        <v>43663</v>
      </c>
      <c r="B371" s="25" t="s">
        <v>279</v>
      </c>
      <c r="C371" s="25" t="s">
        <v>23</v>
      </c>
      <c r="D371" s="25">
        <v>100</v>
      </c>
      <c r="E371" s="25">
        <v>379</v>
      </c>
      <c r="F371" s="25">
        <v>37900</v>
      </c>
      <c r="G371" s="25" t="s">
        <v>1399</v>
      </c>
      <c r="H371" s="25">
        <v>2019135</v>
      </c>
      <c r="I371" s="25" t="s">
        <v>19</v>
      </c>
      <c r="J371" s="25" t="s">
        <v>20</v>
      </c>
      <c r="K371" s="25" t="s">
        <v>25</v>
      </c>
      <c r="L371" s="25">
        <v>9.57</v>
      </c>
      <c r="M371" s="25">
        <v>1.36</v>
      </c>
      <c r="N371" s="25">
        <v>0</v>
      </c>
      <c r="O371" s="25">
        <v>29.75</v>
      </c>
      <c r="P371" s="25">
        <v>40.684399999999997</v>
      </c>
      <c r="Q371" s="25">
        <f t="shared" si="10"/>
        <v>0</v>
      </c>
      <c r="R371" s="25">
        <f t="shared" si="11"/>
        <v>37859.315600000002</v>
      </c>
    </row>
    <row r="372" spans="1:18" hidden="1" x14ac:dyDescent="0.25">
      <c r="A372" s="26">
        <v>43663</v>
      </c>
      <c r="B372" s="25" t="s">
        <v>279</v>
      </c>
      <c r="C372" s="25" t="s">
        <v>17</v>
      </c>
      <c r="D372" s="25">
        <v>100</v>
      </c>
      <c r="E372" s="25">
        <v>384</v>
      </c>
      <c r="F372" s="25">
        <v>38400</v>
      </c>
      <c r="G372" s="25" t="s">
        <v>1400</v>
      </c>
      <c r="H372" s="25">
        <v>2019135</v>
      </c>
      <c r="I372" s="25" t="s">
        <v>19</v>
      </c>
      <c r="J372" s="25" t="s">
        <v>20</v>
      </c>
      <c r="K372" s="25" t="s">
        <v>25</v>
      </c>
      <c r="L372" s="25">
        <v>0</v>
      </c>
      <c r="M372" s="25">
        <v>1.38</v>
      </c>
      <c r="N372" s="25">
        <v>0</v>
      </c>
      <c r="O372" s="25">
        <v>29.75</v>
      </c>
      <c r="P372" s="25">
        <v>31.132400000000001</v>
      </c>
      <c r="Q372" s="25">
        <f t="shared" si="10"/>
        <v>38431.132400000002</v>
      </c>
      <c r="R372" s="25">
        <f t="shared" si="11"/>
        <v>0</v>
      </c>
    </row>
    <row r="373" spans="1:18" hidden="1" x14ac:dyDescent="0.25">
      <c r="A373" s="26">
        <v>43663</v>
      </c>
      <c r="B373" s="25" t="s">
        <v>279</v>
      </c>
      <c r="C373" s="25" t="s">
        <v>17</v>
      </c>
      <c r="D373" s="25">
        <v>200</v>
      </c>
      <c r="E373" s="25">
        <v>385</v>
      </c>
      <c r="F373" s="25">
        <v>77000</v>
      </c>
      <c r="G373" s="25" t="s">
        <v>1401</v>
      </c>
      <c r="H373" s="25">
        <v>2019135</v>
      </c>
      <c r="I373" s="25" t="s">
        <v>19</v>
      </c>
      <c r="J373" s="25" t="s">
        <v>20</v>
      </c>
      <c r="K373" s="25" t="s">
        <v>25</v>
      </c>
      <c r="L373" s="25">
        <v>0</v>
      </c>
      <c r="M373" s="25">
        <v>2.77</v>
      </c>
      <c r="N373" s="25">
        <v>6.9</v>
      </c>
      <c r="O373" s="25">
        <v>59.5</v>
      </c>
      <c r="P373" s="25">
        <v>69.172200000000004</v>
      </c>
      <c r="Q373" s="25">
        <f t="shared" si="10"/>
        <v>77069.172200000001</v>
      </c>
      <c r="R373" s="25">
        <f t="shared" si="11"/>
        <v>0</v>
      </c>
    </row>
    <row r="374" spans="1:18" hidden="1" x14ac:dyDescent="0.25">
      <c r="A374" s="26">
        <v>43663</v>
      </c>
      <c r="B374" s="25" t="s">
        <v>279</v>
      </c>
      <c r="C374" s="25" t="s">
        <v>23</v>
      </c>
      <c r="D374" s="25">
        <v>200</v>
      </c>
      <c r="E374" s="25">
        <v>382.36</v>
      </c>
      <c r="F374" s="25">
        <v>76472</v>
      </c>
      <c r="G374" s="25" t="s">
        <v>1402</v>
      </c>
      <c r="H374" s="25">
        <v>2019135</v>
      </c>
      <c r="I374" s="25" t="s">
        <v>19</v>
      </c>
      <c r="J374" s="25" t="s">
        <v>20</v>
      </c>
      <c r="K374" s="25" t="s">
        <v>25</v>
      </c>
      <c r="L374" s="25">
        <v>19.43</v>
      </c>
      <c r="M374" s="25">
        <v>2.75</v>
      </c>
      <c r="N374" s="25">
        <v>0</v>
      </c>
      <c r="O374" s="25">
        <v>45.61</v>
      </c>
      <c r="P374" s="25">
        <v>67.793099999999995</v>
      </c>
      <c r="Q374" s="25">
        <f t="shared" si="10"/>
        <v>0</v>
      </c>
      <c r="R374" s="25">
        <f t="shared" si="11"/>
        <v>76404.206900000005</v>
      </c>
    </row>
    <row r="375" spans="1:18" hidden="1" x14ac:dyDescent="0.25">
      <c r="A375" s="26">
        <v>43662</v>
      </c>
      <c r="B375" s="25" t="s">
        <v>74</v>
      </c>
      <c r="C375" s="25" t="s">
        <v>23</v>
      </c>
      <c r="D375" s="25">
        <v>100</v>
      </c>
      <c r="E375" s="25">
        <v>782</v>
      </c>
      <c r="F375" s="25">
        <v>78200</v>
      </c>
      <c r="G375" s="25" t="s">
        <v>1403</v>
      </c>
      <c r="H375" s="25">
        <v>2019134</v>
      </c>
      <c r="I375" s="25" t="s">
        <v>19</v>
      </c>
      <c r="J375" s="25" t="s">
        <v>20</v>
      </c>
      <c r="K375" s="25" t="s">
        <v>25</v>
      </c>
      <c r="L375" s="25">
        <v>20</v>
      </c>
      <c r="M375" s="25">
        <v>2.82</v>
      </c>
      <c r="N375" s="25">
        <v>0</v>
      </c>
      <c r="O375" s="25">
        <v>46.64</v>
      </c>
      <c r="P375" s="25">
        <v>69.455200000000005</v>
      </c>
      <c r="Q375" s="25">
        <f t="shared" si="10"/>
        <v>0</v>
      </c>
      <c r="R375" s="25">
        <f t="shared" si="11"/>
        <v>78130.544800000003</v>
      </c>
    </row>
    <row r="376" spans="1:18" hidden="1" x14ac:dyDescent="0.25">
      <c r="A376" s="26">
        <v>43662</v>
      </c>
      <c r="B376" s="25" t="s">
        <v>74</v>
      </c>
      <c r="C376" s="25" t="s">
        <v>17</v>
      </c>
      <c r="D376" s="25">
        <v>100</v>
      </c>
      <c r="E376" s="25">
        <v>780.7</v>
      </c>
      <c r="F376" s="25">
        <v>78070</v>
      </c>
      <c r="G376" s="25" t="s">
        <v>1404</v>
      </c>
      <c r="H376" s="25">
        <v>2019134</v>
      </c>
      <c r="I376" s="25" t="s">
        <v>19</v>
      </c>
      <c r="J376" s="25" t="s">
        <v>20</v>
      </c>
      <c r="K376" s="25" t="s">
        <v>25</v>
      </c>
      <c r="L376" s="25">
        <v>0</v>
      </c>
      <c r="M376" s="25">
        <v>2.81</v>
      </c>
      <c r="N376" s="25">
        <v>4.8</v>
      </c>
      <c r="O376" s="25">
        <v>46.57</v>
      </c>
      <c r="P376" s="25">
        <v>54.180599999999998</v>
      </c>
      <c r="Q376" s="25">
        <f t="shared" si="10"/>
        <v>78124.180600000007</v>
      </c>
      <c r="R376" s="25">
        <f t="shared" si="11"/>
        <v>0</v>
      </c>
    </row>
    <row r="377" spans="1:18" hidden="1" x14ac:dyDescent="0.25">
      <c r="A377" s="26">
        <v>43661</v>
      </c>
      <c r="B377" s="25" t="s">
        <v>74</v>
      </c>
      <c r="C377" s="25" t="s">
        <v>23</v>
      </c>
      <c r="D377" s="25">
        <v>100</v>
      </c>
      <c r="E377" s="25">
        <v>760</v>
      </c>
      <c r="F377" s="25">
        <v>76000</v>
      </c>
      <c r="G377" s="25" t="s">
        <v>1405</v>
      </c>
      <c r="H377" s="25">
        <v>2019133</v>
      </c>
      <c r="I377" s="25" t="s">
        <v>19</v>
      </c>
      <c r="J377" s="25" t="s">
        <v>20</v>
      </c>
      <c r="K377" s="25" t="s">
        <v>25</v>
      </c>
      <c r="L377" s="25">
        <v>19</v>
      </c>
      <c r="M377" s="25">
        <v>2.74</v>
      </c>
      <c r="N377" s="25">
        <v>4.8</v>
      </c>
      <c r="O377" s="25">
        <v>45.33</v>
      </c>
      <c r="P377" s="25">
        <v>71.866</v>
      </c>
      <c r="Q377" s="25">
        <f t="shared" si="10"/>
        <v>0</v>
      </c>
      <c r="R377" s="25">
        <f t="shared" si="11"/>
        <v>75928.134000000005</v>
      </c>
    </row>
    <row r="378" spans="1:18" hidden="1" x14ac:dyDescent="0.25">
      <c r="A378" s="26">
        <v>43661</v>
      </c>
      <c r="B378" s="25" t="s">
        <v>74</v>
      </c>
      <c r="C378" s="25" t="s">
        <v>17</v>
      </c>
      <c r="D378" s="25">
        <v>100</v>
      </c>
      <c r="E378" s="25">
        <v>775</v>
      </c>
      <c r="F378" s="25">
        <v>77500</v>
      </c>
      <c r="G378" s="25" t="s">
        <v>1406</v>
      </c>
      <c r="H378" s="25">
        <v>2019133</v>
      </c>
      <c r="I378" s="25" t="s">
        <v>19</v>
      </c>
      <c r="J378" s="25" t="s">
        <v>20</v>
      </c>
      <c r="K378" s="25" t="s">
        <v>25</v>
      </c>
      <c r="L378" s="25">
        <v>0</v>
      </c>
      <c r="M378" s="25">
        <v>2.79</v>
      </c>
      <c r="N378" s="25">
        <v>0</v>
      </c>
      <c r="O378" s="25">
        <v>46.23</v>
      </c>
      <c r="P378" s="25">
        <v>49.02</v>
      </c>
      <c r="Q378" s="25">
        <f t="shared" si="10"/>
        <v>77549.02</v>
      </c>
      <c r="R378" s="25">
        <f t="shared" si="11"/>
        <v>0</v>
      </c>
    </row>
    <row r="379" spans="1:18" hidden="1" x14ac:dyDescent="0.25">
      <c r="A379" s="26">
        <v>43655</v>
      </c>
      <c r="B379" s="25" t="s">
        <v>1407</v>
      </c>
      <c r="C379" s="25" t="s">
        <v>17</v>
      </c>
      <c r="D379" s="25">
        <v>100</v>
      </c>
      <c r="E379" s="25">
        <v>628</v>
      </c>
      <c r="F379" s="25">
        <v>62800</v>
      </c>
      <c r="G379" s="25" t="s">
        <v>1408</v>
      </c>
      <c r="H379" s="25">
        <v>2019129</v>
      </c>
      <c r="I379" s="25" t="s">
        <v>19</v>
      </c>
      <c r="J379" s="25" t="s">
        <v>20</v>
      </c>
      <c r="K379" s="25" t="s">
        <v>25</v>
      </c>
      <c r="L379" s="25">
        <v>0</v>
      </c>
      <c r="M379" s="25">
        <v>2.2599999999999998</v>
      </c>
      <c r="N379" s="25">
        <v>0</v>
      </c>
      <c r="O379" s="25">
        <v>37.46</v>
      </c>
      <c r="P379" s="25">
        <v>39.720799999999997</v>
      </c>
      <c r="Q379" s="25">
        <f t="shared" si="10"/>
        <v>62839.720800000003</v>
      </c>
      <c r="R379" s="25">
        <f t="shared" si="11"/>
        <v>0</v>
      </c>
    </row>
    <row r="380" spans="1:18" hidden="1" x14ac:dyDescent="0.25">
      <c r="A380" s="26">
        <v>43655</v>
      </c>
      <c r="B380" s="25" t="s">
        <v>1407</v>
      </c>
      <c r="C380" s="25" t="s">
        <v>23</v>
      </c>
      <c r="D380" s="25">
        <v>100</v>
      </c>
      <c r="E380" s="25">
        <v>627.35</v>
      </c>
      <c r="F380" s="25">
        <v>62735</v>
      </c>
      <c r="G380" s="25" t="s">
        <v>1409</v>
      </c>
      <c r="H380" s="25">
        <v>2019129</v>
      </c>
      <c r="I380" s="25" t="s">
        <v>19</v>
      </c>
      <c r="J380" s="25" t="s">
        <v>20</v>
      </c>
      <c r="K380" s="25" t="s">
        <v>25</v>
      </c>
      <c r="L380" s="25">
        <v>16</v>
      </c>
      <c r="M380" s="25">
        <v>2.2599999999999998</v>
      </c>
      <c r="N380" s="25">
        <v>3.9</v>
      </c>
      <c r="O380" s="25">
        <v>37.450000000000003</v>
      </c>
      <c r="P380" s="25">
        <v>59.6081</v>
      </c>
      <c r="Q380" s="25">
        <f t="shared" si="10"/>
        <v>0</v>
      </c>
      <c r="R380" s="25">
        <f t="shared" si="11"/>
        <v>62675.391900000002</v>
      </c>
    </row>
    <row r="381" spans="1:18" hidden="1" x14ac:dyDescent="0.25">
      <c r="A381" s="26">
        <v>43654</v>
      </c>
      <c r="B381" s="25" t="s">
        <v>282</v>
      </c>
      <c r="C381" s="25" t="s">
        <v>17</v>
      </c>
      <c r="D381" s="25">
        <v>30</v>
      </c>
      <c r="E381" s="25">
        <v>230</v>
      </c>
      <c r="F381" s="25">
        <v>6900</v>
      </c>
      <c r="G381" s="25" t="s">
        <v>1410</v>
      </c>
      <c r="H381" s="25">
        <v>2019128</v>
      </c>
      <c r="I381" s="25" t="s">
        <v>19</v>
      </c>
      <c r="J381" s="25" t="s">
        <v>20</v>
      </c>
      <c r="K381" s="25" t="s">
        <v>25</v>
      </c>
      <c r="L381" s="25">
        <v>7</v>
      </c>
      <c r="M381" s="25">
        <v>0.25</v>
      </c>
      <c r="N381" s="25">
        <v>0.3</v>
      </c>
      <c r="O381" s="25">
        <v>44.83</v>
      </c>
      <c r="P381" s="25">
        <v>52.378399999999999</v>
      </c>
      <c r="Q381" s="25">
        <f t="shared" si="10"/>
        <v>6952.3783999999996</v>
      </c>
      <c r="R381" s="25">
        <f t="shared" si="11"/>
        <v>0</v>
      </c>
    </row>
    <row r="382" spans="1:18" hidden="1" x14ac:dyDescent="0.25">
      <c r="A382" s="26">
        <v>43650</v>
      </c>
      <c r="B382" s="25" t="s">
        <v>1411</v>
      </c>
      <c r="C382" s="25" t="s">
        <v>23</v>
      </c>
      <c r="D382" s="25">
        <v>250</v>
      </c>
      <c r="E382" s="25">
        <v>147.15</v>
      </c>
      <c r="F382" s="25">
        <v>36787.5</v>
      </c>
      <c r="G382" s="25" t="s">
        <v>1412</v>
      </c>
      <c r="H382" s="25">
        <v>2019126</v>
      </c>
      <c r="I382" s="25" t="s">
        <v>19</v>
      </c>
      <c r="J382" s="25" t="s">
        <v>20</v>
      </c>
      <c r="K382" s="25" t="s">
        <v>25</v>
      </c>
      <c r="L382" s="25">
        <v>9.17</v>
      </c>
      <c r="M382" s="25">
        <v>1.32</v>
      </c>
      <c r="N382" s="25">
        <v>0</v>
      </c>
      <c r="O382" s="25">
        <v>29.74</v>
      </c>
      <c r="P382" s="25">
        <v>40.234400000000001</v>
      </c>
      <c r="Q382" s="25">
        <f t="shared" si="10"/>
        <v>0</v>
      </c>
      <c r="R382" s="25">
        <f t="shared" si="11"/>
        <v>36747.265599999999</v>
      </c>
    </row>
    <row r="383" spans="1:18" hidden="1" x14ac:dyDescent="0.25">
      <c r="A383" s="26">
        <v>43650</v>
      </c>
      <c r="B383" s="25" t="s">
        <v>1411</v>
      </c>
      <c r="C383" s="25" t="s">
        <v>17</v>
      </c>
      <c r="D383" s="25">
        <v>250</v>
      </c>
      <c r="E383" s="25">
        <v>146.15</v>
      </c>
      <c r="F383" s="25">
        <v>36537.5</v>
      </c>
      <c r="G383" s="25" t="s">
        <v>1413</v>
      </c>
      <c r="H383" s="25">
        <v>2019126</v>
      </c>
      <c r="I383" s="25" t="s">
        <v>19</v>
      </c>
      <c r="J383" s="25" t="s">
        <v>20</v>
      </c>
      <c r="K383" s="25" t="s">
        <v>25</v>
      </c>
      <c r="L383" s="25">
        <v>0</v>
      </c>
      <c r="M383" s="25">
        <v>1.32</v>
      </c>
      <c r="N383" s="25">
        <v>0</v>
      </c>
      <c r="O383" s="25">
        <v>29.74</v>
      </c>
      <c r="P383" s="25">
        <v>31.055399999999999</v>
      </c>
      <c r="Q383" s="25">
        <f t="shared" si="10"/>
        <v>36568.555399999997</v>
      </c>
      <c r="R383" s="25">
        <f t="shared" si="11"/>
        <v>0</v>
      </c>
    </row>
    <row r="384" spans="1:18" hidden="1" x14ac:dyDescent="0.25">
      <c r="A384" s="26">
        <v>43650</v>
      </c>
      <c r="B384" s="25" t="s">
        <v>270</v>
      </c>
      <c r="C384" s="25" t="s">
        <v>23</v>
      </c>
      <c r="D384" s="25">
        <v>500</v>
      </c>
      <c r="E384" s="25">
        <v>129</v>
      </c>
      <c r="F384" s="25">
        <v>64500</v>
      </c>
      <c r="G384" s="25" t="s">
        <v>1414</v>
      </c>
      <c r="H384" s="25">
        <v>2019126</v>
      </c>
      <c r="I384" s="25" t="s">
        <v>19</v>
      </c>
      <c r="J384" s="25" t="s">
        <v>20</v>
      </c>
      <c r="K384" s="25" t="s">
        <v>25</v>
      </c>
      <c r="L384" s="25">
        <v>16.190000000000001</v>
      </c>
      <c r="M384" s="25">
        <v>2.3199999999999998</v>
      </c>
      <c r="N384" s="25">
        <v>0</v>
      </c>
      <c r="O384" s="25">
        <v>38.47</v>
      </c>
      <c r="P384" s="25">
        <v>56.981999999999999</v>
      </c>
      <c r="Q384" s="25">
        <f t="shared" si="10"/>
        <v>0</v>
      </c>
      <c r="R384" s="25">
        <f t="shared" si="11"/>
        <v>64443.017999999996</v>
      </c>
    </row>
    <row r="385" spans="1:18" hidden="1" x14ac:dyDescent="0.25">
      <c r="A385" s="26">
        <v>43650</v>
      </c>
      <c r="B385" s="25" t="s">
        <v>270</v>
      </c>
      <c r="C385" s="25" t="s">
        <v>17</v>
      </c>
      <c r="D385" s="25">
        <v>500</v>
      </c>
      <c r="E385" s="25">
        <v>130</v>
      </c>
      <c r="F385" s="25">
        <v>65000</v>
      </c>
      <c r="G385" s="25" t="s">
        <v>1415</v>
      </c>
      <c r="H385" s="25">
        <v>2019126</v>
      </c>
      <c r="I385" s="25" t="s">
        <v>19</v>
      </c>
      <c r="J385" s="25" t="s">
        <v>20</v>
      </c>
      <c r="K385" s="25" t="s">
        <v>25</v>
      </c>
      <c r="L385" s="25">
        <v>0</v>
      </c>
      <c r="M385" s="25">
        <v>2.34</v>
      </c>
      <c r="N385" s="25">
        <v>0</v>
      </c>
      <c r="O385" s="25">
        <v>38.770000000000003</v>
      </c>
      <c r="P385" s="25">
        <v>41.11</v>
      </c>
      <c r="Q385" s="25">
        <f t="shared" si="10"/>
        <v>65041.11</v>
      </c>
      <c r="R385" s="25">
        <f t="shared" si="11"/>
        <v>0</v>
      </c>
    </row>
    <row r="386" spans="1:18" hidden="1" x14ac:dyDescent="0.25">
      <c r="A386" s="26">
        <v>43650</v>
      </c>
      <c r="B386" s="25" t="s">
        <v>1174</v>
      </c>
      <c r="C386" s="25" t="s">
        <v>23</v>
      </c>
      <c r="D386" s="25">
        <v>1000</v>
      </c>
      <c r="E386" s="25">
        <v>65.5</v>
      </c>
      <c r="F386" s="25">
        <v>65500</v>
      </c>
      <c r="G386" s="25" t="s">
        <v>1416</v>
      </c>
      <c r="H386" s="25">
        <v>2019126</v>
      </c>
      <c r="I386" s="25" t="s">
        <v>19</v>
      </c>
      <c r="J386" s="25" t="s">
        <v>20</v>
      </c>
      <c r="K386" s="25" t="s">
        <v>25</v>
      </c>
      <c r="L386" s="25">
        <v>16.309999999999999</v>
      </c>
      <c r="M386" s="25">
        <v>2.36</v>
      </c>
      <c r="N386" s="25">
        <v>0</v>
      </c>
      <c r="O386" s="25">
        <v>39.07</v>
      </c>
      <c r="P386" s="25">
        <v>57.738</v>
      </c>
      <c r="Q386" s="25">
        <f t="shared" si="10"/>
        <v>0</v>
      </c>
      <c r="R386" s="25">
        <f t="shared" si="11"/>
        <v>65442.262000000002</v>
      </c>
    </row>
    <row r="387" spans="1:18" hidden="1" x14ac:dyDescent="0.25">
      <c r="A387" s="26">
        <v>43650</v>
      </c>
      <c r="B387" s="25" t="s">
        <v>1174</v>
      </c>
      <c r="C387" s="25" t="s">
        <v>17</v>
      </c>
      <c r="D387" s="25">
        <v>1000</v>
      </c>
      <c r="E387" s="25">
        <v>65</v>
      </c>
      <c r="F387" s="25">
        <v>65000</v>
      </c>
      <c r="G387" s="25" t="s">
        <v>1417</v>
      </c>
      <c r="H387" s="25">
        <v>2019126</v>
      </c>
      <c r="I387" s="25" t="s">
        <v>19</v>
      </c>
      <c r="J387" s="25" t="s">
        <v>20</v>
      </c>
      <c r="K387" s="25" t="s">
        <v>25</v>
      </c>
      <c r="L387" s="25">
        <v>0</v>
      </c>
      <c r="M387" s="25">
        <v>2.34</v>
      </c>
      <c r="N387" s="25">
        <v>0</v>
      </c>
      <c r="O387" s="25">
        <v>38.770000000000003</v>
      </c>
      <c r="P387" s="25">
        <v>41.11</v>
      </c>
      <c r="Q387" s="25">
        <f t="shared" ref="Q387:Q450" si="12">IF(C387="Buy",F387+P387,0)</f>
        <v>65041.11</v>
      </c>
      <c r="R387" s="25">
        <f t="shared" ref="R387:R450" si="13">IF(C387="Sell",F387-P387,0)</f>
        <v>0</v>
      </c>
    </row>
    <row r="388" spans="1:18" hidden="1" x14ac:dyDescent="0.25">
      <c r="A388" s="26">
        <v>43650</v>
      </c>
      <c r="B388" s="25" t="s">
        <v>16</v>
      </c>
      <c r="C388" s="25" t="s">
        <v>17</v>
      </c>
      <c r="D388" s="25">
        <v>2500</v>
      </c>
      <c r="E388" s="25">
        <v>24.15</v>
      </c>
      <c r="F388" s="25">
        <v>60375</v>
      </c>
      <c r="G388" s="25" t="s">
        <v>1418</v>
      </c>
      <c r="H388" s="25">
        <v>2019126</v>
      </c>
      <c r="I388" s="25" t="s">
        <v>19</v>
      </c>
      <c r="J388" s="25" t="s">
        <v>20</v>
      </c>
      <c r="K388" s="25" t="s">
        <v>25</v>
      </c>
      <c r="L388" s="25">
        <v>0</v>
      </c>
      <c r="M388" s="25">
        <v>2.17</v>
      </c>
      <c r="N388" s="25">
        <v>13.8</v>
      </c>
      <c r="O388" s="25">
        <v>36.01</v>
      </c>
      <c r="P388" s="25">
        <v>51.983499999999999</v>
      </c>
      <c r="Q388" s="25">
        <f t="shared" si="12"/>
        <v>60426.983500000002</v>
      </c>
      <c r="R388" s="25">
        <f t="shared" si="13"/>
        <v>0</v>
      </c>
    </row>
    <row r="389" spans="1:18" hidden="1" x14ac:dyDescent="0.25">
      <c r="A389" s="26">
        <v>43650</v>
      </c>
      <c r="B389" s="25" t="s">
        <v>16</v>
      </c>
      <c r="C389" s="25" t="s">
        <v>23</v>
      </c>
      <c r="D389" s="25">
        <v>2500</v>
      </c>
      <c r="E389" s="25">
        <v>24.2</v>
      </c>
      <c r="F389" s="25">
        <v>60500</v>
      </c>
      <c r="G389" s="25" t="s">
        <v>1419</v>
      </c>
      <c r="H389" s="25">
        <v>2019126</v>
      </c>
      <c r="I389" s="25" t="s">
        <v>19</v>
      </c>
      <c r="J389" s="25" t="s">
        <v>20</v>
      </c>
      <c r="K389" s="25" t="s">
        <v>25</v>
      </c>
      <c r="L389" s="25">
        <v>15.33</v>
      </c>
      <c r="M389" s="25">
        <v>2.1800000000000002</v>
      </c>
      <c r="N389" s="25">
        <v>0</v>
      </c>
      <c r="O389" s="25">
        <v>36.090000000000003</v>
      </c>
      <c r="P389" s="25">
        <v>53.597999999999999</v>
      </c>
      <c r="Q389" s="25">
        <f t="shared" si="12"/>
        <v>0</v>
      </c>
      <c r="R389" s="25">
        <f t="shared" si="13"/>
        <v>60446.402000000002</v>
      </c>
    </row>
    <row r="390" spans="1:18" hidden="1" x14ac:dyDescent="0.25">
      <c r="A390" s="26">
        <v>43649</v>
      </c>
      <c r="B390" s="25" t="s">
        <v>1105</v>
      </c>
      <c r="C390" s="25" t="s">
        <v>23</v>
      </c>
      <c r="D390" s="25">
        <v>50</v>
      </c>
      <c r="E390" s="25">
        <v>930</v>
      </c>
      <c r="F390" s="25">
        <v>46500</v>
      </c>
      <c r="G390" s="25" t="s">
        <v>1420</v>
      </c>
      <c r="H390" s="25">
        <v>2019125</v>
      </c>
      <c r="I390" s="25" t="s">
        <v>19</v>
      </c>
      <c r="J390" s="25" t="s">
        <v>20</v>
      </c>
      <c r="K390" s="25" t="s">
        <v>25</v>
      </c>
      <c r="L390" s="25">
        <v>11.68</v>
      </c>
      <c r="M390" s="25">
        <v>1.67</v>
      </c>
      <c r="N390" s="25">
        <v>0</v>
      </c>
      <c r="O390" s="25">
        <v>29.81</v>
      </c>
      <c r="P390" s="25">
        <v>43.164099999999998</v>
      </c>
      <c r="Q390" s="25">
        <f t="shared" si="12"/>
        <v>0</v>
      </c>
      <c r="R390" s="25">
        <f t="shared" si="13"/>
        <v>46456.835899999998</v>
      </c>
    </row>
    <row r="391" spans="1:18" hidden="1" x14ac:dyDescent="0.25">
      <c r="A391" s="26">
        <v>43649</v>
      </c>
      <c r="B391" s="25" t="s">
        <v>1105</v>
      </c>
      <c r="C391" s="25" t="s">
        <v>17</v>
      </c>
      <c r="D391" s="25">
        <v>50</v>
      </c>
      <c r="E391" s="25">
        <v>927.3</v>
      </c>
      <c r="F391" s="25">
        <v>46365</v>
      </c>
      <c r="G391" s="25" t="s">
        <v>1421</v>
      </c>
      <c r="H391" s="25">
        <v>2019125</v>
      </c>
      <c r="I391" s="25" t="s">
        <v>19</v>
      </c>
      <c r="J391" s="25" t="s">
        <v>20</v>
      </c>
      <c r="K391" s="25" t="s">
        <v>25</v>
      </c>
      <c r="L391" s="25">
        <v>0</v>
      </c>
      <c r="M391" s="25">
        <v>1.67</v>
      </c>
      <c r="N391" s="25">
        <v>0</v>
      </c>
      <c r="O391" s="25">
        <v>29.8</v>
      </c>
      <c r="P391" s="25">
        <v>31.469200000000001</v>
      </c>
      <c r="Q391" s="25">
        <f t="shared" si="12"/>
        <v>46396.4692</v>
      </c>
      <c r="R391" s="25">
        <f t="shared" si="13"/>
        <v>0</v>
      </c>
    </row>
    <row r="392" spans="1:18" hidden="1" x14ac:dyDescent="0.25">
      <c r="A392" s="26">
        <v>43649</v>
      </c>
      <c r="B392" s="25" t="s">
        <v>1174</v>
      </c>
      <c r="C392" s="25" t="s">
        <v>23</v>
      </c>
      <c r="D392" s="25">
        <v>500</v>
      </c>
      <c r="E392" s="25">
        <v>66.25</v>
      </c>
      <c r="F392" s="25">
        <v>33125</v>
      </c>
      <c r="G392" s="25" t="s">
        <v>1422</v>
      </c>
      <c r="H392" s="25">
        <v>2019125</v>
      </c>
      <c r="I392" s="25" t="s">
        <v>19</v>
      </c>
      <c r="J392" s="25" t="s">
        <v>20</v>
      </c>
      <c r="K392" s="25" t="s">
        <v>25</v>
      </c>
      <c r="L392" s="25">
        <v>8.2200000000000006</v>
      </c>
      <c r="M392" s="25">
        <v>1.19</v>
      </c>
      <c r="N392" s="25">
        <v>0</v>
      </c>
      <c r="O392" s="25">
        <v>29.71</v>
      </c>
      <c r="P392" s="25">
        <v>39.122500000000002</v>
      </c>
      <c r="Q392" s="25">
        <f t="shared" si="12"/>
        <v>0</v>
      </c>
      <c r="R392" s="25">
        <f t="shared" si="13"/>
        <v>33085.877500000002</v>
      </c>
    </row>
    <row r="393" spans="1:18" hidden="1" x14ac:dyDescent="0.25">
      <c r="A393" s="26">
        <v>43649</v>
      </c>
      <c r="B393" s="25" t="s">
        <v>1174</v>
      </c>
      <c r="C393" s="25" t="s">
        <v>17</v>
      </c>
      <c r="D393" s="25">
        <v>500</v>
      </c>
      <c r="E393" s="25">
        <v>65.25</v>
      </c>
      <c r="F393" s="25">
        <v>32625</v>
      </c>
      <c r="G393" s="25" t="s">
        <v>1423</v>
      </c>
      <c r="H393" s="25">
        <v>2019125</v>
      </c>
      <c r="I393" s="25" t="s">
        <v>19</v>
      </c>
      <c r="J393" s="25" t="s">
        <v>20</v>
      </c>
      <c r="K393" s="25" t="s">
        <v>25</v>
      </c>
      <c r="L393" s="25">
        <v>0</v>
      </c>
      <c r="M393" s="25">
        <v>1.17</v>
      </c>
      <c r="N393" s="25">
        <v>0</v>
      </c>
      <c r="O393" s="25">
        <v>29.71</v>
      </c>
      <c r="P393" s="25">
        <v>30.884499999999999</v>
      </c>
      <c r="Q393" s="25">
        <f t="shared" si="12"/>
        <v>32655.8845</v>
      </c>
      <c r="R393" s="25">
        <f t="shared" si="13"/>
        <v>0</v>
      </c>
    </row>
    <row r="394" spans="1:18" hidden="1" x14ac:dyDescent="0.25">
      <c r="A394" s="26">
        <v>43649</v>
      </c>
      <c r="B394" s="25" t="s">
        <v>16</v>
      </c>
      <c r="C394" s="25" t="s">
        <v>17</v>
      </c>
      <c r="D394" s="25">
        <v>1000</v>
      </c>
      <c r="E394" s="25">
        <v>24.2</v>
      </c>
      <c r="F394" s="25">
        <v>24200</v>
      </c>
      <c r="G394" s="25" t="s">
        <v>1424</v>
      </c>
      <c r="H394" s="25">
        <v>2019125</v>
      </c>
      <c r="I394" s="25" t="s">
        <v>19</v>
      </c>
      <c r="J394" s="25" t="s">
        <v>20</v>
      </c>
      <c r="K394" s="25" t="s">
        <v>25</v>
      </c>
      <c r="L394" s="25">
        <v>0</v>
      </c>
      <c r="M394" s="25">
        <v>0.87</v>
      </c>
      <c r="N394" s="25">
        <v>0</v>
      </c>
      <c r="O394" s="25">
        <v>29.66</v>
      </c>
      <c r="P394" s="25">
        <v>30.531199999999998</v>
      </c>
      <c r="Q394" s="25">
        <f t="shared" si="12"/>
        <v>24230.531200000001</v>
      </c>
      <c r="R394" s="25">
        <f t="shared" si="13"/>
        <v>0</v>
      </c>
    </row>
    <row r="395" spans="1:18" hidden="1" x14ac:dyDescent="0.25">
      <c r="A395" s="26">
        <v>43649</v>
      </c>
      <c r="B395" s="25" t="s">
        <v>16</v>
      </c>
      <c r="C395" s="25" t="s">
        <v>17</v>
      </c>
      <c r="D395" s="25">
        <v>1500</v>
      </c>
      <c r="E395" s="25">
        <v>24.15</v>
      </c>
      <c r="F395" s="25">
        <v>36225</v>
      </c>
      <c r="G395" s="25" t="s">
        <v>1425</v>
      </c>
      <c r="H395" s="25">
        <v>2019125</v>
      </c>
      <c r="I395" s="25" t="s">
        <v>19</v>
      </c>
      <c r="J395" s="25" t="s">
        <v>20</v>
      </c>
      <c r="K395" s="25" t="s">
        <v>25</v>
      </c>
      <c r="L395" s="25">
        <v>0</v>
      </c>
      <c r="M395" s="25">
        <v>1.3</v>
      </c>
      <c r="N395" s="25">
        <v>8.4</v>
      </c>
      <c r="O395" s="25">
        <v>29.74</v>
      </c>
      <c r="P395" s="25">
        <v>39.444099999999999</v>
      </c>
      <c r="Q395" s="25">
        <f t="shared" si="12"/>
        <v>36264.444100000001</v>
      </c>
      <c r="R395" s="25">
        <f t="shared" si="13"/>
        <v>0</v>
      </c>
    </row>
    <row r="396" spans="1:18" hidden="1" x14ac:dyDescent="0.25">
      <c r="A396" s="26">
        <v>43649</v>
      </c>
      <c r="B396" s="25" t="s">
        <v>16</v>
      </c>
      <c r="C396" s="25" t="s">
        <v>23</v>
      </c>
      <c r="D396" s="25">
        <v>183</v>
      </c>
      <c r="E396" s="25">
        <v>24.25</v>
      </c>
      <c r="F396" s="25">
        <v>4437.75</v>
      </c>
      <c r="G396" s="25" t="s">
        <v>1426</v>
      </c>
      <c r="H396" s="25">
        <v>2019125</v>
      </c>
      <c r="I396" s="25" t="s">
        <v>19</v>
      </c>
      <c r="J396" s="25" t="s">
        <v>20</v>
      </c>
      <c r="K396" s="25" t="s">
        <v>25</v>
      </c>
      <c r="L396" s="25">
        <v>1.1100000000000001</v>
      </c>
      <c r="M396" s="25">
        <v>0.16</v>
      </c>
      <c r="N396" s="25">
        <v>0</v>
      </c>
      <c r="O396" s="25">
        <v>29.53</v>
      </c>
      <c r="P396" s="25">
        <v>30.799700000000001</v>
      </c>
      <c r="Q396" s="25">
        <f t="shared" si="12"/>
        <v>0</v>
      </c>
      <c r="R396" s="25">
        <f t="shared" si="13"/>
        <v>4406.9503000000004</v>
      </c>
    </row>
    <row r="397" spans="1:18" hidden="1" x14ac:dyDescent="0.25">
      <c r="A397" s="26">
        <v>43649</v>
      </c>
      <c r="B397" s="25" t="s">
        <v>16</v>
      </c>
      <c r="C397" s="25" t="s">
        <v>23</v>
      </c>
      <c r="D397" s="25">
        <v>2317</v>
      </c>
      <c r="E397" s="25">
        <v>24.15</v>
      </c>
      <c r="F397" s="25">
        <v>55955.55</v>
      </c>
      <c r="G397" s="25" t="s">
        <v>1427</v>
      </c>
      <c r="H397" s="25">
        <v>2019125</v>
      </c>
      <c r="I397" s="25" t="s">
        <v>19</v>
      </c>
      <c r="J397" s="25" t="s">
        <v>20</v>
      </c>
      <c r="K397" s="25" t="s">
        <v>25</v>
      </c>
      <c r="L397" s="25">
        <v>14</v>
      </c>
      <c r="M397" s="25">
        <v>2.0099999999999998</v>
      </c>
      <c r="N397" s="25">
        <v>0</v>
      </c>
      <c r="O397" s="25">
        <v>33.380000000000003</v>
      </c>
      <c r="P397" s="25">
        <v>49.394399999999997</v>
      </c>
      <c r="Q397" s="25">
        <f t="shared" si="12"/>
        <v>0</v>
      </c>
      <c r="R397" s="25">
        <f t="shared" si="13"/>
        <v>55906.155600000006</v>
      </c>
    </row>
    <row r="398" spans="1:18" hidden="1" x14ac:dyDescent="0.25">
      <c r="A398" s="26">
        <v>43648</v>
      </c>
      <c r="B398" s="25" t="s">
        <v>1105</v>
      </c>
      <c r="C398" s="25" t="s">
        <v>23</v>
      </c>
      <c r="D398" s="25">
        <v>100</v>
      </c>
      <c r="E398" s="25">
        <v>916</v>
      </c>
      <c r="F398" s="25">
        <v>91600</v>
      </c>
      <c r="G398" s="25" t="s">
        <v>1428</v>
      </c>
      <c r="H398" s="25">
        <v>2019124</v>
      </c>
      <c r="I398" s="25" t="s">
        <v>19</v>
      </c>
      <c r="J398" s="25" t="s">
        <v>20</v>
      </c>
      <c r="K398" s="25" t="s">
        <v>25</v>
      </c>
      <c r="L398" s="25">
        <v>23</v>
      </c>
      <c r="M398" s="25">
        <v>3.3</v>
      </c>
      <c r="N398" s="25">
        <v>5.7</v>
      </c>
      <c r="O398" s="25">
        <v>54.64</v>
      </c>
      <c r="P398" s="25">
        <v>86.637600000000006</v>
      </c>
      <c r="Q398" s="25">
        <f t="shared" si="12"/>
        <v>0</v>
      </c>
      <c r="R398" s="25">
        <f t="shared" si="13"/>
        <v>91513.362399999998</v>
      </c>
    </row>
    <row r="399" spans="1:18" hidden="1" x14ac:dyDescent="0.25">
      <c r="A399" s="26">
        <v>43648</v>
      </c>
      <c r="B399" s="25" t="s">
        <v>1105</v>
      </c>
      <c r="C399" s="25" t="s">
        <v>17</v>
      </c>
      <c r="D399" s="25">
        <v>100</v>
      </c>
      <c r="E399" s="25">
        <v>916.1</v>
      </c>
      <c r="F399" s="25">
        <v>91610</v>
      </c>
      <c r="G399" s="25" t="s">
        <v>1429</v>
      </c>
      <c r="H399" s="25">
        <v>2019124</v>
      </c>
      <c r="I399" s="25" t="s">
        <v>19</v>
      </c>
      <c r="J399" s="25" t="s">
        <v>20</v>
      </c>
      <c r="K399" s="25" t="s">
        <v>25</v>
      </c>
      <c r="L399" s="25">
        <v>0</v>
      </c>
      <c r="M399" s="25">
        <v>3.3</v>
      </c>
      <c r="N399" s="25">
        <v>0</v>
      </c>
      <c r="O399" s="25">
        <v>54.65</v>
      </c>
      <c r="P399" s="25">
        <v>57.947899999999997</v>
      </c>
      <c r="Q399" s="25">
        <f t="shared" si="12"/>
        <v>91667.947899999999</v>
      </c>
      <c r="R399" s="25">
        <f t="shared" si="13"/>
        <v>0</v>
      </c>
    </row>
    <row r="400" spans="1:18" hidden="1" x14ac:dyDescent="0.25">
      <c r="A400" s="26">
        <v>43644</v>
      </c>
      <c r="B400" s="25" t="s">
        <v>1037</v>
      </c>
      <c r="C400" s="25" t="s">
        <v>17</v>
      </c>
      <c r="D400" s="25">
        <v>100</v>
      </c>
      <c r="E400" s="25">
        <v>622</v>
      </c>
      <c r="F400" s="25">
        <v>62200</v>
      </c>
      <c r="G400" s="25" t="s">
        <v>1430</v>
      </c>
      <c r="H400" s="25">
        <v>2019122</v>
      </c>
      <c r="I400" s="25" t="s">
        <v>19</v>
      </c>
      <c r="J400" s="25" t="s">
        <v>20</v>
      </c>
      <c r="K400" s="25" t="s">
        <v>25</v>
      </c>
      <c r="L400" s="25">
        <v>0</v>
      </c>
      <c r="M400" s="25">
        <v>2.2400000000000002</v>
      </c>
      <c r="N400" s="25">
        <v>0</v>
      </c>
      <c r="O400" s="25">
        <v>37.1</v>
      </c>
      <c r="P400" s="25">
        <v>39.339199999999998</v>
      </c>
      <c r="Q400" s="25">
        <f t="shared" si="12"/>
        <v>62239.339200000002</v>
      </c>
      <c r="R400" s="25">
        <f t="shared" si="13"/>
        <v>0</v>
      </c>
    </row>
    <row r="401" spans="1:18" hidden="1" x14ac:dyDescent="0.25">
      <c r="A401" s="26">
        <v>43644</v>
      </c>
      <c r="B401" s="25" t="s">
        <v>270</v>
      </c>
      <c r="C401" s="25" t="s">
        <v>17</v>
      </c>
      <c r="D401" s="25">
        <v>1000</v>
      </c>
      <c r="E401" s="25">
        <v>123</v>
      </c>
      <c r="F401" s="25">
        <v>123000</v>
      </c>
      <c r="G401" s="25" t="s">
        <v>1431</v>
      </c>
      <c r="H401" s="25">
        <v>2019122</v>
      </c>
      <c r="I401" s="25" t="s">
        <v>19</v>
      </c>
      <c r="J401" s="25" t="s">
        <v>20</v>
      </c>
      <c r="K401" s="25" t="s">
        <v>25</v>
      </c>
      <c r="L401" s="25">
        <v>0</v>
      </c>
      <c r="M401" s="25">
        <v>4.43</v>
      </c>
      <c r="N401" s="25">
        <v>42.9</v>
      </c>
      <c r="O401" s="25">
        <v>73.37</v>
      </c>
      <c r="P401" s="25">
        <v>120.69799999999999</v>
      </c>
      <c r="Q401" s="25">
        <f t="shared" si="12"/>
        <v>123120.698</v>
      </c>
      <c r="R401" s="25">
        <f t="shared" si="13"/>
        <v>0</v>
      </c>
    </row>
    <row r="402" spans="1:18" hidden="1" x14ac:dyDescent="0.25">
      <c r="A402" s="26">
        <v>43644</v>
      </c>
      <c r="B402" s="25" t="s">
        <v>1037</v>
      </c>
      <c r="C402" s="25" t="s">
        <v>17</v>
      </c>
      <c r="D402" s="25">
        <v>100</v>
      </c>
      <c r="E402" s="25">
        <v>616.5</v>
      </c>
      <c r="F402" s="25">
        <v>61650</v>
      </c>
      <c r="G402" s="25" t="s">
        <v>1432</v>
      </c>
      <c r="H402" s="25">
        <v>2019122</v>
      </c>
      <c r="I402" s="25" t="s">
        <v>19</v>
      </c>
      <c r="J402" s="25" t="s">
        <v>20</v>
      </c>
      <c r="K402" s="25" t="s">
        <v>25</v>
      </c>
      <c r="L402" s="25">
        <v>0</v>
      </c>
      <c r="M402" s="25">
        <v>2.2200000000000002</v>
      </c>
      <c r="N402" s="25">
        <v>0</v>
      </c>
      <c r="O402" s="25">
        <v>36.770000000000003</v>
      </c>
      <c r="P402" s="25">
        <v>38.9895</v>
      </c>
      <c r="Q402" s="25">
        <f t="shared" si="12"/>
        <v>61688.989500000003</v>
      </c>
      <c r="R402" s="25">
        <f t="shared" si="13"/>
        <v>0</v>
      </c>
    </row>
    <row r="403" spans="1:18" hidden="1" x14ac:dyDescent="0.25">
      <c r="A403" s="26">
        <v>43644</v>
      </c>
      <c r="B403" s="25" t="s">
        <v>270</v>
      </c>
      <c r="C403" s="25" t="s">
        <v>23</v>
      </c>
      <c r="D403" s="25">
        <v>1000</v>
      </c>
      <c r="E403" s="25">
        <v>123.25</v>
      </c>
      <c r="F403" s="25">
        <v>123250</v>
      </c>
      <c r="G403" s="25" t="s">
        <v>1433</v>
      </c>
      <c r="H403" s="25">
        <v>2019122</v>
      </c>
      <c r="I403" s="25" t="s">
        <v>19</v>
      </c>
      <c r="J403" s="25" t="s">
        <v>20</v>
      </c>
      <c r="K403" s="25" t="s">
        <v>25</v>
      </c>
      <c r="L403" s="25">
        <v>30.82</v>
      </c>
      <c r="M403" s="25">
        <v>4.4400000000000004</v>
      </c>
      <c r="N403" s="25">
        <v>0</v>
      </c>
      <c r="O403" s="25">
        <v>73.52</v>
      </c>
      <c r="P403" s="25">
        <v>108.7771</v>
      </c>
      <c r="Q403" s="25">
        <f t="shared" si="12"/>
        <v>0</v>
      </c>
      <c r="R403" s="25">
        <f t="shared" si="13"/>
        <v>123141.22289999999</v>
      </c>
    </row>
    <row r="404" spans="1:18" hidden="1" x14ac:dyDescent="0.25">
      <c r="A404" s="26">
        <v>43644</v>
      </c>
      <c r="B404" s="25" t="s">
        <v>270</v>
      </c>
      <c r="C404" s="25" t="s">
        <v>17</v>
      </c>
      <c r="D404" s="25">
        <v>500</v>
      </c>
      <c r="E404" s="25">
        <v>123.4</v>
      </c>
      <c r="F404" s="25">
        <v>61700</v>
      </c>
      <c r="G404" s="25" t="s">
        <v>1434</v>
      </c>
      <c r="H404" s="25">
        <v>2019122</v>
      </c>
      <c r="I404" s="25" t="s">
        <v>19</v>
      </c>
      <c r="J404" s="25" t="s">
        <v>20</v>
      </c>
      <c r="K404" s="25" t="s">
        <v>25</v>
      </c>
      <c r="L404" s="25">
        <v>0</v>
      </c>
      <c r="M404" s="25">
        <v>2.2200000000000002</v>
      </c>
      <c r="N404" s="25">
        <v>0</v>
      </c>
      <c r="O404" s="25">
        <v>36.79</v>
      </c>
      <c r="P404" s="25">
        <v>39.011299999999999</v>
      </c>
      <c r="Q404" s="25">
        <f t="shared" si="12"/>
        <v>61739.011299999998</v>
      </c>
      <c r="R404" s="25">
        <f t="shared" si="13"/>
        <v>0</v>
      </c>
    </row>
    <row r="405" spans="1:18" hidden="1" x14ac:dyDescent="0.25">
      <c r="A405" s="26">
        <v>43644</v>
      </c>
      <c r="B405" s="25" t="s">
        <v>270</v>
      </c>
      <c r="C405" s="25" t="s">
        <v>23</v>
      </c>
      <c r="D405" s="25">
        <v>500</v>
      </c>
      <c r="E405" s="25">
        <v>123.7</v>
      </c>
      <c r="F405" s="25">
        <v>61850</v>
      </c>
      <c r="G405" s="25" t="s">
        <v>1435</v>
      </c>
      <c r="H405" s="25">
        <v>2019122</v>
      </c>
      <c r="I405" s="25" t="s">
        <v>19</v>
      </c>
      <c r="J405" s="25" t="s">
        <v>20</v>
      </c>
      <c r="K405" s="25" t="s">
        <v>25</v>
      </c>
      <c r="L405" s="25">
        <v>15.41</v>
      </c>
      <c r="M405" s="25">
        <v>2.23</v>
      </c>
      <c r="N405" s="25">
        <v>0</v>
      </c>
      <c r="O405" s="25">
        <v>36.89</v>
      </c>
      <c r="P405" s="25">
        <v>54.526699999999998</v>
      </c>
      <c r="Q405" s="25">
        <f t="shared" si="12"/>
        <v>0</v>
      </c>
      <c r="R405" s="25">
        <f t="shared" si="13"/>
        <v>61795.473299999998</v>
      </c>
    </row>
    <row r="406" spans="1:18" hidden="1" x14ac:dyDescent="0.25">
      <c r="A406" s="26">
        <v>43644</v>
      </c>
      <c r="B406" s="25" t="s">
        <v>1037</v>
      </c>
      <c r="C406" s="25" t="s">
        <v>17</v>
      </c>
      <c r="D406" s="25">
        <v>100</v>
      </c>
      <c r="E406" s="25">
        <v>613</v>
      </c>
      <c r="F406" s="25">
        <v>61300</v>
      </c>
      <c r="G406" s="25" t="s">
        <v>1436</v>
      </c>
      <c r="H406" s="25">
        <v>2019122</v>
      </c>
      <c r="I406" s="25" t="s">
        <v>19</v>
      </c>
      <c r="J406" s="25" t="s">
        <v>20</v>
      </c>
      <c r="K406" s="25" t="s">
        <v>25</v>
      </c>
      <c r="L406" s="25">
        <v>0</v>
      </c>
      <c r="M406" s="25">
        <v>2.21</v>
      </c>
      <c r="N406" s="25">
        <v>0</v>
      </c>
      <c r="O406" s="25">
        <v>36.56</v>
      </c>
      <c r="P406" s="25">
        <v>38.766800000000003</v>
      </c>
      <c r="Q406" s="25">
        <f t="shared" si="12"/>
        <v>61338.766799999998</v>
      </c>
      <c r="R406" s="25">
        <f t="shared" si="13"/>
        <v>0</v>
      </c>
    </row>
    <row r="407" spans="1:18" hidden="1" x14ac:dyDescent="0.25">
      <c r="A407" s="26">
        <v>43644</v>
      </c>
      <c r="B407" s="25" t="s">
        <v>1037</v>
      </c>
      <c r="C407" s="25" t="s">
        <v>23</v>
      </c>
      <c r="D407" s="25">
        <v>300</v>
      </c>
      <c r="E407" s="25">
        <v>611</v>
      </c>
      <c r="F407" s="25">
        <v>183300</v>
      </c>
      <c r="G407" s="25" t="s">
        <v>1437</v>
      </c>
      <c r="H407" s="25">
        <v>2019122</v>
      </c>
      <c r="I407" s="25" t="s">
        <v>19</v>
      </c>
      <c r="J407" s="25" t="s">
        <v>20</v>
      </c>
      <c r="K407" s="25" t="s">
        <v>25</v>
      </c>
      <c r="L407" s="25">
        <v>45.72</v>
      </c>
      <c r="M407" s="25">
        <v>6.6</v>
      </c>
      <c r="N407" s="25">
        <v>0</v>
      </c>
      <c r="O407" s="25">
        <v>109.34</v>
      </c>
      <c r="P407" s="25">
        <v>161.65899999999999</v>
      </c>
      <c r="Q407" s="25">
        <f t="shared" si="12"/>
        <v>0</v>
      </c>
      <c r="R407" s="25">
        <f t="shared" si="13"/>
        <v>183138.34099999999</v>
      </c>
    </row>
    <row r="408" spans="1:18" hidden="1" x14ac:dyDescent="0.25">
      <c r="A408" s="26">
        <v>43644</v>
      </c>
      <c r="B408" s="25" t="s">
        <v>65</v>
      </c>
      <c r="C408" s="25" t="s">
        <v>17</v>
      </c>
      <c r="D408" s="25">
        <v>1000</v>
      </c>
      <c r="E408" s="25">
        <v>81.25</v>
      </c>
      <c r="F408" s="25">
        <v>81250</v>
      </c>
      <c r="G408" s="25" t="s">
        <v>1438</v>
      </c>
      <c r="H408" s="25">
        <v>2019122</v>
      </c>
      <c r="I408" s="25" t="s">
        <v>19</v>
      </c>
      <c r="J408" s="25" t="s">
        <v>20</v>
      </c>
      <c r="K408" s="25" t="s">
        <v>25</v>
      </c>
      <c r="L408" s="25">
        <v>0</v>
      </c>
      <c r="M408" s="25">
        <v>2.93</v>
      </c>
      <c r="N408" s="25">
        <v>0</v>
      </c>
      <c r="O408" s="25">
        <v>48.46</v>
      </c>
      <c r="P408" s="25">
        <v>51.385100000000001</v>
      </c>
      <c r="Q408" s="25">
        <f t="shared" si="12"/>
        <v>81301.3851</v>
      </c>
      <c r="R408" s="25">
        <f t="shared" si="13"/>
        <v>0</v>
      </c>
    </row>
    <row r="409" spans="1:18" hidden="1" x14ac:dyDescent="0.25">
      <c r="A409" s="26">
        <v>43644</v>
      </c>
      <c r="B409" s="25" t="s">
        <v>1037</v>
      </c>
      <c r="C409" s="25" t="s">
        <v>17</v>
      </c>
      <c r="D409" s="25">
        <v>300</v>
      </c>
      <c r="E409" s="25">
        <v>613</v>
      </c>
      <c r="F409" s="25">
        <v>183900</v>
      </c>
      <c r="G409" s="25" t="s">
        <v>1439</v>
      </c>
      <c r="H409" s="25">
        <v>2019122</v>
      </c>
      <c r="I409" s="25" t="s">
        <v>19</v>
      </c>
      <c r="J409" s="25" t="s">
        <v>20</v>
      </c>
      <c r="K409" s="25" t="s">
        <v>25</v>
      </c>
      <c r="L409" s="25">
        <v>0</v>
      </c>
      <c r="M409" s="25">
        <v>6.62</v>
      </c>
      <c r="N409" s="25">
        <v>0</v>
      </c>
      <c r="O409" s="25">
        <v>109.69</v>
      </c>
      <c r="P409" s="25">
        <v>116.3104</v>
      </c>
      <c r="Q409" s="25">
        <f t="shared" si="12"/>
        <v>184016.31039999999</v>
      </c>
      <c r="R409" s="25">
        <f t="shared" si="13"/>
        <v>0</v>
      </c>
    </row>
    <row r="410" spans="1:18" hidden="1" x14ac:dyDescent="0.25">
      <c r="A410" s="26">
        <v>43644</v>
      </c>
      <c r="B410" s="25" t="s">
        <v>1037</v>
      </c>
      <c r="C410" s="25" t="s">
        <v>23</v>
      </c>
      <c r="D410" s="25">
        <v>300</v>
      </c>
      <c r="E410" s="25">
        <v>607.49</v>
      </c>
      <c r="F410" s="25">
        <v>182247.65</v>
      </c>
      <c r="G410" s="25" t="s">
        <v>1440</v>
      </c>
      <c r="H410" s="25">
        <v>2019122</v>
      </c>
      <c r="I410" s="25" t="s">
        <v>19</v>
      </c>
      <c r="J410" s="25" t="s">
        <v>20</v>
      </c>
      <c r="K410" s="25" t="s">
        <v>25</v>
      </c>
      <c r="L410" s="25">
        <v>45.91</v>
      </c>
      <c r="M410" s="25">
        <v>6.56</v>
      </c>
      <c r="N410" s="25">
        <v>0</v>
      </c>
      <c r="O410" s="25">
        <v>108.71</v>
      </c>
      <c r="P410" s="25">
        <v>161.18100000000001</v>
      </c>
      <c r="Q410" s="25">
        <f t="shared" si="12"/>
        <v>0</v>
      </c>
      <c r="R410" s="25">
        <f t="shared" si="13"/>
        <v>182086.46899999998</v>
      </c>
    </row>
    <row r="411" spans="1:18" hidden="1" x14ac:dyDescent="0.25">
      <c r="A411" s="26">
        <v>43644</v>
      </c>
      <c r="B411" s="25" t="s">
        <v>65</v>
      </c>
      <c r="C411" s="25" t="s">
        <v>23</v>
      </c>
      <c r="D411" s="25">
        <v>2000</v>
      </c>
      <c r="E411" s="25">
        <v>80.099999999999994</v>
      </c>
      <c r="F411" s="25">
        <v>160200</v>
      </c>
      <c r="G411" s="25" t="s">
        <v>1441</v>
      </c>
      <c r="H411" s="25">
        <v>2019122</v>
      </c>
      <c r="I411" s="25" t="s">
        <v>19</v>
      </c>
      <c r="J411" s="25" t="s">
        <v>20</v>
      </c>
      <c r="K411" s="25" t="s">
        <v>25</v>
      </c>
      <c r="L411" s="25">
        <v>40.14</v>
      </c>
      <c r="M411" s="25">
        <v>5.77</v>
      </c>
      <c r="N411" s="25">
        <v>0</v>
      </c>
      <c r="O411" s="25">
        <v>95.56</v>
      </c>
      <c r="P411" s="25">
        <v>141.46719999999999</v>
      </c>
      <c r="Q411" s="25">
        <f t="shared" si="12"/>
        <v>0</v>
      </c>
      <c r="R411" s="25">
        <f t="shared" si="13"/>
        <v>160058.53279999999</v>
      </c>
    </row>
    <row r="412" spans="1:18" hidden="1" x14ac:dyDescent="0.25">
      <c r="A412" s="26">
        <v>43644</v>
      </c>
      <c r="B412" s="25" t="s">
        <v>65</v>
      </c>
      <c r="C412" s="25" t="s">
        <v>17</v>
      </c>
      <c r="D412" s="25">
        <v>1000</v>
      </c>
      <c r="E412" s="25">
        <v>79.7</v>
      </c>
      <c r="F412" s="25">
        <v>79700</v>
      </c>
      <c r="G412" s="25" t="s">
        <v>1442</v>
      </c>
      <c r="H412" s="25">
        <v>2019122</v>
      </c>
      <c r="I412" s="25" t="s">
        <v>19</v>
      </c>
      <c r="J412" s="25" t="s">
        <v>20</v>
      </c>
      <c r="K412" s="25" t="s">
        <v>25</v>
      </c>
      <c r="L412" s="25">
        <v>0</v>
      </c>
      <c r="M412" s="25">
        <v>2.87</v>
      </c>
      <c r="N412" s="25">
        <v>0</v>
      </c>
      <c r="O412" s="25">
        <v>47.54</v>
      </c>
      <c r="P412" s="25">
        <v>50.409199999999998</v>
      </c>
      <c r="Q412" s="25">
        <f t="shared" si="12"/>
        <v>79750.409199999995</v>
      </c>
      <c r="R412" s="25">
        <f t="shared" si="13"/>
        <v>0</v>
      </c>
    </row>
    <row r="413" spans="1:18" hidden="1" x14ac:dyDescent="0.25">
      <c r="A413" s="26">
        <v>43643</v>
      </c>
      <c r="B413" s="25" t="s">
        <v>270</v>
      </c>
      <c r="C413" s="25" t="s">
        <v>17</v>
      </c>
      <c r="D413" s="25">
        <v>1000</v>
      </c>
      <c r="E413" s="25">
        <v>121.65</v>
      </c>
      <c r="F413" s="25">
        <v>121650</v>
      </c>
      <c r="G413" s="25" t="s">
        <v>1443</v>
      </c>
      <c r="H413" s="25">
        <v>2019121</v>
      </c>
      <c r="I413" s="25" t="s">
        <v>19</v>
      </c>
      <c r="J413" s="25" t="s">
        <v>20</v>
      </c>
      <c r="K413" s="25" t="s">
        <v>25</v>
      </c>
      <c r="L413" s="25">
        <v>0</v>
      </c>
      <c r="M413" s="25">
        <v>4.38</v>
      </c>
      <c r="N413" s="25">
        <v>0</v>
      </c>
      <c r="O413" s="25">
        <v>72.56</v>
      </c>
      <c r="P413" s="25">
        <v>76.939400000000006</v>
      </c>
      <c r="Q413" s="25">
        <f t="shared" si="12"/>
        <v>121726.9394</v>
      </c>
      <c r="R413" s="25">
        <f t="shared" si="13"/>
        <v>0</v>
      </c>
    </row>
    <row r="414" spans="1:18" hidden="1" x14ac:dyDescent="0.25">
      <c r="A414" s="26">
        <v>43643</v>
      </c>
      <c r="B414" s="25" t="s">
        <v>270</v>
      </c>
      <c r="C414" s="25" t="s">
        <v>17</v>
      </c>
      <c r="D414" s="25">
        <v>1000</v>
      </c>
      <c r="E414" s="25">
        <v>121.25</v>
      </c>
      <c r="F414" s="25">
        <v>121250</v>
      </c>
      <c r="G414" s="25" t="s">
        <v>1444</v>
      </c>
      <c r="H414" s="25">
        <v>2019121</v>
      </c>
      <c r="I414" s="25" t="s">
        <v>19</v>
      </c>
      <c r="J414" s="25" t="s">
        <v>20</v>
      </c>
      <c r="K414" s="25" t="s">
        <v>25</v>
      </c>
      <c r="L414" s="25">
        <v>0</v>
      </c>
      <c r="M414" s="25">
        <v>4.37</v>
      </c>
      <c r="N414" s="25">
        <v>0</v>
      </c>
      <c r="O414" s="25">
        <v>72.319999999999993</v>
      </c>
      <c r="P414" s="25">
        <v>76.685100000000006</v>
      </c>
      <c r="Q414" s="25">
        <f t="shared" si="12"/>
        <v>121326.6851</v>
      </c>
      <c r="R414" s="25">
        <f t="shared" si="13"/>
        <v>0</v>
      </c>
    </row>
    <row r="415" spans="1:18" hidden="1" x14ac:dyDescent="0.25">
      <c r="A415" s="26">
        <v>43643</v>
      </c>
      <c r="B415" s="25" t="s">
        <v>270</v>
      </c>
      <c r="C415" s="25" t="s">
        <v>23</v>
      </c>
      <c r="D415" s="25">
        <v>2000</v>
      </c>
      <c r="E415" s="25">
        <v>122.05</v>
      </c>
      <c r="F415" s="25">
        <v>244100</v>
      </c>
      <c r="G415" s="25" t="s">
        <v>1445</v>
      </c>
      <c r="H415" s="25">
        <v>2019121</v>
      </c>
      <c r="I415" s="25" t="s">
        <v>19</v>
      </c>
      <c r="J415" s="25" t="s">
        <v>20</v>
      </c>
      <c r="K415" s="25" t="s">
        <v>25</v>
      </c>
      <c r="L415" s="25">
        <v>61</v>
      </c>
      <c r="M415" s="25">
        <v>8.7899999999999991</v>
      </c>
      <c r="N415" s="25">
        <v>14.7</v>
      </c>
      <c r="O415" s="25">
        <v>145.56</v>
      </c>
      <c r="P415" s="25">
        <v>230.04769999999999</v>
      </c>
      <c r="Q415" s="25">
        <f t="shared" si="12"/>
        <v>0</v>
      </c>
      <c r="R415" s="25">
        <f t="shared" si="13"/>
        <v>243869.9523</v>
      </c>
    </row>
    <row r="416" spans="1:18" hidden="1" x14ac:dyDescent="0.25">
      <c r="A416" s="26">
        <v>43642</v>
      </c>
      <c r="B416" s="25" t="s">
        <v>1023</v>
      </c>
      <c r="C416" s="25" t="s">
        <v>23</v>
      </c>
      <c r="D416" s="25">
        <v>2500</v>
      </c>
      <c r="E416" s="25">
        <v>28.25</v>
      </c>
      <c r="F416" s="25">
        <v>70625</v>
      </c>
      <c r="G416" s="25" t="s">
        <v>1446</v>
      </c>
      <c r="H416" s="25">
        <v>2019120</v>
      </c>
      <c r="I416" s="25" t="s">
        <v>19</v>
      </c>
      <c r="J416" s="25" t="s">
        <v>20</v>
      </c>
      <c r="K416" s="25" t="s">
        <v>25</v>
      </c>
      <c r="L416" s="25">
        <v>18.11</v>
      </c>
      <c r="M416" s="25">
        <v>2.54</v>
      </c>
      <c r="N416" s="25">
        <v>0</v>
      </c>
      <c r="O416" s="25">
        <v>42.13</v>
      </c>
      <c r="P416" s="25">
        <v>62.782499999999999</v>
      </c>
      <c r="Q416" s="25">
        <f t="shared" si="12"/>
        <v>0</v>
      </c>
      <c r="R416" s="25">
        <f t="shared" si="13"/>
        <v>70562.217499999999</v>
      </c>
    </row>
    <row r="417" spans="1:18" hidden="1" x14ac:dyDescent="0.25">
      <c r="A417" s="26">
        <v>43642</v>
      </c>
      <c r="B417" s="25" t="s">
        <v>1023</v>
      </c>
      <c r="C417" s="25" t="s">
        <v>23</v>
      </c>
      <c r="D417" s="25">
        <v>5000</v>
      </c>
      <c r="E417" s="25">
        <v>28.5</v>
      </c>
      <c r="F417" s="25">
        <v>142500</v>
      </c>
      <c r="G417" s="25" t="s">
        <v>1447</v>
      </c>
      <c r="H417" s="25">
        <v>2019120</v>
      </c>
      <c r="I417" s="25" t="s">
        <v>19</v>
      </c>
      <c r="J417" s="25" t="s">
        <v>20</v>
      </c>
      <c r="K417" s="25" t="s">
        <v>25</v>
      </c>
      <c r="L417" s="25">
        <v>35.89</v>
      </c>
      <c r="M417" s="25">
        <v>5.13</v>
      </c>
      <c r="N417" s="25">
        <v>0</v>
      </c>
      <c r="O417" s="25">
        <v>85</v>
      </c>
      <c r="P417" s="25">
        <v>126.02</v>
      </c>
      <c r="Q417" s="25">
        <f t="shared" si="12"/>
        <v>0</v>
      </c>
      <c r="R417" s="25">
        <f t="shared" si="13"/>
        <v>142373.98000000001</v>
      </c>
    </row>
    <row r="418" spans="1:18" hidden="1" x14ac:dyDescent="0.25">
      <c r="A418" s="26">
        <v>43642</v>
      </c>
      <c r="B418" s="25" t="s">
        <v>1023</v>
      </c>
      <c r="C418" s="25" t="s">
        <v>17</v>
      </c>
      <c r="D418" s="25">
        <v>7500</v>
      </c>
      <c r="E418" s="25">
        <v>29</v>
      </c>
      <c r="F418" s="25">
        <v>217500</v>
      </c>
      <c r="G418" s="25" t="s">
        <v>1448</v>
      </c>
      <c r="H418" s="25">
        <v>2019120</v>
      </c>
      <c r="I418" s="25" t="s">
        <v>19</v>
      </c>
      <c r="J418" s="25" t="s">
        <v>20</v>
      </c>
      <c r="K418" s="25" t="s">
        <v>25</v>
      </c>
      <c r="L418" s="25">
        <v>0</v>
      </c>
      <c r="M418" s="25">
        <v>7.83</v>
      </c>
      <c r="N418" s="25">
        <v>13.2</v>
      </c>
      <c r="O418" s="25">
        <v>129.77000000000001</v>
      </c>
      <c r="P418" s="25">
        <v>150.80019999999999</v>
      </c>
      <c r="Q418" s="25">
        <f t="shared" si="12"/>
        <v>217650.8002</v>
      </c>
      <c r="R418" s="25">
        <f t="shared" si="13"/>
        <v>0</v>
      </c>
    </row>
    <row r="419" spans="1:18" hidden="1" x14ac:dyDescent="0.25">
      <c r="A419" s="26">
        <v>43641</v>
      </c>
      <c r="B419" s="25" t="s">
        <v>1023</v>
      </c>
      <c r="C419" s="25" t="s">
        <v>23</v>
      </c>
      <c r="D419" s="25">
        <v>1000</v>
      </c>
      <c r="E419" s="25">
        <v>28.5</v>
      </c>
      <c r="F419" s="25">
        <v>28500</v>
      </c>
      <c r="G419" s="25" t="s">
        <v>1449</v>
      </c>
      <c r="H419" s="25">
        <v>2019119</v>
      </c>
      <c r="I419" s="25" t="s">
        <v>19</v>
      </c>
      <c r="J419" s="25" t="s">
        <v>20</v>
      </c>
      <c r="K419" s="25" t="s">
        <v>25</v>
      </c>
      <c r="L419" s="25">
        <v>7.02</v>
      </c>
      <c r="M419" s="25">
        <v>1.03</v>
      </c>
      <c r="N419" s="25">
        <v>0</v>
      </c>
      <c r="O419" s="25">
        <v>29.69</v>
      </c>
      <c r="P419" s="25">
        <v>37.735999999999997</v>
      </c>
      <c r="Q419" s="25">
        <f t="shared" si="12"/>
        <v>0</v>
      </c>
      <c r="R419" s="25">
        <f t="shared" si="13"/>
        <v>28462.263999999999</v>
      </c>
    </row>
    <row r="420" spans="1:18" hidden="1" x14ac:dyDescent="0.25">
      <c r="A420" s="26">
        <v>43641</v>
      </c>
      <c r="B420" s="25" t="s">
        <v>1023</v>
      </c>
      <c r="C420" s="25" t="s">
        <v>17</v>
      </c>
      <c r="D420" s="25">
        <v>1000</v>
      </c>
      <c r="E420" s="25">
        <v>28.25</v>
      </c>
      <c r="F420" s="25">
        <v>28250</v>
      </c>
      <c r="G420" s="25" t="s">
        <v>1450</v>
      </c>
      <c r="H420" s="25">
        <v>2019119</v>
      </c>
      <c r="I420" s="25" t="s">
        <v>19</v>
      </c>
      <c r="J420" s="25" t="s">
        <v>20</v>
      </c>
      <c r="K420" s="25" t="s">
        <v>25</v>
      </c>
      <c r="L420" s="25">
        <v>0</v>
      </c>
      <c r="M420" s="25">
        <v>1.02</v>
      </c>
      <c r="N420" s="25">
        <v>0</v>
      </c>
      <c r="O420" s="25">
        <v>29.68</v>
      </c>
      <c r="P420" s="25">
        <v>30.697099999999999</v>
      </c>
      <c r="Q420" s="25">
        <f t="shared" si="12"/>
        <v>28280.697100000001</v>
      </c>
      <c r="R420" s="25">
        <f t="shared" si="13"/>
        <v>0</v>
      </c>
    </row>
    <row r="421" spans="1:18" hidden="1" x14ac:dyDescent="0.25">
      <c r="A421" s="26">
        <v>43641</v>
      </c>
      <c r="B421" s="25" t="s">
        <v>1023</v>
      </c>
      <c r="C421" s="25" t="s">
        <v>23</v>
      </c>
      <c r="D421" s="25">
        <v>1500</v>
      </c>
      <c r="E421" s="25">
        <v>28.3</v>
      </c>
      <c r="F421" s="25">
        <v>42450</v>
      </c>
      <c r="G421" s="25" t="s">
        <v>1451</v>
      </c>
      <c r="H421" s="25">
        <v>2019119</v>
      </c>
      <c r="I421" s="25" t="s">
        <v>19</v>
      </c>
      <c r="J421" s="25" t="s">
        <v>20</v>
      </c>
      <c r="K421" s="25" t="s">
        <v>25</v>
      </c>
      <c r="L421" s="25">
        <v>10.53</v>
      </c>
      <c r="M421" s="25">
        <v>1.53</v>
      </c>
      <c r="N421" s="25">
        <v>0</v>
      </c>
      <c r="O421" s="25">
        <v>29.78</v>
      </c>
      <c r="P421" s="25">
        <v>41.838299999999997</v>
      </c>
      <c r="Q421" s="25">
        <f t="shared" si="12"/>
        <v>0</v>
      </c>
      <c r="R421" s="25">
        <f t="shared" si="13"/>
        <v>42408.161699999997</v>
      </c>
    </row>
    <row r="422" spans="1:18" hidden="1" x14ac:dyDescent="0.25">
      <c r="A422" s="26">
        <v>43641</v>
      </c>
      <c r="B422" s="25" t="s">
        <v>1023</v>
      </c>
      <c r="C422" s="25" t="s">
        <v>23</v>
      </c>
      <c r="D422" s="25">
        <v>5000</v>
      </c>
      <c r="E422" s="25">
        <v>28.5</v>
      </c>
      <c r="F422" s="25">
        <v>142500</v>
      </c>
      <c r="G422" s="25" t="s">
        <v>1452</v>
      </c>
      <c r="H422" s="25">
        <v>2019119</v>
      </c>
      <c r="I422" s="25" t="s">
        <v>19</v>
      </c>
      <c r="J422" s="25" t="s">
        <v>20</v>
      </c>
      <c r="K422" s="25" t="s">
        <v>25</v>
      </c>
      <c r="L422" s="25">
        <v>35.1</v>
      </c>
      <c r="M422" s="25">
        <v>5.13</v>
      </c>
      <c r="N422" s="25">
        <v>0</v>
      </c>
      <c r="O422" s="25">
        <v>84.99</v>
      </c>
      <c r="P422" s="25">
        <v>125.22</v>
      </c>
      <c r="Q422" s="25">
        <f t="shared" si="12"/>
        <v>0</v>
      </c>
      <c r="R422" s="25">
        <f t="shared" si="13"/>
        <v>142374.78</v>
      </c>
    </row>
    <row r="423" spans="1:18" hidden="1" x14ac:dyDescent="0.25">
      <c r="A423" s="26">
        <v>43641</v>
      </c>
      <c r="B423" s="25" t="s">
        <v>1023</v>
      </c>
      <c r="C423" s="25" t="s">
        <v>17</v>
      </c>
      <c r="D423" s="25">
        <v>6500</v>
      </c>
      <c r="E423" s="25">
        <v>28.2</v>
      </c>
      <c r="F423" s="25">
        <v>183300</v>
      </c>
      <c r="G423" s="25" t="s">
        <v>1453</v>
      </c>
      <c r="H423" s="25">
        <v>2019119</v>
      </c>
      <c r="I423" s="25" t="s">
        <v>19</v>
      </c>
      <c r="J423" s="25" t="s">
        <v>20</v>
      </c>
      <c r="K423" s="25" t="s">
        <v>25</v>
      </c>
      <c r="L423" s="25">
        <v>0</v>
      </c>
      <c r="M423" s="25">
        <v>6.6</v>
      </c>
      <c r="N423" s="25">
        <v>0</v>
      </c>
      <c r="O423" s="25">
        <v>109.33</v>
      </c>
      <c r="P423" s="25">
        <v>115.9289</v>
      </c>
      <c r="Q423" s="25">
        <f t="shared" si="12"/>
        <v>183415.9289</v>
      </c>
      <c r="R423" s="25">
        <f t="shared" si="13"/>
        <v>0</v>
      </c>
    </row>
    <row r="424" spans="1:18" hidden="1" x14ac:dyDescent="0.25">
      <c r="A424" s="26">
        <v>43641</v>
      </c>
      <c r="B424" s="25" t="s">
        <v>1023</v>
      </c>
      <c r="C424" s="25" t="s">
        <v>17</v>
      </c>
      <c r="D424" s="25">
        <v>5000</v>
      </c>
      <c r="E424" s="25">
        <v>28.25</v>
      </c>
      <c r="F424" s="25">
        <v>141250</v>
      </c>
      <c r="G424" s="25" t="s">
        <v>1454</v>
      </c>
      <c r="H424" s="25">
        <v>2019119</v>
      </c>
      <c r="I424" s="25" t="s">
        <v>19</v>
      </c>
      <c r="J424" s="25" t="s">
        <v>20</v>
      </c>
      <c r="K424" s="25" t="s">
        <v>25</v>
      </c>
      <c r="L424" s="25">
        <v>0</v>
      </c>
      <c r="M424" s="25">
        <v>5.09</v>
      </c>
      <c r="N424" s="25">
        <v>0</v>
      </c>
      <c r="O424" s="25">
        <v>84.27</v>
      </c>
      <c r="P424" s="25">
        <v>89.355199999999996</v>
      </c>
      <c r="Q424" s="25">
        <f t="shared" si="12"/>
        <v>141339.35519999999</v>
      </c>
      <c r="R424" s="25">
        <f t="shared" si="13"/>
        <v>0</v>
      </c>
    </row>
    <row r="425" spans="1:18" hidden="1" x14ac:dyDescent="0.25">
      <c r="A425" s="26">
        <v>43641</v>
      </c>
      <c r="B425" s="25" t="s">
        <v>1023</v>
      </c>
      <c r="C425" s="25" t="s">
        <v>23</v>
      </c>
      <c r="D425" s="25">
        <v>10000</v>
      </c>
      <c r="E425" s="25">
        <v>27.8</v>
      </c>
      <c r="F425" s="25">
        <v>278000</v>
      </c>
      <c r="G425" s="25" t="s">
        <v>1455</v>
      </c>
      <c r="H425" s="25">
        <v>2019119</v>
      </c>
      <c r="I425" s="25" t="s">
        <v>19</v>
      </c>
      <c r="J425" s="25" t="s">
        <v>20</v>
      </c>
      <c r="K425" s="25" t="s">
        <v>25</v>
      </c>
      <c r="L425" s="25">
        <v>70.2</v>
      </c>
      <c r="M425" s="25">
        <v>10.01</v>
      </c>
      <c r="N425" s="25">
        <v>0</v>
      </c>
      <c r="O425" s="25">
        <v>165.83</v>
      </c>
      <c r="P425" s="25">
        <v>246.03800000000001</v>
      </c>
      <c r="Q425" s="25">
        <f t="shared" si="12"/>
        <v>0</v>
      </c>
      <c r="R425" s="25">
        <f t="shared" si="13"/>
        <v>277753.962</v>
      </c>
    </row>
    <row r="426" spans="1:18" hidden="1" x14ac:dyDescent="0.25">
      <c r="A426" s="26">
        <v>43641</v>
      </c>
      <c r="B426" s="25" t="s">
        <v>1023</v>
      </c>
      <c r="C426" s="25" t="s">
        <v>17</v>
      </c>
      <c r="D426" s="25">
        <v>5000</v>
      </c>
      <c r="E426" s="25">
        <v>27.7</v>
      </c>
      <c r="F426" s="25">
        <v>138500</v>
      </c>
      <c r="G426" s="25" t="s">
        <v>1456</v>
      </c>
      <c r="H426" s="25">
        <v>2019119</v>
      </c>
      <c r="I426" s="25" t="s">
        <v>19</v>
      </c>
      <c r="J426" s="25" t="s">
        <v>20</v>
      </c>
      <c r="K426" s="25" t="s">
        <v>25</v>
      </c>
      <c r="L426" s="25">
        <v>0</v>
      </c>
      <c r="M426" s="25">
        <v>4.99</v>
      </c>
      <c r="N426" s="25">
        <v>0</v>
      </c>
      <c r="O426" s="25">
        <v>82.61</v>
      </c>
      <c r="P426" s="25">
        <v>87.596199999999996</v>
      </c>
      <c r="Q426" s="25">
        <f t="shared" si="12"/>
        <v>138587.5962</v>
      </c>
      <c r="R426" s="25">
        <f t="shared" si="13"/>
        <v>0</v>
      </c>
    </row>
    <row r="427" spans="1:18" hidden="1" x14ac:dyDescent="0.25">
      <c r="A427" s="26">
        <v>43641</v>
      </c>
      <c r="B427" s="25" t="s">
        <v>1034</v>
      </c>
      <c r="C427" s="25" t="s">
        <v>17</v>
      </c>
      <c r="D427" s="25">
        <v>2000</v>
      </c>
      <c r="E427" s="25">
        <v>276</v>
      </c>
      <c r="F427" s="25">
        <v>552000</v>
      </c>
      <c r="G427" s="25" t="s">
        <v>1457</v>
      </c>
      <c r="H427" s="25">
        <v>2019119</v>
      </c>
      <c r="I427" s="25" t="s">
        <v>19</v>
      </c>
      <c r="J427" s="25" t="s">
        <v>20</v>
      </c>
      <c r="K427" s="25" t="s">
        <v>25</v>
      </c>
      <c r="L427" s="25">
        <v>0</v>
      </c>
      <c r="M427" s="25">
        <v>19.87</v>
      </c>
      <c r="N427" s="25">
        <v>0</v>
      </c>
      <c r="O427" s="25">
        <v>329.25</v>
      </c>
      <c r="P427" s="25">
        <v>349.12200000000001</v>
      </c>
      <c r="Q427" s="25">
        <f t="shared" si="12"/>
        <v>552349.12199999997</v>
      </c>
      <c r="R427" s="25">
        <f t="shared" si="13"/>
        <v>0</v>
      </c>
    </row>
    <row r="428" spans="1:18" hidden="1" x14ac:dyDescent="0.25">
      <c r="A428" s="26">
        <v>43641</v>
      </c>
      <c r="B428" s="25" t="s">
        <v>1034</v>
      </c>
      <c r="C428" s="25" t="s">
        <v>17</v>
      </c>
      <c r="D428" s="25">
        <v>2000</v>
      </c>
      <c r="E428" s="25">
        <v>275.8</v>
      </c>
      <c r="F428" s="25">
        <v>551600</v>
      </c>
      <c r="G428" s="25" t="s">
        <v>1458</v>
      </c>
      <c r="H428" s="25">
        <v>2019119</v>
      </c>
      <c r="I428" s="25" t="s">
        <v>19</v>
      </c>
      <c r="J428" s="25" t="s">
        <v>20</v>
      </c>
      <c r="K428" s="25" t="s">
        <v>25</v>
      </c>
      <c r="L428" s="25">
        <v>0</v>
      </c>
      <c r="M428" s="25">
        <v>19.86</v>
      </c>
      <c r="N428" s="25">
        <v>0</v>
      </c>
      <c r="O428" s="25">
        <v>329.02</v>
      </c>
      <c r="P428" s="25">
        <v>348.8777</v>
      </c>
      <c r="Q428" s="25">
        <f t="shared" si="12"/>
        <v>551948.87769999995</v>
      </c>
      <c r="R428" s="25">
        <f t="shared" si="13"/>
        <v>0</v>
      </c>
    </row>
    <row r="429" spans="1:18" hidden="1" x14ac:dyDescent="0.25">
      <c r="A429" s="26">
        <v>43641</v>
      </c>
      <c r="B429" s="25" t="s">
        <v>1034</v>
      </c>
      <c r="C429" s="25" t="s">
        <v>23</v>
      </c>
      <c r="D429" s="25">
        <v>4000</v>
      </c>
      <c r="E429" s="25">
        <v>274.5</v>
      </c>
      <c r="F429" s="25">
        <v>1098015.7</v>
      </c>
      <c r="G429" s="25" t="s">
        <v>1459</v>
      </c>
      <c r="H429" s="25">
        <v>2019119</v>
      </c>
      <c r="I429" s="25" t="s">
        <v>19</v>
      </c>
      <c r="J429" s="25" t="s">
        <v>20</v>
      </c>
      <c r="K429" s="25" t="s">
        <v>25</v>
      </c>
      <c r="L429" s="25">
        <v>275.16000000000003</v>
      </c>
      <c r="M429" s="25">
        <v>39.53</v>
      </c>
      <c r="N429" s="25">
        <v>95.7</v>
      </c>
      <c r="O429" s="25">
        <v>654.91999999999996</v>
      </c>
      <c r="P429" s="25">
        <v>1065.3088</v>
      </c>
      <c r="Q429" s="25">
        <f t="shared" si="12"/>
        <v>0</v>
      </c>
      <c r="R429" s="25">
        <f t="shared" si="13"/>
        <v>1096950.3912</v>
      </c>
    </row>
    <row r="430" spans="1:18" hidden="1" x14ac:dyDescent="0.25">
      <c r="A430" s="26">
        <v>43640</v>
      </c>
      <c r="B430" s="25" t="s">
        <v>659</v>
      </c>
      <c r="C430" s="25" t="s">
        <v>23</v>
      </c>
      <c r="D430" s="25">
        <v>500</v>
      </c>
      <c r="E430" s="25">
        <v>109.65</v>
      </c>
      <c r="F430" s="25">
        <v>54825</v>
      </c>
      <c r="G430" s="25" t="s">
        <v>1021</v>
      </c>
      <c r="H430" s="25">
        <v>2019118</v>
      </c>
      <c r="I430" s="25" t="s">
        <v>19</v>
      </c>
      <c r="J430" s="25" t="s">
        <v>20</v>
      </c>
      <c r="K430" s="25" t="s">
        <v>25</v>
      </c>
      <c r="L430" s="25">
        <v>14.02</v>
      </c>
      <c r="M430" s="25">
        <v>1.97</v>
      </c>
      <c r="N430" s="25">
        <v>0</v>
      </c>
      <c r="O430" s="25">
        <v>32.700000000000003</v>
      </c>
      <c r="P430" s="25">
        <v>48.693800000000003</v>
      </c>
      <c r="Q430" s="25">
        <f t="shared" si="12"/>
        <v>0</v>
      </c>
      <c r="R430" s="25">
        <f t="shared" si="13"/>
        <v>54776.306199999999</v>
      </c>
    </row>
    <row r="431" spans="1:18" hidden="1" x14ac:dyDescent="0.25">
      <c r="A431" s="26">
        <v>43640</v>
      </c>
      <c r="B431" s="25" t="s">
        <v>659</v>
      </c>
      <c r="C431" s="25" t="s">
        <v>17</v>
      </c>
      <c r="D431" s="25">
        <v>500</v>
      </c>
      <c r="E431" s="25">
        <v>112</v>
      </c>
      <c r="F431" s="25">
        <v>56000</v>
      </c>
      <c r="G431" s="25" t="s">
        <v>1022</v>
      </c>
      <c r="H431" s="25">
        <v>2019118</v>
      </c>
      <c r="I431" s="25" t="s">
        <v>19</v>
      </c>
      <c r="J431" s="25" t="s">
        <v>20</v>
      </c>
      <c r="K431" s="25" t="s">
        <v>25</v>
      </c>
      <c r="L431" s="25">
        <v>0</v>
      </c>
      <c r="M431" s="25">
        <v>2.02</v>
      </c>
      <c r="N431" s="25">
        <v>0</v>
      </c>
      <c r="O431" s="25">
        <v>33.4</v>
      </c>
      <c r="P431" s="25">
        <v>35.415999999999997</v>
      </c>
      <c r="Q431" s="25">
        <f t="shared" si="12"/>
        <v>56035.415999999997</v>
      </c>
      <c r="R431" s="25">
        <f t="shared" si="13"/>
        <v>0</v>
      </c>
    </row>
    <row r="432" spans="1:18" hidden="1" x14ac:dyDescent="0.25">
      <c r="A432" s="26">
        <v>43640</v>
      </c>
      <c r="B432" s="25" t="s">
        <v>1023</v>
      </c>
      <c r="C432" s="25" t="s">
        <v>23</v>
      </c>
      <c r="D432" s="25">
        <v>1500</v>
      </c>
      <c r="E432" s="25">
        <v>26.25</v>
      </c>
      <c r="F432" s="25">
        <v>39375</v>
      </c>
      <c r="G432" s="25" t="s">
        <v>1024</v>
      </c>
      <c r="H432" s="25">
        <v>2019118</v>
      </c>
      <c r="I432" s="25" t="s">
        <v>19</v>
      </c>
      <c r="J432" s="25" t="s">
        <v>20</v>
      </c>
      <c r="K432" s="25" t="s">
        <v>25</v>
      </c>
      <c r="L432" s="25">
        <v>10.35</v>
      </c>
      <c r="M432" s="25">
        <v>1.42</v>
      </c>
      <c r="N432" s="25">
        <v>0</v>
      </c>
      <c r="O432" s="25">
        <v>29.76</v>
      </c>
      <c r="P432" s="25">
        <v>41.527500000000003</v>
      </c>
      <c r="Q432" s="25">
        <f t="shared" si="12"/>
        <v>0</v>
      </c>
      <c r="R432" s="25">
        <f t="shared" si="13"/>
        <v>39333.472500000003</v>
      </c>
    </row>
    <row r="433" spans="1:18" hidden="1" x14ac:dyDescent="0.25">
      <c r="A433" s="26">
        <v>43640</v>
      </c>
      <c r="B433" s="25" t="s">
        <v>659</v>
      </c>
      <c r="C433" s="25" t="s">
        <v>17</v>
      </c>
      <c r="D433" s="25">
        <v>2000</v>
      </c>
      <c r="E433" s="25">
        <v>112.25</v>
      </c>
      <c r="F433" s="25">
        <v>224500</v>
      </c>
      <c r="G433" s="25" t="s">
        <v>1025</v>
      </c>
      <c r="H433" s="25">
        <v>2019118</v>
      </c>
      <c r="I433" s="25" t="s">
        <v>19</v>
      </c>
      <c r="J433" s="25" t="s">
        <v>20</v>
      </c>
      <c r="K433" s="25" t="s">
        <v>25</v>
      </c>
      <c r="L433" s="25">
        <v>0</v>
      </c>
      <c r="M433" s="25">
        <v>8.08</v>
      </c>
      <c r="N433" s="25">
        <v>0</v>
      </c>
      <c r="O433" s="25">
        <v>133.91</v>
      </c>
      <c r="P433" s="25">
        <v>141.99199999999999</v>
      </c>
      <c r="Q433" s="25">
        <f t="shared" si="12"/>
        <v>224641.992</v>
      </c>
      <c r="R433" s="25">
        <f t="shared" si="13"/>
        <v>0</v>
      </c>
    </row>
    <row r="434" spans="1:18" hidden="1" x14ac:dyDescent="0.25">
      <c r="A434" s="26">
        <v>43640</v>
      </c>
      <c r="B434" s="25" t="s">
        <v>1023</v>
      </c>
      <c r="C434" s="25" t="s">
        <v>23</v>
      </c>
      <c r="D434" s="25">
        <v>1000</v>
      </c>
      <c r="E434" s="25">
        <v>27.1</v>
      </c>
      <c r="F434" s="25">
        <v>27100</v>
      </c>
      <c r="G434" s="25" t="s">
        <v>1026</v>
      </c>
      <c r="H434" s="25">
        <v>2019118</v>
      </c>
      <c r="I434" s="25" t="s">
        <v>19</v>
      </c>
      <c r="J434" s="25" t="s">
        <v>20</v>
      </c>
      <c r="K434" s="25" t="s">
        <v>25</v>
      </c>
      <c r="L434" s="25">
        <v>6.9</v>
      </c>
      <c r="M434" s="25">
        <v>0.98</v>
      </c>
      <c r="N434" s="25">
        <v>0</v>
      </c>
      <c r="O434" s="25">
        <v>29.68</v>
      </c>
      <c r="P434" s="25">
        <v>37.555599999999998</v>
      </c>
      <c r="Q434" s="25">
        <f t="shared" si="12"/>
        <v>0</v>
      </c>
      <c r="R434" s="25">
        <f t="shared" si="13"/>
        <v>27062.4444</v>
      </c>
    </row>
    <row r="435" spans="1:18" hidden="1" x14ac:dyDescent="0.25">
      <c r="A435" s="26">
        <v>43640</v>
      </c>
      <c r="B435" s="25" t="s">
        <v>1023</v>
      </c>
      <c r="C435" s="25" t="s">
        <v>23</v>
      </c>
      <c r="D435" s="25">
        <v>2000</v>
      </c>
      <c r="E435" s="25">
        <v>28.5</v>
      </c>
      <c r="F435" s="25">
        <v>57000</v>
      </c>
      <c r="G435" s="25" t="s">
        <v>1027</v>
      </c>
      <c r="H435" s="25">
        <v>2019118</v>
      </c>
      <c r="I435" s="25" t="s">
        <v>19</v>
      </c>
      <c r="J435" s="25" t="s">
        <v>20</v>
      </c>
      <c r="K435" s="25" t="s">
        <v>25</v>
      </c>
      <c r="L435" s="25">
        <v>13.8</v>
      </c>
      <c r="M435" s="25">
        <v>2.0499999999999998</v>
      </c>
      <c r="N435" s="25">
        <v>0</v>
      </c>
      <c r="O435" s="25">
        <v>34</v>
      </c>
      <c r="P435" s="25">
        <v>49.852200000000003</v>
      </c>
      <c r="Q435" s="25">
        <f t="shared" si="12"/>
        <v>0</v>
      </c>
      <c r="R435" s="25">
        <f t="shared" si="13"/>
        <v>56950.147799999999</v>
      </c>
    </row>
    <row r="436" spans="1:18" hidden="1" x14ac:dyDescent="0.25">
      <c r="A436" s="26">
        <v>43640</v>
      </c>
      <c r="B436" s="25" t="s">
        <v>659</v>
      </c>
      <c r="C436" s="25" t="s">
        <v>23</v>
      </c>
      <c r="D436" s="25">
        <v>2000</v>
      </c>
      <c r="E436" s="25">
        <v>112.7</v>
      </c>
      <c r="F436" s="25">
        <v>225400</v>
      </c>
      <c r="G436" s="25" t="s">
        <v>1028</v>
      </c>
      <c r="H436" s="25">
        <v>2019118</v>
      </c>
      <c r="I436" s="25" t="s">
        <v>19</v>
      </c>
      <c r="J436" s="25" t="s">
        <v>20</v>
      </c>
      <c r="K436" s="25" t="s">
        <v>25</v>
      </c>
      <c r="L436" s="25">
        <v>56.07</v>
      </c>
      <c r="M436" s="25">
        <v>8.11</v>
      </c>
      <c r="N436" s="25">
        <v>0</v>
      </c>
      <c r="O436" s="25">
        <v>134.44999999999999</v>
      </c>
      <c r="P436" s="25">
        <v>198.6343</v>
      </c>
      <c r="Q436" s="25">
        <f t="shared" si="12"/>
        <v>0</v>
      </c>
      <c r="R436" s="25">
        <f t="shared" si="13"/>
        <v>225201.36569999999</v>
      </c>
    </row>
    <row r="437" spans="1:18" hidden="1" x14ac:dyDescent="0.25">
      <c r="A437" s="26">
        <v>43640</v>
      </c>
      <c r="B437" s="25" t="s">
        <v>1023</v>
      </c>
      <c r="C437" s="25" t="s">
        <v>17</v>
      </c>
      <c r="D437" s="25">
        <v>5500</v>
      </c>
      <c r="E437" s="25">
        <v>28.3</v>
      </c>
      <c r="F437" s="25">
        <v>155650</v>
      </c>
      <c r="G437" s="25" t="s">
        <v>1029</v>
      </c>
      <c r="H437" s="25">
        <v>2019118</v>
      </c>
      <c r="I437" s="25" t="s">
        <v>19</v>
      </c>
      <c r="J437" s="25" t="s">
        <v>20</v>
      </c>
      <c r="K437" s="25" t="s">
        <v>25</v>
      </c>
      <c r="L437" s="25">
        <v>0</v>
      </c>
      <c r="M437" s="25">
        <v>5.6</v>
      </c>
      <c r="N437" s="25">
        <v>0</v>
      </c>
      <c r="O437" s="25">
        <v>92.84</v>
      </c>
      <c r="P437" s="25">
        <v>98.4435</v>
      </c>
      <c r="Q437" s="25">
        <f t="shared" si="12"/>
        <v>155748.44349999999</v>
      </c>
      <c r="R437" s="25">
        <f t="shared" si="13"/>
        <v>0</v>
      </c>
    </row>
    <row r="438" spans="1:18" hidden="1" x14ac:dyDescent="0.25">
      <c r="A438" s="26">
        <v>43640</v>
      </c>
      <c r="B438" s="25" t="s">
        <v>1023</v>
      </c>
      <c r="C438" s="25" t="s">
        <v>23</v>
      </c>
      <c r="D438" s="25">
        <v>1000</v>
      </c>
      <c r="E438" s="25">
        <v>24.5</v>
      </c>
      <c r="F438" s="25">
        <v>24500</v>
      </c>
      <c r="G438" s="25" t="s">
        <v>1030</v>
      </c>
      <c r="H438" s="25">
        <v>2019118</v>
      </c>
      <c r="I438" s="25" t="s">
        <v>19</v>
      </c>
      <c r="J438" s="25" t="s">
        <v>20</v>
      </c>
      <c r="K438" s="25" t="s">
        <v>25</v>
      </c>
      <c r="L438" s="25">
        <v>6.86</v>
      </c>
      <c r="M438" s="25">
        <v>0.88</v>
      </c>
      <c r="N438" s="25">
        <v>26.1</v>
      </c>
      <c r="O438" s="25">
        <v>29.66</v>
      </c>
      <c r="P438" s="25">
        <v>63.502000000000002</v>
      </c>
      <c r="Q438" s="25">
        <f t="shared" si="12"/>
        <v>0</v>
      </c>
      <c r="R438" s="25">
        <f t="shared" si="13"/>
        <v>24436.498</v>
      </c>
    </row>
    <row r="439" spans="1:18" hidden="1" x14ac:dyDescent="0.25">
      <c r="A439" s="26">
        <v>43637</v>
      </c>
      <c r="B439" s="25" t="s">
        <v>51</v>
      </c>
      <c r="C439" s="25" t="s">
        <v>23</v>
      </c>
      <c r="D439" s="25">
        <v>50</v>
      </c>
      <c r="E439" s="25">
        <v>388</v>
      </c>
      <c r="F439" s="25">
        <v>19400</v>
      </c>
      <c r="G439" s="25" t="s">
        <v>1031</v>
      </c>
      <c r="H439" s="25">
        <v>2019117</v>
      </c>
      <c r="I439" s="25" t="s">
        <v>19</v>
      </c>
      <c r="J439" s="25" t="s">
        <v>20</v>
      </c>
      <c r="K439" s="25" t="s">
        <v>25</v>
      </c>
      <c r="L439" s="25">
        <v>4.83</v>
      </c>
      <c r="M439" s="25">
        <v>0.7</v>
      </c>
      <c r="N439" s="25">
        <v>0</v>
      </c>
      <c r="O439" s="25">
        <v>29.63</v>
      </c>
      <c r="P439" s="25">
        <v>35.1584</v>
      </c>
      <c r="Q439" s="25">
        <f t="shared" si="12"/>
        <v>0</v>
      </c>
      <c r="R439" s="25">
        <f t="shared" si="13"/>
        <v>19364.8416</v>
      </c>
    </row>
    <row r="440" spans="1:18" hidden="1" x14ac:dyDescent="0.25">
      <c r="A440" s="26">
        <v>43637</v>
      </c>
      <c r="B440" s="25" t="s">
        <v>51</v>
      </c>
      <c r="C440" s="25" t="s">
        <v>17</v>
      </c>
      <c r="D440" s="25">
        <v>50</v>
      </c>
      <c r="E440" s="25">
        <v>384</v>
      </c>
      <c r="F440" s="25">
        <v>19200</v>
      </c>
      <c r="G440" s="25" t="s">
        <v>1032</v>
      </c>
      <c r="H440" s="25">
        <v>2019117</v>
      </c>
      <c r="I440" s="25" t="s">
        <v>19</v>
      </c>
      <c r="J440" s="25" t="s">
        <v>20</v>
      </c>
      <c r="K440" s="25" t="s">
        <v>25</v>
      </c>
      <c r="L440" s="25">
        <v>0</v>
      </c>
      <c r="M440" s="25">
        <v>0.69</v>
      </c>
      <c r="N440" s="25">
        <v>0</v>
      </c>
      <c r="O440" s="25">
        <v>29.62</v>
      </c>
      <c r="P440" s="25">
        <v>30.311199999999999</v>
      </c>
      <c r="Q440" s="25">
        <f t="shared" si="12"/>
        <v>19230.3112</v>
      </c>
      <c r="R440" s="25">
        <f t="shared" si="13"/>
        <v>0</v>
      </c>
    </row>
    <row r="441" spans="1:18" hidden="1" x14ac:dyDescent="0.25">
      <c r="A441" s="26">
        <v>43637</v>
      </c>
      <c r="B441" s="25" t="s">
        <v>849</v>
      </c>
      <c r="C441" s="25" t="s">
        <v>17</v>
      </c>
      <c r="D441" s="25">
        <v>100</v>
      </c>
      <c r="E441" s="25">
        <v>56.6</v>
      </c>
      <c r="F441" s="25">
        <v>5660</v>
      </c>
      <c r="G441" s="25" t="s">
        <v>1033</v>
      </c>
      <c r="H441" s="25">
        <v>2019117</v>
      </c>
      <c r="I441" s="25" t="s">
        <v>19</v>
      </c>
      <c r="J441" s="25" t="s">
        <v>20</v>
      </c>
      <c r="K441" s="25" t="s">
        <v>25</v>
      </c>
      <c r="L441" s="25">
        <v>0</v>
      </c>
      <c r="M441" s="25">
        <v>0.2</v>
      </c>
      <c r="N441" s="25">
        <v>0</v>
      </c>
      <c r="O441" s="25">
        <v>29.54</v>
      </c>
      <c r="P441" s="25">
        <v>29.7438</v>
      </c>
      <c r="Q441" s="25">
        <f t="shared" si="12"/>
        <v>5689.7438000000002</v>
      </c>
      <c r="R441" s="25">
        <f t="shared" si="13"/>
        <v>0</v>
      </c>
    </row>
    <row r="442" spans="1:18" hidden="1" x14ac:dyDescent="0.25">
      <c r="A442" s="26">
        <v>43637</v>
      </c>
      <c r="B442" s="25" t="s">
        <v>1034</v>
      </c>
      <c r="C442" s="25" t="s">
        <v>17</v>
      </c>
      <c r="D442" s="25">
        <v>1000</v>
      </c>
      <c r="E442" s="25">
        <v>267.25</v>
      </c>
      <c r="F442" s="25">
        <v>267250</v>
      </c>
      <c r="G442" s="25" t="s">
        <v>1035</v>
      </c>
      <c r="H442" s="25">
        <v>2019117</v>
      </c>
      <c r="I442" s="25" t="s">
        <v>19</v>
      </c>
      <c r="J442" s="25" t="s">
        <v>20</v>
      </c>
      <c r="K442" s="25" t="s">
        <v>25</v>
      </c>
      <c r="L442" s="25">
        <v>0</v>
      </c>
      <c r="M442" s="25">
        <v>9.6199999999999992</v>
      </c>
      <c r="N442" s="25">
        <v>0</v>
      </c>
      <c r="O442" s="25">
        <v>159.41</v>
      </c>
      <c r="P442" s="25">
        <v>169.0309</v>
      </c>
      <c r="Q442" s="25">
        <f t="shared" si="12"/>
        <v>267419.03090000001</v>
      </c>
      <c r="R442" s="25">
        <f t="shared" si="13"/>
        <v>0</v>
      </c>
    </row>
    <row r="443" spans="1:18" hidden="1" x14ac:dyDescent="0.25">
      <c r="A443" s="26">
        <v>43637</v>
      </c>
      <c r="B443" s="25" t="s">
        <v>1034</v>
      </c>
      <c r="C443" s="25" t="s">
        <v>23</v>
      </c>
      <c r="D443" s="25">
        <v>1000</v>
      </c>
      <c r="E443" s="25">
        <v>267.89999999999998</v>
      </c>
      <c r="F443" s="25">
        <v>267900</v>
      </c>
      <c r="G443" s="25" t="s">
        <v>1036</v>
      </c>
      <c r="H443" s="25">
        <v>2019117</v>
      </c>
      <c r="I443" s="25" t="s">
        <v>19</v>
      </c>
      <c r="J443" s="25" t="s">
        <v>20</v>
      </c>
      <c r="K443" s="25" t="s">
        <v>25</v>
      </c>
      <c r="L443" s="25">
        <v>66.89</v>
      </c>
      <c r="M443" s="25">
        <v>9.64</v>
      </c>
      <c r="N443" s="25">
        <v>0</v>
      </c>
      <c r="O443" s="25">
        <v>159.80000000000001</v>
      </c>
      <c r="P443" s="25">
        <v>236.33439999999999</v>
      </c>
      <c r="Q443" s="25">
        <f t="shared" si="12"/>
        <v>0</v>
      </c>
      <c r="R443" s="25">
        <f t="shared" si="13"/>
        <v>267663.66560000001</v>
      </c>
    </row>
    <row r="444" spans="1:18" hidden="1" x14ac:dyDescent="0.25">
      <c r="A444" s="26">
        <v>43637</v>
      </c>
      <c r="B444" s="25" t="s">
        <v>1037</v>
      </c>
      <c r="C444" s="25" t="s">
        <v>17</v>
      </c>
      <c r="D444" s="25">
        <v>100</v>
      </c>
      <c r="E444" s="25">
        <v>593.70000000000005</v>
      </c>
      <c r="F444" s="25">
        <v>59370</v>
      </c>
      <c r="G444" s="25" t="s">
        <v>1038</v>
      </c>
      <c r="H444" s="25">
        <v>2019117</v>
      </c>
      <c r="I444" s="25" t="s">
        <v>19</v>
      </c>
      <c r="J444" s="25" t="s">
        <v>20</v>
      </c>
      <c r="K444" s="25" t="s">
        <v>25</v>
      </c>
      <c r="L444" s="25">
        <v>0</v>
      </c>
      <c r="M444" s="25">
        <v>2.14</v>
      </c>
      <c r="N444" s="25">
        <v>0</v>
      </c>
      <c r="O444" s="25">
        <v>35.409999999999997</v>
      </c>
      <c r="P444" s="25">
        <v>37.547400000000003</v>
      </c>
      <c r="Q444" s="25">
        <f t="shared" si="12"/>
        <v>59407.547400000003</v>
      </c>
      <c r="R444" s="25">
        <f t="shared" si="13"/>
        <v>0</v>
      </c>
    </row>
    <row r="445" spans="1:18" hidden="1" x14ac:dyDescent="0.25">
      <c r="A445" s="26">
        <v>43637</v>
      </c>
      <c r="B445" s="25" t="s">
        <v>1037</v>
      </c>
      <c r="C445" s="25" t="s">
        <v>23</v>
      </c>
      <c r="D445" s="25">
        <v>100</v>
      </c>
      <c r="E445" s="25">
        <v>597</v>
      </c>
      <c r="F445" s="25">
        <v>59700</v>
      </c>
      <c r="G445" s="25" t="s">
        <v>1039</v>
      </c>
      <c r="H445" s="25">
        <v>2019117</v>
      </c>
      <c r="I445" s="25" t="s">
        <v>19</v>
      </c>
      <c r="J445" s="25" t="s">
        <v>20</v>
      </c>
      <c r="K445" s="25" t="s">
        <v>25</v>
      </c>
      <c r="L445" s="25">
        <v>14.89</v>
      </c>
      <c r="M445" s="25">
        <v>2.15</v>
      </c>
      <c r="N445" s="25">
        <v>0</v>
      </c>
      <c r="O445" s="25">
        <v>35.61</v>
      </c>
      <c r="P445" s="25">
        <v>52.6492</v>
      </c>
      <c r="Q445" s="25">
        <f t="shared" si="12"/>
        <v>0</v>
      </c>
      <c r="R445" s="25">
        <f t="shared" si="13"/>
        <v>59647.3508</v>
      </c>
    </row>
    <row r="446" spans="1:18" hidden="1" x14ac:dyDescent="0.25">
      <c r="A446" s="26">
        <v>43637</v>
      </c>
      <c r="B446" s="25" t="s">
        <v>849</v>
      </c>
      <c r="C446" s="25" t="s">
        <v>23</v>
      </c>
      <c r="D446" s="25">
        <v>100</v>
      </c>
      <c r="E446" s="25">
        <v>75</v>
      </c>
      <c r="F446" s="25">
        <v>7500</v>
      </c>
      <c r="G446" s="25" t="s">
        <v>1040</v>
      </c>
      <c r="H446" s="25">
        <v>2019117</v>
      </c>
      <c r="I446" s="25" t="s">
        <v>19</v>
      </c>
      <c r="J446" s="25" t="s">
        <v>20</v>
      </c>
      <c r="K446" s="25" t="s">
        <v>25</v>
      </c>
      <c r="L446" s="25">
        <v>1.65</v>
      </c>
      <c r="M446" s="25">
        <v>0.27</v>
      </c>
      <c r="N446" s="25">
        <v>0</v>
      </c>
      <c r="O446" s="25">
        <v>29.55</v>
      </c>
      <c r="P446" s="25">
        <v>31.47</v>
      </c>
      <c r="Q446" s="25">
        <f t="shared" si="12"/>
        <v>0</v>
      </c>
      <c r="R446" s="25">
        <f t="shared" si="13"/>
        <v>7468.53</v>
      </c>
    </row>
    <row r="447" spans="1:18" hidden="1" x14ac:dyDescent="0.25">
      <c r="A447" s="26">
        <v>43637</v>
      </c>
      <c r="B447" s="25" t="s">
        <v>16</v>
      </c>
      <c r="C447" s="25" t="s">
        <v>17</v>
      </c>
      <c r="D447" s="25">
        <v>2500</v>
      </c>
      <c r="E447" s="25">
        <v>22.05</v>
      </c>
      <c r="F447" s="25">
        <v>55125</v>
      </c>
      <c r="G447" s="25" t="s">
        <v>1041</v>
      </c>
      <c r="H447" s="25">
        <v>2019117</v>
      </c>
      <c r="I447" s="25" t="s">
        <v>19</v>
      </c>
      <c r="J447" s="25" t="s">
        <v>20</v>
      </c>
      <c r="K447" s="25" t="s">
        <v>25</v>
      </c>
      <c r="L447" s="25">
        <v>0</v>
      </c>
      <c r="M447" s="25">
        <v>1.98</v>
      </c>
      <c r="N447" s="25">
        <v>24.6</v>
      </c>
      <c r="O447" s="25">
        <v>32.880000000000003</v>
      </c>
      <c r="P447" s="25">
        <v>59.464500000000001</v>
      </c>
      <c r="Q447" s="25">
        <f t="shared" si="12"/>
        <v>55184.464500000002</v>
      </c>
      <c r="R447" s="25">
        <f t="shared" si="13"/>
        <v>0</v>
      </c>
    </row>
    <row r="448" spans="1:18" hidden="1" x14ac:dyDescent="0.25">
      <c r="A448" s="26">
        <v>43637</v>
      </c>
      <c r="B448" s="25" t="s">
        <v>16</v>
      </c>
      <c r="C448" s="25" t="s">
        <v>23</v>
      </c>
      <c r="D448" s="25">
        <v>2500</v>
      </c>
      <c r="E448" s="25">
        <v>21.95</v>
      </c>
      <c r="F448" s="25">
        <v>54878.55</v>
      </c>
      <c r="G448" s="25" t="s">
        <v>1042</v>
      </c>
      <c r="H448" s="25">
        <v>2019117</v>
      </c>
      <c r="I448" s="25" t="s">
        <v>19</v>
      </c>
      <c r="J448" s="25" t="s">
        <v>20</v>
      </c>
      <c r="K448" s="25" t="s">
        <v>25</v>
      </c>
      <c r="L448" s="25">
        <v>13.75</v>
      </c>
      <c r="M448" s="25">
        <v>1.98</v>
      </c>
      <c r="N448" s="25">
        <v>0</v>
      </c>
      <c r="O448" s="25">
        <v>32.72</v>
      </c>
      <c r="P448" s="25">
        <v>48.445599999999999</v>
      </c>
      <c r="Q448" s="25">
        <f t="shared" si="12"/>
        <v>0</v>
      </c>
      <c r="R448" s="25">
        <f t="shared" si="13"/>
        <v>54830.104400000004</v>
      </c>
    </row>
    <row r="449" spans="1:18" hidden="1" x14ac:dyDescent="0.25">
      <c r="A449" s="26">
        <v>43636</v>
      </c>
      <c r="B449" s="25" t="s">
        <v>659</v>
      </c>
      <c r="C449" s="25" t="s">
        <v>17</v>
      </c>
      <c r="D449" s="25">
        <v>1000</v>
      </c>
      <c r="E449" s="25">
        <v>104.5</v>
      </c>
      <c r="F449" s="25">
        <v>104500</v>
      </c>
      <c r="G449" s="25" t="s">
        <v>1043</v>
      </c>
      <c r="H449" s="25">
        <v>2019116</v>
      </c>
      <c r="I449" s="25" t="s">
        <v>19</v>
      </c>
      <c r="J449" s="25" t="s">
        <v>20</v>
      </c>
      <c r="K449" s="25" t="s">
        <v>25</v>
      </c>
      <c r="L449" s="25">
        <v>0</v>
      </c>
      <c r="M449" s="25">
        <v>3.76</v>
      </c>
      <c r="N449" s="25">
        <v>0</v>
      </c>
      <c r="O449" s="25">
        <v>62.33</v>
      </c>
      <c r="P449" s="25">
        <v>66.091999999999999</v>
      </c>
      <c r="Q449" s="25">
        <f t="shared" si="12"/>
        <v>104566.092</v>
      </c>
      <c r="R449" s="25">
        <f t="shared" si="13"/>
        <v>0</v>
      </c>
    </row>
    <row r="450" spans="1:18" hidden="1" x14ac:dyDescent="0.25">
      <c r="A450" s="26">
        <v>43636</v>
      </c>
      <c r="B450" s="25" t="s">
        <v>659</v>
      </c>
      <c r="C450" s="25" t="s">
        <v>23</v>
      </c>
      <c r="D450" s="25">
        <v>1000</v>
      </c>
      <c r="E450" s="25">
        <v>107.5</v>
      </c>
      <c r="F450" s="25">
        <v>107500</v>
      </c>
      <c r="G450" s="25" t="s">
        <v>1044</v>
      </c>
      <c r="H450" s="25">
        <v>2019116</v>
      </c>
      <c r="I450" s="25" t="s">
        <v>19</v>
      </c>
      <c r="J450" s="25" t="s">
        <v>20</v>
      </c>
      <c r="K450" s="25" t="s">
        <v>25</v>
      </c>
      <c r="L450" s="25">
        <v>26.5</v>
      </c>
      <c r="M450" s="25">
        <v>3.87</v>
      </c>
      <c r="N450" s="25">
        <v>0</v>
      </c>
      <c r="O450" s="25">
        <v>64.12</v>
      </c>
      <c r="P450" s="25">
        <v>94.49</v>
      </c>
      <c r="Q450" s="25">
        <f t="shared" si="12"/>
        <v>0</v>
      </c>
      <c r="R450" s="25">
        <f t="shared" si="13"/>
        <v>107405.51</v>
      </c>
    </row>
    <row r="451" spans="1:18" hidden="1" x14ac:dyDescent="0.25">
      <c r="A451" s="26">
        <v>43636</v>
      </c>
      <c r="B451" s="25" t="s">
        <v>16</v>
      </c>
      <c r="C451" s="25" t="s">
        <v>17</v>
      </c>
      <c r="D451" s="25">
        <v>150</v>
      </c>
      <c r="E451" s="25">
        <v>22</v>
      </c>
      <c r="F451" s="25">
        <v>3300</v>
      </c>
      <c r="G451" s="25" t="s">
        <v>1045</v>
      </c>
      <c r="H451" s="25">
        <v>2019116</v>
      </c>
      <c r="I451" s="25" t="s">
        <v>19</v>
      </c>
      <c r="J451" s="25" t="s">
        <v>20</v>
      </c>
      <c r="K451" s="25" t="s">
        <v>25</v>
      </c>
      <c r="L451" s="25">
        <v>3.03</v>
      </c>
      <c r="M451" s="25">
        <v>0.12</v>
      </c>
      <c r="N451" s="25">
        <v>0</v>
      </c>
      <c r="O451" s="25">
        <v>41.32</v>
      </c>
      <c r="P451" s="25">
        <v>44.468800000000002</v>
      </c>
      <c r="Q451" s="25">
        <f t="shared" ref="Q451:Q514" si="14">IF(C451="Buy",F451+P451,0)</f>
        <v>3344.4688000000001</v>
      </c>
      <c r="R451" s="25">
        <f t="shared" ref="R451:R514" si="15">IF(C451="Sell",F451-P451,0)</f>
        <v>0</v>
      </c>
    </row>
    <row r="452" spans="1:18" hidden="1" x14ac:dyDescent="0.25">
      <c r="A452" s="26">
        <v>43636</v>
      </c>
      <c r="B452" s="25" t="s">
        <v>237</v>
      </c>
      <c r="C452" s="25" t="s">
        <v>17</v>
      </c>
      <c r="D452" s="25">
        <v>500</v>
      </c>
      <c r="E452" s="25">
        <v>267</v>
      </c>
      <c r="F452" s="25">
        <v>133500</v>
      </c>
      <c r="G452" s="25" t="s">
        <v>1046</v>
      </c>
      <c r="H452" s="25">
        <v>2019116</v>
      </c>
      <c r="I452" s="25" t="s">
        <v>19</v>
      </c>
      <c r="J452" s="25" t="s">
        <v>20</v>
      </c>
      <c r="K452" s="25" t="s">
        <v>25</v>
      </c>
      <c r="L452" s="25">
        <v>0</v>
      </c>
      <c r="M452" s="25">
        <v>4.8099999999999996</v>
      </c>
      <c r="N452" s="25">
        <v>14.7</v>
      </c>
      <c r="O452" s="25">
        <v>79.63</v>
      </c>
      <c r="P452" s="25">
        <v>99.135999999999996</v>
      </c>
      <c r="Q452" s="25">
        <f t="shared" si="14"/>
        <v>133599.136</v>
      </c>
      <c r="R452" s="25">
        <f t="shared" si="15"/>
        <v>0</v>
      </c>
    </row>
    <row r="453" spans="1:18" hidden="1" x14ac:dyDescent="0.25">
      <c r="A453" s="26">
        <v>43636</v>
      </c>
      <c r="B453" s="25" t="s">
        <v>237</v>
      </c>
      <c r="C453" s="25" t="s">
        <v>23</v>
      </c>
      <c r="D453" s="25">
        <v>500</v>
      </c>
      <c r="E453" s="25">
        <v>268.5</v>
      </c>
      <c r="F453" s="25">
        <v>134250</v>
      </c>
      <c r="G453" s="25" t="s">
        <v>1047</v>
      </c>
      <c r="H453" s="25">
        <v>2019116</v>
      </c>
      <c r="I453" s="25" t="s">
        <v>19</v>
      </c>
      <c r="J453" s="25" t="s">
        <v>20</v>
      </c>
      <c r="K453" s="25" t="s">
        <v>25</v>
      </c>
      <c r="L453" s="25">
        <v>33.47</v>
      </c>
      <c r="M453" s="25">
        <v>4.83</v>
      </c>
      <c r="N453" s="25">
        <v>0</v>
      </c>
      <c r="O453" s="25">
        <v>80.08</v>
      </c>
      <c r="P453" s="25">
        <v>118.3831</v>
      </c>
      <c r="Q453" s="25">
        <f t="shared" si="14"/>
        <v>0</v>
      </c>
      <c r="R453" s="25">
        <f t="shared" si="15"/>
        <v>134131.61689999999</v>
      </c>
    </row>
    <row r="454" spans="1:18" hidden="1" x14ac:dyDescent="0.25">
      <c r="A454" s="26">
        <v>43635</v>
      </c>
      <c r="B454" s="25" t="s">
        <v>659</v>
      </c>
      <c r="C454" s="25" t="s">
        <v>23</v>
      </c>
      <c r="D454" s="25">
        <v>500</v>
      </c>
      <c r="E454" s="25">
        <v>105.8</v>
      </c>
      <c r="F454" s="25">
        <v>52900</v>
      </c>
      <c r="G454" s="25" t="s">
        <v>1048</v>
      </c>
      <c r="H454" s="25">
        <v>2019115</v>
      </c>
      <c r="I454" s="25" t="s">
        <v>19</v>
      </c>
      <c r="J454" s="25" t="s">
        <v>20</v>
      </c>
      <c r="K454" s="25" t="s">
        <v>25</v>
      </c>
      <c r="L454" s="25">
        <v>13</v>
      </c>
      <c r="M454" s="25">
        <v>1.9</v>
      </c>
      <c r="N454" s="25">
        <v>3.3</v>
      </c>
      <c r="O454" s="25">
        <v>31.55</v>
      </c>
      <c r="P454" s="25">
        <v>49.754399999999997</v>
      </c>
      <c r="Q454" s="25">
        <f t="shared" si="14"/>
        <v>0</v>
      </c>
      <c r="R454" s="25">
        <f t="shared" si="15"/>
        <v>52850.245600000002</v>
      </c>
    </row>
    <row r="455" spans="1:18" hidden="1" x14ac:dyDescent="0.25">
      <c r="A455" s="26">
        <v>43635</v>
      </c>
      <c r="B455" s="25" t="s">
        <v>659</v>
      </c>
      <c r="C455" s="25" t="s">
        <v>17</v>
      </c>
      <c r="D455" s="25">
        <v>500</v>
      </c>
      <c r="E455" s="25">
        <v>103.25</v>
      </c>
      <c r="F455" s="25">
        <v>51625</v>
      </c>
      <c r="G455" s="25" t="s">
        <v>1049</v>
      </c>
      <c r="H455" s="25">
        <v>2019115</v>
      </c>
      <c r="I455" s="25" t="s">
        <v>19</v>
      </c>
      <c r="J455" s="25" t="s">
        <v>20</v>
      </c>
      <c r="K455" s="25" t="s">
        <v>25</v>
      </c>
      <c r="L455" s="25">
        <v>0</v>
      </c>
      <c r="M455" s="25">
        <v>1.86</v>
      </c>
      <c r="N455" s="25">
        <v>0</v>
      </c>
      <c r="O455" s="25">
        <v>30.79</v>
      </c>
      <c r="P455" s="25">
        <v>32.648499999999999</v>
      </c>
      <c r="Q455" s="25">
        <f t="shared" si="14"/>
        <v>51657.648500000003</v>
      </c>
      <c r="R455" s="25">
        <f t="shared" si="15"/>
        <v>0</v>
      </c>
    </row>
    <row r="456" spans="1:18" hidden="1" x14ac:dyDescent="0.25">
      <c r="A456" s="26">
        <v>43634</v>
      </c>
      <c r="B456" s="25" t="s">
        <v>1050</v>
      </c>
      <c r="C456" s="25" t="s">
        <v>23</v>
      </c>
      <c r="D456" s="25">
        <v>100</v>
      </c>
      <c r="E456" s="25">
        <v>178</v>
      </c>
      <c r="F456" s="25">
        <v>17800</v>
      </c>
      <c r="G456" s="25" t="s">
        <v>1051</v>
      </c>
      <c r="H456" s="25">
        <v>2019114</v>
      </c>
      <c r="I456" s="25" t="s">
        <v>19</v>
      </c>
      <c r="J456" s="25" t="s">
        <v>20</v>
      </c>
      <c r="K456" s="25" t="s">
        <v>25</v>
      </c>
      <c r="L456" s="25">
        <v>4.45</v>
      </c>
      <c r="M456" s="25">
        <v>0.64</v>
      </c>
      <c r="N456" s="25">
        <v>0</v>
      </c>
      <c r="O456" s="25">
        <v>29.62</v>
      </c>
      <c r="P456" s="25">
        <v>34.710799999999999</v>
      </c>
      <c r="Q456" s="25">
        <f t="shared" si="14"/>
        <v>0</v>
      </c>
      <c r="R456" s="25">
        <f t="shared" si="15"/>
        <v>17765.289199999999</v>
      </c>
    </row>
    <row r="457" spans="1:18" hidden="1" x14ac:dyDescent="0.25">
      <c r="A457" s="26">
        <v>43634</v>
      </c>
      <c r="B457" s="25" t="s">
        <v>1050</v>
      </c>
      <c r="C457" s="25" t="s">
        <v>23</v>
      </c>
      <c r="D457" s="25">
        <v>200</v>
      </c>
      <c r="E457" s="25">
        <v>179</v>
      </c>
      <c r="F457" s="25">
        <v>35800</v>
      </c>
      <c r="G457" s="25" t="s">
        <v>1052</v>
      </c>
      <c r="H457" s="25">
        <v>2019114</v>
      </c>
      <c r="I457" s="25" t="s">
        <v>19</v>
      </c>
      <c r="J457" s="25" t="s">
        <v>20</v>
      </c>
      <c r="K457" s="25" t="s">
        <v>25</v>
      </c>
      <c r="L457" s="25">
        <v>8.91</v>
      </c>
      <c r="M457" s="25">
        <v>1.29</v>
      </c>
      <c r="N457" s="25">
        <v>0</v>
      </c>
      <c r="O457" s="25">
        <v>29.73</v>
      </c>
      <c r="P457" s="25">
        <v>39.928800000000003</v>
      </c>
      <c r="Q457" s="25">
        <f t="shared" si="14"/>
        <v>0</v>
      </c>
      <c r="R457" s="25">
        <f t="shared" si="15"/>
        <v>35760.071199999998</v>
      </c>
    </row>
    <row r="458" spans="1:18" hidden="1" x14ac:dyDescent="0.25">
      <c r="A458" s="26">
        <v>43634</v>
      </c>
      <c r="B458" s="25" t="s">
        <v>1050</v>
      </c>
      <c r="C458" s="25" t="s">
        <v>17</v>
      </c>
      <c r="D458" s="25">
        <v>300</v>
      </c>
      <c r="E458" s="25">
        <v>177.65</v>
      </c>
      <c r="F458" s="25">
        <v>53295</v>
      </c>
      <c r="G458" s="25" t="s">
        <v>1053</v>
      </c>
      <c r="H458" s="25">
        <v>2019114</v>
      </c>
      <c r="I458" s="25" t="s">
        <v>19</v>
      </c>
      <c r="J458" s="25" t="s">
        <v>20</v>
      </c>
      <c r="K458" s="25" t="s">
        <v>25</v>
      </c>
      <c r="L458" s="25">
        <v>0</v>
      </c>
      <c r="M458" s="25">
        <v>1.92</v>
      </c>
      <c r="N458" s="25">
        <v>31.5</v>
      </c>
      <c r="O458" s="25">
        <v>31.79</v>
      </c>
      <c r="P458" s="25">
        <v>65.208600000000004</v>
      </c>
      <c r="Q458" s="25">
        <f t="shared" si="14"/>
        <v>53360.208599999998</v>
      </c>
      <c r="R458" s="25">
        <f t="shared" si="15"/>
        <v>0</v>
      </c>
    </row>
    <row r="459" spans="1:18" hidden="1" x14ac:dyDescent="0.25">
      <c r="A459" s="26">
        <v>43634</v>
      </c>
      <c r="B459" s="25" t="s">
        <v>1054</v>
      </c>
      <c r="C459" s="25" t="s">
        <v>17</v>
      </c>
      <c r="D459" s="25">
        <v>500</v>
      </c>
      <c r="E459" s="25">
        <v>471.5</v>
      </c>
      <c r="F459" s="25">
        <v>235750</v>
      </c>
      <c r="G459" s="25" t="s">
        <v>1055</v>
      </c>
      <c r="H459" s="25">
        <v>2019114</v>
      </c>
      <c r="I459" s="25" t="s">
        <v>19</v>
      </c>
      <c r="J459" s="25" t="s">
        <v>20</v>
      </c>
      <c r="K459" s="25" t="s">
        <v>25</v>
      </c>
      <c r="L459" s="25">
        <v>0</v>
      </c>
      <c r="M459" s="25">
        <v>8.49</v>
      </c>
      <c r="N459" s="25">
        <v>0</v>
      </c>
      <c r="O459" s="25">
        <v>140.62</v>
      </c>
      <c r="P459" s="25">
        <v>149.107</v>
      </c>
      <c r="Q459" s="25">
        <f t="shared" si="14"/>
        <v>235899.10699999999</v>
      </c>
      <c r="R459" s="25">
        <f t="shared" si="15"/>
        <v>0</v>
      </c>
    </row>
    <row r="460" spans="1:18" hidden="1" x14ac:dyDescent="0.25">
      <c r="A460" s="26">
        <v>43634</v>
      </c>
      <c r="B460" s="25" t="s">
        <v>1054</v>
      </c>
      <c r="C460" s="25" t="s">
        <v>23</v>
      </c>
      <c r="D460" s="25">
        <v>1000</v>
      </c>
      <c r="E460" s="25">
        <v>471.5</v>
      </c>
      <c r="F460" s="25">
        <v>471500</v>
      </c>
      <c r="G460" s="25" t="s">
        <v>1056</v>
      </c>
      <c r="H460" s="25">
        <v>2019114</v>
      </c>
      <c r="I460" s="25" t="s">
        <v>19</v>
      </c>
      <c r="J460" s="25" t="s">
        <v>20</v>
      </c>
      <c r="K460" s="25" t="s">
        <v>25</v>
      </c>
      <c r="L460" s="25">
        <v>117.64</v>
      </c>
      <c r="M460" s="25">
        <v>16.97</v>
      </c>
      <c r="N460" s="25">
        <v>0</v>
      </c>
      <c r="O460" s="25">
        <v>281.23</v>
      </c>
      <c r="P460" s="25">
        <v>415.84429999999998</v>
      </c>
      <c r="Q460" s="25">
        <f t="shared" si="14"/>
        <v>0</v>
      </c>
      <c r="R460" s="25">
        <f t="shared" si="15"/>
        <v>471084.1557</v>
      </c>
    </row>
    <row r="461" spans="1:18" hidden="1" x14ac:dyDescent="0.25">
      <c r="A461" s="26">
        <v>43634</v>
      </c>
      <c r="B461" s="25" t="s">
        <v>1054</v>
      </c>
      <c r="C461" s="25" t="s">
        <v>17</v>
      </c>
      <c r="D461" s="25">
        <v>500</v>
      </c>
      <c r="E461" s="25">
        <v>468</v>
      </c>
      <c r="F461" s="25">
        <v>234000</v>
      </c>
      <c r="G461" s="25" t="s">
        <v>1057</v>
      </c>
      <c r="H461" s="25">
        <v>2019114</v>
      </c>
      <c r="I461" s="25" t="s">
        <v>19</v>
      </c>
      <c r="J461" s="25" t="s">
        <v>20</v>
      </c>
      <c r="K461" s="25" t="s">
        <v>25</v>
      </c>
      <c r="L461" s="25">
        <v>0</v>
      </c>
      <c r="M461" s="25">
        <v>8.42</v>
      </c>
      <c r="N461" s="25">
        <v>0</v>
      </c>
      <c r="O461" s="25">
        <v>139.58000000000001</v>
      </c>
      <c r="P461" s="25">
        <v>148.00399999999999</v>
      </c>
      <c r="Q461" s="25">
        <f t="shared" si="14"/>
        <v>234148.00399999999</v>
      </c>
      <c r="R461" s="25">
        <f t="shared" si="15"/>
        <v>0</v>
      </c>
    </row>
    <row r="462" spans="1:18" hidden="1" x14ac:dyDescent="0.25">
      <c r="A462" s="26">
        <v>43633</v>
      </c>
      <c r="B462" s="25" t="s">
        <v>16</v>
      </c>
      <c r="C462" s="25" t="s">
        <v>17</v>
      </c>
      <c r="D462" s="25">
        <v>100</v>
      </c>
      <c r="E462" s="25">
        <v>24.25</v>
      </c>
      <c r="F462" s="25">
        <v>2425</v>
      </c>
      <c r="G462" s="25" t="s">
        <v>1058</v>
      </c>
      <c r="H462" s="25">
        <v>2019113</v>
      </c>
      <c r="I462" s="25" t="s">
        <v>19</v>
      </c>
      <c r="J462" s="25" t="s">
        <v>20</v>
      </c>
      <c r="K462" s="25" t="s">
        <v>25</v>
      </c>
      <c r="L462" s="25">
        <v>2.4300000000000002</v>
      </c>
      <c r="M462" s="25">
        <v>0.09</v>
      </c>
      <c r="N462" s="25">
        <v>0</v>
      </c>
      <c r="O462" s="25">
        <v>41.32</v>
      </c>
      <c r="P462" s="25">
        <v>43.837299999999999</v>
      </c>
      <c r="Q462" s="25">
        <f t="shared" si="14"/>
        <v>2468.8373000000001</v>
      </c>
      <c r="R462" s="25">
        <f t="shared" si="15"/>
        <v>0</v>
      </c>
    </row>
    <row r="463" spans="1:18" hidden="1" x14ac:dyDescent="0.25">
      <c r="A463" s="26">
        <v>43633</v>
      </c>
      <c r="B463" s="25" t="s">
        <v>1054</v>
      </c>
      <c r="C463" s="25" t="s">
        <v>17</v>
      </c>
      <c r="D463" s="25">
        <v>100</v>
      </c>
      <c r="E463" s="25">
        <v>493.15</v>
      </c>
      <c r="F463" s="25">
        <v>49315</v>
      </c>
      <c r="G463" s="25" t="s">
        <v>1059</v>
      </c>
      <c r="H463" s="25">
        <v>2019113</v>
      </c>
      <c r="I463" s="25" t="s">
        <v>19</v>
      </c>
      <c r="J463" s="25" t="s">
        <v>20</v>
      </c>
      <c r="K463" s="25" t="s">
        <v>25</v>
      </c>
      <c r="L463" s="25">
        <v>0</v>
      </c>
      <c r="M463" s="25">
        <v>1.78</v>
      </c>
      <c r="N463" s="25">
        <v>0</v>
      </c>
      <c r="O463" s="25">
        <v>29.82</v>
      </c>
      <c r="P463" s="25">
        <v>31.595300000000002</v>
      </c>
      <c r="Q463" s="25">
        <f t="shared" si="14"/>
        <v>49346.595300000001</v>
      </c>
      <c r="R463" s="25">
        <f t="shared" si="15"/>
        <v>0</v>
      </c>
    </row>
    <row r="464" spans="1:18" hidden="1" x14ac:dyDescent="0.25">
      <c r="A464" s="26">
        <v>43633</v>
      </c>
      <c r="B464" s="25" t="s">
        <v>1054</v>
      </c>
      <c r="C464" s="25" t="s">
        <v>17</v>
      </c>
      <c r="D464" s="25">
        <v>100</v>
      </c>
      <c r="E464" s="25">
        <v>490.85</v>
      </c>
      <c r="F464" s="25">
        <v>49084.95</v>
      </c>
      <c r="G464" s="25" t="s">
        <v>1060</v>
      </c>
      <c r="H464" s="25">
        <v>2019113</v>
      </c>
      <c r="I464" s="25" t="s">
        <v>19</v>
      </c>
      <c r="J464" s="25" t="s">
        <v>20</v>
      </c>
      <c r="K464" s="25" t="s">
        <v>25</v>
      </c>
      <c r="L464" s="25">
        <v>0</v>
      </c>
      <c r="M464" s="25">
        <v>1.77</v>
      </c>
      <c r="N464" s="25">
        <v>0</v>
      </c>
      <c r="O464" s="25">
        <v>29.82</v>
      </c>
      <c r="P464" s="25">
        <v>31.5871</v>
      </c>
      <c r="Q464" s="25">
        <f t="shared" si="14"/>
        <v>49116.537099999994</v>
      </c>
      <c r="R464" s="25">
        <f t="shared" si="15"/>
        <v>0</v>
      </c>
    </row>
    <row r="465" spans="1:18" hidden="1" x14ac:dyDescent="0.25">
      <c r="A465" s="26">
        <v>43633</v>
      </c>
      <c r="B465" s="25" t="s">
        <v>1054</v>
      </c>
      <c r="C465" s="25" t="s">
        <v>17</v>
      </c>
      <c r="D465" s="25">
        <v>100</v>
      </c>
      <c r="E465" s="25">
        <v>486</v>
      </c>
      <c r="F465" s="25">
        <v>48600</v>
      </c>
      <c r="G465" s="25" t="s">
        <v>1061</v>
      </c>
      <c r="H465" s="25">
        <v>2019113</v>
      </c>
      <c r="I465" s="25" t="s">
        <v>19</v>
      </c>
      <c r="J465" s="25" t="s">
        <v>20</v>
      </c>
      <c r="K465" s="25" t="s">
        <v>25</v>
      </c>
      <c r="L465" s="25">
        <v>0</v>
      </c>
      <c r="M465" s="25">
        <v>1.75</v>
      </c>
      <c r="N465" s="25">
        <v>0</v>
      </c>
      <c r="O465" s="25">
        <v>29.82</v>
      </c>
      <c r="P465" s="25">
        <v>31.569600000000001</v>
      </c>
      <c r="Q465" s="25">
        <f t="shared" si="14"/>
        <v>48631.569600000003</v>
      </c>
      <c r="R465" s="25">
        <f t="shared" si="15"/>
        <v>0</v>
      </c>
    </row>
    <row r="466" spans="1:18" hidden="1" x14ac:dyDescent="0.25">
      <c r="A466" s="26">
        <v>43633</v>
      </c>
      <c r="B466" s="25" t="s">
        <v>1054</v>
      </c>
      <c r="C466" s="25" t="s">
        <v>23</v>
      </c>
      <c r="D466" s="25">
        <v>2000</v>
      </c>
      <c r="E466" s="25">
        <v>484.25</v>
      </c>
      <c r="F466" s="25">
        <v>968500</v>
      </c>
      <c r="G466" s="25" t="s">
        <v>1062</v>
      </c>
      <c r="H466" s="25">
        <v>2019113</v>
      </c>
      <c r="I466" s="25" t="s">
        <v>19</v>
      </c>
      <c r="J466" s="25" t="s">
        <v>20</v>
      </c>
      <c r="K466" s="25" t="s">
        <v>25</v>
      </c>
      <c r="L466" s="25">
        <v>241.58</v>
      </c>
      <c r="M466" s="25">
        <v>34.869999999999997</v>
      </c>
      <c r="N466" s="25">
        <v>58.2</v>
      </c>
      <c r="O466" s="25">
        <v>577.69000000000005</v>
      </c>
      <c r="P466" s="25">
        <v>912.33609999999999</v>
      </c>
      <c r="Q466" s="25">
        <f t="shared" si="14"/>
        <v>0</v>
      </c>
      <c r="R466" s="25">
        <f t="shared" si="15"/>
        <v>967587.66390000004</v>
      </c>
    </row>
    <row r="467" spans="1:18" hidden="1" x14ac:dyDescent="0.25">
      <c r="A467" s="26">
        <v>43633</v>
      </c>
      <c r="B467" s="25" t="s">
        <v>1054</v>
      </c>
      <c r="C467" s="25" t="s">
        <v>17</v>
      </c>
      <c r="D467" s="25">
        <v>1700</v>
      </c>
      <c r="E467" s="25">
        <v>482.25</v>
      </c>
      <c r="F467" s="25">
        <v>819825</v>
      </c>
      <c r="G467" s="25" t="s">
        <v>1063</v>
      </c>
      <c r="H467" s="25">
        <v>2019113</v>
      </c>
      <c r="I467" s="25" t="s">
        <v>19</v>
      </c>
      <c r="J467" s="25" t="s">
        <v>20</v>
      </c>
      <c r="K467" s="25" t="s">
        <v>25</v>
      </c>
      <c r="L467" s="25">
        <v>0</v>
      </c>
      <c r="M467" s="25">
        <v>29.51</v>
      </c>
      <c r="N467" s="25">
        <v>0</v>
      </c>
      <c r="O467" s="25">
        <v>489.01</v>
      </c>
      <c r="P467" s="25">
        <v>518.52369999999996</v>
      </c>
      <c r="Q467" s="25">
        <f t="shared" si="14"/>
        <v>820343.52370000002</v>
      </c>
      <c r="R467" s="25">
        <f t="shared" si="15"/>
        <v>0</v>
      </c>
    </row>
    <row r="468" spans="1:18" hidden="1" x14ac:dyDescent="0.25">
      <c r="A468" s="26">
        <v>43630</v>
      </c>
      <c r="B468" s="25" t="s">
        <v>659</v>
      </c>
      <c r="C468" s="25" t="s">
        <v>23</v>
      </c>
      <c r="D468" s="25">
        <v>1000</v>
      </c>
      <c r="E468" s="25">
        <v>115</v>
      </c>
      <c r="F468" s="25">
        <v>115000</v>
      </c>
      <c r="G468" s="25" t="s">
        <v>1064</v>
      </c>
      <c r="H468" s="25">
        <v>2019112</v>
      </c>
      <c r="I468" s="25" t="s">
        <v>19</v>
      </c>
      <c r="J468" s="25" t="s">
        <v>20</v>
      </c>
      <c r="K468" s="25" t="s">
        <v>25</v>
      </c>
      <c r="L468" s="25">
        <v>29.01</v>
      </c>
      <c r="M468" s="25">
        <v>4.1399999999999997</v>
      </c>
      <c r="N468" s="25">
        <v>0</v>
      </c>
      <c r="O468" s="25">
        <v>68.599999999999994</v>
      </c>
      <c r="P468" s="25">
        <v>101.75</v>
      </c>
      <c r="Q468" s="25">
        <f t="shared" si="14"/>
        <v>0</v>
      </c>
      <c r="R468" s="25">
        <f t="shared" si="15"/>
        <v>114898.25</v>
      </c>
    </row>
    <row r="469" spans="1:18" hidden="1" x14ac:dyDescent="0.25">
      <c r="A469" s="26">
        <v>43630</v>
      </c>
      <c r="B469" s="25" t="s">
        <v>659</v>
      </c>
      <c r="C469" s="25" t="s">
        <v>17</v>
      </c>
      <c r="D469" s="25">
        <v>1000</v>
      </c>
      <c r="E469" s="25">
        <v>113</v>
      </c>
      <c r="F469" s="25">
        <v>113000</v>
      </c>
      <c r="G469" s="25" t="s">
        <v>1065</v>
      </c>
      <c r="H469" s="25">
        <v>2019112</v>
      </c>
      <c r="I469" s="25" t="s">
        <v>19</v>
      </c>
      <c r="J469" s="25" t="s">
        <v>20</v>
      </c>
      <c r="K469" s="25" t="s">
        <v>25</v>
      </c>
      <c r="L469" s="25">
        <v>0</v>
      </c>
      <c r="M469" s="25">
        <v>4.07</v>
      </c>
      <c r="N469" s="25">
        <v>0</v>
      </c>
      <c r="O469" s="25">
        <v>67.400000000000006</v>
      </c>
      <c r="P469" s="25">
        <v>71.468000000000004</v>
      </c>
      <c r="Q469" s="25">
        <f t="shared" si="14"/>
        <v>113071.46799999999</v>
      </c>
      <c r="R469" s="25">
        <f t="shared" si="15"/>
        <v>0</v>
      </c>
    </row>
    <row r="470" spans="1:18" hidden="1" x14ac:dyDescent="0.25">
      <c r="A470" s="26">
        <v>43630</v>
      </c>
      <c r="B470" s="25" t="s">
        <v>1066</v>
      </c>
      <c r="C470" s="25" t="s">
        <v>17</v>
      </c>
      <c r="D470" s="25">
        <v>500</v>
      </c>
      <c r="E470" s="25">
        <v>58.4</v>
      </c>
      <c r="F470" s="25">
        <v>29200</v>
      </c>
      <c r="G470" s="25" t="s">
        <v>1067</v>
      </c>
      <c r="H470" s="25">
        <v>2019112</v>
      </c>
      <c r="I470" s="25" t="s">
        <v>19</v>
      </c>
      <c r="J470" s="25" t="s">
        <v>20</v>
      </c>
      <c r="K470" s="25" t="s">
        <v>25</v>
      </c>
      <c r="L470" s="25">
        <v>0</v>
      </c>
      <c r="M470" s="25">
        <v>1.05</v>
      </c>
      <c r="N470" s="25">
        <v>0</v>
      </c>
      <c r="O470" s="25">
        <v>29.69</v>
      </c>
      <c r="P470" s="25">
        <v>30.741199999999999</v>
      </c>
      <c r="Q470" s="25">
        <f t="shared" si="14"/>
        <v>29230.7412</v>
      </c>
      <c r="R470" s="25">
        <f t="shared" si="15"/>
        <v>0</v>
      </c>
    </row>
    <row r="471" spans="1:18" hidden="1" x14ac:dyDescent="0.25">
      <c r="A471" s="26">
        <v>43630</v>
      </c>
      <c r="B471" s="25" t="s">
        <v>1066</v>
      </c>
      <c r="C471" s="25" t="s">
        <v>23</v>
      </c>
      <c r="D471" s="25">
        <v>500</v>
      </c>
      <c r="E471" s="25">
        <v>59.1</v>
      </c>
      <c r="F471" s="25">
        <v>29550</v>
      </c>
      <c r="G471" s="25" t="s">
        <v>1068</v>
      </c>
      <c r="H471" s="25">
        <v>2019112</v>
      </c>
      <c r="I471" s="25" t="s">
        <v>19</v>
      </c>
      <c r="J471" s="25" t="s">
        <v>20</v>
      </c>
      <c r="K471" s="25" t="s">
        <v>25</v>
      </c>
      <c r="L471" s="25">
        <v>7.34</v>
      </c>
      <c r="M471" s="25">
        <v>1.06</v>
      </c>
      <c r="N471" s="25">
        <v>0</v>
      </c>
      <c r="O471" s="25">
        <v>29.69</v>
      </c>
      <c r="P471" s="25">
        <v>38.093899999999998</v>
      </c>
      <c r="Q471" s="25">
        <f t="shared" si="14"/>
        <v>0</v>
      </c>
      <c r="R471" s="25">
        <f t="shared" si="15"/>
        <v>29511.9061</v>
      </c>
    </row>
    <row r="472" spans="1:18" hidden="1" x14ac:dyDescent="0.25">
      <c r="A472" s="26">
        <v>43630</v>
      </c>
      <c r="B472" s="25" t="s">
        <v>659</v>
      </c>
      <c r="C472" s="25" t="s">
        <v>17</v>
      </c>
      <c r="D472" s="25">
        <v>2000</v>
      </c>
      <c r="E472" s="25">
        <v>118</v>
      </c>
      <c r="F472" s="25">
        <v>236000</v>
      </c>
      <c r="G472" s="25" t="s">
        <v>1069</v>
      </c>
      <c r="H472" s="25">
        <v>2019112</v>
      </c>
      <c r="I472" s="25" t="s">
        <v>19</v>
      </c>
      <c r="J472" s="25" t="s">
        <v>20</v>
      </c>
      <c r="K472" s="25" t="s">
        <v>25</v>
      </c>
      <c r="L472" s="25">
        <v>0</v>
      </c>
      <c r="M472" s="25">
        <v>8.5</v>
      </c>
      <c r="N472" s="25">
        <v>23.1</v>
      </c>
      <c r="O472" s="25">
        <v>140.77000000000001</v>
      </c>
      <c r="P472" s="25">
        <v>172.36590000000001</v>
      </c>
      <c r="Q472" s="25">
        <f t="shared" si="14"/>
        <v>236172.3659</v>
      </c>
      <c r="R472" s="25">
        <f t="shared" si="15"/>
        <v>0</v>
      </c>
    </row>
    <row r="473" spans="1:18" hidden="1" x14ac:dyDescent="0.25">
      <c r="A473" s="26">
        <v>43630</v>
      </c>
      <c r="B473" s="25" t="s">
        <v>659</v>
      </c>
      <c r="C473" s="25" t="s">
        <v>23</v>
      </c>
      <c r="D473" s="25">
        <v>2000</v>
      </c>
      <c r="E473" s="25">
        <v>119.9</v>
      </c>
      <c r="F473" s="25">
        <v>239800</v>
      </c>
      <c r="G473" s="25" t="s">
        <v>1070</v>
      </c>
      <c r="H473" s="25">
        <v>2019112</v>
      </c>
      <c r="I473" s="25" t="s">
        <v>19</v>
      </c>
      <c r="J473" s="25" t="s">
        <v>20</v>
      </c>
      <c r="K473" s="25" t="s">
        <v>25</v>
      </c>
      <c r="L473" s="25">
        <v>58.65</v>
      </c>
      <c r="M473" s="25">
        <v>8.6300000000000008</v>
      </c>
      <c r="N473" s="25">
        <v>0</v>
      </c>
      <c r="O473" s="25">
        <v>143.04</v>
      </c>
      <c r="P473" s="25">
        <v>210.3228</v>
      </c>
      <c r="Q473" s="25">
        <f t="shared" si="14"/>
        <v>0</v>
      </c>
      <c r="R473" s="25">
        <f t="shared" si="15"/>
        <v>239589.67720000001</v>
      </c>
    </row>
    <row r="474" spans="1:18" hidden="1" x14ac:dyDescent="0.25">
      <c r="A474" s="26">
        <v>43629</v>
      </c>
      <c r="B474" s="25" t="s">
        <v>282</v>
      </c>
      <c r="C474" s="25" t="s">
        <v>23</v>
      </c>
      <c r="D474" s="25">
        <v>2000</v>
      </c>
      <c r="E474" s="25">
        <v>253.5</v>
      </c>
      <c r="F474" s="25">
        <v>507000</v>
      </c>
      <c r="G474" s="25" t="s">
        <v>1071</v>
      </c>
      <c r="H474" s="25">
        <v>2019111</v>
      </c>
      <c r="I474" s="25" t="s">
        <v>19</v>
      </c>
      <c r="J474" s="25" t="s">
        <v>20</v>
      </c>
      <c r="K474" s="25" t="s">
        <v>25</v>
      </c>
      <c r="L474" s="25">
        <v>126.49</v>
      </c>
      <c r="M474" s="25">
        <v>18.25</v>
      </c>
      <c r="N474" s="25">
        <v>49.5</v>
      </c>
      <c r="O474" s="25">
        <v>302.39999999999998</v>
      </c>
      <c r="P474" s="25">
        <v>496.64229999999998</v>
      </c>
      <c r="Q474" s="25">
        <f t="shared" si="14"/>
        <v>0</v>
      </c>
      <c r="R474" s="25">
        <f t="shared" si="15"/>
        <v>506503.35769999999</v>
      </c>
    </row>
    <row r="475" spans="1:18" hidden="1" x14ac:dyDescent="0.25">
      <c r="A475" s="26">
        <v>43629</v>
      </c>
      <c r="B475" s="25" t="s">
        <v>282</v>
      </c>
      <c r="C475" s="25" t="s">
        <v>17</v>
      </c>
      <c r="D475" s="25">
        <v>2000</v>
      </c>
      <c r="E475" s="25">
        <v>252.5</v>
      </c>
      <c r="F475" s="25">
        <v>505000</v>
      </c>
      <c r="G475" s="25" t="s">
        <v>1072</v>
      </c>
      <c r="H475" s="25">
        <v>2019111</v>
      </c>
      <c r="I475" s="25" t="s">
        <v>19</v>
      </c>
      <c r="J475" s="25" t="s">
        <v>20</v>
      </c>
      <c r="K475" s="25" t="s">
        <v>25</v>
      </c>
      <c r="L475" s="25">
        <v>0</v>
      </c>
      <c r="M475" s="25">
        <v>18.18</v>
      </c>
      <c r="N475" s="25">
        <v>0</v>
      </c>
      <c r="O475" s="25">
        <v>301.23</v>
      </c>
      <c r="P475" s="25">
        <v>319.41000000000003</v>
      </c>
      <c r="Q475" s="25">
        <f t="shared" si="14"/>
        <v>505319.41</v>
      </c>
      <c r="R475" s="25">
        <f t="shared" si="15"/>
        <v>0</v>
      </c>
    </row>
    <row r="476" spans="1:18" hidden="1" x14ac:dyDescent="0.25">
      <c r="A476" s="26">
        <v>43629</v>
      </c>
      <c r="B476" s="25" t="s">
        <v>233</v>
      </c>
      <c r="C476" s="25" t="s">
        <v>23</v>
      </c>
      <c r="D476" s="25">
        <v>10</v>
      </c>
      <c r="E476" s="25">
        <v>1323</v>
      </c>
      <c r="F476" s="25">
        <v>13230</v>
      </c>
      <c r="G476" s="25" t="s">
        <v>1073</v>
      </c>
      <c r="H476" s="25">
        <v>2019111</v>
      </c>
      <c r="I476" s="25" t="s">
        <v>19</v>
      </c>
      <c r="J476" s="25" t="s">
        <v>20</v>
      </c>
      <c r="K476" s="25" t="s">
        <v>25</v>
      </c>
      <c r="L476" s="25">
        <v>3.3</v>
      </c>
      <c r="M476" s="25">
        <v>0.48</v>
      </c>
      <c r="N476" s="25">
        <v>0</v>
      </c>
      <c r="O476" s="25">
        <v>29.59</v>
      </c>
      <c r="P476" s="25">
        <v>33.366300000000003</v>
      </c>
      <c r="Q476" s="25">
        <f t="shared" si="14"/>
        <v>0</v>
      </c>
      <c r="R476" s="25">
        <f t="shared" si="15"/>
        <v>13196.6337</v>
      </c>
    </row>
    <row r="477" spans="1:18" hidden="1" x14ac:dyDescent="0.25">
      <c r="A477" s="26">
        <v>43629</v>
      </c>
      <c r="B477" s="25" t="s">
        <v>282</v>
      </c>
      <c r="C477" s="25" t="s">
        <v>23</v>
      </c>
      <c r="D477" s="25">
        <v>1000</v>
      </c>
      <c r="E477" s="25">
        <v>252</v>
      </c>
      <c r="F477" s="25">
        <v>252000</v>
      </c>
      <c r="G477" s="25" t="s">
        <v>1074</v>
      </c>
      <c r="H477" s="25">
        <v>2019111</v>
      </c>
      <c r="I477" s="25" t="s">
        <v>19</v>
      </c>
      <c r="J477" s="25" t="s">
        <v>20</v>
      </c>
      <c r="K477" s="25" t="s">
        <v>25</v>
      </c>
      <c r="L477" s="25">
        <v>63.14</v>
      </c>
      <c r="M477" s="25">
        <v>9.07</v>
      </c>
      <c r="N477" s="25">
        <v>0</v>
      </c>
      <c r="O477" s="25">
        <v>150.31</v>
      </c>
      <c r="P477" s="25">
        <v>222.52199999999999</v>
      </c>
      <c r="Q477" s="25">
        <f t="shared" si="14"/>
        <v>0</v>
      </c>
      <c r="R477" s="25">
        <f t="shared" si="15"/>
        <v>251777.478</v>
      </c>
    </row>
    <row r="478" spans="1:18" hidden="1" x14ac:dyDescent="0.25">
      <c r="A478" s="26">
        <v>43629</v>
      </c>
      <c r="B478" s="25" t="s">
        <v>282</v>
      </c>
      <c r="C478" s="25" t="s">
        <v>17</v>
      </c>
      <c r="D478" s="25">
        <v>1000</v>
      </c>
      <c r="E478" s="25">
        <v>251.25</v>
      </c>
      <c r="F478" s="25">
        <v>251250</v>
      </c>
      <c r="G478" s="25" t="s">
        <v>1075</v>
      </c>
      <c r="H478" s="25">
        <v>2019111</v>
      </c>
      <c r="I478" s="25" t="s">
        <v>19</v>
      </c>
      <c r="J478" s="25" t="s">
        <v>20</v>
      </c>
      <c r="K478" s="25" t="s">
        <v>25</v>
      </c>
      <c r="L478" s="25">
        <v>0</v>
      </c>
      <c r="M478" s="25">
        <v>9.0500000000000007</v>
      </c>
      <c r="N478" s="25">
        <v>0</v>
      </c>
      <c r="O478" s="25">
        <v>149.87</v>
      </c>
      <c r="P478" s="25">
        <v>158.9151</v>
      </c>
      <c r="Q478" s="25">
        <f t="shared" si="14"/>
        <v>251408.91510000001</v>
      </c>
      <c r="R478" s="25">
        <f t="shared" si="15"/>
        <v>0</v>
      </c>
    </row>
    <row r="479" spans="1:18" hidden="1" x14ac:dyDescent="0.25">
      <c r="A479" s="26">
        <v>43629</v>
      </c>
      <c r="B479" s="25" t="s">
        <v>233</v>
      </c>
      <c r="C479" s="25" t="s">
        <v>17</v>
      </c>
      <c r="D479" s="25">
        <v>10</v>
      </c>
      <c r="E479" s="25">
        <v>1317</v>
      </c>
      <c r="F479" s="25">
        <v>13170</v>
      </c>
      <c r="G479" s="25" t="s">
        <v>1076</v>
      </c>
      <c r="H479" s="25">
        <v>2019111</v>
      </c>
      <c r="I479" s="25" t="s">
        <v>19</v>
      </c>
      <c r="J479" s="25" t="s">
        <v>20</v>
      </c>
      <c r="K479" s="25" t="s">
        <v>25</v>
      </c>
      <c r="L479" s="25">
        <v>0</v>
      </c>
      <c r="M479" s="25">
        <v>0.47</v>
      </c>
      <c r="N479" s="25">
        <v>0</v>
      </c>
      <c r="O479" s="25">
        <v>29.59</v>
      </c>
      <c r="P479" s="25">
        <v>30.0642</v>
      </c>
      <c r="Q479" s="25">
        <f t="shared" si="14"/>
        <v>13200.064200000001</v>
      </c>
      <c r="R479" s="25">
        <f t="shared" si="15"/>
        <v>0</v>
      </c>
    </row>
    <row r="480" spans="1:18" hidden="1" x14ac:dyDescent="0.25">
      <c r="A480" s="26">
        <v>43629</v>
      </c>
      <c r="B480" s="25" t="s">
        <v>1077</v>
      </c>
      <c r="C480" s="25" t="s">
        <v>23</v>
      </c>
      <c r="D480" s="25">
        <v>500</v>
      </c>
      <c r="E480" s="25">
        <v>104.5</v>
      </c>
      <c r="F480" s="25">
        <v>52250</v>
      </c>
      <c r="G480" s="25" t="s">
        <v>1078</v>
      </c>
      <c r="H480" s="25">
        <v>2019111</v>
      </c>
      <c r="I480" s="25" t="s">
        <v>19</v>
      </c>
      <c r="J480" s="25" t="s">
        <v>20</v>
      </c>
      <c r="K480" s="25" t="s">
        <v>25</v>
      </c>
      <c r="L480" s="25">
        <v>13.11</v>
      </c>
      <c r="M480" s="25">
        <v>1.88</v>
      </c>
      <c r="N480" s="25">
        <v>0</v>
      </c>
      <c r="O480" s="25">
        <v>31.17</v>
      </c>
      <c r="P480" s="25">
        <v>46.161099999999998</v>
      </c>
      <c r="Q480" s="25">
        <f t="shared" si="14"/>
        <v>0</v>
      </c>
      <c r="R480" s="25">
        <f t="shared" si="15"/>
        <v>52203.838900000002</v>
      </c>
    </row>
    <row r="481" spans="1:18" hidden="1" x14ac:dyDescent="0.25">
      <c r="A481" s="26">
        <v>43629</v>
      </c>
      <c r="B481" s="25" t="s">
        <v>1077</v>
      </c>
      <c r="C481" s="25" t="s">
        <v>17</v>
      </c>
      <c r="D481" s="25">
        <v>500</v>
      </c>
      <c r="E481" s="25">
        <v>105.3</v>
      </c>
      <c r="F481" s="25">
        <v>52650</v>
      </c>
      <c r="G481" s="25" t="s">
        <v>1079</v>
      </c>
      <c r="H481" s="25">
        <v>2019111</v>
      </c>
      <c r="I481" s="25" t="s">
        <v>19</v>
      </c>
      <c r="J481" s="25" t="s">
        <v>20</v>
      </c>
      <c r="K481" s="25" t="s">
        <v>25</v>
      </c>
      <c r="L481" s="25">
        <v>0</v>
      </c>
      <c r="M481" s="25">
        <v>1.9</v>
      </c>
      <c r="N481" s="25">
        <v>0</v>
      </c>
      <c r="O481" s="25">
        <v>31.4</v>
      </c>
      <c r="P481" s="25">
        <v>33.295499999999997</v>
      </c>
      <c r="Q481" s="25">
        <f t="shared" si="14"/>
        <v>52683.2955</v>
      </c>
      <c r="R481" s="25">
        <f t="shared" si="15"/>
        <v>0</v>
      </c>
    </row>
    <row r="482" spans="1:18" hidden="1" x14ac:dyDescent="0.25">
      <c r="A482" s="26">
        <v>43629</v>
      </c>
      <c r="B482" s="25" t="s">
        <v>849</v>
      </c>
      <c r="C482" s="25" t="s">
        <v>23</v>
      </c>
      <c r="D482" s="25">
        <v>20</v>
      </c>
      <c r="E482" s="25">
        <v>98</v>
      </c>
      <c r="F482" s="25">
        <v>1960</v>
      </c>
      <c r="G482" s="25" t="s">
        <v>1080</v>
      </c>
      <c r="H482" s="25">
        <v>2019111</v>
      </c>
      <c r="I482" s="25" t="s">
        <v>19</v>
      </c>
      <c r="J482" s="25" t="s">
        <v>20</v>
      </c>
      <c r="K482" s="25" t="s">
        <v>25</v>
      </c>
      <c r="L482" s="25">
        <v>1.96</v>
      </c>
      <c r="M482" s="25">
        <v>7.0000000000000007E-2</v>
      </c>
      <c r="N482" s="25">
        <v>0</v>
      </c>
      <c r="O482" s="25">
        <v>41.31</v>
      </c>
      <c r="P482" s="25">
        <v>43.340600000000002</v>
      </c>
      <c r="Q482" s="25">
        <f t="shared" si="14"/>
        <v>0</v>
      </c>
      <c r="R482" s="25">
        <f t="shared" si="15"/>
        <v>1916.6594</v>
      </c>
    </row>
    <row r="483" spans="1:18" hidden="1" x14ac:dyDescent="0.25">
      <c r="A483" s="26">
        <v>43628</v>
      </c>
      <c r="B483" s="25" t="s">
        <v>1081</v>
      </c>
      <c r="C483" s="25" t="s">
        <v>17</v>
      </c>
      <c r="D483" s="25">
        <v>1000</v>
      </c>
      <c r="E483" s="25">
        <v>89.2</v>
      </c>
      <c r="F483" s="25">
        <v>89200</v>
      </c>
      <c r="G483" s="25" t="s">
        <v>1082</v>
      </c>
      <c r="H483" s="25">
        <v>2019110</v>
      </c>
      <c r="I483" s="25" t="s">
        <v>19</v>
      </c>
      <c r="J483" s="25" t="s">
        <v>20</v>
      </c>
      <c r="K483" s="25" t="s">
        <v>25</v>
      </c>
      <c r="L483" s="25">
        <v>0</v>
      </c>
      <c r="M483" s="25">
        <v>3.21</v>
      </c>
      <c r="N483" s="25">
        <v>0</v>
      </c>
      <c r="O483" s="25">
        <v>53.21</v>
      </c>
      <c r="P483" s="25">
        <v>56.421199999999999</v>
      </c>
      <c r="Q483" s="25">
        <f t="shared" si="14"/>
        <v>89256.421199999997</v>
      </c>
      <c r="R483" s="25">
        <f t="shared" si="15"/>
        <v>0</v>
      </c>
    </row>
    <row r="484" spans="1:18" hidden="1" x14ac:dyDescent="0.25">
      <c r="A484" s="26">
        <v>43628</v>
      </c>
      <c r="B484" s="25" t="s">
        <v>1081</v>
      </c>
      <c r="C484" s="25" t="s">
        <v>23</v>
      </c>
      <c r="D484" s="25">
        <v>1000</v>
      </c>
      <c r="E484" s="25">
        <v>88</v>
      </c>
      <c r="F484" s="25">
        <v>88000</v>
      </c>
      <c r="G484" s="25" t="s">
        <v>1083</v>
      </c>
      <c r="H484" s="25">
        <v>2019110</v>
      </c>
      <c r="I484" s="25" t="s">
        <v>19</v>
      </c>
      <c r="J484" s="25" t="s">
        <v>20</v>
      </c>
      <c r="K484" s="25" t="s">
        <v>25</v>
      </c>
      <c r="L484" s="25">
        <v>22.14</v>
      </c>
      <c r="M484" s="25">
        <v>3.17</v>
      </c>
      <c r="N484" s="25">
        <v>31.8</v>
      </c>
      <c r="O484" s="25">
        <v>52.48</v>
      </c>
      <c r="P484" s="25">
        <v>109.58799999999999</v>
      </c>
      <c r="Q484" s="25">
        <f t="shared" si="14"/>
        <v>0</v>
      </c>
      <c r="R484" s="25">
        <f t="shared" si="15"/>
        <v>87890.411999999997</v>
      </c>
    </row>
    <row r="485" spans="1:18" hidden="1" x14ac:dyDescent="0.25">
      <c r="A485" s="26">
        <v>43628</v>
      </c>
      <c r="B485" s="25" t="s">
        <v>1081</v>
      </c>
      <c r="C485" s="25" t="s">
        <v>23</v>
      </c>
      <c r="D485" s="25">
        <v>5000</v>
      </c>
      <c r="E485" s="25">
        <v>88</v>
      </c>
      <c r="F485" s="25">
        <v>440000</v>
      </c>
      <c r="G485" s="25" t="s">
        <v>1084</v>
      </c>
      <c r="H485" s="25">
        <v>2019110</v>
      </c>
      <c r="I485" s="25" t="s">
        <v>19</v>
      </c>
      <c r="J485" s="25" t="s">
        <v>20</v>
      </c>
      <c r="K485" s="25" t="s">
        <v>25</v>
      </c>
      <c r="L485" s="25">
        <v>109.86</v>
      </c>
      <c r="M485" s="25">
        <v>15.84</v>
      </c>
      <c r="N485" s="25">
        <v>0</v>
      </c>
      <c r="O485" s="25">
        <v>262.45</v>
      </c>
      <c r="P485" s="25">
        <v>388.15</v>
      </c>
      <c r="Q485" s="25">
        <f t="shared" si="14"/>
        <v>0</v>
      </c>
      <c r="R485" s="25">
        <f t="shared" si="15"/>
        <v>439611.85</v>
      </c>
    </row>
    <row r="486" spans="1:18" hidden="1" x14ac:dyDescent="0.25">
      <c r="A486" s="26">
        <v>43628</v>
      </c>
      <c r="B486" s="25" t="s">
        <v>1081</v>
      </c>
      <c r="C486" s="25" t="s">
        <v>17</v>
      </c>
      <c r="D486" s="25">
        <v>5000</v>
      </c>
      <c r="E486" s="25">
        <v>87.5</v>
      </c>
      <c r="F486" s="25">
        <v>437500</v>
      </c>
      <c r="G486" s="25" t="s">
        <v>1085</v>
      </c>
      <c r="H486" s="25">
        <v>2019110</v>
      </c>
      <c r="I486" s="25" t="s">
        <v>19</v>
      </c>
      <c r="J486" s="25" t="s">
        <v>20</v>
      </c>
      <c r="K486" s="25" t="s">
        <v>25</v>
      </c>
      <c r="L486" s="25">
        <v>0</v>
      </c>
      <c r="M486" s="25">
        <v>15.75</v>
      </c>
      <c r="N486" s="25">
        <v>0</v>
      </c>
      <c r="O486" s="25">
        <v>260.95999999999998</v>
      </c>
      <c r="P486" s="25">
        <v>276.70999999999998</v>
      </c>
      <c r="Q486" s="25">
        <f t="shared" si="14"/>
        <v>437776.71</v>
      </c>
      <c r="R486" s="25">
        <f t="shared" si="15"/>
        <v>0</v>
      </c>
    </row>
    <row r="487" spans="1:18" hidden="1" x14ac:dyDescent="0.25">
      <c r="A487" s="26">
        <v>43627</v>
      </c>
      <c r="B487" s="25" t="s">
        <v>1086</v>
      </c>
      <c r="C487" s="25" t="s">
        <v>23</v>
      </c>
      <c r="D487" s="25">
        <v>1000</v>
      </c>
      <c r="E487" s="25">
        <v>94.5</v>
      </c>
      <c r="F487" s="25">
        <v>94500</v>
      </c>
      <c r="G487" s="25" t="s">
        <v>1087</v>
      </c>
      <c r="H487" s="25">
        <v>2019109</v>
      </c>
      <c r="I487" s="25" t="s">
        <v>19</v>
      </c>
      <c r="J487" s="25" t="s">
        <v>20</v>
      </c>
      <c r="K487" s="25" t="s">
        <v>25</v>
      </c>
      <c r="L487" s="25">
        <v>23.63</v>
      </c>
      <c r="M487" s="25">
        <v>3.4</v>
      </c>
      <c r="N487" s="25">
        <v>0</v>
      </c>
      <c r="O487" s="25">
        <v>56.36</v>
      </c>
      <c r="P487" s="25">
        <v>83.391999999999996</v>
      </c>
      <c r="Q487" s="25">
        <f t="shared" si="14"/>
        <v>0</v>
      </c>
      <c r="R487" s="25">
        <f t="shared" si="15"/>
        <v>94416.607999999993</v>
      </c>
    </row>
    <row r="488" spans="1:18" hidden="1" x14ac:dyDescent="0.25">
      <c r="A488" s="26">
        <v>43627</v>
      </c>
      <c r="B488" s="25" t="s">
        <v>1086</v>
      </c>
      <c r="C488" s="25" t="s">
        <v>17</v>
      </c>
      <c r="D488" s="25">
        <v>1000</v>
      </c>
      <c r="E488" s="25">
        <v>94.5</v>
      </c>
      <c r="F488" s="25">
        <v>94500</v>
      </c>
      <c r="G488" s="25" t="s">
        <v>1088</v>
      </c>
      <c r="H488" s="25">
        <v>2019109</v>
      </c>
      <c r="I488" s="25" t="s">
        <v>19</v>
      </c>
      <c r="J488" s="25" t="s">
        <v>20</v>
      </c>
      <c r="K488" s="25" t="s">
        <v>25</v>
      </c>
      <c r="L488" s="25">
        <v>0</v>
      </c>
      <c r="M488" s="25">
        <v>3.4</v>
      </c>
      <c r="N488" s="25">
        <v>0</v>
      </c>
      <c r="O488" s="25">
        <v>56.37</v>
      </c>
      <c r="P488" s="25">
        <v>59.771999999999998</v>
      </c>
      <c r="Q488" s="25">
        <f t="shared" si="14"/>
        <v>94559.771999999997</v>
      </c>
      <c r="R488" s="25">
        <f t="shared" si="15"/>
        <v>0</v>
      </c>
    </row>
    <row r="489" spans="1:18" hidden="1" x14ac:dyDescent="0.25">
      <c r="A489" s="26">
        <v>43627</v>
      </c>
      <c r="B489" s="25" t="s">
        <v>291</v>
      </c>
      <c r="C489" s="25" t="s">
        <v>17</v>
      </c>
      <c r="D489" s="25">
        <v>2000</v>
      </c>
      <c r="E489" s="25">
        <v>109.25</v>
      </c>
      <c r="F489" s="25">
        <v>218500</v>
      </c>
      <c r="G489" s="25" t="s">
        <v>1089</v>
      </c>
      <c r="H489" s="25">
        <v>2019109</v>
      </c>
      <c r="I489" s="25" t="s">
        <v>19</v>
      </c>
      <c r="J489" s="25" t="s">
        <v>20</v>
      </c>
      <c r="K489" s="25" t="s">
        <v>25</v>
      </c>
      <c r="L489" s="25">
        <v>0</v>
      </c>
      <c r="M489" s="25">
        <v>7.87</v>
      </c>
      <c r="N489" s="25">
        <v>0</v>
      </c>
      <c r="O489" s="25">
        <v>130.33000000000001</v>
      </c>
      <c r="P489" s="25">
        <v>138.19589999999999</v>
      </c>
      <c r="Q489" s="25">
        <f t="shared" si="14"/>
        <v>218638.19589999999</v>
      </c>
      <c r="R489" s="25">
        <f t="shared" si="15"/>
        <v>0</v>
      </c>
    </row>
    <row r="490" spans="1:18" hidden="1" x14ac:dyDescent="0.25">
      <c r="A490" s="26">
        <v>43627</v>
      </c>
      <c r="B490" s="25" t="s">
        <v>291</v>
      </c>
      <c r="C490" s="25" t="s">
        <v>23</v>
      </c>
      <c r="D490" s="25">
        <v>2000</v>
      </c>
      <c r="E490" s="25">
        <v>110</v>
      </c>
      <c r="F490" s="25">
        <v>220000</v>
      </c>
      <c r="G490" s="25" t="s">
        <v>1090</v>
      </c>
      <c r="H490" s="25">
        <v>2019109</v>
      </c>
      <c r="I490" s="25" t="s">
        <v>19</v>
      </c>
      <c r="J490" s="25" t="s">
        <v>20</v>
      </c>
      <c r="K490" s="25" t="s">
        <v>25</v>
      </c>
      <c r="L490" s="25">
        <v>54.81</v>
      </c>
      <c r="M490" s="25">
        <v>7.92</v>
      </c>
      <c r="N490" s="25">
        <v>0</v>
      </c>
      <c r="O490" s="25">
        <v>131.22</v>
      </c>
      <c r="P490" s="25">
        <v>193.95</v>
      </c>
      <c r="Q490" s="25">
        <f t="shared" si="14"/>
        <v>0</v>
      </c>
      <c r="R490" s="25">
        <f t="shared" si="15"/>
        <v>219806.05</v>
      </c>
    </row>
    <row r="491" spans="1:18" hidden="1" x14ac:dyDescent="0.25">
      <c r="A491" s="26">
        <v>43627</v>
      </c>
      <c r="B491" s="25" t="s">
        <v>1091</v>
      </c>
      <c r="C491" s="25" t="s">
        <v>17</v>
      </c>
      <c r="D491" s="25">
        <v>100</v>
      </c>
      <c r="E491" s="25">
        <v>329</v>
      </c>
      <c r="F491" s="25">
        <v>32900</v>
      </c>
      <c r="G491" s="25" t="s">
        <v>1092</v>
      </c>
      <c r="H491" s="25">
        <v>2019109</v>
      </c>
      <c r="I491" s="25" t="s">
        <v>19</v>
      </c>
      <c r="J491" s="25" t="s">
        <v>20</v>
      </c>
      <c r="K491" s="25" t="s">
        <v>25</v>
      </c>
      <c r="L491" s="25">
        <v>0</v>
      </c>
      <c r="M491" s="25">
        <v>1.18</v>
      </c>
      <c r="N491" s="25">
        <v>0</v>
      </c>
      <c r="O491" s="25">
        <v>29.71</v>
      </c>
      <c r="P491" s="25">
        <v>30.894400000000001</v>
      </c>
      <c r="Q491" s="25">
        <f t="shared" si="14"/>
        <v>32930.894399999997</v>
      </c>
      <c r="R491" s="25">
        <f t="shared" si="15"/>
        <v>0</v>
      </c>
    </row>
    <row r="492" spans="1:18" hidden="1" x14ac:dyDescent="0.25">
      <c r="A492" s="26">
        <v>43627</v>
      </c>
      <c r="B492" s="25" t="s">
        <v>1081</v>
      </c>
      <c r="C492" s="25" t="s">
        <v>17</v>
      </c>
      <c r="D492" s="25">
        <v>2000</v>
      </c>
      <c r="E492" s="25">
        <v>88.5</v>
      </c>
      <c r="F492" s="25">
        <v>177000</v>
      </c>
      <c r="G492" s="25" t="s">
        <v>1093</v>
      </c>
      <c r="H492" s="25">
        <v>2019109</v>
      </c>
      <c r="I492" s="25" t="s">
        <v>19</v>
      </c>
      <c r="J492" s="25" t="s">
        <v>20</v>
      </c>
      <c r="K492" s="25" t="s">
        <v>25</v>
      </c>
      <c r="L492" s="25">
        <v>0</v>
      </c>
      <c r="M492" s="25">
        <v>6.37</v>
      </c>
      <c r="N492" s="25">
        <v>31.5</v>
      </c>
      <c r="O492" s="25">
        <v>105.59</v>
      </c>
      <c r="P492" s="25">
        <v>143.4623</v>
      </c>
      <c r="Q492" s="25">
        <f t="shared" si="14"/>
        <v>177143.46230000001</v>
      </c>
      <c r="R492" s="25">
        <f t="shared" si="15"/>
        <v>0</v>
      </c>
    </row>
    <row r="493" spans="1:18" hidden="1" x14ac:dyDescent="0.25">
      <c r="A493" s="26">
        <v>43627</v>
      </c>
      <c r="B493" s="25" t="s">
        <v>1081</v>
      </c>
      <c r="C493" s="25" t="s">
        <v>23</v>
      </c>
      <c r="D493" s="25">
        <v>2000</v>
      </c>
      <c r="E493" s="25">
        <v>89.1</v>
      </c>
      <c r="F493" s="25">
        <v>178200</v>
      </c>
      <c r="G493" s="25" t="s">
        <v>1094</v>
      </c>
      <c r="H493" s="25">
        <v>2019109</v>
      </c>
      <c r="I493" s="25" t="s">
        <v>19</v>
      </c>
      <c r="J493" s="25" t="s">
        <v>20</v>
      </c>
      <c r="K493" s="25" t="s">
        <v>25</v>
      </c>
      <c r="L493" s="25">
        <v>44.4</v>
      </c>
      <c r="M493" s="25">
        <v>6.42</v>
      </c>
      <c r="N493" s="25">
        <v>0</v>
      </c>
      <c r="O493" s="25">
        <v>106.29</v>
      </c>
      <c r="P493" s="25">
        <v>157.1052</v>
      </c>
      <c r="Q493" s="25">
        <f t="shared" si="14"/>
        <v>0</v>
      </c>
      <c r="R493" s="25">
        <f t="shared" si="15"/>
        <v>178042.89480000001</v>
      </c>
    </row>
    <row r="494" spans="1:18" hidden="1" x14ac:dyDescent="0.25">
      <c r="A494" s="26">
        <v>43627</v>
      </c>
      <c r="B494" s="25" t="s">
        <v>1091</v>
      </c>
      <c r="C494" s="25" t="s">
        <v>23</v>
      </c>
      <c r="D494" s="25">
        <v>100</v>
      </c>
      <c r="E494" s="25">
        <v>327.23</v>
      </c>
      <c r="F494" s="25">
        <v>32723.25</v>
      </c>
      <c r="G494" s="25" t="s">
        <v>1095</v>
      </c>
      <c r="H494" s="25">
        <v>2019109</v>
      </c>
      <c r="I494" s="25" t="s">
        <v>19</v>
      </c>
      <c r="J494" s="25" t="s">
        <v>20</v>
      </c>
      <c r="K494" s="25" t="s">
        <v>25</v>
      </c>
      <c r="L494" s="25">
        <v>8.16</v>
      </c>
      <c r="M494" s="25">
        <v>1.18</v>
      </c>
      <c r="N494" s="25">
        <v>0</v>
      </c>
      <c r="O494" s="25">
        <v>29.71</v>
      </c>
      <c r="P494" s="25">
        <v>39.048000000000002</v>
      </c>
      <c r="Q494" s="25">
        <f t="shared" si="14"/>
        <v>0</v>
      </c>
      <c r="R494" s="25">
        <f t="shared" si="15"/>
        <v>32684.202000000001</v>
      </c>
    </row>
    <row r="495" spans="1:18" hidden="1" x14ac:dyDescent="0.25">
      <c r="A495" s="26">
        <v>43626</v>
      </c>
      <c r="B495" s="25" t="s">
        <v>1096</v>
      </c>
      <c r="C495" s="25" t="s">
        <v>17</v>
      </c>
      <c r="D495" s="25">
        <v>10</v>
      </c>
      <c r="E495" s="25">
        <v>3536</v>
      </c>
      <c r="F495" s="25">
        <v>35360</v>
      </c>
      <c r="G495" s="25" t="s">
        <v>1097</v>
      </c>
      <c r="H495" s="25">
        <v>2019108</v>
      </c>
      <c r="I495" s="25" t="s">
        <v>19</v>
      </c>
      <c r="J495" s="25" t="s">
        <v>20</v>
      </c>
      <c r="K495" s="25" t="s">
        <v>25</v>
      </c>
      <c r="L495" s="25">
        <v>0</v>
      </c>
      <c r="M495" s="25">
        <v>1.27</v>
      </c>
      <c r="N495" s="25">
        <v>0</v>
      </c>
      <c r="O495" s="25">
        <v>29.73</v>
      </c>
      <c r="P495" s="25">
        <v>31.003</v>
      </c>
      <c r="Q495" s="25">
        <f t="shared" si="14"/>
        <v>35391.002999999997</v>
      </c>
      <c r="R495" s="25">
        <f t="shared" si="15"/>
        <v>0</v>
      </c>
    </row>
    <row r="496" spans="1:18" hidden="1" x14ac:dyDescent="0.25">
      <c r="A496" s="26">
        <v>43626</v>
      </c>
      <c r="B496" s="25" t="s">
        <v>1098</v>
      </c>
      <c r="C496" s="25" t="s">
        <v>23</v>
      </c>
      <c r="D496" s="25">
        <v>50</v>
      </c>
      <c r="E496" s="25">
        <v>1346</v>
      </c>
      <c r="F496" s="25">
        <v>67300</v>
      </c>
      <c r="G496" s="25" t="s">
        <v>1099</v>
      </c>
      <c r="H496" s="25">
        <v>2019108</v>
      </c>
      <c r="I496" s="25" t="s">
        <v>19</v>
      </c>
      <c r="J496" s="25" t="s">
        <v>20</v>
      </c>
      <c r="K496" s="25" t="s">
        <v>25</v>
      </c>
      <c r="L496" s="25">
        <v>16.77</v>
      </c>
      <c r="M496" s="25">
        <v>2.42</v>
      </c>
      <c r="N496" s="25">
        <v>0</v>
      </c>
      <c r="O496" s="25">
        <v>40.14</v>
      </c>
      <c r="P496" s="25">
        <v>59.332799999999999</v>
      </c>
      <c r="Q496" s="25">
        <f t="shared" si="14"/>
        <v>0</v>
      </c>
      <c r="R496" s="25">
        <f t="shared" si="15"/>
        <v>67240.667199999996</v>
      </c>
    </row>
    <row r="497" spans="1:18" hidden="1" x14ac:dyDescent="0.25">
      <c r="A497" s="26">
        <v>43626</v>
      </c>
      <c r="B497" s="25" t="s">
        <v>1098</v>
      </c>
      <c r="C497" s="25" t="s">
        <v>23</v>
      </c>
      <c r="D497" s="25">
        <v>50</v>
      </c>
      <c r="E497" s="25">
        <v>1341</v>
      </c>
      <c r="F497" s="25">
        <v>67050</v>
      </c>
      <c r="G497" s="25" t="s">
        <v>1100</v>
      </c>
      <c r="H497" s="25">
        <v>2019108</v>
      </c>
      <c r="I497" s="25" t="s">
        <v>19</v>
      </c>
      <c r="J497" s="25" t="s">
        <v>20</v>
      </c>
      <c r="K497" s="25" t="s">
        <v>25</v>
      </c>
      <c r="L497" s="25">
        <v>16.77</v>
      </c>
      <c r="M497" s="25">
        <v>2.41</v>
      </c>
      <c r="N497" s="25">
        <v>0</v>
      </c>
      <c r="O497" s="25">
        <v>39.99</v>
      </c>
      <c r="P497" s="25">
        <v>59.173900000000003</v>
      </c>
      <c r="Q497" s="25">
        <f t="shared" si="14"/>
        <v>0</v>
      </c>
      <c r="R497" s="25">
        <f t="shared" si="15"/>
        <v>66990.826100000006</v>
      </c>
    </row>
    <row r="498" spans="1:18" hidden="1" x14ac:dyDescent="0.25">
      <c r="A498" s="26">
        <v>43626</v>
      </c>
      <c r="B498" s="25" t="s">
        <v>1101</v>
      </c>
      <c r="C498" s="25" t="s">
        <v>23</v>
      </c>
      <c r="D498" s="25">
        <v>100</v>
      </c>
      <c r="E498" s="25">
        <v>412</v>
      </c>
      <c r="F498" s="25">
        <v>41200</v>
      </c>
      <c r="G498" s="25" t="s">
        <v>1102</v>
      </c>
      <c r="H498" s="25">
        <v>2019108</v>
      </c>
      <c r="I498" s="25" t="s">
        <v>19</v>
      </c>
      <c r="J498" s="25" t="s">
        <v>20</v>
      </c>
      <c r="K498" s="25" t="s">
        <v>25</v>
      </c>
      <c r="L498" s="25">
        <v>10.28</v>
      </c>
      <c r="M498" s="25">
        <v>1.48</v>
      </c>
      <c r="N498" s="25">
        <v>0</v>
      </c>
      <c r="O498" s="25">
        <v>29.77</v>
      </c>
      <c r="P498" s="25">
        <v>41.533200000000001</v>
      </c>
      <c r="Q498" s="25">
        <f t="shared" si="14"/>
        <v>0</v>
      </c>
      <c r="R498" s="25">
        <f t="shared" si="15"/>
        <v>41158.466800000002</v>
      </c>
    </row>
    <row r="499" spans="1:18" hidden="1" x14ac:dyDescent="0.25">
      <c r="A499" s="26">
        <v>43626</v>
      </c>
      <c r="B499" s="25" t="s">
        <v>1101</v>
      </c>
      <c r="C499" s="25" t="s">
        <v>17</v>
      </c>
      <c r="D499" s="25">
        <v>100</v>
      </c>
      <c r="E499" s="25">
        <v>410</v>
      </c>
      <c r="F499" s="25">
        <v>41000</v>
      </c>
      <c r="G499" s="25" t="s">
        <v>1103</v>
      </c>
      <c r="H499" s="25">
        <v>2019108</v>
      </c>
      <c r="I499" s="25" t="s">
        <v>19</v>
      </c>
      <c r="J499" s="25" t="s">
        <v>20</v>
      </c>
      <c r="K499" s="25" t="s">
        <v>25</v>
      </c>
      <c r="L499" s="25">
        <v>0</v>
      </c>
      <c r="M499" s="25">
        <v>1.48</v>
      </c>
      <c r="N499" s="25">
        <v>0</v>
      </c>
      <c r="O499" s="25">
        <v>29.77</v>
      </c>
      <c r="P499" s="25">
        <v>31.245999999999999</v>
      </c>
      <c r="Q499" s="25">
        <f t="shared" si="14"/>
        <v>41031.245999999999</v>
      </c>
      <c r="R499" s="25">
        <f t="shared" si="15"/>
        <v>0</v>
      </c>
    </row>
    <row r="500" spans="1:18" hidden="1" x14ac:dyDescent="0.25">
      <c r="A500" s="26">
        <v>43626</v>
      </c>
      <c r="B500" s="25" t="s">
        <v>1098</v>
      </c>
      <c r="C500" s="25" t="s">
        <v>17</v>
      </c>
      <c r="D500" s="25">
        <v>100</v>
      </c>
      <c r="E500" s="25">
        <v>1340</v>
      </c>
      <c r="F500" s="25">
        <v>134000</v>
      </c>
      <c r="G500" s="25" t="s">
        <v>1104</v>
      </c>
      <c r="H500" s="25">
        <v>2019108</v>
      </c>
      <c r="I500" s="25" t="s">
        <v>19</v>
      </c>
      <c r="J500" s="25" t="s">
        <v>20</v>
      </c>
      <c r="K500" s="25" t="s">
        <v>25</v>
      </c>
      <c r="L500" s="25">
        <v>0</v>
      </c>
      <c r="M500" s="25">
        <v>4.82</v>
      </c>
      <c r="N500" s="25">
        <v>0</v>
      </c>
      <c r="O500" s="25">
        <v>79.930000000000007</v>
      </c>
      <c r="P500" s="25">
        <v>84.754000000000005</v>
      </c>
      <c r="Q500" s="25">
        <f t="shared" si="14"/>
        <v>134084.75399999999</v>
      </c>
      <c r="R500" s="25">
        <f t="shared" si="15"/>
        <v>0</v>
      </c>
    </row>
    <row r="501" spans="1:18" hidden="1" x14ac:dyDescent="0.25">
      <c r="A501" s="26">
        <v>43626</v>
      </c>
      <c r="B501" s="25" t="s">
        <v>1105</v>
      </c>
      <c r="C501" s="25" t="s">
        <v>23</v>
      </c>
      <c r="D501" s="25">
        <v>100</v>
      </c>
      <c r="E501" s="25">
        <v>961</v>
      </c>
      <c r="F501" s="25">
        <v>96100</v>
      </c>
      <c r="G501" s="25" t="s">
        <v>1106</v>
      </c>
      <c r="H501" s="25">
        <v>2019108</v>
      </c>
      <c r="I501" s="25" t="s">
        <v>19</v>
      </c>
      <c r="J501" s="25" t="s">
        <v>20</v>
      </c>
      <c r="K501" s="25" t="s">
        <v>25</v>
      </c>
      <c r="L501" s="25">
        <v>24.05</v>
      </c>
      <c r="M501" s="25">
        <v>3.46</v>
      </c>
      <c r="N501" s="25">
        <v>0</v>
      </c>
      <c r="O501" s="25">
        <v>57.33</v>
      </c>
      <c r="P501" s="25">
        <v>84.839600000000004</v>
      </c>
      <c r="Q501" s="25">
        <f t="shared" si="14"/>
        <v>0</v>
      </c>
      <c r="R501" s="25">
        <f t="shared" si="15"/>
        <v>96015.160399999993</v>
      </c>
    </row>
    <row r="502" spans="1:18" hidden="1" x14ac:dyDescent="0.25">
      <c r="A502" s="26">
        <v>43626</v>
      </c>
      <c r="B502" s="25" t="s">
        <v>1107</v>
      </c>
      <c r="C502" s="25" t="s">
        <v>23</v>
      </c>
      <c r="D502" s="25">
        <v>590</v>
      </c>
      <c r="E502" s="25">
        <v>186.5</v>
      </c>
      <c r="F502" s="25">
        <v>110035</v>
      </c>
      <c r="G502" s="25" t="s">
        <v>1108</v>
      </c>
      <c r="H502" s="25">
        <v>2019108</v>
      </c>
      <c r="I502" s="25" t="s">
        <v>19</v>
      </c>
      <c r="J502" s="25" t="s">
        <v>20</v>
      </c>
      <c r="K502" s="25" t="s">
        <v>25</v>
      </c>
      <c r="L502" s="25">
        <v>27.54</v>
      </c>
      <c r="M502" s="25">
        <v>3.96</v>
      </c>
      <c r="N502" s="25">
        <v>0</v>
      </c>
      <c r="O502" s="25">
        <v>65.63</v>
      </c>
      <c r="P502" s="25">
        <v>97.131299999999996</v>
      </c>
      <c r="Q502" s="25">
        <f t="shared" si="14"/>
        <v>0</v>
      </c>
      <c r="R502" s="25">
        <f t="shared" si="15"/>
        <v>109937.86870000001</v>
      </c>
    </row>
    <row r="503" spans="1:18" hidden="1" x14ac:dyDescent="0.25">
      <c r="A503" s="26">
        <v>43626</v>
      </c>
      <c r="B503" s="25" t="s">
        <v>1109</v>
      </c>
      <c r="C503" s="25" t="s">
        <v>23</v>
      </c>
      <c r="D503" s="25">
        <v>200</v>
      </c>
      <c r="E503" s="25">
        <v>155</v>
      </c>
      <c r="F503" s="25">
        <v>31000</v>
      </c>
      <c r="G503" s="25" t="s">
        <v>1110</v>
      </c>
      <c r="H503" s="25">
        <v>2019108</v>
      </c>
      <c r="I503" s="25" t="s">
        <v>19</v>
      </c>
      <c r="J503" s="25" t="s">
        <v>20</v>
      </c>
      <c r="K503" s="25" t="s">
        <v>25</v>
      </c>
      <c r="L503" s="25">
        <v>7.79</v>
      </c>
      <c r="M503" s="25">
        <v>1.1200000000000001</v>
      </c>
      <c r="N503" s="25">
        <v>0</v>
      </c>
      <c r="O503" s="25">
        <v>29.7</v>
      </c>
      <c r="P503" s="25">
        <v>38.606000000000002</v>
      </c>
      <c r="Q503" s="25">
        <f t="shared" si="14"/>
        <v>0</v>
      </c>
      <c r="R503" s="25">
        <f t="shared" si="15"/>
        <v>30961.394</v>
      </c>
    </row>
    <row r="504" spans="1:18" hidden="1" x14ac:dyDescent="0.25">
      <c r="A504" s="26">
        <v>43626</v>
      </c>
      <c r="B504" s="25" t="s">
        <v>1107</v>
      </c>
      <c r="C504" s="25" t="s">
        <v>17</v>
      </c>
      <c r="D504" s="25">
        <v>590</v>
      </c>
      <c r="E504" s="25">
        <v>189</v>
      </c>
      <c r="F504" s="25">
        <v>111510</v>
      </c>
      <c r="G504" s="25" t="s">
        <v>1111</v>
      </c>
      <c r="H504" s="25">
        <v>2019108</v>
      </c>
      <c r="I504" s="25" t="s">
        <v>19</v>
      </c>
      <c r="J504" s="25" t="s">
        <v>20</v>
      </c>
      <c r="K504" s="25" t="s">
        <v>25</v>
      </c>
      <c r="L504" s="25">
        <v>0</v>
      </c>
      <c r="M504" s="25">
        <v>4.01</v>
      </c>
      <c r="N504" s="25">
        <v>27</v>
      </c>
      <c r="O504" s="25">
        <v>66.510000000000005</v>
      </c>
      <c r="P504" s="25">
        <v>97.5244</v>
      </c>
      <c r="Q504" s="25">
        <f t="shared" si="14"/>
        <v>111607.52439999999</v>
      </c>
      <c r="R504" s="25">
        <f t="shared" si="15"/>
        <v>0</v>
      </c>
    </row>
    <row r="505" spans="1:18" hidden="1" x14ac:dyDescent="0.25">
      <c r="A505" s="26">
        <v>43626</v>
      </c>
      <c r="B505" s="25" t="s">
        <v>1105</v>
      </c>
      <c r="C505" s="25" t="s">
        <v>17</v>
      </c>
      <c r="D505" s="25">
        <v>100</v>
      </c>
      <c r="E505" s="25">
        <v>962.6</v>
      </c>
      <c r="F505" s="25">
        <v>96260</v>
      </c>
      <c r="G505" s="25" t="s">
        <v>1112</v>
      </c>
      <c r="H505" s="25">
        <v>2019108</v>
      </c>
      <c r="I505" s="25" t="s">
        <v>19</v>
      </c>
      <c r="J505" s="25" t="s">
        <v>20</v>
      </c>
      <c r="K505" s="25" t="s">
        <v>25</v>
      </c>
      <c r="L505" s="25">
        <v>0</v>
      </c>
      <c r="M505" s="25">
        <v>3.47</v>
      </c>
      <c r="N505" s="25">
        <v>0</v>
      </c>
      <c r="O505" s="25">
        <v>57.42</v>
      </c>
      <c r="P505" s="25">
        <v>60.885399999999997</v>
      </c>
      <c r="Q505" s="25">
        <f t="shared" si="14"/>
        <v>96320.885399999999</v>
      </c>
      <c r="R505" s="25">
        <f t="shared" si="15"/>
        <v>0</v>
      </c>
    </row>
    <row r="506" spans="1:18" hidden="1" x14ac:dyDescent="0.25">
      <c r="A506" s="26">
        <v>43626</v>
      </c>
      <c r="B506" s="25" t="s">
        <v>1096</v>
      </c>
      <c r="C506" s="25" t="s">
        <v>23</v>
      </c>
      <c r="D506" s="25">
        <v>10</v>
      </c>
      <c r="E506" s="25">
        <v>3511</v>
      </c>
      <c r="F506" s="25">
        <v>35110</v>
      </c>
      <c r="G506" s="25" t="s">
        <v>1113</v>
      </c>
      <c r="H506" s="25">
        <v>2019108</v>
      </c>
      <c r="I506" s="25" t="s">
        <v>19</v>
      </c>
      <c r="J506" s="25" t="s">
        <v>20</v>
      </c>
      <c r="K506" s="25" t="s">
        <v>25</v>
      </c>
      <c r="L506" s="25">
        <v>8.81</v>
      </c>
      <c r="M506" s="25">
        <v>1.26</v>
      </c>
      <c r="N506" s="25">
        <v>0</v>
      </c>
      <c r="O506" s="25">
        <v>29.73</v>
      </c>
      <c r="P506" s="25">
        <v>39.804000000000002</v>
      </c>
      <c r="Q506" s="25">
        <f t="shared" si="14"/>
        <v>0</v>
      </c>
      <c r="R506" s="25">
        <f t="shared" si="15"/>
        <v>35070.196000000004</v>
      </c>
    </row>
    <row r="507" spans="1:18" hidden="1" x14ac:dyDescent="0.25">
      <c r="A507" s="26">
        <v>43626</v>
      </c>
      <c r="B507" s="25" t="s">
        <v>1109</v>
      </c>
      <c r="C507" s="25" t="s">
        <v>17</v>
      </c>
      <c r="D507" s="25">
        <v>200</v>
      </c>
      <c r="E507" s="25">
        <v>156.68</v>
      </c>
      <c r="F507" s="25">
        <v>31335.599999999999</v>
      </c>
      <c r="G507" s="25" t="s">
        <v>1114</v>
      </c>
      <c r="H507" s="25">
        <v>2019108</v>
      </c>
      <c r="I507" s="25" t="s">
        <v>19</v>
      </c>
      <c r="J507" s="25" t="s">
        <v>20</v>
      </c>
      <c r="K507" s="25" t="s">
        <v>25</v>
      </c>
      <c r="L507" s="25">
        <v>0</v>
      </c>
      <c r="M507" s="25">
        <v>1.1299999999999999</v>
      </c>
      <c r="N507" s="25">
        <v>0</v>
      </c>
      <c r="O507" s="25">
        <v>29.71</v>
      </c>
      <c r="P507" s="25">
        <v>30.838200000000001</v>
      </c>
      <c r="Q507" s="25">
        <f t="shared" si="14"/>
        <v>31366.438199999997</v>
      </c>
      <c r="R507" s="25">
        <f t="shared" si="15"/>
        <v>0</v>
      </c>
    </row>
    <row r="508" spans="1:18" hidden="1" x14ac:dyDescent="0.25">
      <c r="A508" s="26">
        <v>43623</v>
      </c>
      <c r="B508" s="25" t="s">
        <v>1115</v>
      </c>
      <c r="C508" s="25" t="s">
        <v>17</v>
      </c>
      <c r="D508" s="25">
        <v>74</v>
      </c>
      <c r="E508" s="25">
        <v>150.25</v>
      </c>
      <c r="F508" s="25">
        <v>11118.5</v>
      </c>
      <c r="G508" s="25" t="s">
        <v>1116</v>
      </c>
      <c r="H508" s="25">
        <v>2019107</v>
      </c>
      <c r="I508" s="25" t="s">
        <v>19</v>
      </c>
      <c r="J508" s="25" t="s">
        <v>20</v>
      </c>
      <c r="K508" s="25" t="s">
        <v>25</v>
      </c>
      <c r="L508" s="25">
        <v>0</v>
      </c>
      <c r="M508" s="25">
        <v>0.4</v>
      </c>
      <c r="N508" s="25">
        <v>0</v>
      </c>
      <c r="O508" s="25">
        <v>29.57</v>
      </c>
      <c r="P508" s="25">
        <v>29.970199999999998</v>
      </c>
      <c r="Q508" s="25">
        <f t="shared" si="14"/>
        <v>11148.4702</v>
      </c>
      <c r="R508" s="25">
        <f t="shared" si="15"/>
        <v>0</v>
      </c>
    </row>
    <row r="509" spans="1:18" hidden="1" x14ac:dyDescent="0.25">
      <c r="A509" s="26">
        <v>43623</v>
      </c>
      <c r="B509" s="25" t="s">
        <v>1115</v>
      </c>
      <c r="C509" s="25" t="s">
        <v>23</v>
      </c>
      <c r="D509" s="25">
        <v>74</v>
      </c>
      <c r="E509" s="25">
        <v>151.05000000000001</v>
      </c>
      <c r="F509" s="25">
        <v>11177.7</v>
      </c>
      <c r="G509" s="25" t="s">
        <v>1117</v>
      </c>
      <c r="H509" s="25">
        <v>2019107</v>
      </c>
      <c r="I509" s="25" t="s">
        <v>19</v>
      </c>
      <c r="J509" s="25" t="s">
        <v>20</v>
      </c>
      <c r="K509" s="25" t="s">
        <v>25</v>
      </c>
      <c r="L509" s="25">
        <v>2.79</v>
      </c>
      <c r="M509" s="25">
        <v>0.4</v>
      </c>
      <c r="N509" s="25">
        <v>0</v>
      </c>
      <c r="O509" s="25">
        <v>29.57</v>
      </c>
      <c r="P509" s="25">
        <v>32.7624</v>
      </c>
      <c r="Q509" s="25">
        <f t="shared" si="14"/>
        <v>0</v>
      </c>
      <c r="R509" s="25">
        <f t="shared" si="15"/>
        <v>11144.937600000001</v>
      </c>
    </row>
    <row r="510" spans="1:18" hidden="1" x14ac:dyDescent="0.25">
      <c r="A510" s="26">
        <v>43623</v>
      </c>
      <c r="B510" s="25" t="s">
        <v>1054</v>
      </c>
      <c r="C510" s="25" t="s">
        <v>23</v>
      </c>
      <c r="D510" s="25">
        <v>100</v>
      </c>
      <c r="E510" s="25">
        <v>485.5</v>
      </c>
      <c r="F510" s="25">
        <v>48550</v>
      </c>
      <c r="G510" s="25" t="s">
        <v>1118</v>
      </c>
      <c r="H510" s="25">
        <v>2019107</v>
      </c>
      <c r="I510" s="25" t="s">
        <v>19</v>
      </c>
      <c r="J510" s="25" t="s">
        <v>20</v>
      </c>
      <c r="K510" s="25" t="s">
        <v>25</v>
      </c>
      <c r="L510" s="25">
        <v>12.1</v>
      </c>
      <c r="M510" s="25">
        <v>1.75</v>
      </c>
      <c r="N510" s="25">
        <v>6.6</v>
      </c>
      <c r="O510" s="25">
        <v>29.82</v>
      </c>
      <c r="P510" s="25">
        <v>50.267800000000001</v>
      </c>
      <c r="Q510" s="25">
        <f t="shared" si="14"/>
        <v>0</v>
      </c>
      <c r="R510" s="25">
        <f t="shared" si="15"/>
        <v>48499.732199999999</v>
      </c>
    </row>
    <row r="511" spans="1:18" hidden="1" x14ac:dyDescent="0.25">
      <c r="A511" s="26">
        <v>43623</v>
      </c>
      <c r="B511" s="25" t="s">
        <v>1054</v>
      </c>
      <c r="C511" s="25" t="s">
        <v>17</v>
      </c>
      <c r="D511" s="25">
        <v>200</v>
      </c>
      <c r="E511" s="25">
        <v>483</v>
      </c>
      <c r="F511" s="25">
        <v>96600</v>
      </c>
      <c r="G511" s="25" t="s">
        <v>1119</v>
      </c>
      <c r="H511" s="25">
        <v>2019107</v>
      </c>
      <c r="I511" s="25" t="s">
        <v>19</v>
      </c>
      <c r="J511" s="25" t="s">
        <v>20</v>
      </c>
      <c r="K511" s="25" t="s">
        <v>25</v>
      </c>
      <c r="L511" s="25">
        <v>0</v>
      </c>
      <c r="M511" s="25">
        <v>3.48</v>
      </c>
      <c r="N511" s="25">
        <v>0</v>
      </c>
      <c r="O511" s="25">
        <v>57.62</v>
      </c>
      <c r="P511" s="25">
        <v>61.0976</v>
      </c>
      <c r="Q511" s="25">
        <f t="shared" si="14"/>
        <v>96661.097599999994</v>
      </c>
      <c r="R511" s="25">
        <f t="shared" si="15"/>
        <v>0</v>
      </c>
    </row>
    <row r="512" spans="1:18" hidden="1" x14ac:dyDescent="0.25">
      <c r="A512" s="26">
        <v>43623</v>
      </c>
      <c r="B512" s="25" t="s">
        <v>1054</v>
      </c>
      <c r="C512" s="25" t="s">
        <v>23</v>
      </c>
      <c r="D512" s="25">
        <v>100</v>
      </c>
      <c r="E512" s="25">
        <v>487</v>
      </c>
      <c r="F512" s="25">
        <v>48700</v>
      </c>
      <c r="G512" s="25" t="s">
        <v>1120</v>
      </c>
      <c r="H512" s="25">
        <v>2019107</v>
      </c>
      <c r="I512" s="25" t="s">
        <v>19</v>
      </c>
      <c r="J512" s="25" t="s">
        <v>20</v>
      </c>
      <c r="K512" s="25" t="s">
        <v>25</v>
      </c>
      <c r="L512" s="25">
        <v>12.12</v>
      </c>
      <c r="M512" s="25">
        <v>1.75</v>
      </c>
      <c r="N512" s="25">
        <v>0</v>
      </c>
      <c r="O512" s="25">
        <v>29.81</v>
      </c>
      <c r="P512" s="25">
        <v>43.683300000000003</v>
      </c>
      <c r="Q512" s="25">
        <f t="shared" si="14"/>
        <v>0</v>
      </c>
      <c r="R512" s="25">
        <f t="shared" si="15"/>
        <v>48656.316700000003</v>
      </c>
    </row>
    <row r="513" spans="1:18" hidden="1" x14ac:dyDescent="0.25">
      <c r="A513" s="26">
        <v>43622</v>
      </c>
      <c r="B513" s="25" t="s">
        <v>1121</v>
      </c>
      <c r="C513" s="25" t="s">
        <v>23</v>
      </c>
      <c r="D513" s="25">
        <v>100</v>
      </c>
      <c r="E513" s="25">
        <v>1635.07</v>
      </c>
      <c r="F513" s="25">
        <v>163507.4</v>
      </c>
      <c r="G513" s="25" t="s">
        <v>1122</v>
      </c>
      <c r="H513" s="25">
        <v>2019106</v>
      </c>
      <c r="I513" s="25" t="s">
        <v>19</v>
      </c>
      <c r="J513" s="25" t="s">
        <v>20</v>
      </c>
      <c r="K513" s="25" t="s">
        <v>25</v>
      </c>
      <c r="L513" s="25">
        <v>40.69</v>
      </c>
      <c r="M513" s="25">
        <v>5.89</v>
      </c>
      <c r="N513" s="25">
        <v>0</v>
      </c>
      <c r="O513" s="25">
        <v>97.55</v>
      </c>
      <c r="P513" s="25">
        <v>144.126</v>
      </c>
      <c r="Q513" s="25">
        <f t="shared" si="14"/>
        <v>0</v>
      </c>
      <c r="R513" s="25">
        <f t="shared" si="15"/>
        <v>163363.274</v>
      </c>
    </row>
    <row r="514" spans="1:18" hidden="1" x14ac:dyDescent="0.25">
      <c r="A514" s="26">
        <v>43622</v>
      </c>
      <c r="B514" s="25" t="s">
        <v>1121</v>
      </c>
      <c r="C514" s="25" t="s">
        <v>17</v>
      </c>
      <c r="D514" s="25">
        <v>100</v>
      </c>
      <c r="E514" s="25">
        <v>1639</v>
      </c>
      <c r="F514" s="25">
        <v>163900</v>
      </c>
      <c r="G514" s="25" t="s">
        <v>1123</v>
      </c>
      <c r="H514" s="25">
        <v>2019106</v>
      </c>
      <c r="I514" s="25" t="s">
        <v>19</v>
      </c>
      <c r="J514" s="25" t="s">
        <v>20</v>
      </c>
      <c r="K514" s="25" t="s">
        <v>25</v>
      </c>
      <c r="L514" s="25">
        <v>0</v>
      </c>
      <c r="M514" s="25">
        <v>5.9</v>
      </c>
      <c r="N514" s="25">
        <v>0</v>
      </c>
      <c r="O514" s="25">
        <v>97.77</v>
      </c>
      <c r="P514" s="25">
        <v>103.6704</v>
      </c>
      <c r="Q514" s="25">
        <f t="shared" si="14"/>
        <v>164003.6704</v>
      </c>
      <c r="R514" s="25">
        <f t="shared" si="15"/>
        <v>0</v>
      </c>
    </row>
    <row r="515" spans="1:18" hidden="1" x14ac:dyDescent="0.25">
      <c r="A515" s="26">
        <v>43622</v>
      </c>
      <c r="B515" s="25" t="s">
        <v>1121</v>
      </c>
      <c r="C515" s="25" t="s">
        <v>23</v>
      </c>
      <c r="D515" s="25">
        <v>200</v>
      </c>
      <c r="E515" s="25">
        <v>1635.78</v>
      </c>
      <c r="F515" s="25">
        <v>327156.40000000002</v>
      </c>
      <c r="G515" s="25" t="s">
        <v>1124</v>
      </c>
      <c r="H515" s="25">
        <v>2019106</v>
      </c>
      <c r="I515" s="25" t="s">
        <v>19</v>
      </c>
      <c r="J515" s="25" t="s">
        <v>20</v>
      </c>
      <c r="K515" s="25" t="s">
        <v>25</v>
      </c>
      <c r="L515" s="25">
        <v>81.73</v>
      </c>
      <c r="M515" s="25">
        <v>11.78</v>
      </c>
      <c r="N515" s="25">
        <v>0</v>
      </c>
      <c r="O515" s="25">
        <v>195.14</v>
      </c>
      <c r="P515" s="25">
        <v>288.64749999999998</v>
      </c>
      <c r="Q515" s="25">
        <f t="shared" ref="Q515:Q578" si="16">IF(C515="Buy",F515+P515,0)</f>
        <v>0</v>
      </c>
      <c r="R515" s="25">
        <f t="shared" ref="R515:R578" si="17">IF(C515="Sell",F515-P515,0)</f>
        <v>326867.7525</v>
      </c>
    </row>
    <row r="516" spans="1:18" hidden="1" x14ac:dyDescent="0.25">
      <c r="A516" s="26">
        <v>43622</v>
      </c>
      <c r="B516" s="25" t="s">
        <v>1121</v>
      </c>
      <c r="C516" s="25" t="s">
        <v>17</v>
      </c>
      <c r="D516" s="25">
        <v>200</v>
      </c>
      <c r="E516" s="25">
        <v>1631</v>
      </c>
      <c r="F516" s="25">
        <v>326200</v>
      </c>
      <c r="G516" s="25" t="s">
        <v>1125</v>
      </c>
      <c r="H516" s="25">
        <v>2019106</v>
      </c>
      <c r="I516" s="25" t="s">
        <v>19</v>
      </c>
      <c r="J516" s="25" t="s">
        <v>20</v>
      </c>
      <c r="K516" s="25" t="s">
        <v>25</v>
      </c>
      <c r="L516" s="25">
        <v>0</v>
      </c>
      <c r="M516" s="25">
        <v>11.74</v>
      </c>
      <c r="N516" s="25">
        <v>0</v>
      </c>
      <c r="O516" s="25">
        <v>194.57</v>
      </c>
      <c r="P516" s="25">
        <v>206.31309999999999</v>
      </c>
      <c r="Q516" s="25">
        <f t="shared" si="16"/>
        <v>326406.31310000003</v>
      </c>
      <c r="R516" s="25">
        <f t="shared" si="17"/>
        <v>0</v>
      </c>
    </row>
    <row r="517" spans="1:18" hidden="1" x14ac:dyDescent="0.25">
      <c r="A517" s="26">
        <v>43622</v>
      </c>
      <c r="B517" s="25" t="s">
        <v>1037</v>
      </c>
      <c r="C517" s="25" t="s">
        <v>23</v>
      </c>
      <c r="D517" s="25">
        <v>100</v>
      </c>
      <c r="E517" s="25">
        <v>638</v>
      </c>
      <c r="F517" s="25">
        <v>63800</v>
      </c>
      <c r="G517" s="25" t="s">
        <v>1126</v>
      </c>
      <c r="H517" s="25">
        <v>2019106</v>
      </c>
      <c r="I517" s="25" t="s">
        <v>19</v>
      </c>
      <c r="J517" s="25" t="s">
        <v>20</v>
      </c>
      <c r="K517" s="25" t="s">
        <v>25</v>
      </c>
      <c r="L517" s="25">
        <v>15.93</v>
      </c>
      <c r="M517" s="25">
        <v>2.2999999999999998</v>
      </c>
      <c r="N517" s="25">
        <v>0</v>
      </c>
      <c r="O517" s="25">
        <v>38.06</v>
      </c>
      <c r="P517" s="25">
        <v>56.286799999999999</v>
      </c>
      <c r="Q517" s="25">
        <f t="shared" si="16"/>
        <v>0</v>
      </c>
      <c r="R517" s="25">
        <f t="shared" si="17"/>
        <v>63743.713199999998</v>
      </c>
    </row>
    <row r="518" spans="1:18" hidden="1" x14ac:dyDescent="0.25">
      <c r="A518" s="26">
        <v>43622</v>
      </c>
      <c r="B518" s="25" t="s">
        <v>1037</v>
      </c>
      <c r="C518" s="25" t="s">
        <v>17</v>
      </c>
      <c r="D518" s="25">
        <v>100</v>
      </c>
      <c r="E518" s="25">
        <v>636.5</v>
      </c>
      <c r="F518" s="25">
        <v>63650</v>
      </c>
      <c r="G518" s="25" t="s">
        <v>1127</v>
      </c>
      <c r="H518" s="25">
        <v>2019106</v>
      </c>
      <c r="I518" s="25" t="s">
        <v>19</v>
      </c>
      <c r="J518" s="25" t="s">
        <v>20</v>
      </c>
      <c r="K518" s="25" t="s">
        <v>25</v>
      </c>
      <c r="L518" s="25">
        <v>0</v>
      </c>
      <c r="M518" s="25">
        <v>2.29</v>
      </c>
      <c r="N518" s="25">
        <v>0</v>
      </c>
      <c r="O518" s="25">
        <v>37.96</v>
      </c>
      <c r="P518" s="25">
        <v>40.251300000000001</v>
      </c>
      <c r="Q518" s="25">
        <f t="shared" si="16"/>
        <v>63690.251300000004</v>
      </c>
      <c r="R518" s="25">
        <f t="shared" si="17"/>
        <v>0</v>
      </c>
    </row>
    <row r="519" spans="1:18" hidden="1" x14ac:dyDescent="0.25">
      <c r="A519" s="26">
        <v>43622</v>
      </c>
      <c r="B519" s="25" t="s">
        <v>1128</v>
      </c>
      <c r="C519" s="25" t="s">
        <v>23</v>
      </c>
      <c r="D519" s="25">
        <v>500</v>
      </c>
      <c r="E519" s="25">
        <v>136</v>
      </c>
      <c r="F519" s="25">
        <v>68000</v>
      </c>
      <c r="G519" s="25" t="s">
        <v>1129</v>
      </c>
      <c r="H519" s="25">
        <v>2019106</v>
      </c>
      <c r="I519" s="25" t="s">
        <v>19</v>
      </c>
      <c r="J519" s="25" t="s">
        <v>20</v>
      </c>
      <c r="K519" s="25" t="s">
        <v>25</v>
      </c>
      <c r="L519" s="25">
        <v>16.84</v>
      </c>
      <c r="M519" s="25">
        <v>2.4500000000000002</v>
      </c>
      <c r="N519" s="25">
        <v>0</v>
      </c>
      <c r="O519" s="25">
        <v>40.56</v>
      </c>
      <c r="P519" s="25">
        <v>59.847900000000003</v>
      </c>
      <c r="Q519" s="25">
        <f t="shared" si="16"/>
        <v>0</v>
      </c>
      <c r="R519" s="25">
        <f t="shared" si="17"/>
        <v>67940.152100000007</v>
      </c>
    </row>
    <row r="520" spans="1:18" hidden="1" x14ac:dyDescent="0.25">
      <c r="A520" s="26">
        <v>43622</v>
      </c>
      <c r="B520" s="25" t="s">
        <v>1128</v>
      </c>
      <c r="C520" s="25" t="s">
        <v>17</v>
      </c>
      <c r="D520" s="25">
        <v>500</v>
      </c>
      <c r="E520" s="25">
        <v>133.5</v>
      </c>
      <c r="F520" s="25">
        <v>66750</v>
      </c>
      <c r="G520" s="25" t="s">
        <v>1130</v>
      </c>
      <c r="H520" s="25">
        <v>2019106</v>
      </c>
      <c r="I520" s="25" t="s">
        <v>19</v>
      </c>
      <c r="J520" s="25" t="s">
        <v>20</v>
      </c>
      <c r="K520" s="25" t="s">
        <v>25</v>
      </c>
      <c r="L520" s="25">
        <v>0</v>
      </c>
      <c r="M520" s="25">
        <v>2.4</v>
      </c>
      <c r="N520" s="25">
        <v>0</v>
      </c>
      <c r="O520" s="25">
        <v>39.81</v>
      </c>
      <c r="P520" s="25">
        <v>42.213099999999997</v>
      </c>
      <c r="Q520" s="25">
        <f t="shared" si="16"/>
        <v>66792.213099999994</v>
      </c>
      <c r="R520" s="25">
        <f t="shared" si="17"/>
        <v>0</v>
      </c>
    </row>
    <row r="521" spans="1:18" hidden="1" x14ac:dyDescent="0.25">
      <c r="A521" s="26">
        <v>43622</v>
      </c>
      <c r="B521" s="25" t="s">
        <v>1131</v>
      </c>
      <c r="C521" s="25" t="s">
        <v>17</v>
      </c>
      <c r="D521" s="25">
        <v>100</v>
      </c>
      <c r="E521" s="25">
        <v>379.8</v>
      </c>
      <c r="F521" s="25">
        <v>37980</v>
      </c>
      <c r="G521" s="25" t="s">
        <v>1132</v>
      </c>
      <c r="H521" s="25">
        <v>2019106</v>
      </c>
      <c r="I521" s="25" t="s">
        <v>19</v>
      </c>
      <c r="J521" s="25" t="s">
        <v>20</v>
      </c>
      <c r="K521" s="25" t="s">
        <v>25</v>
      </c>
      <c r="L521" s="25">
        <v>0</v>
      </c>
      <c r="M521" s="25">
        <v>1.37</v>
      </c>
      <c r="N521" s="25">
        <v>0</v>
      </c>
      <c r="O521" s="25">
        <v>29.75</v>
      </c>
      <c r="P521" s="25">
        <v>31.1173</v>
      </c>
      <c r="Q521" s="25">
        <f t="shared" si="16"/>
        <v>38011.117299999998</v>
      </c>
      <c r="R521" s="25">
        <f t="shared" si="17"/>
        <v>0</v>
      </c>
    </row>
    <row r="522" spans="1:18" hidden="1" x14ac:dyDescent="0.25">
      <c r="A522" s="26">
        <v>43622</v>
      </c>
      <c r="B522" s="25" t="s">
        <v>1115</v>
      </c>
      <c r="C522" s="25" t="s">
        <v>23</v>
      </c>
      <c r="D522" s="25">
        <v>500</v>
      </c>
      <c r="E522" s="25">
        <v>152.25</v>
      </c>
      <c r="F522" s="25">
        <v>76125</v>
      </c>
      <c r="G522" s="25" t="s">
        <v>1133</v>
      </c>
      <c r="H522" s="25">
        <v>2019106</v>
      </c>
      <c r="I522" s="25" t="s">
        <v>19</v>
      </c>
      <c r="J522" s="25" t="s">
        <v>20</v>
      </c>
      <c r="K522" s="25" t="s">
        <v>25</v>
      </c>
      <c r="L522" s="25">
        <v>18.95</v>
      </c>
      <c r="M522" s="25">
        <v>2.74</v>
      </c>
      <c r="N522" s="25">
        <v>0</v>
      </c>
      <c r="O522" s="25">
        <v>45.41</v>
      </c>
      <c r="P522" s="25">
        <v>67.1006</v>
      </c>
      <c r="Q522" s="25">
        <f t="shared" si="16"/>
        <v>0</v>
      </c>
      <c r="R522" s="25">
        <f t="shared" si="17"/>
        <v>76057.899399999995</v>
      </c>
    </row>
    <row r="523" spans="1:18" hidden="1" x14ac:dyDescent="0.25">
      <c r="A523" s="26">
        <v>43622</v>
      </c>
      <c r="B523" s="25" t="s">
        <v>1115</v>
      </c>
      <c r="C523" s="25" t="s">
        <v>17</v>
      </c>
      <c r="D523" s="25">
        <v>500</v>
      </c>
      <c r="E523" s="25">
        <v>151</v>
      </c>
      <c r="F523" s="25">
        <v>75500</v>
      </c>
      <c r="G523" s="25" t="s">
        <v>1134</v>
      </c>
      <c r="H523" s="25">
        <v>2019106</v>
      </c>
      <c r="I523" s="25" t="s">
        <v>19</v>
      </c>
      <c r="J523" s="25" t="s">
        <v>20</v>
      </c>
      <c r="K523" s="25" t="s">
        <v>25</v>
      </c>
      <c r="L523" s="25">
        <v>0</v>
      </c>
      <c r="M523" s="25">
        <v>2.72</v>
      </c>
      <c r="N523" s="25">
        <v>0</v>
      </c>
      <c r="O523" s="25">
        <v>45.03</v>
      </c>
      <c r="P523" s="25">
        <v>47.747999999999998</v>
      </c>
      <c r="Q523" s="25">
        <f t="shared" si="16"/>
        <v>75547.748000000007</v>
      </c>
      <c r="R523" s="25">
        <f t="shared" si="17"/>
        <v>0</v>
      </c>
    </row>
    <row r="524" spans="1:18" hidden="1" x14ac:dyDescent="0.25">
      <c r="A524" s="26">
        <v>43622</v>
      </c>
      <c r="B524" s="25" t="s">
        <v>1131</v>
      </c>
      <c r="C524" s="25" t="s">
        <v>17</v>
      </c>
      <c r="D524" s="25">
        <v>100</v>
      </c>
      <c r="E524" s="25">
        <v>378.72</v>
      </c>
      <c r="F524" s="25">
        <v>37871.599999999999</v>
      </c>
      <c r="G524" s="25" t="s">
        <v>1135</v>
      </c>
      <c r="H524" s="25">
        <v>2019106</v>
      </c>
      <c r="I524" s="25" t="s">
        <v>19</v>
      </c>
      <c r="J524" s="25" t="s">
        <v>20</v>
      </c>
      <c r="K524" s="25" t="s">
        <v>25</v>
      </c>
      <c r="L524" s="25">
        <v>0</v>
      </c>
      <c r="M524" s="25">
        <v>1.36</v>
      </c>
      <c r="N524" s="25">
        <v>0</v>
      </c>
      <c r="O524" s="25">
        <v>29.75</v>
      </c>
      <c r="P524" s="25">
        <v>31.113399999999999</v>
      </c>
      <c r="Q524" s="25">
        <f t="shared" si="16"/>
        <v>37902.713400000001</v>
      </c>
      <c r="R524" s="25">
        <f t="shared" si="17"/>
        <v>0</v>
      </c>
    </row>
    <row r="525" spans="1:18" hidden="1" x14ac:dyDescent="0.25">
      <c r="A525" s="26">
        <v>43622</v>
      </c>
      <c r="B525" s="25" t="s">
        <v>1136</v>
      </c>
      <c r="C525" s="25" t="s">
        <v>23</v>
      </c>
      <c r="D525" s="25">
        <v>200</v>
      </c>
      <c r="E525" s="25">
        <v>238.8</v>
      </c>
      <c r="F525" s="25">
        <v>47760</v>
      </c>
      <c r="G525" s="25" t="s">
        <v>1137</v>
      </c>
      <c r="H525" s="25">
        <v>2019106</v>
      </c>
      <c r="I525" s="25" t="s">
        <v>19</v>
      </c>
      <c r="J525" s="25" t="s">
        <v>20</v>
      </c>
      <c r="K525" s="25" t="s">
        <v>25</v>
      </c>
      <c r="L525" s="25">
        <v>11.94</v>
      </c>
      <c r="M525" s="25">
        <v>1.72</v>
      </c>
      <c r="N525" s="25">
        <v>0</v>
      </c>
      <c r="O525" s="25">
        <v>29.81</v>
      </c>
      <c r="P525" s="25">
        <v>43.4694</v>
      </c>
      <c r="Q525" s="25">
        <f t="shared" si="16"/>
        <v>0</v>
      </c>
      <c r="R525" s="25">
        <f t="shared" si="17"/>
        <v>47716.530599999998</v>
      </c>
    </row>
    <row r="526" spans="1:18" hidden="1" x14ac:dyDescent="0.25">
      <c r="A526" s="26">
        <v>43622</v>
      </c>
      <c r="B526" s="25" t="s">
        <v>1136</v>
      </c>
      <c r="C526" s="25" t="s">
        <v>17</v>
      </c>
      <c r="D526" s="25">
        <v>300</v>
      </c>
      <c r="E526" s="25">
        <v>238.6</v>
      </c>
      <c r="F526" s="25">
        <v>71580</v>
      </c>
      <c r="G526" s="25" t="s">
        <v>1138</v>
      </c>
      <c r="H526" s="25">
        <v>2019106</v>
      </c>
      <c r="I526" s="25" t="s">
        <v>19</v>
      </c>
      <c r="J526" s="25" t="s">
        <v>20</v>
      </c>
      <c r="K526" s="25" t="s">
        <v>25</v>
      </c>
      <c r="L526" s="25">
        <v>0</v>
      </c>
      <c r="M526" s="25">
        <v>2.58</v>
      </c>
      <c r="N526" s="25">
        <v>81.900000000000006</v>
      </c>
      <c r="O526" s="25">
        <v>42.69</v>
      </c>
      <c r="P526" s="25">
        <v>127.167</v>
      </c>
      <c r="Q526" s="25">
        <f t="shared" si="16"/>
        <v>71707.167000000001</v>
      </c>
      <c r="R526" s="25">
        <f t="shared" si="17"/>
        <v>0</v>
      </c>
    </row>
    <row r="527" spans="1:18" hidden="1" x14ac:dyDescent="0.25">
      <c r="A527" s="26">
        <v>43622</v>
      </c>
      <c r="B527" s="25" t="s">
        <v>1136</v>
      </c>
      <c r="C527" s="25" t="s">
        <v>23</v>
      </c>
      <c r="D527" s="25">
        <v>100</v>
      </c>
      <c r="E527" s="25">
        <v>239.5</v>
      </c>
      <c r="F527" s="25">
        <v>23950</v>
      </c>
      <c r="G527" s="25" t="s">
        <v>1139</v>
      </c>
      <c r="H527" s="25">
        <v>2019106</v>
      </c>
      <c r="I527" s="25" t="s">
        <v>19</v>
      </c>
      <c r="J527" s="25" t="s">
        <v>20</v>
      </c>
      <c r="K527" s="25" t="s">
        <v>25</v>
      </c>
      <c r="L527" s="25">
        <v>5.97</v>
      </c>
      <c r="M527" s="25">
        <v>0.86</v>
      </c>
      <c r="N527" s="25">
        <v>0</v>
      </c>
      <c r="O527" s="25">
        <v>29.66</v>
      </c>
      <c r="P527" s="25">
        <v>36.4923</v>
      </c>
      <c r="Q527" s="25">
        <f t="shared" si="16"/>
        <v>0</v>
      </c>
      <c r="R527" s="25">
        <f t="shared" si="17"/>
        <v>23913.507699999998</v>
      </c>
    </row>
    <row r="528" spans="1:18" hidden="1" x14ac:dyDescent="0.25">
      <c r="A528" s="26">
        <v>43622</v>
      </c>
      <c r="B528" s="25" t="s">
        <v>1109</v>
      </c>
      <c r="C528" s="25" t="s">
        <v>23</v>
      </c>
      <c r="D528" s="25">
        <v>200</v>
      </c>
      <c r="E528" s="25">
        <v>159.5</v>
      </c>
      <c r="F528" s="25">
        <v>31900</v>
      </c>
      <c r="G528" s="25" t="s">
        <v>1140</v>
      </c>
      <c r="H528" s="25">
        <v>2019106</v>
      </c>
      <c r="I528" s="25" t="s">
        <v>19</v>
      </c>
      <c r="J528" s="25" t="s">
        <v>20</v>
      </c>
      <c r="K528" s="25" t="s">
        <v>25</v>
      </c>
      <c r="L528" s="25">
        <v>7.95</v>
      </c>
      <c r="M528" s="25">
        <v>1.1499999999999999</v>
      </c>
      <c r="N528" s="25">
        <v>0</v>
      </c>
      <c r="O528" s="25">
        <v>29.71</v>
      </c>
      <c r="P528" s="25">
        <v>38.808399999999999</v>
      </c>
      <c r="Q528" s="25">
        <f t="shared" si="16"/>
        <v>0</v>
      </c>
      <c r="R528" s="25">
        <f t="shared" si="17"/>
        <v>31861.191599999998</v>
      </c>
    </row>
    <row r="529" spans="1:18" hidden="1" x14ac:dyDescent="0.25">
      <c r="A529" s="26">
        <v>43622</v>
      </c>
      <c r="B529" s="25" t="s">
        <v>1109</v>
      </c>
      <c r="C529" s="25" t="s">
        <v>17</v>
      </c>
      <c r="D529" s="25">
        <v>200</v>
      </c>
      <c r="E529" s="25">
        <v>158.6</v>
      </c>
      <c r="F529" s="25">
        <v>31720</v>
      </c>
      <c r="G529" s="25" t="s">
        <v>1141</v>
      </c>
      <c r="H529" s="25">
        <v>2019106</v>
      </c>
      <c r="I529" s="25" t="s">
        <v>19</v>
      </c>
      <c r="J529" s="25" t="s">
        <v>20</v>
      </c>
      <c r="K529" s="25" t="s">
        <v>25</v>
      </c>
      <c r="L529" s="25">
        <v>0</v>
      </c>
      <c r="M529" s="25">
        <v>1.1399999999999999</v>
      </c>
      <c r="N529" s="25">
        <v>0</v>
      </c>
      <c r="O529" s="25">
        <v>29.71</v>
      </c>
      <c r="P529" s="25">
        <v>30.852</v>
      </c>
      <c r="Q529" s="25">
        <f t="shared" si="16"/>
        <v>31750.851999999999</v>
      </c>
      <c r="R529" s="25">
        <f t="shared" si="17"/>
        <v>0</v>
      </c>
    </row>
    <row r="530" spans="1:18" hidden="1" x14ac:dyDescent="0.25">
      <c r="A530" s="26">
        <v>43622</v>
      </c>
      <c r="B530" s="25" t="s">
        <v>1131</v>
      </c>
      <c r="C530" s="25" t="s">
        <v>17</v>
      </c>
      <c r="D530" s="25">
        <v>150</v>
      </c>
      <c r="E530" s="25">
        <v>376.5</v>
      </c>
      <c r="F530" s="25">
        <v>56475</v>
      </c>
      <c r="G530" s="25" t="s">
        <v>1142</v>
      </c>
      <c r="H530" s="25">
        <v>2019106</v>
      </c>
      <c r="I530" s="25" t="s">
        <v>19</v>
      </c>
      <c r="J530" s="25" t="s">
        <v>20</v>
      </c>
      <c r="K530" s="25" t="s">
        <v>25</v>
      </c>
      <c r="L530" s="25">
        <v>0</v>
      </c>
      <c r="M530" s="25">
        <v>2.0299999999999998</v>
      </c>
      <c r="N530" s="25">
        <v>0</v>
      </c>
      <c r="O530" s="25">
        <v>33.69</v>
      </c>
      <c r="P530" s="25">
        <v>35.723100000000002</v>
      </c>
      <c r="Q530" s="25">
        <f t="shared" si="16"/>
        <v>56510.723100000003</v>
      </c>
      <c r="R530" s="25">
        <f t="shared" si="17"/>
        <v>0</v>
      </c>
    </row>
    <row r="531" spans="1:18" hidden="1" x14ac:dyDescent="0.25">
      <c r="A531" s="26">
        <v>43622</v>
      </c>
      <c r="B531" s="25" t="s">
        <v>1131</v>
      </c>
      <c r="C531" s="25" t="s">
        <v>17</v>
      </c>
      <c r="D531" s="25">
        <v>150</v>
      </c>
      <c r="E531" s="25">
        <v>375.25</v>
      </c>
      <c r="F531" s="25">
        <v>56287.5</v>
      </c>
      <c r="G531" s="25" t="s">
        <v>1143</v>
      </c>
      <c r="H531" s="25">
        <v>2019106</v>
      </c>
      <c r="I531" s="25" t="s">
        <v>19</v>
      </c>
      <c r="J531" s="25" t="s">
        <v>20</v>
      </c>
      <c r="K531" s="25" t="s">
        <v>25</v>
      </c>
      <c r="L531" s="25">
        <v>0</v>
      </c>
      <c r="M531" s="25">
        <v>2.0299999999999998</v>
      </c>
      <c r="N531" s="25">
        <v>0</v>
      </c>
      <c r="O531" s="25">
        <v>33.57</v>
      </c>
      <c r="P531" s="25">
        <v>35.596400000000003</v>
      </c>
      <c r="Q531" s="25">
        <f t="shared" si="16"/>
        <v>56323.096400000002</v>
      </c>
      <c r="R531" s="25">
        <f t="shared" si="17"/>
        <v>0</v>
      </c>
    </row>
    <row r="532" spans="1:18" hidden="1" x14ac:dyDescent="0.25">
      <c r="A532" s="26">
        <v>43622</v>
      </c>
      <c r="B532" s="25" t="s">
        <v>1131</v>
      </c>
      <c r="C532" s="25" t="s">
        <v>17</v>
      </c>
      <c r="D532" s="25">
        <v>1000</v>
      </c>
      <c r="E532" s="25">
        <v>373</v>
      </c>
      <c r="F532" s="25">
        <v>373000</v>
      </c>
      <c r="G532" s="25" t="s">
        <v>1144</v>
      </c>
      <c r="H532" s="25">
        <v>2019106</v>
      </c>
      <c r="I532" s="25" t="s">
        <v>19</v>
      </c>
      <c r="J532" s="25" t="s">
        <v>20</v>
      </c>
      <c r="K532" s="25" t="s">
        <v>25</v>
      </c>
      <c r="L532" s="25">
        <v>0</v>
      </c>
      <c r="M532" s="25">
        <v>13.43</v>
      </c>
      <c r="N532" s="25">
        <v>0</v>
      </c>
      <c r="O532" s="25">
        <v>222.49</v>
      </c>
      <c r="P532" s="25">
        <v>235.91800000000001</v>
      </c>
      <c r="Q532" s="25">
        <f t="shared" si="16"/>
        <v>373235.91800000001</v>
      </c>
      <c r="R532" s="25">
        <f t="shared" si="17"/>
        <v>0</v>
      </c>
    </row>
    <row r="533" spans="1:18" hidden="1" x14ac:dyDescent="0.25">
      <c r="A533" s="26">
        <v>43622</v>
      </c>
      <c r="B533" s="25" t="s">
        <v>1131</v>
      </c>
      <c r="C533" s="25" t="s">
        <v>23</v>
      </c>
      <c r="D533" s="25">
        <v>1500</v>
      </c>
      <c r="E533" s="25">
        <v>375.75</v>
      </c>
      <c r="F533" s="25">
        <v>563625</v>
      </c>
      <c r="G533" s="25" t="s">
        <v>1145</v>
      </c>
      <c r="H533" s="25">
        <v>2019106</v>
      </c>
      <c r="I533" s="25" t="s">
        <v>19</v>
      </c>
      <c r="J533" s="25" t="s">
        <v>20</v>
      </c>
      <c r="K533" s="25" t="s">
        <v>25</v>
      </c>
      <c r="L533" s="25">
        <v>140.65</v>
      </c>
      <c r="M533" s="25">
        <v>20.29</v>
      </c>
      <c r="N533" s="25">
        <v>0</v>
      </c>
      <c r="O533" s="25">
        <v>336.18</v>
      </c>
      <c r="P533" s="25">
        <v>497.12079999999997</v>
      </c>
      <c r="Q533" s="25">
        <f t="shared" si="16"/>
        <v>0</v>
      </c>
      <c r="R533" s="25">
        <f t="shared" si="17"/>
        <v>563127.87919999997</v>
      </c>
    </row>
    <row r="534" spans="1:18" hidden="1" x14ac:dyDescent="0.25">
      <c r="A534" s="26">
        <v>43622</v>
      </c>
      <c r="B534" s="25" t="s">
        <v>849</v>
      </c>
      <c r="C534" s="25" t="s">
        <v>17</v>
      </c>
      <c r="D534" s="25">
        <v>10</v>
      </c>
      <c r="E534" s="25">
        <v>133.44999999999999</v>
      </c>
      <c r="F534" s="25">
        <v>1334.5</v>
      </c>
      <c r="G534" s="25" t="s">
        <v>1146</v>
      </c>
      <c r="H534" s="25">
        <v>2019106</v>
      </c>
      <c r="I534" s="25" t="s">
        <v>19</v>
      </c>
      <c r="J534" s="25" t="s">
        <v>20</v>
      </c>
      <c r="K534" s="25" t="s">
        <v>25</v>
      </c>
      <c r="L534" s="25">
        <v>1.33</v>
      </c>
      <c r="M534" s="25">
        <v>0.05</v>
      </c>
      <c r="N534" s="25">
        <v>0</v>
      </c>
      <c r="O534" s="25">
        <v>39.380000000000003</v>
      </c>
      <c r="P534" s="25">
        <v>40.758000000000003</v>
      </c>
      <c r="Q534" s="25">
        <f t="shared" si="16"/>
        <v>1375.258</v>
      </c>
      <c r="R534" s="25">
        <f t="shared" si="17"/>
        <v>0</v>
      </c>
    </row>
    <row r="535" spans="1:18" hidden="1" x14ac:dyDescent="0.25">
      <c r="A535" s="26">
        <v>43616</v>
      </c>
      <c r="B535" s="25" t="s">
        <v>1147</v>
      </c>
      <c r="C535" s="25" t="s">
        <v>23</v>
      </c>
      <c r="D535" s="25">
        <v>100</v>
      </c>
      <c r="E535" s="25">
        <v>259</v>
      </c>
      <c r="F535" s="25">
        <v>25900</v>
      </c>
      <c r="G535" s="25" t="s">
        <v>1148</v>
      </c>
      <c r="H535" s="25">
        <v>2019103</v>
      </c>
      <c r="I535" s="25" t="s">
        <v>19</v>
      </c>
      <c r="J535" s="25" t="s">
        <v>20</v>
      </c>
      <c r="K535" s="25" t="s">
        <v>25</v>
      </c>
      <c r="L535" s="25">
        <v>6.26</v>
      </c>
      <c r="M535" s="25">
        <v>0.93</v>
      </c>
      <c r="N535" s="25">
        <v>0</v>
      </c>
      <c r="O535" s="25">
        <v>29.67</v>
      </c>
      <c r="P535" s="25">
        <v>36.862400000000001</v>
      </c>
      <c r="Q535" s="25">
        <f t="shared" si="16"/>
        <v>0</v>
      </c>
      <c r="R535" s="25">
        <f t="shared" si="17"/>
        <v>25863.137599999998</v>
      </c>
    </row>
    <row r="536" spans="1:18" hidden="1" x14ac:dyDescent="0.25">
      <c r="A536" s="26">
        <v>43616</v>
      </c>
      <c r="B536" s="25" t="s">
        <v>1147</v>
      </c>
      <c r="C536" s="25" t="s">
        <v>17</v>
      </c>
      <c r="D536" s="25">
        <v>100</v>
      </c>
      <c r="E536" s="25">
        <v>257.5</v>
      </c>
      <c r="F536" s="25">
        <v>25750</v>
      </c>
      <c r="G536" s="25" t="s">
        <v>1149</v>
      </c>
      <c r="H536" s="25">
        <v>2019103</v>
      </c>
      <c r="I536" s="25" t="s">
        <v>19</v>
      </c>
      <c r="J536" s="25" t="s">
        <v>20</v>
      </c>
      <c r="K536" s="25" t="s">
        <v>25</v>
      </c>
      <c r="L536" s="25">
        <v>0</v>
      </c>
      <c r="M536" s="25">
        <v>0.93</v>
      </c>
      <c r="N536" s="25">
        <v>0</v>
      </c>
      <c r="O536" s="25">
        <v>29.67</v>
      </c>
      <c r="P536" s="25">
        <v>30.597100000000001</v>
      </c>
      <c r="Q536" s="25">
        <f t="shared" si="16"/>
        <v>25780.597099999999</v>
      </c>
      <c r="R536" s="25">
        <f t="shared" si="17"/>
        <v>0</v>
      </c>
    </row>
    <row r="537" spans="1:18" hidden="1" x14ac:dyDescent="0.25">
      <c r="A537" s="26">
        <v>43616</v>
      </c>
      <c r="B537" s="25" t="s">
        <v>1086</v>
      </c>
      <c r="C537" s="25" t="s">
        <v>17</v>
      </c>
      <c r="D537" s="25">
        <v>1000</v>
      </c>
      <c r="E537" s="25">
        <v>104</v>
      </c>
      <c r="F537" s="25">
        <v>104000</v>
      </c>
      <c r="G537" s="25" t="s">
        <v>1150</v>
      </c>
      <c r="H537" s="25">
        <v>2019103</v>
      </c>
      <c r="I537" s="25" t="s">
        <v>19</v>
      </c>
      <c r="J537" s="25" t="s">
        <v>20</v>
      </c>
      <c r="K537" s="25" t="s">
        <v>25</v>
      </c>
      <c r="L537" s="25">
        <v>0</v>
      </c>
      <c r="M537" s="25">
        <v>3.74</v>
      </c>
      <c r="N537" s="25">
        <v>0</v>
      </c>
      <c r="O537" s="25">
        <v>62.03</v>
      </c>
      <c r="P537" s="25">
        <v>65.774000000000001</v>
      </c>
      <c r="Q537" s="25">
        <f t="shared" si="16"/>
        <v>104065.774</v>
      </c>
      <c r="R537" s="25">
        <f t="shared" si="17"/>
        <v>0</v>
      </c>
    </row>
    <row r="538" spans="1:18" hidden="1" x14ac:dyDescent="0.25">
      <c r="A538" s="26">
        <v>43616</v>
      </c>
      <c r="B538" s="25" t="s">
        <v>1086</v>
      </c>
      <c r="C538" s="25" t="s">
        <v>17</v>
      </c>
      <c r="D538" s="25">
        <v>1500</v>
      </c>
      <c r="E538" s="25">
        <v>96.95</v>
      </c>
      <c r="F538" s="25">
        <v>145425</v>
      </c>
      <c r="G538" s="25" t="s">
        <v>1151</v>
      </c>
      <c r="H538" s="25">
        <v>2019103</v>
      </c>
      <c r="I538" s="25" t="s">
        <v>19</v>
      </c>
      <c r="J538" s="25" t="s">
        <v>20</v>
      </c>
      <c r="K538" s="25" t="s">
        <v>25</v>
      </c>
      <c r="L538" s="25">
        <v>0</v>
      </c>
      <c r="M538" s="25">
        <v>5.24</v>
      </c>
      <c r="N538" s="25">
        <v>16.5</v>
      </c>
      <c r="O538" s="25">
        <v>86.74</v>
      </c>
      <c r="P538" s="25">
        <v>108.4753</v>
      </c>
      <c r="Q538" s="25">
        <f t="shared" si="16"/>
        <v>145533.47529999999</v>
      </c>
      <c r="R538" s="25">
        <f t="shared" si="17"/>
        <v>0</v>
      </c>
    </row>
    <row r="539" spans="1:18" hidden="1" x14ac:dyDescent="0.25">
      <c r="A539" s="26">
        <v>43616</v>
      </c>
      <c r="B539" s="25" t="s">
        <v>1086</v>
      </c>
      <c r="C539" s="25" t="s">
        <v>23</v>
      </c>
      <c r="D539" s="25">
        <v>2500</v>
      </c>
      <c r="E539" s="25">
        <v>97.8</v>
      </c>
      <c r="F539" s="25">
        <v>244505.4</v>
      </c>
      <c r="G539" s="25" t="s">
        <v>1152</v>
      </c>
      <c r="H539" s="25">
        <v>2019103</v>
      </c>
      <c r="I539" s="25" t="s">
        <v>19</v>
      </c>
      <c r="J539" s="25" t="s">
        <v>20</v>
      </c>
      <c r="K539" s="25" t="s">
        <v>25</v>
      </c>
      <c r="L539" s="25">
        <v>61.74</v>
      </c>
      <c r="M539" s="25">
        <v>8.8000000000000007</v>
      </c>
      <c r="N539" s="25">
        <v>0</v>
      </c>
      <c r="O539" s="25">
        <v>145.84</v>
      </c>
      <c r="P539" s="25">
        <v>216.38220000000001</v>
      </c>
      <c r="Q539" s="25">
        <f t="shared" si="16"/>
        <v>0</v>
      </c>
      <c r="R539" s="25">
        <f t="shared" si="17"/>
        <v>244289.0178</v>
      </c>
    </row>
    <row r="540" spans="1:18" hidden="1" x14ac:dyDescent="0.25">
      <c r="A540" s="26">
        <v>43615</v>
      </c>
      <c r="B540" s="25" t="s">
        <v>1153</v>
      </c>
      <c r="C540" s="25" t="s">
        <v>17</v>
      </c>
      <c r="D540" s="25">
        <v>100</v>
      </c>
      <c r="E540" s="25">
        <v>1095.9000000000001</v>
      </c>
      <c r="F540" s="25">
        <v>109590.35</v>
      </c>
      <c r="G540" s="25" t="s">
        <v>1154</v>
      </c>
      <c r="H540" s="25">
        <v>2019102</v>
      </c>
      <c r="I540" s="25" t="s">
        <v>19</v>
      </c>
      <c r="J540" s="25" t="s">
        <v>20</v>
      </c>
      <c r="K540" s="25" t="s">
        <v>25</v>
      </c>
      <c r="L540" s="25">
        <v>0</v>
      </c>
      <c r="M540" s="25">
        <v>3.95</v>
      </c>
      <c r="N540" s="25">
        <v>0</v>
      </c>
      <c r="O540" s="25">
        <v>65.349999999999994</v>
      </c>
      <c r="P540" s="25">
        <v>69.295299999999997</v>
      </c>
      <c r="Q540" s="25">
        <f t="shared" si="16"/>
        <v>109659.6453</v>
      </c>
      <c r="R540" s="25">
        <f t="shared" si="17"/>
        <v>0</v>
      </c>
    </row>
    <row r="541" spans="1:18" hidden="1" x14ac:dyDescent="0.25">
      <c r="A541" s="26">
        <v>43615</v>
      </c>
      <c r="B541" s="25" t="s">
        <v>1153</v>
      </c>
      <c r="C541" s="25" t="s">
        <v>23</v>
      </c>
      <c r="D541" s="25">
        <v>100</v>
      </c>
      <c r="E541" s="25">
        <v>1090.02</v>
      </c>
      <c r="F541" s="25">
        <v>109002.2</v>
      </c>
      <c r="G541" s="25" t="s">
        <v>1155</v>
      </c>
      <c r="H541" s="25">
        <v>2019102</v>
      </c>
      <c r="I541" s="25" t="s">
        <v>19</v>
      </c>
      <c r="J541" s="25" t="s">
        <v>20</v>
      </c>
      <c r="K541" s="25" t="s">
        <v>25</v>
      </c>
      <c r="L541" s="25">
        <v>27.81</v>
      </c>
      <c r="M541" s="25">
        <v>3.92</v>
      </c>
      <c r="N541" s="25">
        <v>30.3</v>
      </c>
      <c r="O541" s="25">
        <v>65.02</v>
      </c>
      <c r="P541" s="25">
        <v>127.0545</v>
      </c>
      <c r="Q541" s="25">
        <f t="shared" si="16"/>
        <v>0</v>
      </c>
      <c r="R541" s="25">
        <f t="shared" si="17"/>
        <v>108875.1455</v>
      </c>
    </row>
    <row r="542" spans="1:18" hidden="1" x14ac:dyDescent="0.25">
      <c r="A542" s="26">
        <v>43615</v>
      </c>
      <c r="B542" s="25" t="s">
        <v>1156</v>
      </c>
      <c r="C542" s="25" t="s">
        <v>17</v>
      </c>
      <c r="D542" s="25">
        <v>1000</v>
      </c>
      <c r="E542" s="25">
        <v>79.75</v>
      </c>
      <c r="F542" s="25">
        <v>79750</v>
      </c>
      <c r="G542" s="25" t="s">
        <v>1157</v>
      </c>
      <c r="H542" s="25">
        <v>2019102</v>
      </c>
      <c r="I542" s="25" t="s">
        <v>19</v>
      </c>
      <c r="J542" s="25" t="s">
        <v>20</v>
      </c>
      <c r="K542" s="25" t="s">
        <v>25</v>
      </c>
      <c r="L542" s="25">
        <v>0</v>
      </c>
      <c r="M542" s="25">
        <v>2.87</v>
      </c>
      <c r="N542" s="25">
        <v>0</v>
      </c>
      <c r="O542" s="25">
        <v>47.56</v>
      </c>
      <c r="P542" s="25">
        <v>50.431100000000001</v>
      </c>
      <c r="Q542" s="25">
        <f t="shared" si="16"/>
        <v>79800.431100000002</v>
      </c>
      <c r="R542" s="25">
        <f t="shared" si="17"/>
        <v>0</v>
      </c>
    </row>
    <row r="543" spans="1:18" hidden="1" x14ac:dyDescent="0.25">
      <c r="A543" s="26">
        <v>43615</v>
      </c>
      <c r="B543" s="25" t="s">
        <v>1156</v>
      </c>
      <c r="C543" s="25" t="s">
        <v>23</v>
      </c>
      <c r="D543" s="25">
        <v>1000</v>
      </c>
      <c r="E543" s="25">
        <v>79.05</v>
      </c>
      <c r="F543" s="25">
        <v>79050</v>
      </c>
      <c r="G543" s="25" t="s">
        <v>1158</v>
      </c>
      <c r="H543" s="25">
        <v>2019102</v>
      </c>
      <c r="I543" s="25" t="s">
        <v>19</v>
      </c>
      <c r="J543" s="25" t="s">
        <v>20</v>
      </c>
      <c r="K543" s="25" t="s">
        <v>25</v>
      </c>
      <c r="L543" s="25">
        <v>19.77</v>
      </c>
      <c r="M543" s="25">
        <v>2.85</v>
      </c>
      <c r="N543" s="25">
        <v>0</v>
      </c>
      <c r="O543" s="25">
        <v>47.15</v>
      </c>
      <c r="P543" s="25">
        <v>69.765900000000002</v>
      </c>
      <c r="Q543" s="25">
        <f t="shared" si="16"/>
        <v>0</v>
      </c>
      <c r="R543" s="25">
        <f t="shared" si="17"/>
        <v>78980.234100000001</v>
      </c>
    </row>
    <row r="544" spans="1:18" hidden="1" x14ac:dyDescent="0.25">
      <c r="A544" s="26">
        <v>43615</v>
      </c>
      <c r="B544" s="25" t="s">
        <v>1156</v>
      </c>
      <c r="C544" s="25" t="s">
        <v>23</v>
      </c>
      <c r="D544" s="25">
        <v>2500</v>
      </c>
      <c r="E544" s="25">
        <v>79</v>
      </c>
      <c r="F544" s="25">
        <v>197500</v>
      </c>
      <c r="G544" s="25" t="s">
        <v>1159</v>
      </c>
      <c r="H544" s="25">
        <v>2019102</v>
      </c>
      <c r="I544" s="25" t="s">
        <v>19</v>
      </c>
      <c r="J544" s="25" t="s">
        <v>20</v>
      </c>
      <c r="K544" s="25" t="s">
        <v>25</v>
      </c>
      <c r="L544" s="25">
        <v>49.42</v>
      </c>
      <c r="M544" s="25">
        <v>7.11</v>
      </c>
      <c r="N544" s="25">
        <v>0</v>
      </c>
      <c r="O544" s="25">
        <v>117.8</v>
      </c>
      <c r="P544" s="25">
        <v>174.33</v>
      </c>
      <c r="Q544" s="25">
        <f t="shared" si="16"/>
        <v>0</v>
      </c>
      <c r="R544" s="25">
        <f t="shared" si="17"/>
        <v>197325.67</v>
      </c>
    </row>
    <row r="545" spans="1:18" hidden="1" x14ac:dyDescent="0.25">
      <c r="A545" s="26">
        <v>43615</v>
      </c>
      <c r="B545" s="25" t="s">
        <v>1156</v>
      </c>
      <c r="C545" s="25" t="s">
        <v>17</v>
      </c>
      <c r="D545" s="25">
        <v>2500</v>
      </c>
      <c r="E545" s="25">
        <v>78.900000000000006</v>
      </c>
      <c r="F545" s="25">
        <v>197250</v>
      </c>
      <c r="G545" s="25" t="s">
        <v>1160</v>
      </c>
      <c r="H545" s="25">
        <v>2019102</v>
      </c>
      <c r="I545" s="25" t="s">
        <v>19</v>
      </c>
      <c r="J545" s="25" t="s">
        <v>20</v>
      </c>
      <c r="K545" s="25" t="s">
        <v>25</v>
      </c>
      <c r="L545" s="25">
        <v>0</v>
      </c>
      <c r="M545" s="25">
        <v>7.1</v>
      </c>
      <c r="N545" s="25">
        <v>0</v>
      </c>
      <c r="O545" s="25">
        <v>117.66</v>
      </c>
      <c r="P545" s="25">
        <v>124.761</v>
      </c>
      <c r="Q545" s="25">
        <f t="shared" si="16"/>
        <v>197374.761</v>
      </c>
      <c r="R545" s="25">
        <f t="shared" si="17"/>
        <v>0</v>
      </c>
    </row>
    <row r="546" spans="1:18" hidden="1" x14ac:dyDescent="0.25">
      <c r="A546" s="26">
        <v>43615</v>
      </c>
      <c r="B546" s="25" t="s">
        <v>1086</v>
      </c>
      <c r="C546" s="25" t="s">
        <v>17</v>
      </c>
      <c r="D546" s="25">
        <v>1000</v>
      </c>
      <c r="E546" s="25">
        <v>115</v>
      </c>
      <c r="F546" s="25">
        <v>115000</v>
      </c>
      <c r="G546" s="25" t="s">
        <v>1161</v>
      </c>
      <c r="H546" s="25">
        <v>2019102</v>
      </c>
      <c r="I546" s="25" t="s">
        <v>19</v>
      </c>
      <c r="J546" s="25" t="s">
        <v>20</v>
      </c>
      <c r="K546" s="25" t="s">
        <v>25</v>
      </c>
      <c r="L546" s="25">
        <v>0</v>
      </c>
      <c r="M546" s="25">
        <v>4.1399999999999997</v>
      </c>
      <c r="N546" s="25">
        <v>0</v>
      </c>
      <c r="O546" s="25">
        <v>68.599999999999994</v>
      </c>
      <c r="P546" s="25">
        <v>72.739999999999995</v>
      </c>
      <c r="Q546" s="25">
        <f t="shared" si="16"/>
        <v>115072.74</v>
      </c>
      <c r="R546" s="25">
        <f t="shared" si="17"/>
        <v>0</v>
      </c>
    </row>
    <row r="547" spans="1:18" hidden="1" x14ac:dyDescent="0.25">
      <c r="A547" s="26">
        <v>43615</v>
      </c>
      <c r="B547" s="25" t="s">
        <v>1086</v>
      </c>
      <c r="C547" s="25" t="s">
        <v>23</v>
      </c>
      <c r="D547" s="25">
        <v>1000</v>
      </c>
      <c r="E547" s="25">
        <v>117</v>
      </c>
      <c r="F547" s="25">
        <v>117000</v>
      </c>
      <c r="G547" s="25" t="s">
        <v>1162</v>
      </c>
      <c r="H547" s="25">
        <v>2019102</v>
      </c>
      <c r="I547" s="25" t="s">
        <v>19</v>
      </c>
      <c r="J547" s="25" t="s">
        <v>20</v>
      </c>
      <c r="K547" s="25" t="s">
        <v>25</v>
      </c>
      <c r="L547" s="25">
        <v>29</v>
      </c>
      <c r="M547" s="25">
        <v>4.21</v>
      </c>
      <c r="N547" s="25">
        <v>0</v>
      </c>
      <c r="O547" s="25">
        <v>69.790000000000006</v>
      </c>
      <c r="P547" s="25">
        <v>103.002</v>
      </c>
      <c r="Q547" s="25">
        <f t="shared" si="16"/>
        <v>0</v>
      </c>
      <c r="R547" s="25">
        <f t="shared" si="17"/>
        <v>116896.99800000001</v>
      </c>
    </row>
    <row r="548" spans="1:18" hidden="1" x14ac:dyDescent="0.25">
      <c r="A548" s="26">
        <v>43614</v>
      </c>
      <c r="B548" s="25" t="s">
        <v>111</v>
      </c>
      <c r="C548" s="25" t="s">
        <v>23</v>
      </c>
      <c r="D548" s="25">
        <v>500</v>
      </c>
      <c r="E548" s="25">
        <v>410.15</v>
      </c>
      <c r="F548" s="25">
        <v>205075</v>
      </c>
      <c r="G548" s="25" t="s">
        <v>1163</v>
      </c>
      <c r="H548" s="25">
        <v>2019101</v>
      </c>
      <c r="I548" s="25" t="s">
        <v>19</v>
      </c>
      <c r="J548" s="25" t="s">
        <v>20</v>
      </c>
      <c r="K548" s="25" t="s">
        <v>25</v>
      </c>
      <c r="L548" s="25">
        <v>50.57</v>
      </c>
      <c r="M548" s="25">
        <v>7.38</v>
      </c>
      <c r="N548" s="25">
        <v>22.2</v>
      </c>
      <c r="O548" s="25">
        <v>122.32</v>
      </c>
      <c r="P548" s="25">
        <v>202.4726</v>
      </c>
      <c r="Q548" s="25">
        <f t="shared" si="16"/>
        <v>0</v>
      </c>
      <c r="R548" s="25">
        <f t="shared" si="17"/>
        <v>204872.52739999999</v>
      </c>
    </row>
    <row r="549" spans="1:18" hidden="1" x14ac:dyDescent="0.25">
      <c r="A549" s="26">
        <v>43614</v>
      </c>
      <c r="B549" s="25" t="s">
        <v>111</v>
      </c>
      <c r="C549" s="25" t="s">
        <v>17</v>
      </c>
      <c r="D549" s="25">
        <v>500</v>
      </c>
      <c r="E549" s="25">
        <v>405</v>
      </c>
      <c r="F549" s="25">
        <v>202500</v>
      </c>
      <c r="G549" s="25" t="s">
        <v>1164</v>
      </c>
      <c r="H549" s="25">
        <v>2019101</v>
      </c>
      <c r="I549" s="25" t="s">
        <v>19</v>
      </c>
      <c r="J549" s="25" t="s">
        <v>20</v>
      </c>
      <c r="K549" s="25" t="s">
        <v>25</v>
      </c>
      <c r="L549" s="25">
        <v>0</v>
      </c>
      <c r="M549" s="25">
        <v>7.29</v>
      </c>
      <c r="N549" s="25">
        <v>0</v>
      </c>
      <c r="O549" s="25">
        <v>120.79</v>
      </c>
      <c r="P549" s="25">
        <v>128.08000000000001</v>
      </c>
      <c r="Q549" s="25">
        <f t="shared" si="16"/>
        <v>202628.08</v>
      </c>
      <c r="R549" s="25">
        <f t="shared" si="17"/>
        <v>0</v>
      </c>
    </row>
    <row r="550" spans="1:18" hidden="1" x14ac:dyDescent="0.25">
      <c r="A550" s="26">
        <v>43614</v>
      </c>
      <c r="B550" s="25" t="s">
        <v>1165</v>
      </c>
      <c r="C550" s="25" t="s">
        <v>23</v>
      </c>
      <c r="D550" s="25">
        <v>100</v>
      </c>
      <c r="E550" s="25">
        <v>532</v>
      </c>
      <c r="F550" s="25">
        <v>53200</v>
      </c>
      <c r="G550" s="25" t="s">
        <v>1166</v>
      </c>
      <c r="H550" s="25">
        <v>2019101</v>
      </c>
      <c r="I550" s="25" t="s">
        <v>19</v>
      </c>
      <c r="J550" s="25" t="s">
        <v>20</v>
      </c>
      <c r="K550" s="25" t="s">
        <v>25</v>
      </c>
      <c r="L550" s="25">
        <v>13.48</v>
      </c>
      <c r="M550" s="25">
        <v>1.92</v>
      </c>
      <c r="N550" s="25">
        <v>0</v>
      </c>
      <c r="O550" s="25">
        <v>31.73</v>
      </c>
      <c r="P550" s="25">
        <v>47.1252</v>
      </c>
      <c r="Q550" s="25">
        <f t="shared" si="16"/>
        <v>0</v>
      </c>
      <c r="R550" s="25">
        <f t="shared" si="17"/>
        <v>53152.874799999998</v>
      </c>
    </row>
    <row r="551" spans="1:18" hidden="1" x14ac:dyDescent="0.25">
      <c r="A551" s="26">
        <v>43614</v>
      </c>
      <c r="B551" s="25" t="s">
        <v>1165</v>
      </c>
      <c r="C551" s="25" t="s">
        <v>23</v>
      </c>
      <c r="D551" s="25">
        <v>200</v>
      </c>
      <c r="E551" s="25">
        <v>539.5</v>
      </c>
      <c r="F551" s="25">
        <v>107900</v>
      </c>
      <c r="G551" s="25" t="s">
        <v>1167</v>
      </c>
      <c r="H551" s="25">
        <v>2019101</v>
      </c>
      <c r="I551" s="25" t="s">
        <v>19</v>
      </c>
      <c r="J551" s="25" t="s">
        <v>20</v>
      </c>
      <c r="K551" s="25" t="s">
        <v>25</v>
      </c>
      <c r="L551" s="25">
        <v>26.96</v>
      </c>
      <c r="M551" s="25">
        <v>3.88</v>
      </c>
      <c r="N551" s="25">
        <v>0</v>
      </c>
      <c r="O551" s="25">
        <v>64.36</v>
      </c>
      <c r="P551" s="25">
        <v>95.204400000000007</v>
      </c>
      <c r="Q551" s="25">
        <f t="shared" si="16"/>
        <v>0</v>
      </c>
      <c r="R551" s="25">
        <f t="shared" si="17"/>
        <v>107804.7956</v>
      </c>
    </row>
    <row r="552" spans="1:18" hidden="1" x14ac:dyDescent="0.25">
      <c r="A552" s="26">
        <v>43614</v>
      </c>
      <c r="B552" s="25" t="s">
        <v>1165</v>
      </c>
      <c r="C552" s="25" t="s">
        <v>17</v>
      </c>
      <c r="D552" s="25">
        <v>300</v>
      </c>
      <c r="E552" s="25">
        <v>541.20000000000005</v>
      </c>
      <c r="F552" s="25">
        <v>162360</v>
      </c>
      <c r="G552" s="25" t="s">
        <v>1168</v>
      </c>
      <c r="H552" s="25">
        <v>2019101</v>
      </c>
      <c r="I552" s="25" t="s">
        <v>19</v>
      </c>
      <c r="J552" s="25" t="s">
        <v>20</v>
      </c>
      <c r="K552" s="25" t="s">
        <v>25</v>
      </c>
      <c r="L552" s="25">
        <v>0</v>
      </c>
      <c r="M552" s="25">
        <v>5.85</v>
      </c>
      <c r="N552" s="25">
        <v>0</v>
      </c>
      <c r="O552" s="25">
        <v>96.84</v>
      </c>
      <c r="P552" s="25">
        <v>102.685</v>
      </c>
      <c r="Q552" s="25">
        <f t="shared" si="16"/>
        <v>162462.685</v>
      </c>
      <c r="R552" s="25">
        <f t="shared" si="17"/>
        <v>0</v>
      </c>
    </row>
    <row r="553" spans="1:18" hidden="1" x14ac:dyDescent="0.25">
      <c r="A553" s="26">
        <v>43613</v>
      </c>
      <c r="B553" s="25" t="s">
        <v>981</v>
      </c>
      <c r="C553" s="25" t="s">
        <v>23</v>
      </c>
      <c r="D553" s="25">
        <v>250</v>
      </c>
      <c r="E553" s="25">
        <v>160.5</v>
      </c>
      <c r="F553" s="25">
        <v>40125</v>
      </c>
      <c r="G553" s="25" t="s">
        <v>1169</v>
      </c>
      <c r="H553" s="25">
        <v>2019100</v>
      </c>
      <c r="I553" s="25" t="s">
        <v>19</v>
      </c>
      <c r="J553" s="25" t="s">
        <v>20</v>
      </c>
      <c r="K553" s="25" t="s">
        <v>25</v>
      </c>
      <c r="L553" s="25">
        <v>10.119999999999999</v>
      </c>
      <c r="M553" s="25">
        <v>1.44</v>
      </c>
      <c r="N553" s="25">
        <v>0</v>
      </c>
      <c r="O553" s="25">
        <v>29.76</v>
      </c>
      <c r="P553" s="25">
        <v>41.3245</v>
      </c>
      <c r="Q553" s="25">
        <f t="shared" si="16"/>
        <v>0</v>
      </c>
      <c r="R553" s="25">
        <f t="shared" si="17"/>
        <v>40083.675499999998</v>
      </c>
    </row>
    <row r="554" spans="1:18" hidden="1" x14ac:dyDescent="0.25">
      <c r="A554" s="26">
        <v>43613</v>
      </c>
      <c r="B554" s="25" t="s">
        <v>981</v>
      </c>
      <c r="C554" s="25" t="s">
        <v>23</v>
      </c>
      <c r="D554" s="25">
        <v>250</v>
      </c>
      <c r="E554" s="25">
        <v>162.5</v>
      </c>
      <c r="F554" s="25">
        <v>40625</v>
      </c>
      <c r="G554" s="25" t="s">
        <v>1170</v>
      </c>
      <c r="H554" s="25">
        <v>2019100</v>
      </c>
      <c r="I554" s="25" t="s">
        <v>19</v>
      </c>
      <c r="J554" s="25" t="s">
        <v>20</v>
      </c>
      <c r="K554" s="25" t="s">
        <v>25</v>
      </c>
      <c r="L554" s="25">
        <v>10.119999999999999</v>
      </c>
      <c r="M554" s="25">
        <v>1.46</v>
      </c>
      <c r="N554" s="25">
        <v>0</v>
      </c>
      <c r="O554" s="25">
        <v>29.76</v>
      </c>
      <c r="P554" s="25">
        <v>41.342700000000001</v>
      </c>
      <c r="Q554" s="25">
        <f t="shared" si="16"/>
        <v>0</v>
      </c>
      <c r="R554" s="25">
        <f t="shared" si="17"/>
        <v>40583.657299999999</v>
      </c>
    </row>
    <row r="555" spans="1:18" hidden="1" x14ac:dyDescent="0.25">
      <c r="A555" s="26">
        <v>43613</v>
      </c>
      <c r="B555" s="25" t="s">
        <v>981</v>
      </c>
      <c r="C555" s="25" t="s">
        <v>17</v>
      </c>
      <c r="D555" s="25">
        <v>500</v>
      </c>
      <c r="E555" s="25">
        <v>161.75</v>
      </c>
      <c r="F555" s="25">
        <v>80875</v>
      </c>
      <c r="G555" s="25" t="s">
        <v>1171</v>
      </c>
      <c r="H555" s="25">
        <v>2019100</v>
      </c>
      <c r="I555" s="25" t="s">
        <v>19</v>
      </c>
      <c r="J555" s="25" t="s">
        <v>20</v>
      </c>
      <c r="K555" s="25" t="s">
        <v>25</v>
      </c>
      <c r="L555" s="25">
        <v>0</v>
      </c>
      <c r="M555" s="25">
        <v>2.91</v>
      </c>
      <c r="N555" s="25">
        <v>0</v>
      </c>
      <c r="O555" s="25">
        <v>48.24</v>
      </c>
      <c r="P555" s="25">
        <v>51.151499999999999</v>
      </c>
      <c r="Q555" s="25">
        <f t="shared" si="16"/>
        <v>80926.151500000007</v>
      </c>
      <c r="R555" s="25">
        <f t="shared" si="17"/>
        <v>0</v>
      </c>
    </row>
    <row r="556" spans="1:18" hidden="1" x14ac:dyDescent="0.25">
      <c r="A556" s="26">
        <v>43613</v>
      </c>
      <c r="B556" s="25" t="s">
        <v>981</v>
      </c>
      <c r="C556" s="25" t="s">
        <v>17</v>
      </c>
      <c r="D556" s="25">
        <v>1500</v>
      </c>
      <c r="E556" s="25">
        <v>162</v>
      </c>
      <c r="F556" s="25">
        <v>243000</v>
      </c>
      <c r="G556" s="25" t="s">
        <v>1172</v>
      </c>
      <c r="H556" s="25">
        <v>2019100</v>
      </c>
      <c r="I556" s="25" t="s">
        <v>19</v>
      </c>
      <c r="J556" s="25" t="s">
        <v>20</v>
      </c>
      <c r="K556" s="25" t="s">
        <v>25</v>
      </c>
      <c r="L556" s="25">
        <v>0</v>
      </c>
      <c r="M556" s="25">
        <v>8.75</v>
      </c>
      <c r="N556" s="25">
        <v>0</v>
      </c>
      <c r="O556" s="25">
        <v>144.94</v>
      </c>
      <c r="P556" s="25">
        <v>153.68799999999999</v>
      </c>
      <c r="Q556" s="25">
        <f t="shared" si="16"/>
        <v>243153.68799999999</v>
      </c>
      <c r="R556" s="25">
        <f t="shared" si="17"/>
        <v>0</v>
      </c>
    </row>
    <row r="557" spans="1:18" hidden="1" x14ac:dyDescent="0.25">
      <c r="A557" s="26">
        <v>43613</v>
      </c>
      <c r="B557" s="25" t="s">
        <v>981</v>
      </c>
      <c r="C557" s="25" t="s">
        <v>23</v>
      </c>
      <c r="D557" s="25">
        <v>1500</v>
      </c>
      <c r="E557" s="25">
        <v>162.19999999999999</v>
      </c>
      <c r="F557" s="25">
        <v>243300</v>
      </c>
      <c r="G557" s="25" t="s">
        <v>1173</v>
      </c>
      <c r="H557" s="25">
        <v>2019100</v>
      </c>
      <c r="I557" s="25" t="s">
        <v>19</v>
      </c>
      <c r="J557" s="25" t="s">
        <v>20</v>
      </c>
      <c r="K557" s="25" t="s">
        <v>25</v>
      </c>
      <c r="L557" s="25">
        <v>60.39</v>
      </c>
      <c r="M557" s="25">
        <v>8.76</v>
      </c>
      <c r="N557" s="25">
        <v>32.700000000000003</v>
      </c>
      <c r="O557" s="25">
        <v>145.13</v>
      </c>
      <c r="P557" s="25">
        <v>246.97890000000001</v>
      </c>
      <c r="Q557" s="25">
        <f t="shared" si="16"/>
        <v>0</v>
      </c>
      <c r="R557" s="25">
        <f t="shared" si="17"/>
        <v>243053.02110000001</v>
      </c>
    </row>
    <row r="558" spans="1:18" hidden="1" x14ac:dyDescent="0.25">
      <c r="A558" s="26">
        <v>43613</v>
      </c>
      <c r="B558" s="25" t="s">
        <v>1174</v>
      </c>
      <c r="C558" s="25" t="s">
        <v>17</v>
      </c>
      <c r="D558" s="25">
        <v>500</v>
      </c>
      <c r="E558" s="25">
        <v>141</v>
      </c>
      <c r="F558" s="25">
        <v>70501.600000000006</v>
      </c>
      <c r="G558" s="25" t="s">
        <v>1175</v>
      </c>
      <c r="H558" s="25">
        <v>2019100</v>
      </c>
      <c r="I558" s="25" t="s">
        <v>19</v>
      </c>
      <c r="J558" s="25" t="s">
        <v>20</v>
      </c>
      <c r="K558" s="25" t="s">
        <v>25</v>
      </c>
      <c r="L558" s="25">
        <v>0</v>
      </c>
      <c r="M558" s="25">
        <v>2.54</v>
      </c>
      <c r="N558" s="25">
        <v>0</v>
      </c>
      <c r="O558" s="25">
        <v>42.05</v>
      </c>
      <c r="P558" s="25">
        <v>44.588099999999997</v>
      </c>
      <c r="Q558" s="25">
        <f t="shared" si="16"/>
        <v>70546.188099999999</v>
      </c>
      <c r="R558" s="25">
        <f t="shared" si="17"/>
        <v>0</v>
      </c>
    </row>
    <row r="559" spans="1:18" hidden="1" x14ac:dyDescent="0.25">
      <c r="A559" s="26">
        <v>43613</v>
      </c>
      <c r="B559" s="25" t="s">
        <v>1174</v>
      </c>
      <c r="C559" s="25" t="s">
        <v>23</v>
      </c>
      <c r="D559" s="25">
        <v>500</v>
      </c>
      <c r="E559" s="25">
        <v>143</v>
      </c>
      <c r="F559" s="25">
        <v>71500</v>
      </c>
      <c r="G559" s="25" t="s">
        <v>1176</v>
      </c>
      <c r="H559" s="25">
        <v>2019100</v>
      </c>
      <c r="I559" s="25" t="s">
        <v>19</v>
      </c>
      <c r="J559" s="25" t="s">
        <v>20</v>
      </c>
      <c r="K559" s="25" t="s">
        <v>25</v>
      </c>
      <c r="L559" s="25">
        <v>17.75</v>
      </c>
      <c r="M559" s="25">
        <v>2.57</v>
      </c>
      <c r="N559" s="25">
        <v>0</v>
      </c>
      <c r="O559" s="25">
        <v>42.65</v>
      </c>
      <c r="P559" s="25">
        <v>62.973999999999997</v>
      </c>
      <c r="Q559" s="25">
        <f t="shared" si="16"/>
        <v>0</v>
      </c>
      <c r="R559" s="25">
        <f t="shared" si="17"/>
        <v>71437.025999999998</v>
      </c>
    </row>
    <row r="560" spans="1:18" hidden="1" x14ac:dyDescent="0.25">
      <c r="A560" s="26">
        <v>43613</v>
      </c>
      <c r="B560" s="25" t="s">
        <v>237</v>
      </c>
      <c r="C560" s="25" t="s">
        <v>23</v>
      </c>
      <c r="D560" s="25">
        <v>500</v>
      </c>
      <c r="E560" s="25">
        <v>292.64999999999998</v>
      </c>
      <c r="F560" s="25">
        <v>146325</v>
      </c>
      <c r="G560" s="25" t="s">
        <v>1177</v>
      </c>
      <c r="H560" s="25">
        <v>2019100</v>
      </c>
      <c r="I560" s="25" t="s">
        <v>19</v>
      </c>
      <c r="J560" s="25" t="s">
        <v>20</v>
      </c>
      <c r="K560" s="25" t="s">
        <v>25</v>
      </c>
      <c r="L560" s="25">
        <v>36.619999999999997</v>
      </c>
      <c r="M560" s="25">
        <v>5.27</v>
      </c>
      <c r="N560" s="25">
        <v>0</v>
      </c>
      <c r="O560" s="25">
        <v>87.28</v>
      </c>
      <c r="P560" s="25">
        <v>129.1677</v>
      </c>
      <c r="Q560" s="25">
        <f t="shared" si="16"/>
        <v>0</v>
      </c>
      <c r="R560" s="25">
        <f t="shared" si="17"/>
        <v>146195.83230000001</v>
      </c>
    </row>
    <row r="561" spans="1:18" hidden="1" x14ac:dyDescent="0.25">
      <c r="A561" s="26">
        <v>43613</v>
      </c>
      <c r="B561" s="25" t="s">
        <v>237</v>
      </c>
      <c r="C561" s="25" t="s">
        <v>17</v>
      </c>
      <c r="D561" s="25">
        <v>500</v>
      </c>
      <c r="E561" s="25">
        <v>293.2</v>
      </c>
      <c r="F561" s="25">
        <v>146600</v>
      </c>
      <c r="G561" s="25" t="s">
        <v>1178</v>
      </c>
      <c r="H561" s="25">
        <v>2019100</v>
      </c>
      <c r="I561" s="25" t="s">
        <v>19</v>
      </c>
      <c r="J561" s="25" t="s">
        <v>20</v>
      </c>
      <c r="K561" s="25" t="s">
        <v>25</v>
      </c>
      <c r="L561" s="25">
        <v>0</v>
      </c>
      <c r="M561" s="25">
        <v>5.28</v>
      </c>
      <c r="N561" s="25">
        <v>0</v>
      </c>
      <c r="O561" s="25">
        <v>87.44</v>
      </c>
      <c r="P561" s="25">
        <v>92.717600000000004</v>
      </c>
      <c r="Q561" s="25">
        <f t="shared" si="16"/>
        <v>146692.7176</v>
      </c>
      <c r="R561" s="25">
        <f t="shared" si="17"/>
        <v>0</v>
      </c>
    </row>
    <row r="562" spans="1:18" hidden="1" x14ac:dyDescent="0.25">
      <c r="A562" s="26">
        <v>43612</v>
      </c>
      <c r="B562" s="25" t="s">
        <v>981</v>
      </c>
      <c r="C562" s="25" t="s">
        <v>17</v>
      </c>
      <c r="D562" s="25">
        <v>500</v>
      </c>
      <c r="E562" s="25">
        <v>156</v>
      </c>
      <c r="F562" s="25">
        <v>78000</v>
      </c>
      <c r="G562" s="25" t="s">
        <v>1179</v>
      </c>
      <c r="H562" s="25">
        <v>2019099</v>
      </c>
      <c r="I562" s="25" t="s">
        <v>19</v>
      </c>
      <c r="J562" s="25" t="s">
        <v>20</v>
      </c>
      <c r="K562" s="25" t="s">
        <v>25</v>
      </c>
      <c r="L562" s="25">
        <v>0</v>
      </c>
      <c r="M562" s="25">
        <v>2.81</v>
      </c>
      <c r="N562" s="25">
        <v>0</v>
      </c>
      <c r="O562" s="25">
        <v>46.53</v>
      </c>
      <c r="P562" s="25">
        <v>49.338000000000001</v>
      </c>
      <c r="Q562" s="25">
        <f t="shared" si="16"/>
        <v>78049.338000000003</v>
      </c>
      <c r="R562" s="25">
        <f t="shared" si="17"/>
        <v>0</v>
      </c>
    </row>
    <row r="563" spans="1:18" hidden="1" x14ac:dyDescent="0.25">
      <c r="A563" s="26">
        <v>43612</v>
      </c>
      <c r="B563" s="25" t="s">
        <v>981</v>
      </c>
      <c r="C563" s="25" t="s">
        <v>23</v>
      </c>
      <c r="D563" s="25">
        <v>700</v>
      </c>
      <c r="E563" s="25">
        <v>158.9</v>
      </c>
      <c r="F563" s="25">
        <v>111230</v>
      </c>
      <c r="G563" s="25" t="s">
        <v>1180</v>
      </c>
      <c r="H563" s="25">
        <v>2019099</v>
      </c>
      <c r="I563" s="25" t="s">
        <v>19</v>
      </c>
      <c r="J563" s="25" t="s">
        <v>20</v>
      </c>
      <c r="K563" s="25" t="s">
        <v>25</v>
      </c>
      <c r="L563" s="25">
        <v>27.48</v>
      </c>
      <c r="M563" s="25">
        <v>4</v>
      </c>
      <c r="N563" s="25">
        <v>0</v>
      </c>
      <c r="O563" s="25">
        <v>66.349999999999994</v>
      </c>
      <c r="P563" s="25">
        <v>97.834299999999999</v>
      </c>
      <c r="Q563" s="25">
        <f t="shared" si="16"/>
        <v>0</v>
      </c>
      <c r="R563" s="25">
        <f t="shared" si="17"/>
        <v>111132.1657</v>
      </c>
    </row>
    <row r="564" spans="1:18" hidden="1" x14ac:dyDescent="0.25">
      <c r="A564" s="26">
        <v>43612</v>
      </c>
      <c r="B564" s="25" t="s">
        <v>237</v>
      </c>
      <c r="C564" s="25" t="s">
        <v>17</v>
      </c>
      <c r="D564" s="25">
        <v>500</v>
      </c>
      <c r="E564" s="25">
        <v>281.60000000000002</v>
      </c>
      <c r="F564" s="25">
        <v>140800</v>
      </c>
      <c r="G564" s="25" t="s">
        <v>1181</v>
      </c>
      <c r="H564" s="25">
        <v>2019099</v>
      </c>
      <c r="I564" s="25" t="s">
        <v>19</v>
      </c>
      <c r="J564" s="25" t="s">
        <v>20</v>
      </c>
      <c r="K564" s="25" t="s">
        <v>25</v>
      </c>
      <c r="L564" s="25">
        <v>0</v>
      </c>
      <c r="M564" s="25">
        <v>5.07</v>
      </c>
      <c r="N564" s="25">
        <v>0</v>
      </c>
      <c r="O564" s="25">
        <v>83.98</v>
      </c>
      <c r="P564" s="25">
        <v>89.0488</v>
      </c>
      <c r="Q564" s="25">
        <f t="shared" si="16"/>
        <v>140889.04879999999</v>
      </c>
      <c r="R564" s="25">
        <f t="shared" si="17"/>
        <v>0</v>
      </c>
    </row>
    <row r="565" spans="1:18" hidden="1" x14ac:dyDescent="0.25">
      <c r="A565" s="26">
        <v>43612</v>
      </c>
      <c r="B565" s="25" t="s">
        <v>237</v>
      </c>
      <c r="C565" s="25" t="s">
        <v>23</v>
      </c>
      <c r="D565" s="25">
        <v>500</v>
      </c>
      <c r="E565" s="25">
        <v>286</v>
      </c>
      <c r="F565" s="25">
        <v>143000</v>
      </c>
      <c r="G565" s="25" t="s">
        <v>1182</v>
      </c>
      <c r="H565" s="25">
        <v>2019099</v>
      </c>
      <c r="I565" s="25" t="s">
        <v>19</v>
      </c>
      <c r="J565" s="25" t="s">
        <v>20</v>
      </c>
      <c r="K565" s="25" t="s">
        <v>25</v>
      </c>
      <c r="L565" s="25">
        <v>35.479999999999997</v>
      </c>
      <c r="M565" s="25">
        <v>5.15</v>
      </c>
      <c r="N565" s="25">
        <v>0</v>
      </c>
      <c r="O565" s="25">
        <v>85.3</v>
      </c>
      <c r="P565" s="25">
        <v>125.928</v>
      </c>
      <c r="Q565" s="25">
        <f t="shared" si="16"/>
        <v>0</v>
      </c>
      <c r="R565" s="25">
        <f t="shared" si="17"/>
        <v>142874.07199999999</v>
      </c>
    </row>
    <row r="566" spans="1:18" hidden="1" x14ac:dyDescent="0.25">
      <c r="A566" s="26">
        <v>43612</v>
      </c>
      <c r="B566" s="25" t="s">
        <v>981</v>
      </c>
      <c r="C566" s="25" t="s">
        <v>17</v>
      </c>
      <c r="D566" s="25">
        <v>100</v>
      </c>
      <c r="E566" s="25">
        <v>157.44999999999999</v>
      </c>
      <c r="F566" s="25">
        <v>15745</v>
      </c>
      <c r="G566" s="25" t="s">
        <v>1183</v>
      </c>
      <c r="H566" s="25">
        <v>2019099</v>
      </c>
      <c r="I566" s="25" t="s">
        <v>19</v>
      </c>
      <c r="J566" s="25" t="s">
        <v>20</v>
      </c>
      <c r="K566" s="25" t="s">
        <v>25</v>
      </c>
      <c r="L566" s="25">
        <v>0</v>
      </c>
      <c r="M566" s="25">
        <v>0.56999999999999995</v>
      </c>
      <c r="N566" s="25">
        <v>0</v>
      </c>
      <c r="O566" s="25">
        <v>29.6</v>
      </c>
      <c r="P566" s="25">
        <v>30.166799999999999</v>
      </c>
      <c r="Q566" s="25">
        <f t="shared" si="16"/>
        <v>15775.166800000001</v>
      </c>
      <c r="R566" s="25">
        <f t="shared" si="17"/>
        <v>0</v>
      </c>
    </row>
    <row r="567" spans="1:18" hidden="1" x14ac:dyDescent="0.25">
      <c r="A567" s="26">
        <v>43612</v>
      </c>
      <c r="B567" s="25" t="s">
        <v>981</v>
      </c>
      <c r="C567" s="25" t="s">
        <v>17</v>
      </c>
      <c r="D567" s="25">
        <v>100</v>
      </c>
      <c r="E567" s="25">
        <v>157.25</v>
      </c>
      <c r="F567" s="25">
        <v>15725</v>
      </c>
      <c r="G567" s="25" t="s">
        <v>1184</v>
      </c>
      <c r="H567" s="25">
        <v>2019099</v>
      </c>
      <c r="I567" s="25" t="s">
        <v>19</v>
      </c>
      <c r="J567" s="25" t="s">
        <v>20</v>
      </c>
      <c r="K567" s="25" t="s">
        <v>25</v>
      </c>
      <c r="L567" s="25">
        <v>0</v>
      </c>
      <c r="M567" s="25">
        <v>0.56999999999999995</v>
      </c>
      <c r="N567" s="25">
        <v>25.5</v>
      </c>
      <c r="O567" s="25">
        <v>29.6</v>
      </c>
      <c r="P567" s="25">
        <v>55.6661</v>
      </c>
      <c r="Q567" s="25">
        <f t="shared" si="16"/>
        <v>15780.6661</v>
      </c>
      <c r="R567" s="25">
        <f t="shared" si="17"/>
        <v>0</v>
      </c>
    </row>
    <row r="568" spans="1:18" hidden="1" x14ac:dyDescent="0.25">
      <c r="A568" s="26">
        <v>43612</v>
      </c>
      <c r="B568" s="25" t="s">
        <v>849</v>
      </c>
      <c r="C568" s="25" t="s">
        <v>17</v>
      </c>
      <c r="D568" s="25">
        <v>1000</v>
      </c>
      <c r="E568" s="25">
        <v>152</v>
      </c>
      <c r="F568" s="25">
        <v>151997.5</v>
      </c>
      <c r="G568" s="25" t="s">
        <v>1185</v>
      </c>
      <c r="H568" s="25">
        <v>2019099</v>
      </c>
      <c r="I568" s="25" t="s">
        <v>19</v>
      </c>
      <c r="J568" s="25" t="s">
        <v>20</v>
      </c>
      <c r="K568" s="25" t="s">
        <v>25</v>
      </c>
      <c r="L568" s="25">
        <v>0</v>
      </c>
      <c r="M568" s="25">
        <v>5.47</v>
      </c>
      <c r="N568" s="25">
        <v>0</v>
      </c>
      <c r="O568" s="25">
        <v>90.66</v>
      </c>
      <c r="P568" s="25">
        <v>96.131900000000002</v>
      </c>
      <c r="Q568" s="25">
        <f t="shared" si="16"/>
        <v>152093.63190000001</v>
      </c>
      <c r="R568" s="25">
        <f t="shared" si="17"/>
        <v>0</v>
      </c>
    </row>
    <row r="569" spans="1:18" hidden="1" x14ac:dyDescent="0.25">
      <c r="A569" s="26">
        <v>43612</v>
      </c>
      <c r="B569" s="25" t="s">
        <v>849</v>
      </c>
      <c r="C569" s="25" t="s">
        <v>23</v>
      </c>
      <c r="D569" s="25">
        <v>1000</v>
      </c>
      <c r="E569" s="25">
        <v>152.5</v>
      </c>
      <c r="F569" s="25">
        <v>152500</v>
      </c>
      <c r="G569" s="25" t="s">
        <v>1186</v>
      </c>
      <c r="H569" s="25">
        <v>2019099</v>
      </c>
      <c r="I569" s="25" t="s">
        <v>19</v>
      </c>
      <c r="J569" s="25" t="s">
        <v>20</v>
      </c>
      <c r="K569" s="25" t="s">
        <v>25</v>
      </c>
      <c r="L569" s="25">
        <v>38.06</v>
      </c>
      <c r="M569" s="25">
        <v>5.49</v>
      </c>
      <c r="N569" s="25">
        <v>0</v>
      </c>
      <c r="O569" s="25">
        <v>90.96</v>
      </c>
      <c r="P569" s="25">
        <v>134.51</v>
      </c>
      <c r="Q569" s="25">
        <f t="shared" si="16"/>
        <v>0</v>
      </c>
      <c r="R569" s="25">
        <f t="shared" si="17"/>
        <v>152365.49</v>
      </c>
    </row>
    <row r="570" spans="1:18" hidden="1" x14ac:dyDescent="0.25">
      <c r="A570" s="26">
        <v>43612</v>
      </c>
      <c r="B570" s="25" t="s">
        <v>16</v>
      </c>
      <c r="C570" s="25" t="s">
        <v>17</v>
      </c>
      <c r="D570" s="25">
        <v>500</v>
      </c>
      <c r="E570" s="25">
        <v>30.5</v>
      </c>
      <c r="F570" s="25">
        <v>15250</v>
      </c>
      <c r="G570" s="25" t="s">
        <v>1187</v>
      </c>
      <c r="H570" s="25">
        <v>2019099</v>
      </c>
      <c r="I570" s="25" t="s">
        <v>19</v>
      </c>
      <c r="J570" s="25" t="s">
        <v>20</v>
      </c>
      <c r="K570" s="25" t="s">
        <v>25</v>
      </c>
      <c r="L570" s="25">
        <v>0</v>
      </c>
      <c r="M570" s="25">
        <v>0.55000000000000004</v>
      </c>
      <c r="N570" s="25">
        <v>0</v>
      </c>
      <c r="O570" s="25">
        <v>70.900000000000006</v>
      </c>
      <c r="P570" s="25">
        <v>71.449100000000001</v>
      </c>
      <c r="Q570" s="25">
        <f t="shared" si="16"/>
        <v>15321.4491</v>
      </c>
      <c r="R570" s="25">
        <f t="shared" si="17"/>
        <v>0</v>
      </c>
    </row>
    <row r="571" spans="1:18" hidden="1" x14ac:dyDescent="0.25">
      <c r="A571" s="26">
        <v>43612</v>
      </c>
      <c r="B571" s="25" t="s">
        <v>16</v>
      </c>
      <c r="C571" s="25" t="s">
        <v>23</v>
      </c>
      <c r="D571" s="25">
        <v>500</v>
      </c>
      <c r="E571" s="25">
        <v>31.5</v>
      </c>
      <c r="F571" s="25">
        <v>15750</v>
      </c>
      <c r="G571" s="25" t="s">
        <v>1188</v>
      </c>
      <c r="H571" s="25">
        <v>2019099</v>
      </c>
      <c r="I571" s="25" t="s">
        <v>19</v>
      </c>
      <c r="J571" s="25" t="s">
        <v>20</v>
      </c>
      <c r="K571" s="25" t="s">
        <v>25</v>
      </c>
      <c r="L571" s="25">
        <v>3.88</v>
      </c>
      <c r="M571" s="25">
        <v>0.56999999999999995</v>
      </c>
      <c r="N571" s="25">
        <v>0</v>
      </c>
      <c r="O571" s="25">
        <v>29.6</v>
      </c>
      <c r="P571" s="25">
        <v>34.046999999999997</v>
      </c>
      <c r="Q571" s="25">
        <f t="shared" si="16"/>
        <v>0</v>
      </c>
      <c r="R571" s="25">
        <f t="shared" si="17"/>
        <v>15715.953</v>
      </c>
    </row>
    <row r="572" spans="1:18" hidden="1" x14ac:dyDescent="0.25">
      <c r="A572" s="26">
        <v>43612</v>
      </c>
      <c r="B572" s="25" t="s">
        <v>16</v>
      </c>
      <c r="C572" s="25" t="s">
        <v>17</v>
      </c>
      <c r="D572" s="25">
        <v>100</v>
      </c>
      <c r="E572" s="25">
        <v>31.5</v>
      </c>
      <c r="F572" s="25">
        <v>3150</v>
      </c>
      <c r="G572" s="25" t="s">
        <v>1189</v>
      </c>
      <c r="H572" s="25">
        <v>2019099</v>
      </c>
      <c r="I572" s="25" t="s">
        <v>19</v>
      </c>
      <c r="J572" s="25" t="s">
        <v>20</v>
      </c>
      <c r="K572" s="25" t="s">
        <v>25</v>
      </c>
      <c r="L572" s="25">
        <v>3.1</v>
      </c>
      <c r="M572" s="25">
        <v>0.11</v>
      </c>
      <c r="N572" s="25">
        <v>0</v>
      </c>
      <c r="O572" s="25">
        <v>29.52</v>
      </c>
      <c r="P572" s="25">
        <v>32.733400000000003</v>
      </c>
      <c r="Q572" s="25">
        <f t="shared" si="16"/>
        <v>3182.7334000000001</v>
      </c>
      <c r="R572" s="25">
        <f t="shared" si="17"/>
        <v>0</v>
      </c>
    </row>
    <row r="573" spans="1:18" x14ac:dyDescent="0.25">
      <c r="A573" s="26">
        <v>43609</v>
      </c>
      <c r="B573" s="25" t="s">
        <v>100</v>
      </c>
      <c r="C573" s="25" t="s">
        <v>23</v>
      </c>
      <c r="D573" s="25">
        <v>250</v>
      </c>
      <c r="E573" s="25">
        <v>90</v>
      </c>
      <c r="F573" s="25">
        <v>22500</v>
      </c>
      <c r="G573" s="25" t="s">
        <v>1190</v>
      </c>
      <c r="H573" s="25">
        <v>2019098</v>
      </c>
      <c r="I573" s="25" t="s">
        <v>19</v>
      </c>
      <c r="J573" s="25" t="s">
        <v>20</v>
      </c>
      <c r="K573" s="25" t="s">
        <v>25</v>
      </c>
      <c r="L573" s="25">
        <v>5.84</v>
      </c>
      <c r="M573" s="25">
        <v>0.81</v>
      </c>
      <c r="N573" s="25">
        <v>0</v>
      </c>
      <c r="O573" s="25">
        <v>29.65</v>
      </c>
      <c r="P573" s="25">
        <v>36.299999999999997</v>
      </c>
      <c r="Q573" s="25">
        <f t="shared" si="16"/>
        <v>0</v>
      </c>
      <c r="R573" s="25">
        <f t="shared" si="17"/>
        <v>22463.7</v>
      </c>
    </row>
    <row r="574" spans="1:18" x14ac:dyDescent="0.25">
      <c r="A574" s="26">
        <v>43609</v>
      </c>
      <c r="B574" s="25" t="s">
        <v>100</v>
      </c>
      <c r="C574" s="25" t="s">
        <v>23</v>
      </c>
      <c r="D574" s="25">
        <v>100</v>
      </c>
      <c r="E574" s="25">
        <v>91</v>
      </c>
      <c r="F574" s="25">
        <v>9100</v>
      </c>
      <c r="G574" s="25" t="s">
        <v>1191</v>
      </c>
      <c r="H574" s="25">
        <v>2019098</v>
      </c>
      <c r="I574" s="25" t="s">
        <v>19</v>
      </c>
      <c r="J574" s="25" t="s">
        <v>20</v>
      </c>
      <c r="K574" s="25" t="s">
        <v>25</v>
      </c>
      <c r="L574" s="25">
        <v>2.34</v>
      </c>
      <c r="M574" s="25">
        <v>0.33</v>
      </c>
      <c r="N574" s="25">
        <v>0</v>
      </c>
      <c r="O574" s="25">
        <v>29.56</v>
      </c>
      <c r="P574" s="25">
        <v>32.227600000000002</v>
      </c>
      <c r="Q574" s="25">
        <f t="shared" si="16"/>
        <v>0</v>
      </c>
      <c r="R574" s="25">
        <f t="shared" si="17"/>
        <v>9067.7723999999998</v>
      </c>
    </row>
    <row r="575" spans="1:18" x14ac:dyDescent="0.25">
      <c r="A575" s="26">
        <v>43609</v>
      </c>
      <c r="B575" s="25" t="s">
        <v>100</v>
      </c>
      <c r="C575" s="25" t="s">
        <v>23</v>
      </c>
      <c r="D575" s="25">
        <v>100</v>
      </c>
      <c r="E575" s="25">
        <v>92</v>
      </c>
      <c r="F575" s="25">
        <v>9200</v>
      </c>
      <c r="G575" s="25" t="s">
        <v>1192</v>
      </c>
      <c r="H575" s="25">
        <v>2019098</v>
      </c>
      <c r="I575" s="25" t="s">
        <v>19</v>
      </c>
      <c r="J575" s="25" t="s">
        <v>20</v>
      </c>
      <c r="K575" s="25" t="s">
        <v>25</v>
      </c>
      <c r="L575" s="25">
        <v>2.34</v>
      </c>
      <c r="M575" s="25">
        <v>0.33</v>
      </c>
      <c r="N575" s="25">
        <v>0</v>
      </c>
      <c r="O575" s="25">
        <v>29.56</v>
      </c>
      <c r="P575" s="25">
        <v>32.231200000000001</v>
      </c>
      <c r="Q575" s="25">
        <f t="shared" si="16"/>
        <v>0</v>
      </c>
      <c r="R575" s="25">
        <f t="shared" si="17"/>
        <v>9167.7687999999998</v>
      </c>
    </row>
    <row r="576" spans="1:18" x14ac:dyDescent="0.25">
      <c r="A576" s="26">
        <v>43609</v>
      </c>
      <c r="B576" s="25" t="s">
        <v>100</v>
      </c>
      <c r="C576" s="25" t="s">
        <v>23</v>
      </c>
      <c r="D576" s="25">
        <v>100</v>
      </c>
      <c r="E576" s="25">
        <v>93</v>
      </c>
      <c r="F576" s="25">
        <v>9300</v>
      </c>
      <c r="G576" s="25" t="s">
        <v>1193</v>
      </c>
      <c r="H576" s="25">
        <v>2019098</v>
      </c>
      <c r="I576" s="25" t="s">
        <v>19</v>
      </c>
      <c r="J576" s="25" t="s">
        <v>20</v>
      </c>
      <c r="K576" s="25" t="s">
        <v>25</v>
      </c>
      <c r="L576" s="25">
        <v>2.34</v>
      </c>
      <c r="M576" s="25">
        <v>0.33</v>
      </c>
      <c r="N576" s="25">
        <v>0</v>
      </c>
      <c r="O576" s="25">
        <v>29.56</v>
      </c>
      <c r="P576" s="25">
        <v>32.2348</v>
      </c>
      <c r="Q576" s="25">
        <f t="shared" si="16"/>
        <v>0</v>
      </c>
      <c r="R576" s="25">
        <f t="shared" si="17"/>
        <v>9267.7651999999998</v>
      </c>
    </row>
    <row r="577" spans="1:18" x14ac:dyDescent="0.25">
      <c r="A577" s="26">
        <v>43609</v>
      </c>
      <c r="B577" s="25" t="s">
        <v>100</v>
      </c>
      <c r="C577" s="25" t="s">
        <v>23</v>
      </c>
      <c r="D577" s="25">
        <v>200</v>
      </c>
      <c r="E577" s="25">
        <v>94.5</v>
      </c>
      <c r="F577" s="25">
        <v>18900</v>
      </c>
      <c r="G577" s="25" t="s">
        <v>1194</v>
      </c>
      <c r="H577" s="25">
        <v>2019098</v>
      </c>
      <c r="I577" s="25" t="s">
        <v>19</v>
      </c>
      <c r="J577" s="25" t="s">
        <v>20</v>
      </c>
      <c r="K577" s="25" t="s">
        <v>25</v>
      </c>
      <c r="L577" s="25">
        <v>4.78</v>
      </c>
      <c r="M577" s="25">
        <v>0.68</v>
      </c>
      <c r="N577" s="25">
        <v>18.3</v>
      </c>
      <c r="O577" s="25">
        <v>29.62</v>
      </c>
      <c r="P577" s="25">
        <v>53.380400000000002</v>
      </c>
      <c r="Q577" s="25">
        <f t="shared" si="16"/>
        <v>0</v>
      </c>
      <c r="R577" s="25">
        <f t="shared" si="17"/>
        <v>18846.619600000002</v>
      </c>
    </row>
    <row r="578" spans="1:18" x14ac:dyDescent="0.25">
      <c r="A578" s="26">
        <v>43609</v>
      </c>
      <c r="B578" s="25" t="s">
        <v>100</v>
      </c>
      <c r="C578" s="25" t="s">
        <v>17</v>
      </c>
      <c r="D578" s="25">
        <v>750</v>
      </c>
      <c r="E578" s="25">
        <v>93.75</v>
      </c>
      <c r="F578" s="25">
        <v>70312.5</v>
      </c>
      <c r="G578" s="25" t="s">
        <v>1195</v>
      </c>
      <c r="H578" s="25">
        <v>2019098</v>
      </c>
      <c r="I578" s="25" t="s">
        <v>19</v>
      </c>
      <c r="J578" s="25" t="s">
        <v>20</v>
      </c>
      <c r="K578" s="25" t="s">
        <v>25</v>
      </c>
      <c r="L578" s="25">
        <v>0</v>
      </c>
      <c r="M578" s="25">
        <v>2.5299999999999998</v>
      </c>
      <c r="N578" s="25">
        <v>0</v>
      </c>
      <c r="O578" s="25">
        <v>41.94</v>
      </c>
      <c r="P578" s="25">
        <v>44.471200000000003</v>
      </c>
      <c r="Q578" s="25">
        <f t="shared" si="16"/>
        <v>70356.9712</v>
      </c>
      <c r="R578" s="25">
        <f t="shared" si="17"/>
        <v>0</v>
      </c>
    </row>
    <row r="579" spans="1:18" x14ac:dyDescent="0.25">
      <c r="A579" s="26">
        <v>43609</v>
      </c>
      <c r="B579" s="25" t="s">
        <v>100</v>
      </c>
      <c r="C579" s="25" t="s">
        <v>23</v>
      </c>
      <c r="D579" s="25">
        <v>2500</v>
      </c>
      <c r="E579" s="25">
        <v>93.54</v>
      </c>
      <c r="F579" s="25">
        <v>233839.8</v>
      </c>
      <c r="G579" s="25" t="s">
        <v>1196</v>
      </c>
      <c r="H579" s="25">
        <v>2019098</v>
      </c>
      <c r="I579" s="25" t="s">
        <v>19</v>
      </c>
      <c r="J579" s="25" t="s">
        <v>20</v>
      </c>
      <c r="K579" s="25" t="s">
        <v>25</v>
      </c>
      <c r="L579" s="25">
        <v>58.38</v>
      </c>
      <c r="M579" s="25">
        <v>8.42</v>
      </c>
      <c r="N579" s="25">
        <v>0</v>
      </c>
      <c r="O579" s="25">
        <v>139.47</v>
      </c>
      <c r="P579" s="25">
        <v>206.26830000000001</v>
      </c>
      <c r="Q579" s="25">
        <f t="shared" ref="Q579:Q642" si="18">IF(C579="Buy",F579+P579,0)</f>
        <v>0</v>
      </c>
      <c r="R579" s="25">
        <f t="shared" ref="R579:R642" si="19">IF(C579="Sell",F579-P579,0)</f>
        <v>233633.53169999999</v>
      </c>
    </row>
    <row r="580" spans="1:18" x14ac:dyDescent="0.25">
      <c r="A580" s="26">
        <v>43609</v>
      </c>
      <c r="B580" s="25" t="s">
        <v>100</v>
      </c>
      <c r="C580" s="25" t="s">
        <v>17</v>
      </c>
      <c r="D580" s="25">
        <v>2500</v>
      </c>
      <c r="E580" s="25">
        <v>93.6</v>
      </c>
      <c r="F580" s="25">
        <v>234000</v>
      </c>
      <c r="G580" s="25" t="s">
        <v>1197</v>
      </c>
      <c r="H580" s="25">
        <v>2019098</v>
      </c>
      <c r="I580" s="25" t="s">
        <v>19</v>
      </c>
      <c r="J580" s="25" t="s">
        <v>20</v>
      </c>
      <c r="K580" s="25" t="s">
        <v>25</v>
      </c>
      <c r="L580" s="25">
        <v>0</v>
      </c>
      <c r="M580" s="25">
        <v>8.42</v>
      </c>
      <c r="N580" s="25">
        <v>0</v>
      </c>
      <c r="O580" s="25">
        <v>139.58000000000001</v>
      </c>
      <c r="P580" s="25">
        <v>148.00399999999999</v>
      </c>
      <c r="Q580" s="25">
        <f t="shared" si="18"/>
        <v>234148.00399999999</v>
      </c>
      <c r="R580" s="25">
        <f t="shared" si="19"/>
        <v>0</v>
      </c>
    </row>
    <row r="581" spans="1:18" hidden="1" x14ac:dyDescent="0.25">
      <c r="A581" s="26">
        <v>43608</v>
      </c>
      <c r="B581" s="25" t="s">
        <v>480</v>
      </c>
      <c r="C581" s="25" t="s">
        <v>23</v>
      </c>
      <c r="D581" s="25">
        <v>500</v>
      </c>
      <c r="E581" s="25">
        <v>103.5</v>
      </c>
      <c r="F581" s="25">
        <v>51750</v>
      </c>
      <c r="G581" s="25" t="s">
        <v>1198</v>
      </c>
      <c r="H581" s="25">
        <v>2019097</v>
      </c>
      <c r="I581" s="25" t="s">
        <v>19</v>
      </c>
      <c r="J581" s="25" t="s">
        <v>20</v>
      </c>
      <c r="K581" s="25" t="s">
        <v>25</v>
      </c>
      <c r="L581" s="25">
        <v>13.04</v>
      </c>
      <c r="M581" s="25">
        <v>1.86</v>
      </c>
      <c r="N581" s="25">
        <v>0</v>
      </c>
      <c r="O581" s="25">
        <v>30.87</v>
      </c>
      <c r="P581" s="25">
        <v>45.773000000000003</v>
      </c>
      <c r="Q581" s="25">
        <f t="shared" si="18"/>
        <v>0</v>
      </c>
      <c r="R581" s="25">
        <f t="shared" si="19"/>
        <v>51704.226999999999</v>
      </c>
    </row>
    <row r="582" spans="1:18" hidden="1" x14ac:dyDescent="0.25">
      <c r="A582" s="26">
        <v>43608</v>
      </c>
      <c r="B582" s="25" t="s">
        <v>480</v>
      </c>
      <c r="C582" s="25" t="s">
        <v>23</v>
      </c>
      <c r="D582" s="25">
        <v>250</v>
      </c>
      <c r="E582" s="25">
        <v>104</v>
      </c>
      <c r="F582" s="25">
        <v>26000</v>
      </c>
      <c r="G582" s="25" t="s">
        <v>1199</v>
      </c>
      <c r="H582" s="25">
        <v>2019097</v>
      </c>
      <c r="I582" s="25" t="s">
        <v>19</v>
      </c>
      <c r="J582" s="25" t="s">
        <v>20</v>
      </c>
      <c r="K582" s="25" t="s">
        <v>25</v>
      </c>
      <c r="L582" s="25">
        <v>6.52</v>
      </c>
      <c r="M582" s="25">
        <v>0.94</v>
      </c>
      <c r="N582" s="25">
        <v>0</v>
      </c>
      <c r="O582" s="25">
        <v>29.66</v>
      </c>
      <c r="P582" s="25">
        <v>37.116</v>
      </c>
      <c r="Q582" s="25">
        <f t="shared" si="18"/>
        <v>0</v>
      </c>
      <c r="R582" s="25">
        <f t="shared" si="19"/>
        <v>25962.883999999998</v>
      </c>
    </row>
    <row r="583" spans="1:18" hidden="1" x14ac:dyDescent="0.25">
      <c r="A583" s="26">
        <v>43608</v>
      </c>
      <c r="B583" s="25" t="s">
        <v>270</v>
      </c>
      <c r="C583" s="25" t="s">
        <v>23</v>
      </c>
      <c r="D583" s="25">
        <v>100</v>
      </c>
      <c r="E583" s="25">
        <v>134</v>
      </c>
      <c r="F583" s="25">
        <v>13400</v>
      </c>
      <c r="G583" s="25" t="s">
        <v>1200</v>
      </c>
      <c r="H583" s="25">
        <v>2019097</v>
      </c>
      <c r="I583" s="25" t="s">
        <v>19</v>
      </c>
      <c r="J583" s="25" t="s">
        <v>20</v>
      </c>
      <c r="K583" s="25" t="s">
        <v>25</v>
      </c>
      <c r="L583" s="25">
        <v>3.45</v>
      </c>
      <c r="M583" s="25">
        <v>0.48</v>
      </c>
      <c r="N583" s="25">
        <v>0</v>
      </c>
      <c r="O583" s="25">
        <v>29.59</v>
      </c>
      <c r="P583" s="25">
        <v>33.522399999999998</v>
      </c>
      <c r="Q583" s="25">
        <f t="shared" si="18"/>
        <v>0</v>
      </c>
      <c r="R583" s="25">
        <f t="shared" si="19"/>
        <v>13366.4776</v>
      </c>
    </row>
    <row r="584" spans="1:18" hidden="1" x14ac:dyDescent="0.25">
      <c r="A584" s="26">
        <v>43608</v>
      </c>
      <c r="B584" s="25" t="s">
        <v>270</v>
      </c>
      <c r="C584" s="25" t="s">
        <v>23</v>
      </c>
      <c r="D584" s="25">
        <v>200</v>
      </c>
      <c r="E584" s="25">
        <v>136.5</v>
      </c>
      <c r="F584" s="25">
        <v>27300</v>
      </c>
      <c r="G584" s="25" t="s">
        <v>1201</v>
      </c>
      <c r="H584" s="25">
        <v>2019097</v>
      </c>
      <c r="I584" s="25" t="s">
        <v>19</v>
      </c>
      <c r="J584" s="25" t="s">
        <v>20</v>
      </c>
      <c r="K584" s="25" t="s">
        <v>25</v>
      </c>
      <c r="L584" s="25">
        <v>6.91</v>
      </c>
      <c r="M584" s="25">
        <v>0.98</v>
      </c>
      <c r="N584" s="25">
        <v>0</v>
      </c>
      <c r="O584" s="25">
        <v>29.67</v>
      </c>
      <c r="P584" s="25">
        <v>37.562800000000003</v>
      </c>
      <c r="Q584" s="25">
        <f t="shared" si="18"/>
        <v>0</v>
      </c>
      <c r="R584" s="25">
        <f t="shared" si="19"/>
        <v>27262.4372</v>
      </c>
    </row>
    <row r="585" spans="1:18" hidden="1" x14ac:dyDescent="0.25">
      <c r="A585" s="26">
        <v>43608</v>
      </c>
      <c r="B585" s="25" t="s">
        <v>270</v>
      </c>
      <c r="C585" s="25" t="s">
        <v>23</v>
      </c>
      <c r="D585" s="25">
        <v>200</v>
      </c>
      <c r="E585" s="25">
        <v>138.5</v>
      </c>
      <c r="F585" s="25">
        <v>27700</v>
      </c>
      <c r="G585" s="25" t="s">
        <v>1202</v>
      </c>
      <c r="H585" s="25">
        <v>2019097</v>
      </c>
      <c r="I585" s="25" t="s">
        <v>19</v>
      </c>
      <c r="J585" s="25" t="s">
        <v>20</v>
      </c>
      <c r="K585" s="25" t="s">
        <v>25</v>
      </c>
      <c r="L585" s="25">
        <v>6.91</v>
      </c>
      <c r="M585" s="25">
        <v>1</v>
      </c>
      <c r="N585" s="25">
        <v>0</v>
      </c>
      <c r="O585" s="25">
        <v>29.68</v>
      </c>
      <c r="P585" s="25">
        <v>37.587200000000003</v>
      </c>
      <c r="Q585" s="25">
        <f t="shared" si="18"/>
        <v>0</v>
      </c>
      <c r="R585" s="25">
        <f t="shared" si="19"/>
        <v>27662.412799999998</v>
      </c>
    </row>
    <row r="586" spans="1:18" hidden="1" x14ac:dyDescent="0.25">
      <c r="A586" s="26">
        <v>43608</v>
      </c>
      <c r="B586" s="25" t="s">
        <v>480</v>
      </c>
      <c r="C586" s="25" t="s">
        <v>23</v>
      </c>
      <c r="D586" s="25">
        <v>250</v>
      </c>
      <c r="E586" s="25">
        <v>106</v>
      </c>
      <c r="F586" s="25">
        <v>26500</v>
      </c>
      <c r="G586" s="25" t="s">
        <v>1203</v>
      </c>
      <c r="H586" s="25">
        <v>2019097</v>
      </c>
      <c r="I586" s="25" t="s">
        <v>19</v>
      </c>
      <c r="J586" s="25" t="s">
        <v>20</v>
      </c>
      <c r="K586" s="25" t="s">
        <v>25</v>
      </c>
      <c r="L586" s="25">
        <v>6.5</v>
      </c>
      <c r="M586" s="25">
        <v>0.95</v>
      </c>
      <c r="N586" s="25">
        <v>15.9</v>
      </c>
      <c r="O586" s="25">
        <v>29.67</v>
      </c>
      <c r="P586" s="25">
        <v>53.024000000000001</v>
      </c>
      <c r="Q586" s="25">
        <f t="shared" si="18"/>
        <v>0</v>
      </c>
      <c r="R586" s="25">
        <f t="shared" si="19"/>
        <v>26446.975999999999</v>
      </c>
    </row>
    <row r="587" spans="1:18" hidden="1" x14ac:dyDescent="0.25">
      <c r="A587" s="26">
        <v>43608</v>
      </c>
      <c r="B587" s="25" t="s">
        <v>270</v>
      </c>
      <c r="C587" s="25" t="s">
        <v>23</v>
      </c>
      <c r="D587" s="25">
        <v>250</v>
      </c>
      <c r="E587" s="25">
        <v>143</v>
      </c>
      <c r="F587" s="25">
        <v>35750</v>
      </c>
      <c r="G587" s="25" t="s">
        <v>1204</v>
      </c>
      <c r="H587" s="25">
        <v>2019097</v>
      </c>
      <c r="I587" s="25" t="s">
        <v>19</v>
      </c>
      <c r="J587" s="25" t="s">
        <v>20</v>
      </c>
      <c r="K587" s="25" t="s">
        <v>25</v>
      </c>
      <c r="L587" s="25">
        <v>8.64</v>
      </c>
      <c r="M587" s="25">
        <v>1.29</v>
      </c>
      <c r="N587" s="25">
        <v>0</v>
      </c>
      <c r="O587" s="25">
        <v>29.72</v>
      </c>
      <c r="P587" s="25">
        <v>39.646999999999998</v>
      </c>
      <c r="Q587" s="25">
        <f t="shared" si="18"/>
        <v>0</v>
      </c>
      <c r="R587" s="25">
        <f t="shared" si="19"/>
        <v>35710.353000000003</v>
      </c>
    </row>
    <row r="588" spans="1:18" hidden="1" x14ac:dyDescent="0.25">
      <c r="A588" s="26">
        <v>43608</v>
      </c>
      <c r="B588" s="25" t="s">
        <v>270</v>
      </c>
      <c r="C588" s="25" t="s">
        <v>17</v>
      </c>
      <c r="D588" s="25">
        <v>750</v>
      </c>
      <c r="E588" s="25">
        <v>137.5</v>
      </c>
      <c r="F588" s="25">
        <v>103125</v>
      </c>
      <c r="G588" s="25" t="s">
        <v>1205</v>
      </c>
      <c r="H588" s="25">
        <v>2019097</v>
      </c>
      <c r="I588" s="25" t="s">
        <v>19</v>
      </c>
      <c r="J588" s="25" t="s">
        <v>20</v>
      </c>
      <c r="K588" s="25" t="s">
        <v>25</v>
      </c>
      <c r="L588" s="25">
        <v>0</v>
      </c>
      <c r="M588" s="25">
        <v>3.71</v>
      </c>
      <c r="N588" s="25">
        <v>0</v>
      </c>
      <c r="O588" s="25">
        <v>61.51</v>
      </c>
      <c r="P588" s="25">
        <v>65.222499999999997</v>
      </c>
      <c r="Q588" s="25">
        <f t="shared" si="18"/>
        <v>103190.2225</v>
      </c>
      <c r="R588" s="25">
        <f t="shared" si="19"/>
        <v>0</v>
      </c>
    </row>
    <row r="589" spans="1:18" hidden="1" x14ac:dyDescent="0.25">
      <c r="A589" s="26">
        <v>43608</v>
      </c>
      <c r="B589" s="25" t="s">
        <v>480</v>
      </c>
      <c r="C589" s="25" t="s">
        <v>17</v>
      </c>
      <c r="D589" s="25">
        <v>1500</v>
      </c>
      <c r="E589" s="25">
        <v>103.5</v>
      </c>
      <c r="F589" s="25">
        <v>155250</v>
      </c>
      <c r="G589" s="25" t="s">
        <v>1206</v>
      </c>
      <c r="H589" s="25">
        <v>2019097</v>
      </c>
      <c r="I589" s="25" t="s">
        <v>19</v>
      </c>
      <c r="J589" s="25" t="s">
        <v>20</v>
      </c>
      <c r="K589" s="25" t="s">
        <v>25</v>
      </c>
      <c r="L589" s="25">
        <v>0</v>
      </c>
      <c r="M589" s="25">
        <v>5.59</v>
      </c>
      <c r="N589" s="25">
        <v>0</v>
      </c>
      <c r="O589" s="25">
        <v>92.6</v>
      </c>
      <c r="P589" s="25">
        <v>98.189099999999996</v>
      </c>
      <c r="Q589" s="25">
        <f t="shared" si="18"/>
        <v>155348.18909999999</v>
      </c>
      <c r="R589" s="25">
        <f t="shared" si="19"/>
        <v>0</v>
      </c>
    </row>
    <row r="590" spans="1:18" hidden="1" x14ac:dyDescent="0.25">
      <c r="A590" s="26">
        <v>43608</v>
      </c>
      <c r="B590" s="25" t="s">
        <v>480</v>
      </c>
      <c r="C590" s="25" t="s">
        <v>23</v>
      </c>
      <c r="D590" s="25">
        <v>500</v>
      </c>
      <c r="E590" s="25">
        <v>106.7</v>
      </c>
      <c r="F590" s="25">
        <v>53350</v>
      </c>
      <c r="G590" s="25" t="s">
        <v>1207</v>
      </c>
      <c r="H590" s="25">
        <v>2019097</v>
      </c>
      <c r="I590" s="25" t="s">
        <v>19</v>
      </c>
      <c r="J590" s="25" t="s">
        <v>20</v>
      </c>
      <c r="K590" s="25" t="s">
        <v>25</v>
      </c>
      <c r="L590" s="25">
        <v>13.04</v>
      </c>
      <c r="M590" s="25">
        <v>1.92</v>
      </c>
      <c r="N590" s="25">
        <v>0</v>
      </c>
      <c r="O590" s="25">
        <v>31.82</v>
      </c>
      <c r="P590" s="25">
        <v>46.780700000000003</v>
      </c>
      <c r="Q590" s="25">
        <f t="shared" si="18"/>
        <v>0</v>
      </c>
      <c r="R590" s="25">
        <f t="shared" si="19"/>
        <v>53303.219299999997</v>
      </c>
    </row>
    <row r="591" spans="1:18" hidden="1" x14ac:dyDescent="0.25">
      <c r="A591" s="26">
        <v>43607</v>
      </c>
      <c r="B591" s="25" t="s">
        <v>16</v>
      </c>
      <c r="C591" s="25" t="s">
        <v>17</v>
      </c>
      <c r="D591" s="25">
        <v>1000</v>
      </c>
      <c r="E591" s="25">
        <v>28.5</v>
      </c>
      <c r="F591" s="25">
        <v>28500</v>
      </c>
      <c r="G591" s="25" t="s">
        <v>1208</v>
      </c>
      <c r="H591" s="25">
        <v>2019096</v>
      </c>
      <c r="I591" s="25" t="s">
        <v>19</v>
      </c>
      <c r="J591" s="25" t="s">
        <v>20</v>
      </c>
      <c r="K591" s="25" t="s">
        <v>25</v>
      </c>
      <c r="L591" s="25">
        <v>0</v>
      </c>
      <c r="M591" s="25">
        <v>1.03</v>
      </c>
      <c r="N591" s="25">
        <v>0</v>
      </c>
      <c r="O591" s="25">
        <v>29.68</v>
      </c>
      <c r="P591" s="25">
        <v>30.706</v>
      </c>
      <c r="Q591" s="25">
        <f t="shared" si="18"/>
        <v>28530.705999999998</v>
      </c>
      <c r="R591" s="25">
        <f t="shared" si="19"/>
        <v>0</v>
      </c>
    </row>
    <row r="592" spans="1:18" hidden="1" x14ac:dyDescent="0.25">
      <c r="A592" s="26">
        <v>43607</v>
      </c>
      <c r="B592" s="25" t="s">
        <v>981</v>
      </c>
      <c r="C592" s="25" t="s">
        <v>17</v>
      </c>
      <c r="D592" s="25">
        <v>500</v>
      </c>
      <c r="E592" s="25">
        <v>154</v>
      </c>
      <c r="F592" s="25">
        <v>77000</v>
      </c>
      <c r="G592" s="25" t="s">
        <v>1209</v>
      </c>
      <c r="H592" s="25">
        <v>2019096</v>
      </c>
      <c r="I592" s="25" t="s">
        <v>19</v>
      </c>
      <c r="J592" s="25" t="s">
        <v>20</v>
      </c>
      <c r="K592" s="25" t="s">
        <v>25</v>
      </c>
      <c r="L592" s="25">
        <v>0</v>
      </c>
      <c r="M592" s="25">
        <v>2.77</v>
      </c>
      <c r="N592" s="25">
        <v>0</v>
      </c>
      <c r="O592" s="25">
        <v>45.93</v>
      </c>
      <c r="P592" s="25">
        <v>48.701999999999998</v>
      </c>
      <c r="Q592" s="25">
        <f t="shared" si="18"/>
        <v>77048.702000000005</v>
      </c>
      <c r="R592" s="25">
        <f t="shared" si="19"/>
        <v>0</v>
      </c>
    </row>
    <row r="593" spans="1:18" hidden="1" x14ac:dyDescent="0.25">
      <c r="A593" s="26">
        <v>43607</v>
      </c>
      <c r="B593" s="25" t="s">
        <v>849</v>
      </c>
      <c r="C593" s="25" t="s">
        <v>23</v>
      </c>
      <c r="D593" s="25">
        <v>250</v>
      </c>
      <c r="E593" s="25">
        <v>147</v>
      </c>
      <c r="F593" s="25">
        <v>36750</v>
      </c>
      <c r="G593" s="25" t="s">
        <v>1210</v>
      </c>
      <c r="H593" s="25">
        <v>2019096</v>
      </c>
      <c r="I593" s="25" t="s">
        <v>19</v>
      </c>
      <c r="J593" s="25" t="s">
        <v>20</v>
      </c>
      <c r="K593" s="25" t="s">
        <v>25</v>
      </c>
      <c r="L593" s="25">
        <v>9.75</v>
      </c>
      <c r="M593" s="25">
        <v>1.32</v>
      </c>
      <c r="N593" s="25">
        <v>0</v>
      </c>
      <c r="O593" s="25">
        <v>29.74</v>
      </c>
      <c r="P593" s="25">
        <v>40.813099999999999</v>
      </c>
      <c r="Q593" s="25">
        <f t="shared" si="18"/>
        <v>0</v>
      </c>
      <c r="R593" s="25">
        <f t="shared" si="19"/>
        <v>36709.186900000001</v>
      </c>
    </row>
    <row r="594" spans="1:18" hidden="1" x14ac:dyDescent="0.25">
      <c r="A594" s="26">
        <v>43607</v>
      </c>
      <c r="B594" s="25" t="s">
        <v>849</v>
      </c>
      <c r="C594" s="25" t="s">
        <v>23</v>
      </c>
      <c r="D594" s="25">
        <v>500</v>
      </c>
      <c r="E594" s="25">
        <v>162</v>
      </c>
      <c r="F594" s="25">
        <v>81000</v>
      </c>
      <c r="G594" s="25" t="s">
        <v>1211</v>
      </c>
      <c r="H594" s="25">
        <v>2019096</v>
      </c>
      <c r="I594" s="25" t="s">
        <v>19</v>
      </c>
      <c r="J594" s="25" t="s">
        <v>20</v>
      </c>
      <c r="K594" s="25" t="s">
        <v>25</v>
      </c>
      <c r="L594" s="25">
        <v>19.5</v>
      </c>
      <c r="M594" s="25">
        <v>2.92</v>
      </c>
      <c r="N594" s="25">
        <v>0</v>
      </c>
      <c r="O594" s="25">
        <v>48.31</v>
      </c>
      <c r="P594" s="25">
        <v>70.726200000000006</v>
      </c>
      <c r="Q594" s="25">
        <f t="shared" si="18"/>
        <v>0</v>
      </c>
      <c r="R594" s="25">
        <f t="shared" si="19"/>
        <v>80929.273799999995</v>
      </c>
    </row>
    <row r="595" spans="1:18" hidden="1" x14ac:dyDescent="0.25">
      <c r="A595" s="26">
        <v>43607</v>
      </c>
      <c r="B595" s="25" t="s">
        <v>981</v>
      </c>
      <c r="C595" s="25" t="s">
        <v>23</v>
      </c>
      <c r="D595" s="25">
        <v>500</v>
      </c>
      <c r="E595" s="25">
        <v>155</v>
      </c>
      <c r="F595" s="25">
        <v>77500</v>
      </c>
      <c r="G595" s="25" t="s">
        <v>1212</v>
      </c>
      <c r="H595" s="25">
        <v>2019096</v>
      </c>
      <c r="I595" s="25" t="s">
        <v>19</v>
      </c>
      <c r="J595" s="25" t="s">
        <v>20</v>
      </c>
      <c r="K595" s="25" t="s">
        <v>25</v>
      </c>
      <c r="L595" s="25">
        <v>19.010000000000002</v>
      </c>
      <c r="M595" s="25">
        <v>2.79</v>
      </c>
      <c r="N595" s="25">
        <v>13.5</v>
      </c>
      <c r="O595" s="25">
        <v>46.21</v>
      </c>
      <c r="P595" s="25">
        <v>81.510800000000003</v>
      </c>
      <c r="Q595" s="25">
        <f t="shared" si="18"/>
        <v>0</v>
      </c>
      <c r="R595" s="25">
        <f t="shared" si="19"/>
        <v>77418.489199999996</v>
      </c>
    </row>
    <row r="596" spans="1:18" hidden="1" x14ac:dyDescent="0.25">
      <c r="A596" s="26">
        <v>43607</v>
      </c>
      <c r="B596" s="25" t="s">
        <v>16</v>
      </c>
      <c r="C596" s="25" t="s">
        <v>23</v>
      </c>
      <c r="D596" s="25">
        <v>1000</v>
      </c>
      <c r="E596" s="25">
        <v>29</v>
      </c>
      <c r="F596" s="25">
        <v>29000</v>
      </c>
      <c r="G596" s="25" t="s">
        <v>1213</v>
      </c>
      <c r="H596" s="25">
        <v>2019096</v>
      </c>
      <c r="I596" s="25" t="s">
        <v>19</v>
      </c>
      <c r="J596" s="25" t="s">
        <v>20</v>
      </c>
      <c r="K596" s="25" t="s">
        <v>25</v>
      </c>
      <c r="L596" s="25">
        <v>7.19</v>
      </c>
      <c r="M596" s="25">
        <v>1.04</v>
      </c>
      <c r="N596" s="25">
        <v>0</v>
      </c>
      <c r="O596" s="25">
        <v>29.69</v>
      </c>
      <c r="P596" s="25">
        <v>37.923999999999999</v>
      </c>
      <c r="Q596" s="25">
        <f t="shared" si="18"/>
        <v>0</v>
      </c>
      <c r="R596" s="25">
        <f t="shared" si="19"/>
        <v>28962.076000000001</v>
      </c>
    </row>
    <row r="597" spans="1:18" hidden="1" x14ac:dyDescent="0.25">
      <c r="A597" s="26">
        <v>43607</v>
      </c>
      <c r="B597" s="25" t="s">
        <v>849</v>
      </c>
      <c r="C597" s="25" t="s">
        <v>17</v>
      </c>
      <c r="D597" s="25">
        <v>10</v>
      </c>
      <c r="E597" s="25">
        <v>154</v>
      </c>
      <c r="F597" s="25">
        <v>1540</v>
      </c>
      <c r="G597" s="25" t="s">
        <v>1214</v>
      </c>
      <c r="H597" s="25">
        <v>2019096</v>
      </c>
      <c r="I597" s="25" t="s">
        <v>19</v>
      </c>
      <c r="J597" s="25" t="s">
        <v>20</v>
      </c>
      <c r="K597" s="25" t="s">
        <v>25</v>
      </c>
      <c r="L597" s="25">
        <v>1.56</v>
      </c>
      <c r="M597" s="25">
        <v>0.06</v>
      </c>
      <c r="N597" s="25">
        <v>0</v>
      </c>
      <c r="O597" s="25">
        <v>41.32</v>
      </c>
      <c r="P597" s="25">
        <v>42.935600000000001</v>
      </c>
      <c r="Q597" s="25">
        <f t="shared" si="18"/>
        <v>1582.9356</v>
      </c>
      <c r="R597" s="25">
        <f t="shared" si="19"/>
        <v>0</v>
      </c>
    </row>
    <row r="598" spans="1:18" hidden="1" x14ac:dyDescent="0.25">
      <c r="A598" s="26">
        <v>43607</v>
      </c>
      <c r="B598" s="25" t="s">
        <v>849</v>
      </c>
      <c r="C598" s="25" t="s">
        <v>17</v>
      </c>
      <c r="D598" s="25">
        <v>750</v>
      </c>
      <c r="E598" s="25">
        <v>155</v>
      </c>
      <c r="F598" s="25">
        <v>116250</v>
      </c>
      <c r="G598" s="25" t="s">
        <v>1215</v>
      </c>
      <c r="H598" s="25">
        <v>2019096</v>
      </c>
      <c r="I598" s="25" t="s">
        <v>19</v>
      </c>
      <c r="J598" s="25" t="s">
        <v>20</v>
      </c>
      <c r="K598" s="25" t="s">
        <v>25</v>
      </c>
      <c r="L598" s="25">
        <v>0</v>
      </c>
      <c r="M598" s="25">
        <v>4.1900000000000004</v>
      </c>
      <c r="N598" s="25">
        <v>0</v>
      </c>
      <c r="O598" s="25">
        <v>69.34</v>
      </c>
      <c r="P598" s="25">
        <v>73.525099999999995</v>
      </c>
      <c r="Q598" s="25">
        <f t="shared" si="18"/>
        <v>116323.5251</v>
      </c>
      <c r="R598" s="25">
        <f t="shared" si="19"/>
        <v>0</v>
      </c>
    </row>
    <row r="599" spans="1:18" hidden="1" x14ac:dyDescent="0.25">
      <c r="A599" s="26">
        <v>43606</v>
      </c>
      <c r="B599" s="25" t="s">
        <v>981</v>
      </c>
      <c r="C599" s="25" t="s">
        <v>23</v>
      </c>
      <c r="D599" s="25">
        <v>250</v>
      </c>
      <c r="E599" s="25">
        <v>155.25</v>
      </c>
      <c r="F599" s="25">
        <v>38812.5</v>
      </c>
      <c r="G599" s="25" t="s">
        <v>1216</v>
      </c>
      <c r="H599" s="25">
        <v>2019095</v>
      </c>
      <c r="I599" s="25" t="s">
        <v>19</v>
      </c>
      <c r="J599" s="25" t="s">
        <v>20</v>
      </c>
      <c r="K599" s="25" t="s">
        <v>25</v>
      </c>
      <c r="L599" s="25">
        <v>9.6300000000000008</v>
      </c>
      <c r="M599" s="25">
        <v>1.4</v>
      </c>
      <c r="N599" s="25">
        <v>0</v>
      </c>
      <c r="O599" s="25">
        <v>29.75</v>
      </c>
      <c r="P599" s="25">
        <v>40.777200000000001</v>
      </c>
      <c r="Q599" s="25">
        <f t="shared" si="18"/>
        <v>0</v>
      </c>
      <c r="R599" s="25">
        <f t="shared" si="19"/>
        <v>38771.722800000003</v>
      </c>
    </row>
    <row r="600" spans="1:18" hidden="1" x14ac:dyDescent="0.25">
      <c r="A600" s="26">
        <v>43606</v>
      </c>
      <c r="B600" s="25" t="s">
        <v>981</v>
      </c>
      <c r="C600" s="25" t="s">
        <v>23</v>
      </c>
      <c r="D600" s="25">
        <v>1064</v>
      </c>
      <c r="E600" s="25">
        <v>155</v>
      </c>
      <c r="F600" s="25">
        <v>164920</v>
      </c>
      <c r="G600" s="25" t="s">
        <v>1217</v>
      </c>
      <c r="H600" s="25">
        <v>2019095</v>
      </c>
      <c r="I600" s="25" t="s">
        <v>19</v>
      </c>
      <c r="J600" s="25" t="s">
        <v>20</v>
      </c>
      <c r="K600" s="25" t="s">
        <v>25</v>
      </c>
      <c r="L600" s="25">
        <v>41.37</v>
      </c>
      <c r="M600" s="25">
        <v>5.94</v>
      </c>
      <c r="N600" s="25">
        <v>12.3</v>
      </c>
      <c r="O600" s="25">
        <v>98.33</v>
      </c>
      <c r="P600" s="25">
        <v>157.93780000000001</v>
      </c>
      <c r="Q600" s="25">
        <f t="shared" si="18"/>
        <v>0</v>
      </c>
      <c r="R600" s="25">
        <f t="shared" si="19"/>
        <v>164762.06219999999</v>
      </c>
    </row>
    <row r="601" spans="1:18" hidden="1" x14ac:dyDescent="0.25">
      <c r="A601" s="26">
        <v>43606</v>
      </c>
      <c r="B601" s="25" t="s">
        <v>981</v>
      </c>
      <c r="C601" s="25" t="s">
        <v>17</v>
      </c>
      <c r="D601" s="25">
        <v>1314</v>
      </c>
      <c r="E601" s="25">
        <v>153.25</v>
      </c>
      <c r="F601" s="25">
        <v>201370.5</v>
      </c>
      <c r="G601" s="25" t="s">
        <v>1218</v>
      </c>
      <c r="H601" s="25">
        <v>2019095</v>
      </c>
      <c r="I601" s="25" t="s">
        <v>19</v>
      </c>
      <c r="J601" s="25" t="s">
        <v>20</v>
      </c>
      <c r="K601" s="25" t="s">
        <v>25</v>
      </c>
      <c r="L601" s="25">
        <v>0</v>
      </c>
      <c r="M601" s="25">
        <v>7.25</v>
      </c>
      <c r="N601" s="25">
        <v>0</v>
      </c>
      <c r="O601" s="25">
        <v>120.11</v>
      </c>
      <c r="P601" s="25">
        <v>127.35939999999999</v>
      </c>
      <c r="Q601" s="25">
        <f t="shared" si="18"/>
        <v>201497.85939999999</v>
      </c>
      <c r="R601" s="25">
        <f t="shared" si="19"/>
        <v>0</v>
      </c>
    </row>
    <row r="602" spans="1:18" hidden="1" x14ac:dyDescent="0.25">
      <c r="A602" s="26">
        <v>43605</v>
      </c>
      <c r="B602" s="25" t="s">
        <v>981</v>
      </c>
      <c r="C602" s="25" t="s">
        <v>23</v>
      </c>
      <c r="D602" s="25">
        <v>100</v>
      </c>
      <c r="E602" s="25">
        <v>155.5</v>
      </c>
      <c r="F602" s="25">
        <v>15550</v>
      </c>
      <c r="G602" s="25" t="s">
        <v>1219</v>
      </c>
      <c r="H602" s="25">
        <v>2019094</v>
      </c>
      <c r="I602" s="25" t="s">
        <v>19</v>
      </c>
      <c r="J602" s="25" t="s">
        <v>20</v>
      </c>
      <c r="K602" s="25" t="s">
        <v>25</v>
      </c>
      <c r="L602" s="25">
        <v>3.95</v>
      </c>
      <c r="M602" s="25">
        <v>0.56000000000000005</v>
      </c>
      <c r="N602" s="25">
        <v>0</v>
      </c>
      <c r="O602" s="25">
        <v>29.6</v>
      </c>
      <c r="P602" s="25">
        <v>34.109900000000003</v>
      </c>
      <c r="Q602" s="25">
        <f t="shared" si="18"/>
        <v>0</v>
      </c>
      <c r="R602" s="25">
        <f t="shared" si="19"/>
        <v>15515.890100000001</v>
      </c>
    </row>
    <row r="603" spans="1:18" hidden="1" x14ac:dyDescent="0.25">
      <c r="A603" s="26">
        <v>43605</v>
      </c>
      <c r="B603" s="25" t="s">
        <v>16</v>
      </c>
      <c r="C603" s="25" t="s">
        <v>17</v>
      </c>
      <c r="D603" s="25">
        <v>1000</v>
      </c>
      <c r="E603" s="25">
        <v>28.5</v>
      </c>
      <c r="F603" s="25">
        <v>28500</v>
      </c>
      <c r="G603" s="25" t="s">
        <v>1220</v>
      </c>
      <c r="H603" s="25">
        <v>2019094</v>
      </c>
      <c r="I603" s="25" t="s">
        <v>19</v>
      </c>
      <c r="J603" s="25" t="s">
        <v>20</v>
      </c>
      <c r="K603" s="25" t="s">
        <v>25</v>
      </c>
      <c r="L603" s="25">
        <v>0</v>
      </c>
      <c r="M603" s="25">
        <v>1.03</v>
      </c>
      <c r="N603" s="25">
        <v>0</v>
      </c>
      <c r="O603" s="25">
        <v>29.69</v>
      </c>
      <c r="P603" s="25">
        <v>30.716200000000001</v>
      </c>
      <c r="Q603" s="25">
        <f t="shared" si="18"/>
        <v>28530.716199999999</v>
      </c>
      <c r="R603" s="25">
        <f t="shared" si="19"/>
        <v>0</v>
      </c>
    </row>
    <row r="604" spans="1:18" hidden="1" x14ac:dyDescent="0.25">
      <c r="A604" s="26">
        <v>43605</v>
      </c>
      <c r="B604" s="25" t="s">
        <v>981</v>
      </c>
      <c r="C604" s="25" t="s">
        <v>23</v>
      </c>
      <c r="D604" s="25">
        <v>100</v>
      </c>
      <c r="E604" s="25">
        <v>155</v>
      </c>
      <c r="F604" s="25">
        <v>15500</v>
      </c>
      <c r="G604" s="25" t="s">
        <v>1221</v>
      </c>
      <c r="H604" s="25">
        <v>2019094</v>
      </c>
      <c r="I604" s="25" t="s">
        <v>19</v>
      </c>
      <c r="J604" s="25" t="s">
        <v>20</v>
      </c>
      <c r="K604" s="25" t="s">
        <v>25</v>
      </c>
      <c r="L604" s="25">
        <v>3.95</v>
      </c>
      <c r="M604" s="25">
        <v>0.56000000000000005</v>
      </c>
      <c r="N604" s="25">
        <v>0</v>
      </c>
      <c r="O604" s="25">
        <v>29.6</v>
      </c>
      <c r="P604" s="25">
        <v>34.107999999999997</v>
      </c>
      <c r="Q604" s="25">
        <f t="shared" si="18"/>
        <v>0</v>
      </c>
      <c r="R604" s="25">
        <f t="shared" si="19"/>
        <v>15465.892</v>
      </c>
    </row>
    <row r="605" spans="1:18" hidden="1" x14ac:dyDescent="0.25">
      <c r="A605" s="26">
        <v>43605</v>
      </c>
      <c r="B605" s="25" t="s">
        <v>16</v>
      </c>
      <c r="C605" s="25" t="s">
        <v>23</v>
      </c>
      <c r="D605" s="25">
        <v>1000</v>
      </c>
      <c r="E605" s="25">
        <v>28.65</v>
      </c>
      <c r="F605" s="25">
        <v>28650</v>
      </c>
      <c r="G605" s="25" t="s">
        <v>1222</v>
      </c>
      <c r="H605" s="25">
        <v>2019094</v>
      </c>
      <c r="I605" s="25" t="s">
        <v>19</v>
      </c>
      <c r="J605" s="25" t="s">
        <v>20</v>
      </c>
      <c r="K605" s="25" t="s">
        <v>25</v>
      </c>
      <c r="L605" s="25">
        <v>7.43</v>
      </c>
      <c r="M605" s="25">
        <v>1.03</v>
      </c>
      <c r="N605" s="25">
        <v>0</v>
      </c>
      <c r="O605" s="25">
        <v>29.69</v>
      </c>
      <c r="P605" s="25">
        <v>38.151400000000002</v>
      </c>
      <c r="Q605" s="25">
        <f t="shared" si="18"/>
        <v>0</v>
      </c>
      <c r="R605" s="25">
        <f t="shared" si="19"/>
        <v>28611.848600000001</v>
      </c>
    </row>
    <row r="606" spans="1:18" hidden="1" x14ac:dyDescent="0.25">
      <c r="A606" s="26">
        <v>43605</v>
      </c>
      <c r="B606" s="25" t="s">
        <v>981</v>
      </c>
      <c r="C606" s="25" t="s">
        <v>17</v>
      </c>
      <c r="D606" s="25">
        <v>200</v>
      </c>
      <c r="E606" s="25">
        <v>158.5</v>
      </c>
      <c r="F606" s="25">
        <v>31700</v>
      </c>
      <c r="G606" s="25" t="s">
        <v>1223</v>
      </c>
      <c r="H606" s="25">
        <v>2019094</v>
      </c>
      <c r="I606" s="25" t="s">
        <v>19</v>
      </c>
      <c r="J606" s="25" t="s">
        <v>20</v>
      </c>
      <c r="K606" s="25" t="s">
        <v>25</v>
      </c>
      <c r="L606" s="25">
        <v>0</v>
      </c>
      <c r="M606" s="25">
        <v>1.1399999999999999</v>
      </c>
      <c r="N606" s="25">
        <v>0</v>
      </c>
      <c r="O606" s="25">
        <v>29.71</v>
      </c>
      <c r="P606" s="25">
        <v>30.851199999999999</v>
      </c>
      <c r="Q606" s="25">
        <f t="shared" si="18"/>
        <v>31730.851200000001</v>
      </c>
      <c r="R606" s="25">
        <f t="shared" si="19"/>
        <v>0</v>
      </c>
    </row>
    <row r="607" spans="1:18" hidden="1" x14ac:dyDescent="0.25">
      <c r="A607" s="26">
        <v>43605</v>
      </c>
      <c r="B607" s="25" t="s">
        <v>981</v>
      </c>
      <c r="C607" s="25" t="s">
        <v>17</v>
      </c>
      <c r="D607" s="25">
        <v>1000</v>
      </c>
      <c r="E607" s="25">
        <v>158.5</v>
      </c>
      <c r="F607" s="25">
        <v>158500</v>
      </c>
      <c r="G607" s="25" t="s">
        <v>1224</v>
      </c>
      <c r="H607" s="25">
        <v>2019094</v>
      </c>
      <c r="I607" s="25" t="s">
        <v>19</v>
      </c>
      <c r="J607" s="25" t="s">
        <v>20</v>
      </c>
      <c r="K607" s="25" t="s">
        <v>25</v>
      </c>
      <c r="L607" s="25">
        <v>0</v>
      </c>
      <c r="M607" s="25">
        <v>5.71</v>
      </c>
      <c r="N607" s="25">
        <v>27.3</v>
      </c>
      <c r="O607" s="25">
        <v>94.54</v>
      </c>
      <c r="P607" s="25">
        <v>127.5459</v>
      </c>
      <c r="Q607" s="25">
        <f t="shared" si="18"/>
        <v>158627.5459</v>
      </c>
      <c r="R607" s="25">
        <f t="shared" si="19"/>
        <v>0</v>
      </c>
    </row>
    <row r="608" spans="1:18" hidden="1" x14ac:dyDescent="0.25">
      <c r="A608" s="26">
        <v>43605</v>
      </c>
      <c r="B608" s="25" t="s">
        <v>981</v>
      </c>
      <c r="C608" s="25" t="s">
        <v>17</v>
      </c>
      <c r="D608" s="25">
        <v>1000</v>
      </c>
      <c r="E608" s="25">
        <v>157.94999999999999</v>
      </c>
      <c r="F608" s="25">
        <v>157950</v>
      </c>
      <c r="G608" s="25" t="s">
        <v>1225</v>
      </c>
      <c r="H608" s="25">
        <v>2019094</v>
      </c>
      <c r="I608" s="25" t="s">
        <v>19</v>
      </c>
      <c r="J608" s="25" t="s">
        <v>20</v>
      </c>
      <c r="K608" s="25" t="s">
        <v>25</v>
      </c>
      <c r="L608" s="25">
        <v>0</v>
      </c>
      <c r="M608" s="25">
        <v>5.69</v>
      </c>
      <c r="N608" s="25">
        <v>0</v>
      </c>
      <c r="O608" s="25">
        <v>94.21</v>
      </c>
      <c r="P608" s="25">
        <v>99.896199999999993</v>
      </c>
      <c r="Q608" s="25">
        <f t="shared" si="18"/>
        <v>158049.89619999999</v>
      </c>
      <c r="R608" s="25">
        <f t="shared" si="19"/>
        <v>0</v>
      </c>
    </row>
    <row r="609" spans="1:18" hidden="1" x14ac:dyDescent="0.25">
      <c r="A609" s="26">
        <v>43605</v>
      </c>
      <c r="B609" s="25" t="s">
        <v>981</v>
      </c>
      <c r="C609" s="25" t="s">
        <v>17</v>
      </c>
      <c r="D609" s="25">
        <v>500</v>
      </c>
      <c r="E609" s="25">
        <v>157.4</v>
      </c>
      <c r="F609" s="25">
        <v>78700</v>
      </c>
      <c r="G609" s="25" t="s">
        <v>1226</v>
      </c>
      <c r="H609" s="25">
        <v>2019094</v>
      </c>
      <c r="I609" s="25" t="s">
        <v>19</v>
      </c>
      <c r="J609" s="25" t="s">
        <v>20</v>
      </c>
      <c r="K609" s="25" t="s">
        <v>25</v>
      </c>
      <c r="L609" s="25">
        <v>0</v>
      </c>
      <c r="M609" s="25">
        <v>2.83</v>
      </c>
      <c r="N609" s="25">
        <v>0</v>
      </c>
      <c r="O609" s="25">
        <v>46.94</v>
      </c>
      <c r="P609" s="25">
        <v>49.773200000000003</v>
      </c>
      <c r="Q609" s="25">
        <f t="shared" si="18"/>
        <v>78749.773199999996</v>
      </c>
      <c r="R609" s="25">
        <f t="shared" si="19"/>
        <v>0</v>
      </c>
    </row>
    <row r="610" spans="1:18" hidden="1" x14ac:dyDescent="0.25">
      <c r="A610" s="26">
        <v>43605</v>
      </c>
      <c r="B610" s="25" t="s">
        <v>981</v>
      </c>
      <c r="C610" s="25" t="s">
        <v>23</v>
      </c>
      <c r="D610" s="25">
        <v>2500</v>
      </c>
      <c r="E610" s="25">
        <v>157.87</v>
      </c>
      <c r="F610" s="25">
        <v>394681.85</v>
      </c>
      <c r="G610" s="25" t="s">
        <v>1227</v>
      </c>
      <c r="H610" s="25">
        <v>2019094</v>
      </c>
      <c r="I610" s="25" t="s">
        <v>19</v>
      </c>
      <c r="J610" s="25" t="s">
        <v>20</v>
      </c>
      <c r="K610" s="25" t="s">
        <v>25</v>
      </c>
      <c r="L610" s="25">
        <v>98.68</v>
      </c>
      <c r="M610" s="25">
        <v>14.21</v>
      </c>
      <c r="N610" s="25">
        <v>0</v>
      </c>
      <c r="O610" s="25">
        <v>235.41</v>
      </c>
      <c r="P610" s="25">
        <v>348.29840000000002</v>
      </c>
      <c r="Q610" s="25">
        <f t="shared" si="18"/>
        <v>0</v>
      </c>
      <c r="R610" s="25">
        <f t="shared" si="19"/>
        <v>394333.55159999995</v>
      </c>
    </row>
    <row r="611" spans="1:18" hidden="1" x14ac:dyDescent="0.25">
      <c r="A611" s="26">
        <v>43602</v>
      </c>
      <c r="B611" s="25" t="s">
        <v>981</v>
      </c>
      <c r="C611" s="25" t="s">
        <v>23</v>
      </c>
      <c r="D611" s="25">
        <v>500</v>
      </c>
      <c r="E611" s="25">
        <v>150</v>
      </c>
      <c r="F611" s="25">
        <v>75000</v>
      </c>
      <c r="G611" s="25" t="s">
        <v>1228</v>
      </c>
      <c r="H611" s="25">
        <v>2019093</v>
      </c>
      <c r="I611" s="25" t="s">
        <v>19</v>
      </c>
      <c r="J611" s="25" t="s">
        <v>20</v>
      </c>
      <c r="K611" s="25" t="s">
        <v>25</v>
      </c>
      <c r="L611" s="25">
        <v>18.34</v>
      </c>
      <c r="M611" s="25">
        <v>2.7</v>
      </c>
      <c r="N611" s="25">
        <v>0</v>
      </c>
      <c r="O611" s="25">
        <v>44.74</v>
      </c>
      <c r="P611" s="25">
        <v>65.78</v>
      </c>
      <c r="Q611" s="25">
        <f t="shared" si="18"/>
        <v>0</v>
      </c>
      <c r="R611" s="25">
        <f t="shared" si="19"/>
        <v>74934.22</v>
      </c>
    </row>
    <row r="612" spans="1:18" hidden="1" x14ac:dyDescent="0.25">
      <c r="A612" s="26">
        <v>43602</v>
      </c>
      <c r="B612" s="25" t="s">
        <v>981</v>
      </c>
      <c r="C612" s="25" t="s">
        <v>23</v>
      </c>
      <c r="D612" s="25">
        <v>250</v>
      </c>
      <c r="E612" s="25">
        <v>149.44999999999999</v>
      </c>
      <c r="F612" s="25">
        <v>37362.5</v>
      </c>
      <c r="G612" s="25" t="s">
        <v>1229</v>
      </c>
      <c r="H612" s="25">
        <v>2019093</v>
      </c>
      <c r="I612" s="25" t="s">
        <v>19</v>
      </c>
      <c r="J612" s="25" t="s">
        <v>20</v>
      </c>
      <c r="K612" s="25" t="s">
        <v>25</v>
      </c>
      <c r="L612" s="25">
        <v>9.3000000000000007</v>
      </c>
      <c r="M612" s="25">
        <v>1.35</v>
      </c>
      <c r="N612" s="25">
        <v>0</v>
      </c>
      <c r="O612" s="25">
        <v>29.74</v>
      </c>
      <c r="P612" s="25">
        <v>40.384999999999998</v>
      </c>
      <c r="Q612" s="25">
        <f t="shared" si="18"/>
        <v>0</v>
      </c>
      <c r="R612" s="25">
        <f t="shared" si="19"/>
        <v>37322.114999999998</v>
      </c>
    </row>
    <row r="613" spans="1:18" hidden="1" x14ac:dyDescent="0.25">
      <c r="A613" s="26">
        <v>43602</v>
      </c>
      <c r="B613" s="25" t="s">
        <v>981</v>
      </c>
      <c r="C613" s="25" t="s">
        <v>17</v>
      </c>
      <c r="D613" s="25">
        <v>750</v>
      </c>
      <c r="E613" s="25">
        <v>148.9</v>
      </c>
      <c r="F613" s="25">
        <v>111675</v>
      </c>
      <c r="G613" s="25" t="s">
        <v>1230</v>
      </c>
      <c r="H613" s="25">
        <v>2019093</v>
      </c>
      <c r="I613" s="25" t="s">
        <v>19</v>
      </c>
      <c r="J613" s="25" t="s">
        <v>20</v>
      </c>
      <c r="K613" s="25" t="s">
        <v>25</v>
      </c>
      <c r="L613" s="25">
        <v>0</v>
      </c>
      <c r="M613" s="25">
        <v>4.0199999999999996</v>
      </c>
      <c r="N613" s="25">
        <v>11.4</v>
      </c>
      <c r="O613" s="25">
        <v>66.61</v>
      </c>
      <c r="P613" s="25">
        <v>82.030299999999997</v>
      </c>
      <c r="Q613" s="25">
        <f t="shared" si="18"/>
        <v>111757.0303</v>
      </c>
      <c r="R613" s="25">
        <f t="shared" si="19"/>
        <v>0</v>
      </c>
    </row>
    <row r="614" spans="1:18" hidden="1" x14ac:dyDescent="0.25">
      <c r="A614" s="26">
        <v>43602</v>
      </c>
      <c r="B614" s="25" t="s">
        <v>16</v>
      </c>
      <c r="C614" s="25" t="s">
        <v>17</v>
      </c>
      <c r="D614" s="25">
        <v>50</v>
      </c>
      <c r="E614" s="25">
        <v>28</v>
      </c>
      <c r="F614" s="25">
        <v>1400</v>
      </c>
      <c r="G614" s="25" t="s">
        <v>1231</v>
      </c>
      <c r="H614" s="25">
        <v>2019093</v>
      </c>
      <c r="I614" s="25" t="s">
        <v>19</v>
      </c>
      <c r="J614" s="25" t="s">
        <v>1634</v>
      </c>
      <c r="K614" s="25" t="s">
        <v>25</v>
      </c>
      <c r="L614" s="25">
        <v>1.38</v>
      </c>
      <c r="M614" s="25">
        <v>0.05</v>
      </c>
      <c r="N614" s="25">
        <v>0</v>
      </c>
      <c r="O614" s="25">
        <v>41.31</v>
      </c>
      <c r="P614" s="25">
        <v>42.740400000000001</v>
      </c>
      <c r="Q614" s="25">
        <f t="shared" si="18"/>
        <v>1442.7403999999999</v>
      </c>
      <c r="R614" s="25">
        <f t="shared" si="19"/>
        <v>0</v>
      </c>
    </row>
    <row r="615" spans="1:18" hidden="1" x14ac:dyDescent="0.25">
      <c r="A615" s="26">
        <v>43602</v>
      </c>
      <c r="B615" s="25" t="s">
        <v>16</v>
      </c>
      <c r="C615" s="25" t="s">
        <v>17</v>
      </c>
      <c r="D615" s="25">
        <v>50</v>
      </c>
      <c r="E615" s="25">
        <v>27</v>
      </c>
      <c r="F615" s="25">
        <v>1350</v>
      </c>
      <c r="G615" s="25" t="s">
        <v>1232</v>
      </c>
      <c r="H615" s="25">
        <v>2019093</v>
      </c>
      <c r="I615" s="25" t="s">
        <v>19</v>
      </c>
      <c r="J615" s="25" t="s">
        <v>1634</v>
      </c>
      <c r="K615" s="25" t="s">
        <v>25</v>
      </c>
      <c r="L615" s="25">
        <v>1.38</v>
      </c>
      <c r="M615" s="25">
        <v>0.05</v>
      </c>
      <c r="N615" s="25">
        <v>0</v>
      </c>
      <c r="O615" s="25">
        <v>39.83</v>
      </c>
      <c r="P615" s="25">
        <v>41.258699999999997</v>
      </c>
      <c r="Q615" s="25">
        <f t="shared" si="18"/>
        <v>1391.2587000000001</v>
      </c>
      <c r="R615" s="25">
        <f t="shared" si="19"/>
        <v>0</v>
      </c>
    </row>
    <row r="616" spans="1:18" hidden="1" x14ac:dyDescent="0.25">
      <c r="A616" s="26">
        <v>43602</v>
      </c>
      <c r="B616" s="25" t="s">
        <v>981</v>
      </c>
      <c r="C616" s="25" t="s">
        <v>17</v>
      </c>
      <c r="D616" s="25">
        <v>500</v>
      </c>
      <c r="E616" s="25">
        <v>147.5</v>
      </c>
      <c r="F616" s="25">
        <v>73750</v>
      </c>
      <c r="G616" s="25" t="s">
        <v>1233</v>
      </c>
      <c r="H616" s="25">
        <v>2019093</v>
      </c>
      <c r="I616" s="25" t="s">
        <v>19</v>
      </c>
      <c r="J616" s="25" t="s">
        <v>20</v>
      </c>
      <c r="K616" s="25" t="s">
        <v>25</v>
      </c>
      <c r="L616" s="25">
        <v>0</v>
      </c>
      <c r="M616" s="25">
        <v>2.66</v>
      </c>
      <c r="N616" s="25">
        <v>0</v>
      </c>
      <c r="O616" s="25">
        <v>43.99</v>
      </c>
      <c r="P616" s="25">
        <v>46.645099999999999</v>
      </c>
      <c r="Q616" s="25">
        <f t="shared" si="18"/>
        <v>73796.645099999994</v>
      </c>
      <c r="R616" s="25">
        <f t="shared" si="19"/>
        <v>0</v>
      </c>
    </row>
    <row r="617" spans="1:18" hidden="1" x14ac:dyDescent="0.25">
      <c r="A617" s="26">
        <v>43602</v>
      </c>
      <c r="B617" s="25" t="s">
        <v>981</v>
      </c>
      <c r="C617" s="25" t="s">
        <v>23</v>
      </c>
      <c r="D617" s="25">
        <v>500</v>
      </c>
      <c r="E617" s="25">
        <v>148.75</v>
      </c>
      <c r="F617" s="25">
        <v>74375</v>
      </c>
      <c r="G617" s="25" t="s">
        <v>1234</v>
      </c>
      <c r="H617" s="25">
        <v>2019093</v>
      </c>
      <c r="I617" s="25" t="s">
        <v>19</v>
      </c>
      <c r="J617" s="25" t="s">
        <v>20</v>
      </c>
      <c r="K617" s="25" t="s">
        <v>25</v>
      </c>
      <c r="L617" s="25">
        <v>18.61</v>
      </c>
      <c r="M617" s="25">
        <v>2.68</v>
      </c>
      <c r="N617" s="25">
        <v>0</v>
      </c>
      <c r="O617" s="25">
        <v>44.36</v>
      </c>
      <c r="P617" s="25">
        <v>65.647400000000005</v>
      </c>
      <c r="Q617" s="25">
        <f t="shared" si="18"/>
        <v>0</v>
      </c>
      <c r="R617" s="25">
        <f t="shared" si="19"/>
        <v>74309.352599999998</v>
      </c>
    </row>
    <row r="618" spans="1:18" hidden="1" x14ac:dyDescent="0.25">
      <c r="A618" s="26">
        <v>43601</v>
      </c>
      <c r="B618" s="25" t="s">
        <v>321</v>
      </c>
      <c r="C618" s="25" t="s">
        <v>23</v>
      </c>
      <c r="D618" s="25">
        <v>100</v>
      </c>
      <c r="E618" s="25">
        <v>266.5</v>
      </c>
      <c r="F618" s="25">
        <v>26650</v>
      </c>
      <c r="G618" s="25" t="s">
        <v>1235</v>
      </c>
      <c r="H618" s="25">
        <v>2019092</v>
      </c>
      <c r="I618" s="25" t="s">
        <v>19</v>
      </c>
      <c r="J618" s="25" t="s">
        <v>20</v>
      </c>
      <c r="K618" s="25" t="s">
        <v>25</v>
      </c>
      <c r="L618" s="25">
        <v>7.17</v>
      </c>
      <c r="M618" s="25">
        <v>0.96</v>
      </c>
      <c r="N618" s="25">
        <v>0</v>
      </c>
      <c r="O618" s="25">
        <v>29.67</v>
      </c>
      <c r="P618" s="25">
        <v>37.799300000000002</v>
      </c>
      <c r="Q618" s="25">
        <f t="shared" si="18"/>
        <v>0</v>
      </c>
      <c r="R618" s="25">
        <f t="shared" si="19"/>
        <v>26612.200700000001</v>
      </c>
    </row>
    <row r="619" spans="1:18" hidden="1" x14ac:dyDescent="0.25">
      <c r="A619" s="26">
        <v>43601</v>
      </c>
      <c r="B619" s="25" t="s">
        <v>321</v>
      </c>
      <c r="C619" s="25" t="s">
        <v>23</v>
      </c>
      <c r="D619" s="25">
        <v>100</v>
      </c>
      <c r="E619" s="25">
        <v>268</v>
      </c>
      <c r="F619" s="25">
        <v>26800</v>
      </c>
      <c r="G619" s="25" t="s">
        <v>1236</v>
      </c>
      <c r="H619" s="25">
        <v>2019092</v>
      </c>
      <c r="I619" s="25" t="s">
        <v>19</v>
      </c>
      <c r="J619" s="25" t="s">
        <v>20</v>
      </c>
      <c r="K619" s="25" t="s">
        <v>25</v>
      </c>
      <c r="L619" s="25">
        <v>6.81</v>
      </c>
      <c r="M619" s="25">
        <v>0.96</v>
      </c>
      <c r="N619" s="25">
        <v>0</v>
      </c>
      <c r="O619" s="25">
        <v>29.67</v>
      </c>
      <c r="P619" s="25">
        <v>37.444800000000001</v>
      </c>
      <c r="Q619" s="25">
        <f t="shared" si="18"/>
        <v>0</v>
      </c>
      <c r="R619" s="25">
        <f t="shared" si="19"/>
        <v>26762.555199999999</v>
      </c>
    </row>
    <row r="620" spans="1:18" hidden="1" x14ac:dyDescent="0.25">
      <c r="A620" s="26">
        <v>43601</v>
      </c>
      <c r="B620" s="25" t="s">
        <v>321</v>
      </c>
      <c r="C620" s="25" t="s">
        <v>23</v>
      </c>
      <c r="D620" s="25">
        <v>100</v>
      </c>
      <c r="E620" s="25">
        <v>271</v>
      </c>
      <c r="F620" s="25">
        <v>27100</v>
      </c>
      <c r="G620" s="25" t="s">
        <v>1237</v>
      </c>
      <c r="H620" s="25">
        <v>2019092</v>
      </c>
      <c r="I620" s="25" t="s">
        <v>19</v>
      </c>
      <c r="J620" s="25" t="s">
        <v>20</v>
      </c>
      <c r="K620" s="25" t="s">
        <v>25</v>
      </c>
      <c r="L620" s="25">
        <v>6.81</v>
      </c>
      <c r="M620" s="25">
        <v>0.98</v>
      </c>
      <c r="N620" s="25">
        <v>0</v>
      </c>
      <c r="O620" s="25">
        <v>29.68</v>
      </c>
      <c r="P620" s="25">
        <v>37.465600000000002</v>
      </c>
      <c r="Q620" s="25">
        <f t="shared" si="18"/>
        <v>0</v>
      </c>
      <c r="R620" s="25">
        <f t="shared" si="19"/>
        <v>27062.5344</v>
      </c>
    </row>
    <row r="621" spans="1:18" hidden="1" x14ac:dyDescent="0.25">
      <c r="A621" s="26">
        <v>43601</v>
      </c>
      <c r="B621" s="25" t="s">
        <v>321</v>
      </c>
      <c r="C621" s="25" t="s">
        <v>23</v>
      </c>
      <c r="D621" s="25">
        <v>150</v>
      </c>
      <c r="E621" s="25">
        <v>270</v>
      </c>
      <c r="F621" s="25">
        <v>40500</v>
      </c>
      <c r="G621" s="25" t="s">
        <v>1238</v>
      </c>
      <c r="H621" s="25">
        <v>2019092</v>
      </c>
      <c r="I621" s="25" t="s">
        <v>19</v>
      </c>
      <c r="J621" s="25" t="s">
        <v>20</v>
      </c>
      <c r="K621" s="25" t="s">
        <v>25</v>
      </c>
      <c r="L621" s="25">
        <v>10.220000000000001</v>
      </c>
      <c r="M621" s="25">
        <v>1.46</v>
      </c>
      <c r="N621" s="25">
        <v>0</v>
      </c>
      <c r="O621" s="25">
        <v>29.76</v>
      </c>
      <c r="P621" s="25">
        <v>41.438000000000002</v>
      </c>
      <c r="Q621" s="25">
        <f t="shared" si="18"/>
        <v>0</v>
      </c>
      <c r="R621" s="25">
        <f t="shared" si="19"/>
        <v>40458.561999999998</v>
      </c>
    </row>
    <row r="622" spans="1:18" hidden="1" x14ac:dyDescent="0.25">
      <c r="A622" s="26">
        <v>43601</v>
      </c>
      <c r="B622" s="25" t="s">
        <v>321</v>
      </c>
      <c r="C622" s="25" t="s">
        <v>17</v>
      </c>
      <c r="D622" s="25">
        <v>650</v>
      </c>
      <c r="E622" s="25">
        <v>274.5</v>
      </c>
      <c r="F622" s="25">
        <v>178425</v>
      </c>
      <c r="G622" s="25" t="s">
        <v>1239</v>
      </c>
      <c r="H622" s="25">
        <v>2019092</v>
      </c>
      <c r="I622" s="25" t="s">
        <v>19</v>
      </c>
      <c r="J622" s="25" t="s">
        <v>20</v>
      </c>
      <c r="K622" s="25" t="s">
        <v>25</v>
      </c>
      <c r="L622" s="25">
        <v>0</v>
      </c>
      <c r="M622" s="25">
        <v>6.42</v>
      </c>
      <c r="N622" s="25">
        <v>19.8</v>
      </c>
      <c r="O622" s="25">
        <v>106.43</v>
      </c>
      <c r="P622" s="25">
        <v>132.6533</v>
      </c>
      <c r="Q622" s="25">
        <f t="shared" si="18"/>
        <v>178557.65330000001</v>
      </c>
      <c r="R622" s="25">
        <f t="shared" si="19"/>
        <v>0</v>
      </c>
    </row>
    <row r="623" spans="1:18" hidden="1" x14ac:dyDescent="0.25">
      <c r="A623" s="26">
        <v>43601</v>
      </c>
      <c r="B623" s="25" t="s">
        <v>321</v>
      </c>
      <c r="C623" s="25" t="s">
        <v>23</v>
      </c>
      <c r="D623" s="25">
        <v>200</v>
      </c>
      <c r="E623" s="25">
        <v>274</v>
      </c>
      <c r="F623" s="25">
        <v>54800</v>
      </c>
      <c r="G623" s="25" t="s">
        <v>1240</v>
      </c>
      <c r="H623" s="25">
        <v>2019092</v>
      </c>
      <c r="I623" s="25" t="s">
        <v>19</v>
      </c>
      <c r="J623" s="25" t="s">
        <v>20</v>
      </c>
      <c r="K623" s="25" t="s">
        <v>25</v>
      </c>
      <c r="L623" s="25">
        <v>13.63</v>
      </c>
      <c r="M623" s="25">
        <v>1.97</v>
      </c>
      <c r="N623" s="25">
        <v>0</v>
      </c>
      <c r="O623" s="25">
        <v>32.69</v>
      </c>
      <c r="P623" s="25">
        <v>48.2928</v>
      </c>
      <c r="Q623" s="25">
        <f t="shared" si="18"/>
        <v>0</v>
      </c>
      <c r="R623" s="25">
        <f t="shared" si="19"/>
        <v>54751.707199999997</v>
      </c>
    </row>
    <row r="624" spans="1:18" hidden="1" x14ac:dyDescent="0.25">
      <c r="A624" s="26">
        <v>43601</v>
      </c>
      <c r="B624" s="25" t="s">
        <v>981</v>
      </c>
      <c r="C624" s="25" t="s">
        <v>17</v>
      </c>
      <c r="D624" s="25">
        <v>1000</v>
      </c>
      <c r="E624" s="25">
        <v>148.9</v>
      </c>
      <c r="F624" s="25">
        <v>148900</v>
      </c>
      <c r="G624" s="25" t="s">
        <v>1241</v>
      </c>
      <c r="H624" s="25">
        <v>2019092</v>
      </c>
      <c r="I624" s="25" t="s">
        <v>19</v>
      </c>
      <c r="J624" s="25" t="s">
        <v>20</v>
      </c>
      <c r="K624" s="25" t="s">
        <v>25</v>
      </c>
      <c r="L624" s="25">
        <v>0</v>
      </c>
      <c r="M624" s="25">
        <v>5.36</v>
      </c>
      <c r="N624" s="25">
        <v>0</v>
      </c>
      <c r="O624" s="25">
        <v>88.82</v>
      </c>
      <c r="P624" s="25">
        <v>94.180400000000006</v>
      </c>
      <c r="Q624" s="25">
        <f t="shared" si="18"/>
        <v>148994.18040000001</v>
      </c>
      <c r="R624" s="25">
        <f t="shared" si="19"/>
        <v>0</v>
      </c>
    </row>
    <row r="625" spans="1:18" hidden="1" x14ac:dyDescent="0.25">
      <c r="A625" s="26">
        <v>43601</v>
      </c>
      <c r="B625" s="25" t="s">
        <v>981</v>
      </c>
      <c r="C625" s="25" t="s">
        <v>23</v>
      </c>
      <c r="D625" s="25">
        <v>1000</v>
      </c>
      <c r="E625" s="25">
        <v>150</v>
      </c>
      <c r="F625" s="25">
        <v>150000</v>
      </c>
      <c r="G625" s="25" t="s">
        <v>1242</v>
      </c>
      <c r="H625" s="25">
        <v>2019092</v>
      </c>
      <c r="I625" s="25" t="s">
        <v>19</v>
      </c>
      <c r="J625" s="25" t="s">
        <v>20</v>
      </c>
      <c r="K625" s="25" t="s">
        <v>25</v>
      </c>
      <c r="L625" s="25">
        <v>37.36</v>
      </c>
      <c r="M625" s="25">
        <v>5.4</v>
      </c>
      <c r="N625" s="25">
        <v>0</v>
      </c>
      <c r="O625" s="25">
        <v>89.48</v>
      </c>
      <c r="P625" s="25">
        <v>132.24019999999999</v>
      </c>
      <c r="Q625" s="25">
        <f t="shared" si="18"/>
        <v>0</v>
      </c>
      <c r="R625" s="25">
        <f t="shared" si="19"/>
        <v>149867.7598</v>
      </c>
    </row>
    <row r="626" spans="1:18" hidden="1" x14ac:dyDescent="0.25">
      <c r="A626" s="26">
        <v>43600</v>
      </c>
      <c r="B626" s="25" t="s">
        <v>288</v>
      </c>
      <c r="C626" s="25" t="s">
        <v>17</v>
      </c>
      <c r="D626" s="25">
        <v>50</v>
      </c>
      <c r="E626" s="25">
        <v>50</v>
      </c>
      <c r="F626" s="25">
        <v>2500</v>
      </c>
      <c r="G626" s="25" t="s">
        <v>1243</v>
      </c>
      <c r="H626" s="25">
        <v>2019091</v>
      </c>
      <c r="I626" s="25" t="s">
        <v>19</v>
      </c>
      <c r="J626" s="25" t="s">
        <v>20</v>
      </c>
      <c r="K626" s="25" t="s">
        <v>25</v>
      </c>
      <c r="L626" s="25">
        <v>2.5</v>
      </c>
      <c r="M626" s="25">
        <v>0.09</v>
      </c>
      <c r="N626" s="25">
        <v>0</v>
      </c>
      <c r="O626" s="25">
        <v>41.32</v>
      </c>
      <c r="P626" s="25">
        <v>43.91</v>
      </c>
      <c r="Q626" s="25">
        <f t="shared" si="18"/>
        <v>2543.91</v>
      </c>
      <c r="R626" s="25">
        <f t="shared" si="19"/>
        <v>0</v>
      </c>
    </row>
    <row r="627" spans="1:18" hidden="1" x14ac:dyDescent="0.25">
      <c r="A627" s="26">
        <v>43600</v>
      </c>
      <c r="B627" s="25" t="s">
        <v>981</v>
      </c>
      <c r="C627" s="25" t="s">
        <v>23</v>
      </c>
      <c r="D627" s="25">
        <v>500</v>
      </c>
      <c r="E627" s="25">
        <v>144.80000000000001</v>
      </c>
      <c r="F627" s="25">
        <v>72400</v>
      </c>
      <c r="G627" s="25" t="s">
        <v>1244</v>
      </c>
      <c r="H627" s="25">
        <v>2019091</v>
      </c>
      <c r="I627" s="25" t="s">
        <v>19</v>
      </c>
      <c r="J627" s="25" t="s">
        <v>20</v>
      </c>
      <c r="K627" s="25" t="s">
        <v>25</v>
      </c>
      <c r="L627" s="25">
        <v>18.5</v>
      </c>
      <c r="M627" s="25">
        <v>2.61</v>
      </c>
      <c r="N627" s="25">
        <v>0</v>
      </c>
      <c r="O627" s="25">
        <v>43.19</v>
      </c>
      <c r="P627" s="25">
        <v>64.296400000000006</v>
      </c>
      <c r="Q627" s="25">
        <f t="shared" si="18"/>
        <v>0</v>
      </c>
      <c r="R627" s="25">
        <f t="shared" si="19"/>
        <v>72335.703599999993</v>
      </c>
    </row>
    <row r="628" spans="1:18" hidden="1" x14ac:dyDescent="0.25">
      <c r="A628" s="26">
        <v>43600</v>
      </c>
      <c r="B628" s="25" t="s">
        <v>981</v>
      </c>
      <c r="C628" s="25" t="s">
        <v>17</v>
      </c>
      <c r="D628" s="25">
        <v>500</v>
      </c>
      <c r="E628" s="25">
        <v>144.44999999999999</v>
      </c>
      <c r="F628" s="25">
        <v>72225</v>
      </c>
      <c r="G628" s="25" t="s">
        <v>1245</v>
      </c>
      <c r="H628" s="25">
        <v>2019091</v>
      </c>
      <c r="I628" s="25" t="s">
        <v>19</v>
      </c>
      <c r="J628" s="25" t="s">
        <v>20</v>
      </c>
      <c r="K628" s="25" t="s">
        <v>25</v>
      </c>
      <c r="L628" s="25">
        <v>0</v>
      </c>
      <c r="M628" s="25">
        <v>2.6</v>
      </c>
      <c r="N628" s="25">
        <v>4.5</v>
      </c>
      <c r="O628" s="25">
        <v>43.08</v>
      </c>
      <c r="P628" s="25">
        <v>50.18</v>
      </c>
      <c r="Q628" s="25">
        <f t="shared" si="18"/>
        <v>72275.179999999993</v>
      </c>
      <c r="R628" s="25">
        <f t="shared" si="19"/>
        <v>0</v>
      </c>
    </row>
    <row r="629" spans="1:18" hidden="1" x14ac:dyDescent="0.25">
      <c r="A629" s="26">
        <v>43599</v>
      </c>
      <c r="B629" s="25" t="s">
        <v>321</v>
      </c>
      <c r="C629" s="25" t="s">
        <v>23</v>
      </c>
      <c r="D629" s="25">
        <v>250</v>
      </c>
      <c r="E629" s="25">
        <v>262.25</v>
      </c>
      <c r="F629" s="25">
        <v>65562.5</v>
      </c>
      <c r="G629" s="25" t="s">
        <v>1246</v>
      </c>
      <c r="H629" s="25">
        <v>2019090</v>
      </c>
      <c r="I629" s="25" t="s">
        <v>19</v>
      </c>
      <c r="J629" s="25" t="s">
        <v>20</v>
      </c>
      <c r="K629" s="25" t="s">
        <v>25</v>
      </c>
      <c r="L629" s="25">
        <v>16.420000000000002</v>
      </c>
      <c r="M629" s="25">
        <v>2.36</v>
      </c>
      <c r="N629" s="25">
        <v>0</v>
      </c>
      <c r="O629" s="25">
        <v>39.1</v>
      </c>
      <c r="P629" s="25">
        <v>57.880200000000002</v>
      </c>
      <c r="Q629" s="25">
        <f t="shared" si="18"/>
        <v>0</v>
      </c>
      <c r="R629" s="25">
        <f t="shared" si="19"/>
        <v>65504.6198</v>
      </c>
    </row>
    <row r="630" spans="1:18" hidden="1" x14ac:dyDescent="0.25">
      <c r="A630" s="26">
        <v>43599</v>
      </c>
      <c r="B630" s="25" t="s">
        <v>321</v>
      </c>
      <c r="C630" s="25" t="s">
        <v>17</v>
      </c>
      <c r="D630" s="25">
        <v>350</v>
      </c>
      <c r="E630" s="25">
        <v>262.25</v>
      </c>
      <c r="F630" s="25">
        <v>91787.5</v>
      </c>
      <c r="G630" s="25" t="s">
        <v>1247</v>
      </c>
      <c r="H630" s="25">
        <v>2019090</v>
      </c>
      <c r="I630" s="25" t="s">
        <v>19</v>
      </c>
      <c r="J630" s="25" t="s">
        <v>20</v>
      </c>
      <c r="K630" s="25" t="s">
        <v>25</v>
      </c>
      <c r="L630" s="25">
        <v>0</v>
      </c>
      <c r="M630" s="25">
        <v>3.3</v>
      </c>
      <c r="N630" s="25">
        <v>0</v>
      </c>
      <c r="O630" s="25">
        <v>54.74</v>
      </c>
      <c r="P630" s="25">
        <v>58.044400000000003</v>
      </c>
      <c r="Q630" s="25">
        <f t="shared" si="18"/>
        <v>91845.544399999999</v>
      </c>
      <c r="R630" s="25">
        <f t="shared" si="19"/>
        <v>0</v>
      </c>
    </row>
    <row r="631" spans="1:18" hidden="1" x14ac:dyDescent="0.25">
      <c r="A631" s="26">
        <v>43599</v>
      </c>
      <c r="B631" s="25" t="s">
        <v>321</v>
      </c>
      <c r="C631" s="25" t="s">
        <v>23</v>
      </c>
      <c r="D631" s="25">
        <v>100</v>
      </c>
      <c r="E631" s="25">
        <v>265</v>
      </c>
      <c r="F631" s="25">
        <v>26500</v>
      </c>
      <c r="G631" s="25" t="s">
        <v>1248</v>
      </c>
      <c r="H631" s="25">
        <v>2019090</v>
      </c>
      <c r="I631" s="25" t="s">
        <v>19</v>
      </c>
      <c r="J631" s="25" t="s">
        <v>20</v>
      </c>
      <c r="K631" s="25" t="s">
        <v>25</v>
      </c>
      <c r="L631" s="25">
        <v>6.58</v>
      </c>
      <c r="M631" s="25">
        <v>0.95</v>
      </c>
      <c r="N631" s="25">
        <v>5.7</v>
      </c>
      <c r="O631" s="25">
        <v>29.67</v>
      </c>
      <c r="P631" s="25">
        <v>42.904000000000003</v>
      </c>
      <c r="Q631" s="25">
        <f t="shared" si="18"/>
        <v>0</v>
      </c>
      <c r="R631" s="25">
        <f t="shared" si="19"/>
        <v>26457.096000000001</v>
      </c>
    </row>
    <row r="632" spans="1:18" hidden="1" x14ac:dyDescent="0.25">
      <c r="A632" s="26">
        <v>43598</v>
      </c>
      <c r="B632" s="25" t="s">
        <v>321</v>
      </c>
      <c r="C632" s="25" t="s">
        <v>23</v>
      </c>
      <c r="D632" s="25">
        <v>1000</v>
      </c>
      <c r="E632" s="25">
        <v>274</v>
      </c>
      <c r="F632" s="25">
        <v>274000</v>
      </c>
      <c r="G632" s="25" t="s">
        <v>1249</v>
      </c>
      <c r="H632" s="25">
        <v>2019089</v>
      </c>
      <c r="I632" s="25" t="s">
        <v>19</v>
      </c>
      <c r="J632" s="25" t="s">
        <v>20</v>
      </c>
      <c r="K632" s="25" t="s">
        <v>25</v>
      </c>
      <c r="L632" s="25">
        <v>68.55</v>
      </c>
      <c r="M632" s="25">
        <v>9.86</v>
      </c>
      <c r="N632" s="25">
        <v>16.5</v>
      </c>
      <c r="O632" s="25">
        <v>163.43</v>
      </c>
      <c r="P632" s="25">
        <v>258.34410000000003</v>
      </c>
      <c r="Q632" s="25">
        <f t="shared" si="18"/>
        <v>0</v>
      </c>
      <c r="R632" s="25">
        <f t="shared" si="19"/>
        <v>273741.65590000001</v>
      </c>
    </row>
    <row r="633" spans="1:18" hidden="1" x14ac:dyDescent="0.25">
      <c r="A633" s="26">
        <v>43598</v>
      </c>
      <c r="B633" s="25" t="s">
        <v>321</v>
      </c>
      <c r="C633" s="25" t="s">
        <v>17</v>
      </c>
      <c r="D633" s="25">
        <v>1000</v>
      </c>
      <c r="E633" s="25">
        <v>273</v>
      </c>
      <c r="F633" s="25">
        <v>273000</v>
      </c>
      <c r="G633" s="25" t="s">
        <v>1250</v>
      </c>
      <c r="H633" s="25">
        <v>2019089</v>
      </c>
      <c r="I633" s="25" t="s">
        <v>19</v>
      </c>
      <c r="J633" s="25" t="s">
        <v>20</v>
      </c>
      <c r="K633" s="25" t="s">
        <v>25</v>
      </c>
      <c r="L633" s="25">
        <v>0</v>
      </c>
      <c r="M633" s="25">
        <v>9.83</v>
      </c>
      <c r="N633" s="25">
        <v>0</v>
      </c>
      <c r="O633" s="25">
        <v>162.84</v>
      </c>
      <c r="P633" s="25">
        <v>172.66800000000001</v>
      </c>
      <c r="Q633" s="25">
        <f t="shared" si="18"/>
        <v>273172.66800000001</v>
      </c>
      <c r="R633" s="25">
        <f t="shared" si="19"/>
        <v>0</v>
      </c>
    </row>
    <row r="634" spans="1:18" hidden="1" x14ac:dyDescent="0.25">
      <c r="A634" s="26">
        <v>43598</v>
      </c>
      <c r="B634" s="25" t="s">
        <v>981</v>
      </c>
      <c r="C634" s="25" t="s">
        <v>17</v>
      </c>
      <c r="D634" s="25">
        <v>10</v>
      </c>
      <c r="E634" s="25">
        <v>145</v>
      </c>
      <c r="F634" s="25">
        <v>1450</v>
      </c>
      <c r="G634" s="25" t="s">
        <v>1251</v>
      </c>
      <c r="H634" s="25">
        <v>2019089</v>
      </c>
      <c r="I634" s="25" t="s">
        <v>19</v>
      </c>
      <c r="J634" s="25" t="s">
        <v>1634</v>
      </c>
      <c r="K634" s="25" t="s">
        <v>25</v>
      </c>
      <c r="L634" s="25">
        <v>1.45</v>
      </c>
      <c r="M634" s="25">
        <v>0.05</v>
      </c>
      <c r="N634" s="25">
        <v>0</v>
      </c>
      <c r="O634" s="25">
        <v>41.31</v>
      </c>
      <c r="P634" s="25">
        <v>42.8123</v>
      </c>
      <c r="Q634" s="25">
        <f t="shared" si="18"/>
        <v>1492.8123000000001</v>
      </c>
      <c r="R634" s="25">
        <f t="shared" si="19"/>
        <v>0</v>
      </c>
    </row>
    <row r="635" spans="1:18" hidden="1" x14ac:dyDescent="0.25">
      <c r="A635" s="26">
        <v>43595</v>
      </c>
      <c r="B635" s="25" t="s">
        <v>981</v>
      </c>
      <c r="C635" s="25" t="s">
        <v>17</v>
      </c>
      <c r="D635" s="25">
        <v>250</v>
      </c>
      <c r="E635" s="25">
        <v>149</v>
      </c>
      <c r="F635" s="25">
        <v>37250</v>
      </c>
      <c r="G635" s="25" t="s">
        <v>1252</v>
      </c>
      <c r="H635" s="25">
        <v>2019088</v>
      </c>
      <c r="I635" s="25" t="s">
        <v>19</v>
      </c>
      <c r="J635" s="25" t="s">
        <v>20</v>
      </c>
      <c r="K635" s="25" t="s">
        <v>25</v>
      </c>
      <c r="L635" s="25">
        <v>0</v>
      </c>
      <c r="M635" s="25">
        <v>1.34</v>
      </c>
      <c r="N635" s="25">
        <v>0</v>
      </c>
      <c r="O635" s="25">
        <v>29.74</v>
      </c>
      <c r="P635" s="25">
        <v>31.081099999999999</v>
      </c>
      <c r="Q635" s="25">
        <f t="shared" si="18"/>
        <v>37281.081100000003</v>
      </c>
      <c r="R635" s="25">
        <f t="shared" si="19"/>
        <v>0</v>
      </c>
    </row>
    <row r="636" spans="1:18" hidden="1" x14ac:dyDescent="0.25">
      <c r="A636" s="26">
        <v>43595</v>
      </c>
      <c r="B636" s="25" t="s">
        <v>981</v>
      </c>
      <c r="C636" s="25" t="s">
        <v>17</v>
      </c>
      <c r="D636" s="25">
        <v>50</v>
      </c>
      <c r="E636" s="25">
        <v>148.5</v>
      </c>
      <c r="F636" s="25">
        <v>7425</v>
      </c>
      <c r="G636" s="25" t="s">
        <v>1253</v>
      </c>
      <c r="H636" s="25">
        <v>2019088</v>
      </c>
      <c r="I636" s="25" t="s">
        <v>19</v>
      </c>
      <c r="J636" s="25" t="s">
        <v>20</v>
      </c>
      <c r="K636" s="25" t="s">
        <v>25</v>
      </c>
      <c r="L636" s="25">
        <v>0</v>
      </c>
      <c r="M636" s="25">
        <v>0.27</v>
      </c>
      <c r="N636" s="25">
        <v>0</v>
      </c>
      <c r="O636" s="25">
        <v>29.55</v>
      </c>
      <c r="P636" s="25">
        <v>29.817299999999999</v>
      </c>
      <c r="Q636" s="25">
        <f t="shared" si="18"/>
        <v>7454.8172999999997</v>
      </c>
      <c r="R636" s="25">
        <f t="shared" si="19"/>
        <v>0</v>
      </c>
    </row>
    <row r="637" spans="1:18" hidden="1" x14ac:dyDescent="0.25">
      <c r="A637" s="26">
        <v>43595</v>
      </c>
      <c r="B637" s="25" t="s">
        <v>981</v>
      </c>
      <c r="C637" s="25" t="s">
        <v>17</v>
      </c>
      <c r="D637" s="25">
        <v>50</v>
      </c>
      <c r="E637" s="25">
        <v>148</v>
      </c>
      <c r="F637" s="25">
        <v>7400</v>
      </c>
      <c r="G637" s="25" t="s">
        <v>1254</v>
      </c>
      <c r="H637" s="25">
        <v>2019088</v>
      </c>
      <c r="I637" s="25" t="s">
        <v>19</v>
      </c>
      <c r="J637" s="25" t="s">
        <v>20</v>
      </c>
      <c r="K637" s="25" t="s">
        <v>25</v>
      </c>
      <c r="L637" s="25">
        <v>0</v>
      </c>
      <c r="M637" s="25">
        <v>0.27</v>
      </c>
      <c r="N637" s="25">
        <v>0</v>
      </c>
      <c r="O637" s="25">
        <v>29.55</v>
      </c>
      <c r="P637" s="25">
        <v>29.816400000000002</v>
      </c>
      <c r="Q637" s="25">
        <f t="shared" si="18"/>
        <v>7429.8163999999997</v>
      </c>
      <c r="R637" s="25">
        <f t="shared" si="19"/>
        <v>0</v>
      </c>
    </row>
    <row r="638" spans="1:18" hidden="1" x14ac:dyDescent="0.25">
      <c r="A638" s="26">
        <v>43595</v>
      </c>
      <c r="B638" s="25" t="s">
        <v>981</v>
      </c>
      <c r="C638" s="25" t="s">
        <v>23</v>
      </c>
      <c r="D638" s="25">
        <v>350</v>
      </c>
      <c r="E638" s="25">
        <v>149</v>
      </c>
      <c r="F638" s="25">
        <v>52150</v>
      </c>
      <c r="G638" s="25" t="s">
        <v>1255</v>
      </c>
      <c r="H638" s="25">
        <v>2019088</v>
      </c>
      <c r="I638" s="25" t="s">
        <v>19</v>
      </c>
      <c r="J638" s="25" t="s">
        <v>20</v>
      </c>
      <c r="K638" s="25" t="s">
        <v>25</v>
      </c>
      <c r="L638" s="25">
        <v>13.01</v>
      </c>
      <c r="M638" s="25">
        <v>1.88</v>
      </c>
      <c r="N638" s="25">
        <v>0</v>
      </c>
      <c r="O638" s="25">
        <v>31.1</v>
      </c>
      <c r="P638" s="25">
        <v>45.987499999999997</v>
      </c>
      <c r="Q638" s="25">
        <f t="shared" si="18"/>
        <v>0</v>
      </c>
      <c r="R638" s="25">
        <f t="shared" si="19"/>
        <v>52104.012499999997</v>
      </c>
    </row>
    <row r="639" spans="1:18" hidden="1" x14ac:dyDescent="0.25">
      <c r="A639" s="26">
        <v>43595</v>
      </c>
      <c r="B639" s="25" t="s">
        <v>981</v>
      </c>
      <c r="C639" s="25" t="s">
        <v>23</v>
      </c>
      <c r="D639" s="25">
        <v>250</v>
      </c>
      <c r="E639" s="25">
        <v>149.05000000000001</v>
      </c>
      <c r="F639" s="25">
        <v>37262.5</v>
      </c>
      <c r="G639" s="25" t="s">
        <v>1256</v>
      </c>
      <c r="H639" s="25">
        <v>2019088</v>
      </c>
      <c r="I639" s="25" t="s">
        <v>19</v>
      </c>
      <c r="J639" s="25" t="s">
        <v>20</v>
      </c>
      <c r="K639" s="25" t="s">
        <v>25</v>
      </c>
      <c r="L639" s="25">
        <v>8.99</v>
      </c>
      <c r="M639" s="25">
        <v>1.34</v>
      </c>
      <c r="N639" s="25">
        <v>5.4</v>
      </c>
      <c r="O639" s="25">
        <v>29.74</v>
      </c>
      <c r="P639" s="25">
        <v>45.471499999999999</v>
      </c>
      <c r="Q639" s="25">
        <f t="shared" si="18"/>
        <v>0</v>
      </c>
      <c r="R639" s="25">
        <f t="shared" si="19"/>
        <v>37217.0285</v>
      </c>
    </row>
    <row r="640" spans="1:18" hidden="1" x14ac:dyDescent="0.25">
      <c r="A640" s="26">
        <v>43595</v>
      </c>
      <c r="B640" s="25" t="s">
        <v>981</v>
      </c>
      <c r="C640" s="25" t="s">
        <v>17</v>
      </c>
      <c r="D640" s="25">
        <v>250</v>
      </c>
      <c r="E640" s="25">
        <v>147.9</v>
      </c>
      <c r="F640" s="25">
        <v>36975</v>
      </c>
      <c r="G640" s="25" t="s">
        <v>1257</v>
      </c>
      <c r="H640" s="25">
        <v>2019088</v>
      </c>
      <c r="I640" s="25" t="s">
        <v>19</v>
      </c>
      <c r="J640" s="25" t="s">
        <v>20</v>
      </c>
      <c r="K640" s="25" t="s">
        <v>25</v>
      </c>
      <c r="L640" s="25">
        <v>0</v>
      </c>
      <c r="M640" s="25">
        <v>1.33</v>
      </c>
      <c r="N640" s="25">
        <v>0</v>
      </c>
      <c r="O640" s="25">
        <v>29.74</v>
      </c>
      <c r="P640" s="25">
        <v>31.071100000000001</v>
      </c>
      <c r="Q640" s="25">
        <f t="shared" si="18"/>
        <v>37006.071100000001</v>
      </c>
      <c r="R640" s="25">
        <f t="shared" si="19"/>
        <v>0</v>
      </c>
    </row>
    <row r="641" spans="1:18" hidden="1" x14ac:dyDescent="0.25">
      <c r="A641" s="26">
        <v>43591</v>
      </c>
      <c r="B641" s="25" t="s">
        <v>981</v>
      </c>
      <c r="C641" s="25" t="s">
        <v>17</v>
      </c>
      <c r="D641" s="25">
        <v>1000</v>
      </c>
      <c r="E641" s="25">
        <v>157.19999999999999</v>
      </c>
      <c r="F641" s="25">
        <v>157204.45000000001</v>
      </c>
      <c r="G641" s="25" t="s">
        <v>1258</v>
      </c>
      <c r="H641" s="25">
        <v>2019084</v>
      </c>
      <c r="I641" s="25" t="s">
        <v>19</v>
      </c>
      <c r="J641" s="25" t="s">
        <v>20</v>
      </c>
      <c r="K641" s="25" t="s">
        <v>25</v>
      </c>
      <c r="L641" s="25">
        <v>0</v>
      </c>
      <c r="M641" s="25">
        <v>5.66</v>
      </c>
      <c r="N641" s="25">
        <v>0</v>
      </c>
      <c r="O641" s="25">
        <v>93.79</v>
      </c>
      <c r="P641" s="25">
        <v>99.449200000000005</v>
      </c>
      <c r="Q641" s="25">
        <f t="shared" si="18"/>
        <v>157303.89920000001</v>
      </c>
      <c r="R641" s="25">
        <f t="shared" si="19"/>
        <v>0</v>
      </c>
    </row>
    <row r="642" spans="1:18" hidden="1" x14ac:dyDescent="0.25">
      <c r="A642" s="26">
        <v>43591</v>
      </c>
      <c r="B642" s="25" t="s">
        <v>981</v>
      </c>
      <c r="C642" s="25" t="s">
        <v>23</v>
      </c>
      <c r="D642" s="25">
        <v>1000</v>
      </c>
      <c r="E642" s="25">
        <v>157.5</v>
      </c>
      <c r="F642" s="25">
        <v>157500</v>
      </c>
      <c r="G642" s="25" t="s">
        <v>1259</v>
      </c>
      <c r="H642" s="25">
        <v>2019084</v>
      </c>
      <c r="I642" s="25" t="s">
        <v>19</v>
      </c>
      <c r="J642" s="25" t="s">
        <v>20</v>
      </c>
      <c r="K642" s="25" t="s">
        <v>25</v>
      </c>
      <c r="L642" s="25">
        <v>39.340000000000003</v>
      </c>
      <c r="M642" s="25">
        <v>5.67</v>
      </c>
      <c r="N642" s="25">
        <v>0</v>
      </c>
      <c r="O642" s="25">
        <v>93.95</v>
      </c>
      <c r="P642" s="25">
        <v>138.96</v>
      </c>
      <c r="Q642" s="25">
        <f t="shared" si="18"/>
        <v>0</v>
      </c>
      <c r="R642" s="25">
        <f t="shared" si="19"/>
        <v>157361.04</v>
      </c>
    </row>
    <row r="643" spans="1:18" hidden="1" x14ac:dyDescent="0.25">
      <c r="A643" s="26">
        <v>43591</v>
      </c>
      <c r="B643" s="25" t="s">
        <v>16</v>
      </c>
      <c r="C643" s="25" t="s">
        <v>17</v>
      </c>
      <c r="D643" s="25">
        <v>250</v>
      </c>
      <c r="E643" s="25">
        <v>33.9</v>
      </c>
      <c r="F643" s="25">
        <v>8475</v>
      </c>
      <c r="G643" s="25" t="s">
        <v>1260</v>
      </c>
      <c r="H643" s="25">
        <v>2019084</v>
      </c>
      <c r="I643" s="25" t="s">
        <v>19</v>
      </c>
      <c r="J643" s="25" t="s">
        <v>20</v>
      </c>
      <c r="K643" s="25" t="s">
        <v>25</v>
      </c>
      <c r="L643" s="25">
        <v>0</v>
      </c>
      <c r="M643" s="25">
        <v>0.31</v>
      </c>
      <c r="N643" s="25">
        <v>0</v>
      </c>
      <c r="O643" s="25">
        <v>29.56</v>
      </c>
      <c r="P643" s="25">
        <v>29.865100000000002</v>
      </c>
      <c r="Q643" s="25">
        <f t="shared" ref="Q643:Q706" si="20">IF(C643="Buy",F643+P643,0)</f>
        <v>8504.8651000000009</v>
      </c>
      <c r="R643" s="25">
        <f t="shared" ref="R643:R706" si="21">IF(C643="Sell",F643-P643,0)</f>
        <v>0</v>
      </c>
    </row>
    <row r="644" spans="1:18" hidden="1" x14ac:dyDescent="0.25">
      <c r="A644" s="26">
        <v>43591</v>
      </c>
      <c r="B644" s="25" t="s">
        <v>16</v>
      </c>
      <c r="C644" s="25" t="s">
        <v>23</v>
      </c>
      <c r="D644" s="25">
        <v>250</v>
      </c>
      <c r="E644" s="25">
        <v>33.700000000000003</v>
      </c>
      <c r="F644" s="25">
        <v>8425</v>
      </c>
      <c r="G644" s="25" t="s">
        <v>1261</v>
      </c>
      <c r="H644" s="25">
        <v>2019084</v>
      </c>
      <c r="I644" s="25" t="s">
        <v>19</v>
      </c>
      <c r="J644" s="25" t="s">
        <v>20</v>
      </c>
      <c r="K644" s="25" t="s">
        <v>25</v>
      </c>
      <c r="L644" s="25">
        <v>1.87</v>
      </c>
      <c r="M644" s="25">
        <v>0.3</v>
      </c>
      <c r="N644" s="25">
        <v>10.199999999999999</v>
      </c>
      <c r="O644" s="25">
        <v>29.55</v>
      </c>
      <c r="P644" s="25">
        <v>41.923299999999998</v>
      </c>
      <c r="Q644" s="25">
        <f t="shared" si="20"/>
        <v>0</v>
      </c>
      <c r="R644" s="25">
        <f t="shared" si="21"/>
        <v>8383.0766999999996</v>
      </c>
    </row>
    <row r="645" spans="1:18" hidden="1" x14ac:dyDescent="0.25">
      <c r="A645" s="26">
        <v>43591</v>
      </c>
      <c r="B645" s="25" t="s">
        <v>179</v>
      </c>
      <c r="C645" s="25" t="s">
        <v>17</v>
      </c>
      <c r="D645" s="25">
        <v>50</v>
      </c>
      <c r="E645" s="25">
        <v>35.75</v>
      </c>
      <c r="F645" s="25">
        <v>1787.5</v>
      </c>
      <c r="G645" s="25" t="s">
        <v>1262</v>
      </c>
      <c r="H645" s="25">
        <v>2019084</v>
      </c>
      <c r="I645" s="25" t="s">
        <v>19</v>
      </c>
      <c r="J645" s="25" t="s">
        <v>20</v>
      </c>
      <c r="K645" s="25" t="s">
        <v>25</v>
      </c>
      <c r="L645" s="25">
        <v>1.79</v>
      </c>
      <c r="M645" s="25">
        <v>0.06</v>
      </c>
      <c r="N645" s="25">
        <v>0</v>
      </c>
      <c r="O645" s="25">
        <v>41.31</v>
      </c>
      <c r="P645" s="25">
        <v>43.164400000000001</v>
      </c>
      <c r="Q645" s="25">
        <f t="shared" si="20"/>
        <v>1830.6644000000001</v>
      </c>
      <c r="R645" s="25">
        <f t="shared" si="21"/>
        <v>0</v>
      </c>
    </row>
    <row r="646" spans="1:18" hidden="1" x14ac:dyDescent="0.25">
      <c r="A646" s="26">
        <v>43587</v>
      </c>
      <c r="B646" s="25" t="s">
        <v>282</v>
      </c>
      <c r="C646" s="25" t="s">
        <v>17</v>
      </c>
      <c r="D646" s="25">
        <v>10</v>
      </c>
      <c r="E646" s="25">
        <v>560</v>
      </c>
      <c r="F646" s="25">
        <v>5600</v>
      </c>
      <c r="G646" s="25" t="s">
        <v>1263</v>
      </c>
      <c r="H646" s="25">
        <v>2019082</v>
      </c>
      <c r="I646" s="25" t="s">
        <v>19</v>
      </c>
      <c r="J646" s="25" t="s">
        <v>20</v>
      </c>
      <c r="K646" s="25" t="s">
        <v>25</v>
      </c>
      <c r="L646" s="25">
        <v>6</v>
      </c>
      <c r="M646" s="25">
        <v>0.2</v>
      </c>
      <c r="N646" s="25">
        <v>0.3</v>
      </c>
      <c r="O646" s="25">
        <v>41.34</v>
      </c>
      <c r="P646" s="25">
        <v>47.8416</v>
      </c>
      <c r="Q646" s="25">
        <f t="shared" si="20"/>
        <v>5647.8415999999997</v>
      </c>
      <c r="R646" s="25">
        <f t="shared" si="21"/>
        <v>0</v>
      </c>
    </row>
    <row r="647" spans="1:18" hidden="1" x14ac:dyDescent="0.25">
      <c r="A647" s="26">
        <v>43580</v>
      </c>
      <c r="B647" s="25" t="s">
        <v>205</v>
      </c>
      <c r="C647" s="25" t="s">
        <v>17</v>
      </c>
      <c r="D647" s="25">
        <v>100</v>
      </c>
      <c r="E647" s="25">
        <v>18.25</v>
      </c>
      <c r="F647" s="25">
        <v>1825</v>
      </c>
      <c r="G647" s="25" t="s">
        <v>1264</v>
      </c>
      <c r="H647" s="25">
        <v>2019079</v>
      </c>
      <c r="I647" s="25" t="s">
        <v>19</v>
      </c>
      <c r="J647" s="25" t="s">
        <v>20</v>
      </c>
      <c r="K647" s="25" t="s">
        <v>25</v>
      </c>
      <c r="L647" s="25">
        <v>2</v>
      </c>
      <c r="M647" s="25">
        <v>7.0000000000000007E-2</v>
      </c>
      <c r="N647" s="25">
        <v>0.3</v>
      </c>
      <c r="O647" s="25">
        <v>41.31</v>
      </c>
      <c r="P647" s="25">
        <v>43.675699999999999</v>
      </c>
      <c r="Q647" s="25">
        <f t="shared" si="20"/>
        <v>1868.6757</v>
      </c>
      <c r="R647" s="25">
        <f t="shared" si="21"/>
        <v>0</v>
      </c>
    </row>
    <row r="648" spans="1:18" hidden="1" x14ac:dyDescent="0.25">
      <c r="A648" s="26">
        <v>43579</v>
      </c>
      <c r="B648" s="25" t="s">
        <v>288</v>
      </c>
      <c r="C648" s="25" t="s">
        <v>17</v>
      </c>
      <c r="D648" s="25">
        <v>25</v>
      </c>
      <c r="E648" s="25">
        <v>60</v>
      </c>
      <c r="F648" s="25">
        <v>1500</v>
      </c>
      <c r="G648" s="25" t="s">
        <v>1265</v>
      </c>
      <c r="H648" s="25">
        <v>2019078</v>
      </c>
      <c r="I648" s="25" t="s">
        <v>19</v>
      </c>
      <c r="J648" s="25" t="s">
        <v>20</v>
      </c>
      <c r="K648" s="25" t="s">
        <v>25</v>
      </c>
      <c r="L648" s="25">
        <v>2</v>
      </c>
      <c r="M648" s="25">
        <v>0.05</v>
      </c>
      <c r="N648" s="25">
        <v>0.3</v>
      </c>
      <c r="O648" s="25">
        <v>41.31</v>
      </c>
      <c r="P648" s="25">
        <v>43.664000000000001</v>
      </c>
      <c r="Q648" s="25">
        <f t="shared" si="20"/>
        <v>1543.664</v>
      </c>
      <c r="R648" s="25">
        <f t="shared" si="21"/>
        <v>0</v>
      </c>
    </row>
    <row r="649" spans="1:18" hidden="1" x14ac:dyDescent="0.25">
      <c r="A649" s="26">
        <v>43578</v>
      </c>
      <c r="B649" s="25" t="s">
        <v>862</v>
      </c>
      <c r="C649" s="25" t="s">
        <v>23</v>
      </c>
      <c r="D649" s="25">
        <v>100</v>
      </c>
      <c r="E649" s="25">
        <v>287</v>
      </c>
      <c r="F649" s="25">
        <v>28700</v>
      </c>
      <c r="G649" s="25" t="s">
        <v>1266</v>
      </c>
      <c r="H649" s="25">
        <v>2019077</v>
      </c>
      <c r="I649" s="25" t="s">
        <v>19</v>
      </c>
      <c r="J649" s="25" t="s">
        <v>20</v>
      </c>
      <c r="K649" s="25" t="s">
        <v>25</v>
      </c>
      <c r="L649" s="25">
        <v>6.87</v>
      </c>
      <c r="M649" s="25">
        <v>1.03</v>
      </c>
      <c r="N649" s="25">
        <v>0</v>
      </c>
      <c r="O649" s="25">
        <v>29.69</v>
      </c>
      <c r="P649" s="25">
        <v>37.593200000000003</v>
      </c>
      <c r="Q649" s="25">
        <f t="shared" si="20"/>
        <v>0</v>
      </c>
      <c r="R649" s="25">
        <f t="shared" si="21"/>
        <v>28662.406800000001</v>
      </c>
    </row>
    <row r="650" spans="1:18" hidden="1" x14ac:dyDescent="0.25">
      <c r="A650" s="26">
        <v>43578</v>
      </c>
      <c r="B650" s="25" t="s">
        <v>862</v>
      </c>
      <c r="C650" s="25" t="s">
        <v>23</v>
      </c>
      <c r="D650" s="25">
        <v>100</v>
      </c>
      <c r="E650" s="25">
        <v>289</v>
      </c>
      <c r="F650" s="25">
        <v>28900</v>
      </c>
      <c r="G650" s="25" t="s">
        <v>1267</v>
      </c>
      <c r="H650" s="25">
        <v>2019077</v>
      </c>
      <c r="I650" s="25" t="s">
        <v>19</v>
      </c>
      <c r="J650" s="25" t="s">
        <v>20</v>
      </c>
      <c r="K650" s="25" t="s">
        <v>25</v>
      </c>
      <c r="L650" s="25">
        <v>7.35</v>
      </c>
      <c r="M650" s="25">
        <v>1.04</v>
      </c>
      <c r="N650" s="25">
        <v>0</v>
      </c>
      <c r="O650" s="25">
        <v>29.69</v>
      </c>
      <c r="P650" s="25">
        <v>38.080399999999997</v>
      </c>
      <c r="Q650" s="25">
        <f t="shared" si="20"/>
        <v>0</v>
      </c>
      <c r="R650" s="25">
        <f t="shared" si="21"/>
        <v>28861.919600000001</v>
      </c>
    </row>
    <row r="651" spans="1:18" hidden="1" x14ac:dyDescent="0.25">
      <c r="A651" s="26">
        <v>43578</v>
      </c>
      <c r="B651" s="25" t="s">
        <v>862</v>
      </c>
      <c r="C651" s="25" t="s">
        <v>17</v>
      </c>
      <c r="D651" s="25">
        <v>100</v>
      </c>
      <c r="E651" s="25">
        <v>284</v>
      </c>
      <c r="F651" s="25">
        <v>28400</v>
      </c>
      <c r="G651" s="25" t="s">
        <v>1268</v>
      </c>
      <c r="H651" s="25">
        <v>2019077</v>
      </c>
      <c r="I651" s="25" t="s">
        <v>19</v>
      </c>
      <c r="J651" s="25" t="s">
        <v>20</v>
      </c>
      <c r="K651" s="25" t="s">
        <v>25</v>
      </c>
      <c r="L651" s="25">
        <v>0</v>
      </c>
      <c r="M651" s="25">
        <v>1.02</v>
      </c>
      <c r="N651" s="25">
        <v>15</v>
      </c>
      <c r="O651" s="25">
        <v>29.68</v>
      </c>
      <c r="P651" s="25">
        <v>45.702399999999997</v>
      </c>
      <c r="Q651" s="25">
        <f t="shared" si="20"/>
        <v>28445.702399999998</v>
      </c>
      <c r="R651" s="25">
        <f t="shared" si="21"/>
        <v>0</v>
      </c>
    </row>
    <row r="652" spans="1:18" hidden="1" x14ac:dyDescent="0.25">
      <c r="A652" s="26">
        <v>43578</v>
      </c>
      <c r="B652" s="25" t="s">
        <v>862</v>
      </c>
      <c r="C652" s="25" t="s">
        <v>23</v>
      </c>
      <c r="D652" s="25">
        <v>100</v>
      </c>
      <c r="E652" s="25">
        <v>290</v>
      </c>
      <c r="F652" s="25">
        <v>29000</v>
      </c>
      <c r="G652" s="25" t="s">
        <v>1269</v>
      </c>
      <c r="H652" s="25">
        <v>2019077</v>
      </c>
      <c r="I652" s="25" t="s">
        <v>19</v>
      </c>
      <c r="J652" s="25" t="s">
        <v>20</v>
      </c>
      <c r="K652" s="25" t="s">
        <v>25</v>
      </c>
      <c r="L652" s="25">
        <v>7.35</v>
      </c>
      <c r="M652" s="25">
        <v>1.04</v>
      </c>
      <c r="N652" s="25">
        <v>0</v>
      </c>
      <c r="O652" s="25">
        <v>29.69</v>
      </c>
      <c r="P652" s="25">
        <v>38.084000000000003</v>
      </c>
      <c r="Q652" s="25">
        <f t="shared" si="20"/>
        <v>0</v>
      </c>
      <c r="R652" s="25">
        <f t="shared" si="21"/>
        <v>28961.916000000001</v>
      </c>
    </row>
    <row r="653" spans="1:18" hidden="1" x14ac:dyDescent="0.25">
      <c r="A653" s="26">
        <v>43578</v>
      </c>
      <c r="B653" s="25" t="s">
        <v>981</v>
      </c>
      <c r="C653" s="25" t="s">
        <v>17</v>
      </c>
      <c r="D653" s="25">
        <v>100</v>
      </c>
      <c r="E653" s="25">
        <v>148</v>
      </c>
      <c r="F653" s="25">
        <v>14800</v>
      </c>
      <c r="G653" s="25" t="s">
        <v>1270</v>
      </c>
      <c r="H653" s="25">
        <v>2019077</v>
      </c>
      <c r="I653" s="25" t="s">
        <v>19</v>
      </c>
      <c r="J653" s="25" t="s">
        <v>20</v>
      </c>
      <c r="K653" s="25" t="s">
        <v>25</v>
      </c>
      <c r="L653" s="25">
        <v>0</v>
      </c>
      <c r="M653" s="25">
        <v>0.53</v>
      </c>
      <c r="N653" s="25">
        <v>0</v>
      </c>
      <c r="O653" s="25">
        <v>29.6</v>
      </c>
      <c r="P653" s="25">
        <v>30.1328</v>
      </c>
      <c r="Q653" s="25">
        <f t="shared" si="20"/>
        <v>14830.132799999999</v>
      </c>
      <c r="R653" s="25">
        <f t="shared" si="21"/>
        <v>0</v>
      </c>
    </row>
    <row r="654" spans="1:18" hidden="1" x14ac:dyDescent="0.25">
      <c r="A654" s="26">
        <v>43578</v>
      </c>
      <c r="B654" s="25" t="s">
        <v>981</v>
      </c>
      <c r="C654" s="25" t="s">
        <v>23</v>
      </c>
      <c r="D654" s="25">
        <v>100</v>
      </c>
      <c r="E654" s="25">
        <v>148.5</v>
      </c>
      <c r="F654" s="25">
        <v>14850</v>
      </c>
      <c r="G654" s="25" t="s">
        <v>1271</v>
      </c>
      <c r="H654" s="25">
        <v>2019077</v>
      </c>
      <c r="I654" s="25" t="s">
        <v>19</v>
      </c>
      <c r="J654" s="25" t="s">
        <v>20</v>
      </c>
      <c r="K654" s="25" t="s">
        <v>25</v>
      </c>
      <c r="L654" s="25">
        <v>3.71</v>
      </c>
      <c r="M654" s="25">
        <v>0.53</v>
      </c>
      <c r="N654" s="25">
        <v>0</v>
      </c>
      <c r="O654" s="25">
        <v>29.6</v>
      </c>
      <c r="P654" s="25">
        <v>33.844700000000003</v>
      </c>
      <c r="Q654" s="25">
        <f t="shared" si="20"/>
        <v>0</v>
      </c>
      <c r="R654" s="25">
        <f t="shared" si="21"/>
        <v>14816.1553</v>
      </c>
    </row>
    <row r="655" spans="1:18" hidden="1" x14ac:dyDescent="0.25">
      <c r="A655" s="26">
        <v>43578</v>
      </c>
      <c r="B655" s="25" t="s">
        <v>862</v>
      </c>
      <c r="C655" s="25" t="s">
        <v>23</v>
      </c>
      <c r="D655" s="25">
        <v>100</v>
      </c>
      <c r="E655" s="25">
        <v>291</v>
      </c>
      <c r="F655" s="25">
        <v>29100</v>
      </c>
      <c r="G655" s="25" t="s">
        <v>1272</v>
      </c>
      <c r="H655" s="25">
        <v>2019077</v>
      </c>
      <c r="I655" s="25" t="s">
        <v>19</v>
      </c>
      <c r="J655" s="25" t="s">
        <v>20</v>
      </c>
      <c r="K655" s="25" t="s">
        <v>25</v>
      </c>
      <c r="L655" s="25">
        <v>7.35</v>
      </c>
      <c r="M655" s="25">
        <v>1.05</v>
      </c>
      <c r="N655" s="25">
        <v>0</v>
      </c>
      <c r="O655" s="25">
        <v>29.69</v>
      </c>
      <c r="P655" s="25">
        <v>38.087600000000002</v>
      </c>
      <c r="Q655" s="25">
        <f t="shared" si="20"/>
        <v>0</v>
      </c>
      <c r="R655" s="25">
        <f t="shared" si="21"/>
        <v>29061.912400000001</v>
      </c>
    </row>
    <row r="656" spans="1:18" hidden="1" x14ac:dyDescent="0.25">
      <c r="A656" s="26">
        <v>43578</v>
      </c>
      <c r="B656" s="25" t="s">
        <v>862</v>
      </c>
      <c r="C656" s="25" t="s">
        <v>23</v>
      </c>
      <c r="D656" s="25">
        <v>100</v>
      </c>
      <c r="E656" s="25">
        <v>292.3</v>
      </c>
      <c r="F656" s="25">
        <v>29230</v>
      </c>
      <c r="G656" s="25" t="s">
        <v>1273</v>
      </c>
      <c r="H656" s="25">
        <v>2019077</v>
      </c>
      <c r="I656" s="25" t="s">
        <v>19</v>
      </c>
      <c r="J656" s="25" t="s">
        <v>20</v>
      </c>
      <c r="K656" s="25" t="s">
        <v>25</v>
      </c>
      <c r="L656" s="25">
        <v>7.35</v>
      </c>
      <c r="M656" s="25">
        <v>1.05</v>
      </c>
      <c r="N656" s="25">
        <v>0</v>
      </c>
      <c r="O656" s="25">
        <v>29.69</v>
      </c>
      <c r="P656" s="25">
        <v>38.092300000000002</v>
      </c>
      <c r="Q656" s="25">
        <f t="shared" si="20"/>
        <v>0</v>
      </c>
      <c r="R656" s="25">
        <f t="shared" si="21"/>
        <v>29191.9077</v>
      </c>
    </row>
    <row r="657" spans="1:18" hidden="1" x14ac:dyDescent="0.25">
      <c r="A657" s="26">
        <v>43578</v>
      </c>
      <c r="B657" s="25" t="s">
        <v>862</v>
      </c>
      <c r="C657" s="25" t="s">
        <v>23</v>
      </c>
      <c r="D657" s="25">
        <v>100</v>
      </c>
      <c r="E657" s="25">
        <v>295</v>
      </c>
      <c r="F657" s="25">
        <v>29500</v>
      </c>
      <c r="G657" s="25" t="s">
        <v>1274</v>
      </c>
      <c r="H657" s="25">
        <v>2019077</v>
      </c>
      <c r="I657" s="25" t="s">
        <v>19</v>
      </c>
      <c r="J657" s="25" t="s">
        <v>20</v>
      </c>
      <c r="K657" s="25" t="s">
        <v>25</v>
      </c>
      <c r="L657" s="25">
        <v>7.35</v>
      </c>
      <c r="M657" s="25">
        <v>1.06</v>
      </c>
      <c r="N657" s="25">
        <v>0</v>
      </c>
      <c r="O657" s="25">
        <v>29.69</v>
      </c>
      <c r="P657" s="25">
        <v>38.101999999999997</v>
      </c>
      <c r="Q657" s="25">
        <f t="shared" si="20"/>
        <v>0</v>
      </c>
      <c r="R657" s="25">
        <f t="shared" si="21"/>
        <v>29461.898000000001</v>
      </c>
    </row>
    <row r="658" spans="1:18" hidden="1" x14ac:dyDescent="0.25">
      <c r="A658" s="26">
        <v>43578</v>
      </c>
      <c r="B658" s="25" t="s">
        <v>862</v>
      </c>
      <c r="C658" s="25" t="s">
        <v>23</v>
      </c>
      <c r="D658" s="25">
        <v>200</v>
      </c>
      <c r="E658" s="25">
        <v>293.5</v>
      </c>
      <c r="F658" s="25">
        <v>58700</v>
      </c>
      <c r="G658" s="25" t="s">
        <v>1275</v>
      </c>
      <c r="H658" s="25">
        <v>2019077</v>
      </c>
      <c r="I658" s="25" t="s">
        <v>19</v>
      </c>
      <c r="J658" s="25" t="s">
        <v>20</v>
      </c>
      <c r="K658" s="25" t="s">
        <v>25</v>
      </c>
      <c r="L658" s="25">
        <v>14.69</v>
      </c>
      <c r="M658" s="25">
        <v>2.11</v>
      </c>
      <c r="N658" s="25">
        <v>0</v>
      </c>
      <c r="O658" s="25">
        <v>35.01</v>
      </c>
      <c r="P658" s="25">
        <v>51.813200000000002</v>
      </c>
      <c r="Q658" s="25">
        <f t="shared" si="20"/>
        <v>0</v>
      </c>
      <c r="R658" s="25">
        <f t="shared" si="21"/>
        <v>58648.186800000003</v>
      </c>
    </row>
    <row r="659" spans="1:18" hidden="1" x14ac:dyDescent="0.25">
      <c r="A659" s="26">
        <v>43578</v>
      </c>
      <c r="B659" s="25" t="s">
        <v>862</v>
      </c>
      <c r="C659" s="25" t="s">
        <v>17</v>
      </c>
      <c r="D659" s="25">
        <v>700</v>
      </c>
      <c r="E659" s="25">
        <v>298</v>
      </c>
      <c r="F659" s="25">
        <v>208600</v>
      </c>
      <c r="G659" s="25" t="s">
        <v>1276</v>
      </c>
      <c r="H659" s="25">
        <v>2019077</v>
      </c>
      <c r="I659" s="25" t="s">
        <v>19</v>
      </c>
      <c r="J659" s="25" t="s">
        <v>20</v>
      </c>
      <c r="K659" s="25" t="s">
        <v>25</v>
      </c>
      <c r="L659" s="25">
        <v>0</v>
      </c>
      <c r="M659" s="25">
        <v>7.51</v>
      </c>
      <c r="N659" s="25">
        <v>0</v>
      </c>
      <c r="O659" s="25">
        <v>124.43</v>
      </c>
      <c r="P659" s="25">
        <v>131.93960000000001</v>
      </c>
      <c r="Q659" s="25">
        <f t="shared" si="20"/>
        <v>208731.93960000001</v>
      </c>
      <c r="R659" s="25">
        <f t="shared" si="21"/>
        <v>0</v>
      </c>
    </row>
    <row r="660" spans="1:18" hidden="1" x14ac:dyDescent="0.25">
      <c r="A660" s="26">
        <v>43577</v>
      </c>
      <c r="B660" s="25" t="s">
        <v>981</v>
      </c>
      <c r="C660" s="25" t="s">
        <v>17</v>
      </c>
      <c r="D660" s="25">
        <v>100</v>
      </c>
      <c r="E660" s="25">
        <v>151</v>
      </c>
      <c r="F660" s="25">
        <v>15100</v>
      </c>
      <c r="G660" s="25" t="s">
        <v>1277</v>
      </c>
      <c r="H660" s="25">
        <v>2019076</v>
      </c>
      <c r="I660" s="25" t="s">
        <v>19</v>
      </c>
      <c r="J660" s="25" t="s">
        <v>20</v>
      </c>
      <c r="K660" s="25" t="s">
        <v>25</v>
      </c>
      <c r="L660" s="25">
        <v>0</v>
      </c>
      <c r="M660" s="25">
        <v>0.54</v>
      </c>
      <c r="N660" s="25">
        <v>0</v>
      </c>
      <c r="O660" s="25">
        <v>29.6</v>
      </c>
      <c r="P660" s="25">
        <v>30.143599999999999</v>
      </c>
      <c r="Q660" s="25">
        <f t="shared" si="20"/>
        <v>15130.143599999999</v>
      </c>
      <c r="R660" s="25">
        <f t="shared" si="21"/>
        <v>0</v>
      </c>
    </row>
    <row r="661" spans="1:18" hidden="1" x14ac:dyDescent="0.25">
      <c r="A661" s="26">
        <v>43577</v>
      </c>
      <c r="B661" s="25" t="s">
        <v>981</v>
      </c>
      <c r="C661" s="25" t="s">
        <v>17</v>
      </c>
      <c r="D661" s="25">
        <v>100</v>
      </c>
      <c r="E661" s="25">
        <v>150</v>
      </c>
      <c r="F661" s="25">
        <v>15000</v>
      </c>
      <c r="G661" s="25" t="s">
        <v>1278</v>
      </c>
      <c r="H661" s="25">
        <v>2019076</v>
      </c>
      <c r="I661" s="25" t="s">
        <v>19</v>
      </c>
      <c r="J661" s="25" t="s">
        <v>20</v>
      </c>
      <c r="K661" s="25" t="s">
        <v>25</v>
      </c>
      <c r="L661" s="25">
        <v>0</v>
      </c>
      <c r="M661" s="25">
        <v>0.54</v>
      </c>
      <c r="N661" s="25">
        <v>0</v>
      </c>
      <c r="O661" s="25">
        <v>29.6</v>
      </c>
      <c r="P661" s="25">
        <v>30.14</v>
      </c>
      <c r="Q661" s="25">
        <f t="shared" si="20"/>
        <v>15030.14</v>
      </c>
      <c r="R661" s="25">
        <f t="shared" si="21"/>
        <v>0</v>
      </c>
    </row>
    <row r="662" spans="1:18" hidden="1" x14ac:dyDescent="0.25">
      <c r="A662" s="26">
        <v>43577</v>
      </c>
      <c r="B662" s="25" t="s">
        <v>981</v>
      </c>
      <c r="C662" s="25" t="s">
        <v>23</v>
      </c>
      <c r="D662" s="25">
        <v>200</v>
      </c>
      <c r="E662" s="25">
        <v>150</v>
      </c>
      <c r="F662" s="25">
        <v>30000</v>
      </c>
      <c r="G662" s="25" t="s">
        <v>1279</v>
      </c>
      <c r="H662" s="25">
        <v>2019076</v>
      </c>
      <c r="I662" s="25" t="s">
        <v>19</v>
      </c>
      <c r="J662" s="25" t="s">
        <v>20</v>
      </c>
      <c r="K662" s="25" t="s">
        <v>25</v>
      </c>
      <c r="L662" s="25">
        <v>7.51</v>
      </c>
      <c r="M662" s="25">
        <v>1.08</v>
      </c>
      <c r="N662" s="25">
        <v>0</v>
      </c>
      <c r="O662" s="25">
        <v>29.7</v>
      </c>
      <c r="P662" s="25">
        <v>38.290199999999999</v>
      </c>
      <c r="Q662" s="25">
        <f t="shared" si="20"/>
        <v>0</v>
      </c>
      <c r="R662" s="25">
        <f t="shared" si="21"/>
        <v>29961.709800000001</v>
      </c>
    </row>
    <row r="663" spans="1:18" hidden="1" x14ac:dyDescent="0.25">
      <c r="A663" s="26">
        <v>43577</v>
      </c>
      <c r="B663" s="25" t="s">
        <v>379</v>
      </c>
      <c r="C663" s="25" t="s">
        <v>17</v>
      </c>
      <c r="D663" s="25">
        <v>250</v>
      </c>
      <c r="E663" s="25">
        <v>151</v>
      </c>
      <c r="F663" s="25">
        <v>37750</v>
      </c>
      <c r="G663" s="25" t="s">
        <v>1280</v>
      </c>
      <c r="H663" s="25">
        <v>2019076</v>
      </c>
      <c r="I663" s="25" t="s">
        <v>19</v>
      </c>
      <c r="J663" s="25" t="s">
        <v>20</v>
      </c>
      <c r="K663" s="25" t="s">
        <v>25</v>
      </c>
      <c r="L663" s="25">
        <v>0</v>
      </c>
      <c r="M663" s="25">
        <v>1.36</v>
      </c>
      <c r="N663" s="25">
        <v>0</v>
      </c>
      <c r="O663" s="25">
        <v>29.74</v>
      </c>
      <c r="P663" s="25">
        <v>31.0991</v>
      </c>
      <c r="Q663" s="25">
        <f t="shared" si="20"/>
        <v>37781.099099999999</v>
      </c>
      <c r="R663" s="25">
        <f t="shared" si="21"/>
        <v>0</v>
      </c>
    </row>
    <row r="664" spans="1:18" hidden="1" x14ac:dyDescent="0.25">
      <c r="A664" s="26">
        <v>43577</v>
      </c>
      <c r="B664" s="25" t="s">
        <v>379</v>
      </c>
      <c r="C664" s="25" t="s">
        <v>23</v>
      </c>
      <c r="D664" s="25">
        <v>1000</v>
      </c>
      <c r="E664" s="25">
        <v>148.9</v>
      </c>
      <c r="F664" s="25">
        <v>148900</v>
      </c>
      <c r="G664" s="25" t="s">
        <v>1281</v>
      </c>
      <c r="H664" s="25">
        <v>2019076</v>
      </c>
      <c r="I664" s="25" t="s">
        <v>19</v>
      </c>
      <c r="J664" s="25" t="s">
        <v>20</v>
      </c>
      <c r="K664" s="25" t="s">
        <v>25</v>
      </c>
      <c r="L664" s="25">
        <v>37.29</v>
      </c>
      <c r="M664" s="25">
        <v>5.36</v>
      </c>
      <c r="N664" s="25">
        <v>0</v>
      </c>
      <c r="O664" s="25">
        <v>88.81</v>
      </c>
      <c r="P664" s="25">
        <v>131.46029999999999</v>
      </c>
      <c r="Q664" s="25">
        <f t="shared" si="20"/>
        <v>0</v>
      </c>
      <c r="R664" s="25">
        <f t="shared" si="21"/>
        <v>148768.53969999999</v>
      </c>
    </row>
    <row r="665" spans="1:18" hidden="1" x14ac:dyDescent="0.25">
      <c r="A665" s="26">
        <v>43577</v>
      </c>
      <c r="B665" s="25" t="s">
        <v>247</v>
      </c>
      <c r="C665" s="25" t="s">
        <v>23</v>
      </c>
      <c r="D665" s="25">
        <v>100</v>
      </c>
      <c r="E665" s="25">
        <v>480</v>
      </c>
      <c r="F665" s="25">
        <v>48000</v>
      </c>
      <c r="G665" s="25" t="s">
        <v>1282</v>
      </c>
      <c r="H665" s="25">
        <v>2019076</v>
      </c>
      <c r="I665" s="25" t="s">
        <v>19</v>
      </c>
      <c r="J665" s="25" t="s">
        <v>20</v>
      </c>
      <c r="K665" s="25" t="s">
        <v>25</v>
      </c>
      <c r="L665" s="25">
        <v>12.2</v>
      </c>
      <c r="M665" s="25">
        <v>1.73</v>
      </c>
      <c r="N665" s="25">
        <v>13.8</v>
      </c>
      <c r="O665" s="25">
        <v>29.81</v>
      </c>
      <c r="P665" s="25">
        <v>57.537999999999997</v>
      </c>
      <c r="Q665" s="25">
        <f t="shared" si="20"/>
        <v>0</v>
      </c>
      <c r="R665" s="25">
        <f t="shared" si="21"/>
        <v>47942.462</v>
      </c>
    </row>
    <row r="666" spans="1:18" hidden="1" x14ac:dyDescent="0.25">
      <c r="A666" s="26">
        <v>43577</v>
      </c>
      <c r="B666" s="25" t="s">
        <v>247</v>
      </c>
      <c r="C666" s="25" t="s">
        <v>17</v>
      </c>
      <c r="D666" s="25">
        <v>100</v>
      </c>
      <c r="E666" s="25">
        <v>474</v>
      </c>
      <c r="F666" s="25">
        <v>47400</v>
      </c>
      <c r="G666" s="25" t="s">
        <v>1283</v>
      </c>
      <c r="H666" s="25">
        <v>2019076</v>
      </c>
      <c r="I666" s="25" t="s">
        <v>19</v>
      </c>
      <c r="J666" s="25" t="s">
        <v>20</v>
      </c>
      <c r="K666" s="25" t="s">
        <v>25</v>
      </c>
      <c r="L666" s="25">
        <v>0</v>
      </c>
      <c r="M666" s="25">
        <v>1.71</v>
      </c>
      <c r="N666" s="25">
        <v>0</v>
      </c>
      <c r="O666" s="25">
        <v>29.81</v>
      </c>
      <c r="P666" s="25">
        <v>31.516400000000001</v>
      </c>
      <c r="Q666" s="25">
        <f t="shared" si="20"/>
        <v>47431.5164</v>
      </c>
      <c r="R666" s="25">
        <f t="shared" si="21"/>
        <v>0</v>
      </c>
    </row>
    <row r="667" spans="1:18" hidden="1" x14ac:dyDescent="0.25">
      <c r="A667" s="26">
        <v>43577</v>
      </c>
      <c r="B667" s="25" t="s">
        <v>379</v>
      </c>
      <c r="C667" s="25" t="s">
        <v>17</v>
      </c>
      <c r="D667" s="25">
        <v>100</v>
      </c>
      <c r="E667" s="25">
        <v>149</v>
      </c>
      <c r="F667" s="25">
        <v>14900</v>
      </c>
      <c r="G667" s="25" t="s">
        <v>1284</v>
      </c>
      <c r="H667" s="25">
        <v>2019076</v>
      </c>
      <c r="I667" s="25" t="s">
        <v>19</v>
      </c>
      <c r="J667" s="25" t="s">
        <v>20</v>
      </c>
      <c r="K667" s="25" t="s">
        <v>25</v>
      </c>
      <c r="L667" s="25">
        <v>0</v>
      </c>
      <c r="M667" s="25">
        <v>0.54</v>
      </c>
      <c r="N667" s="25">
        <v>0</v>
      </c>
      <c r="O667" s="25">
        <v>29.6</v>
      </c>
      <c r="P667" s="25">
        <v>30.136399999999998</v>
      </c>
      <c r="Q667" s="25">
        <f t="shared" si="20"/>
        <v>14930.136399999999</v>
      </c>
      <c r="R667" s="25">
        <f t="shared" si="21"/>
        <v>0</v>
      </c>
    </row>
    <row r="668" spans="1:18" hidden="1" x14ac:dyDescent="0.25">
      <c r="A668" s="26">
        <v>43577</v>
      </c>
      <c r="B668" s="25" t="s">
        <v>379</v>
      </c>
      <c r="C668" s="25" t="s">
        <v>17</v>
      </c>
      <c r="D668" s="25">
        <v>250</v>
      </c>
      <c r="E668" s="25">
        <v>149</v>
      </c>
      <c r="F668" s="25">
        <v>37250</v>
      </c>
      <c r="G668" s="25" t="s">
        <v>1285</v>
      </c>
      <c r="H668" s="25">
        <v>2019076</v>
      </c>
      <c r="I668" s="25" t="s">
        <v>19</v>
      </c>
      <c r="J668" s="25" t="s">
        <v>20</v>
      </c>
      <c r="K668" s="25" t="s">
        <v>25</v>
      </c>
      <c r="L668" s="25">
        <v>0</v>
      </c>
      <c r="M668" s="25">
        <v>1.34</v>
      </c>
      <c r="N668" s="25">
        <v>0</v>
      </c>
      <c r="O668" s="25">
        <v>29.74</v>
      </c>
      <c r="P668" s="25">
        <v>31.081099999999999</v>
      </c>
      <c r="Q668" s="25">
        <f t="shared" si="20"/>
        <v>37281.081100000003</v>
      </c>
      <c r="R668" s="25">
        <f t="shared" si="21"/>
        <v>0</v>
      </c>
    </row>
    <row r="669" spans="1:18" hidden="1" x14ac:dyDescent="0.25">
      <c r="A669" s="26">
        <v>43577</v>
      </c>
      <c r="B669" s="25" t="s">
        <v>379</v>
      </c>
      <c r="C669" s="25" t="s">
        <v>17</v>
      </c>
      <c r="D669" s="25">
        <v>400</v>
      </c>
      <c r="E669" s="25">
        <v>148.79</v>
      </c>
      <c r="F669" s="25">
        <v>59516.85</v>
      </c>
      <c r="G669" s="25" t="s">
        <v>1286</v>
      </c>
      <c r="H669" s="25">
        <v>2019076</v>
      </c>
      <c r="I669" s="25" t="s">
        <v>19</v>
      </c>
      <c r="J669" s="25" t="s">
        <v>20</v>
      </c>
      <c r="K669" s="25" t="s">
        <v>25</v>
      </c>
      <c r="L669" s="25">
        <v>0</v>
      </c>
      <c r="M669" s="25">
        <v>2.14</v>
      </c>
      <c r="N669" s="25">
        <v>0</v>
      </c>
      <c r="O669" s="25">
        <v>35.5</v>
      </c>
      <c r="P669" s="25">
        <v>37.642499999999998</v>
      </c>
      <c r="Q669" s="25">
        <f t="shared" si="20"/>
        <v>59554.4925</v>
      </c>
      <c r="R669" s="25">
        <f t="shared" si="21"/>
        <v>0</v>
      </c>
    </row>
    <row r="670" spans="1:18" hidden="1" x14ac:dyDescent="0.25">
      <c r="A670" s="26">
        <v>43573</v>
      </c>
      <c r="B670" s="25" t="s">
        <v>56</v>
      </c>
      <c r="C670" s="25" t="s">
        <v>17</v>
      </c>
      <c r="D670" s="25">
        <v>100</v>
      </c>
      <c r="E670" s="25">
        <v>966.44</v>
      </c>
      <c r="F670" s="25">
        <v>96644.3</v>
      </c>
      <c r="G670" s="25" t="s">
        <v>1287</v>
      </c>
      <c r="H670" s="25">
        <v>2019075</v>
      </c>
      <c r="I670" s="25" t="s">
        <v>19</v>
      </c>
      <c r="J670" s="25" t="s">
        <v>20</v>
      </c>
      <c r="K670" s="25" t="s">
        <v>25</v>
      </c>
      <c r="L670" s="25">
        <v>0</v>
      </c>
      <c r="M670" s="25">
        <v>3.48</v>
      </c>
      <c r="N670" s="25">
        <v>0</v>
      </c>
      <c r="O670" s="25">
        <v>57.65</v>
      </c>
      <c r="P670" s="25">
        <v>61.129199999999997</v>
      </c>
      <c r="Q670" s="25">
        <f t="shared" si="20"/>
        <v>96705.429199999999</v>
      </c>
      <c r="R670" s="25">
        <f t="shared" si="21"/>
        <v>0</v>
      </c>
    </row>
    <row r="671" spans="1:18" hidden="1" x14ac:dyDescent="0.25">
      <c r="A671" s="26">
        <v>43573</v>
      </c>
      <c r="B671" s="25" t="s">
        <v>56</v>
      </c>
      <c r="C671" s="25" t="s">
        <v>23</v>
      </c>
      <c r="D671" s="25">
        <v>200</v>
      </c>
      <c r="E671" s="25">
        <v>976</v>
      </c>
      <c r="F671" s="25">
        <v>195200</v>
      </c>
      <c r="G671" s="25" t="s">
        <v>1288</v>
      </c>
      <c r="H671" s="25">
        <v>2019075</v>
      </c>
      <c r="I671" s="25" t="s">
        <v>19</v>
      </c>
      <c r="J671" s="25" t="s">
        <v>20</v>
      </c>
      <c r="K671" s="25" t="s">
        <v>25</v>
      </c>
      <c r="L671" s="25">
        <v>48.47</v>
      </c>
      <c r="M671" s="25">
        <v>7.03</v>
      </c>
      <c r="N671" s="25">
        <v>0</v>
      </c>
      <c r="O671" s="25">
        <v>116.43</v>
      </c>
      <c r="P671" s="25">
        <v>171.9272</v>
      </c>
      <c r="Q671" s="25">
        <f t="shared" si="20"/>
        <v>0</v>
      </c>
      <c r="R671" s="25">
        <f t="shared" si="21"/>
        <v>195028.07279999999</v>
      </c>
    </row>
    <row r="672" spans="1:18" hidden="1" x14ac:dyDescent="0.25">
      <c r="A672" s="26">
        <v>43573</v>
      </c>
      <c r="B672" s="25" t="s">
        <v>56</v>
      </c>
      <c r="C672" s="25" t="s">
        <v>17</v>
      </c>
      <c r="D672" s="25">
        <v>50</v>
      </c>
      <c r="E672" s="25">
        <v>981</v>
      </c>
      <c r="F672" s="25">
        <v>49050</v>
      </c>
      <c r="G672" s="25" t="s">
        <v>1289</v>
      </c>
      <c r="H672" s="25">
        <v>2019075</v>
      </c>
      <c r="I672" s="25" t="s">
        <v>19</v>
      </c>
      <c r="J672" s="25" t="s">
        <v>20</v>
      </c>
      <c r="K672" s="25" t="s">
        <v>25</v>
      </c>
      <c r="L672" s="25">
        <v>0</v>
      </c>
      <c r="M672" s="25">
        <v>1.77</v>
      </c>
      <c r="N672" s="25">
        <v>0</v>
      </c>
      <c r="O672" s="25">
        <v>29.82</v>
      </c>
      <c r="P672" s="25">
        <v>31.585899999999999</v>
      </c>
      <c r="Q672" s="25">
        <f t="shared" si="20"/>
        <v>49081.585899999998</v>
      </c>
      <c r="R672" s="25">
        <f t="shared" si="21"/>
        <v>0</v>
      </c>
    </row>
    <row r="673" spans="1:18" hidden="1" x14ac:dyDescent="0.25">
      <c r="A673" s="26">
        <v>43573</v>
      </c>
      <c r="B673" s="25" t="s">
        <v>56</v>
      </c>
      <c r="C673" s="25" t="s">
        <v>17</v>
      </c>
      <c r="D673" s="25">
        <v>50</v>
      </c>
      <c r="E673" s="25">
        <v>978.5</v>
      </c>
      <c r="F673" s="25">
        <v>48925</v>
      </c>
      <c r="G673" s="25" t="s">
        <v>1290</v>
      </c>
      <c r="H673" s="25">
        <v>2019075</v>
      </c>
      <c r="I673" s="25" t="s">
        <v>19</v>
      </c>
      <c r="J673" s="25" t="s">
        <v>20</v>
      </c>
      <c r="K673" s="25" t="s">
        <v>25</v>
      </c>
      <c r="L673" s="25">
        <v>0</v>
      </c>
      <c r="M673" s="25">
        <v>1.76</v>
      </c>
      <c r="N673" s="25">
        <v>0</v>
      </c>
      <c r="O673" s="25">
        <v>29.82</v>
      </c>
      <c r="P673" s="25">
        <v>31.581299999999999</v>
      </c>
      <c r="Q673" s="25">
        <f t="shared" si="20"/>
        <v>48956.581299999998</v>
      </c>
      <c r="R673" s="25">
        <f t="shared" si="21"/>
        <v>0</v>
      </c>
    </row>
    <row r="674" spans="1:18" hidden="1" x14ac:dyDescent="0.25">
      <c r="A674" s="26">
        <v>43573</v>
      </c>
      <c r="B674" s="25" t="s">
        <v>56</v>
      </c>
      <c r="C674" s="25" t="s">
        <v>17</v>
      </c>
      <c r="D674" s="25">
        <v>50</v>
      </c>
      <c r="E674" s="25">
        <v>976.4</v>
      </c>
      <c r="F674" s="25">
        <v>48820</v>
      </c>
      <c r="G674" s="25" t="s">
        <v>1291</v>
      </c>
      <c r="H674" s="25">
        <v>2019075</v>
      </c>
      <c r="I674" s="25" t="s">
        <v>19</v>
      </c>
      <c r="J674" s="25" t="s">
        <v>20</v>
      </c>
      <c r="K674" s="25" t="s">
        <v>25</v>
      </c>
      <c r="L674" s="25">
        <v>0</v>
      </c>
      <c r="M674" s="25">
        <v>1.76</v>
      </c>
      <c r="N674" s="25">
        <v>0</v>
      </c>
      <c r="O674" s="25">
        <v>29.82</v>
      </c>
      <c r="P674" s="25">
        <v>31.577500000000001</v>
      </c>
      <c r="Q674" s="25">
        <f t="shared" si="20"/>
        <v>48851.577499999999</v>
      </c>
      <c r="R674" s="25">
        <f t="shared" si="21"/>
        <v>0</v>
      </c>
    </row>
    <row r="675" spans="1:18" hidden="1" x14ac:dyDescent="0.25">
      <c r="A675" s="26">
        <v>43573</v>
      </c>
      <c r="B675" s="25" t="s">
        <v>56</v>
      </c>
      <c r="C675" s="25" t="s">
        <v>17</v>
      </c>
      <c r="D675" s="25">
        <v>200</v>
      </c>
      <c r="E675" s="25">
        <v>979</v>
      </c>
      <c r="F675" s="25">
        <v>195800</v>
      </c>
      <c r="G675" s="25" t="s">
        <v>1292</v>
      </c>
      <c r="H675" s="25">
        <v>2019075</v>
      </c>
      <c r="I675" s="25" t="s">
        <v>19</v>
      </c>
      <c r="J675" s="25" t="s">
        <v>20</v>
      </c>
      <c r="K675" s="25" t="s">
        <v>25</v>
      </c>
      <c r="L675" s="25">
        <v>0</v>
      </c>
      <c r="M675" s="25">
        <v>7.05</v>
      </c>
      <c r="N675" s="25">
        <v>0</v>
      </c>
      <c r="O675" s="25">
        <v>116.79</v>
      </c>
      <c r="P675" s="25">
        <v>123.83880000000001</v>
      </c>
      <c r="Q675" s="25">
        <f t="shared" si="20"/>
        <v>195923.8388</v>
      </c>
      <c r="R675" s="25">
        <f t="shared" si="21"/>
        <v>0</v>
      </c>
    </row>
    <row r="676" spans="1:18" hidden="1" x14ac:dyDescent="0.25">
      <c r="A676" s="26">
        <v>43573</v>
      </c>
      <c r="B676" s="25" t="s">
        <v>56</v>
      </c>
      <c r="C676" s="25" t="s">
        <v>17</v>
      </c>
      <c r="D676" s="25">
        <v>1000</v>
      </c>
      <c r="E676" s="25">
        <v>974</v>
      </c>
      <c r="F676" s="25">
        <v>974000</v>
      </c>
      <c r="G676" s="25" t="s">
        <v>1293</v>
      </c>
      <c r="H676" s="25">
        <v>2019075</v>
      </c>
      <c r="I676" s="25" t="s">
        <v>19</v>
      </c>
      <c r="J676" s="25" t="s">
        <v>20</v>
      </c>
      <c r="K676" s="25" t="s">
        <v>25</v>
      </c>
      <c r="L676" s="25">
        <v>0</v>
      </c>
      <c r="M676" s="25">
        <v>35.06</v>
      </c>
      <c r="N676" s="25">
        <v>0</v>
      </c>
      <c r="O676" s="25">
        <v>580.97</v>
      </c>
      <c r="P676" s="25">
        <v>616.03420000000006</v>
      </c>
      <c r="Q676" s="25">
        <f t="shared" si="20"/>
        <v>974616.03419999999</v>
      </c>
      <c r="R676" s="25">
        <f t="shared" si="21"/>
        <v>0</v>
      </c>
    </row>
    <row r="677" spans="1:18" hidden="1" x14ac:dyDescent="0.25">
      <c r="A677" s="26">
        <v>43573</v>
      </c>
      <c r="B677" s="25" t="s">
        <v>56</v>
      </c>
      <c r="C677" s="25" t="s">
        <v>23</v>
      </c>
      <c r="D677" s="25">
        <v>1250</v>
      </c>
      <c r="E677" s="25">
        <v>962.11</v>
      </c>
      <c r="F677" s="25">
        <v>1202633.6499999999</v>
      </c>
      <c r="G677" s="25" t="s">
        <v>1294</v>
      </c>
      <c r="H677" s="25">
        <v>2019075</v>
      </c>
      <c r="I677" s="25" t="s">
        <v>19</v>
      </c>
      <c r="J677" s="25" t="s">
        <v>20</v>
      </c>
      <c r="K677" s="25" t="s">
        <v>25</v>
      </c>
      <c r="L677" s="25">
        <v>302.52999999999997</v>
      </c>
      <c r="M677" s="25">
        <v>43.29</v>
      </c>
      <c r="N677" s="25">
        <v>84.6</v>
      </c>
      <c r="O677" s="25">
        <v>717.35</v>
      </c>
      <c r="P677" s="25">
        <v>1147.7748999999999</v>
      </c>
      <c r="Q677" s="25">
        <f t="shared" si="20"/>
        <v>0</v>
      </c>
      <c r="R677" s="25">
        <f t="shared" si="21"/>
        <v>1201485.8750999998</v>
      </c>
    </row>
    <row r="678" spans="1:18" hidden="1" x14ac:dyDescent="0.25">
      <c r="A678" s="26">
        <v>43571</v>
      </c>
      <c r="B678" s="25" t="s">
        <v>379</v>
      </c>
      <c r="C678" s="25" t="s">
        <v>23</v>
      </c>
      <c r="D678" s="25">
        <v>1872</v>
      </c>
      <c r="E678" s="25">
        <v>158.75</v>
      </c>
      <c r="F678" s="25">
        <v>297180</v>
      </c>
      <c r="G678" s="25" t="s">
        <v>1295</v>
      </c>
      <c r="H678" s="25">
        <v>201920014</v>
      </c>
      <c r="I678" s="25" t="s">
        <v>19</v>
      </c>
      <c r="J678" s="25" t="s">
        <v>20</v>
      </c>
      <c r="K678" s="25" t="s">
        <v>21</v>
      </c>
      <c r="L678" s="25">
        <v>74</v>
      </c>
      <c r="M678" s="25">
        <v>8.82</v>
      </c>
      <c r="N678" s="25">
        <v>0</v>
      </c>
      <c r="O678" s="25">
        <v>176.97</v>
      </c>
      <c r="P678" s="25">
        <v>259.791</v>
      </c>
      <c r="Q678" s="25">
        <f t="shared" si="20"/>
        <v>0</v>
      </c>
      <c r="R678" s="25">
        <f t="shared" si="21"/>
        <v>296920.20899999997</v>
      </c>
    </row>
    <row r="679" spans="1:18" hidden="1" x14ac:dyDescent="0.25">
      <c r="A679" s="26">
        <v>43571</v>
      </c>
      <c r="B679" s="25" t="s">
        <v>379</v>
      </c>
      <c r="C679" s="25" t="s">
        <v>17</v>
      </c>
      <c r="D679" s="25">
        <v>1238</v>
      </c>
      <c r="E679" s="25">
        <v>158.04</v>
      </c>
      <c r="F679" s="25">
        <v>195651</v>
      </c>
      <c r="G679" s="25" t="s">
        <v>1296</v>
      </c>
      <c r="H679" s="25">
        <v>201920014</v>
      </c>
      <c r="I679" s="25" t="s">
        <v>19</v>
      </c>
      <c r="J679" s="25" t="s">
        <v>20</v>
      </c>
      <c r="K679" s="25" t="s">
        <v>21</v>
      </c>
      <c r="L679" s="25">
        <v>0</v>
      </c>
      <c r="M679" s="25">
        <v>5.56</v>
      </c>
      <c r="N679" s="25">
        <v>18</v>
      </c>
      <c r="O679" s="25">
        <v>116.44</v>
      </c>
      <c r="P679" s="25">
        <v>139.9983</v>
      </c>
      <c r="Q679" s="25">
        <f t="shared" si="20"/>
        <v>195790.99830000001</v>
      </c>
      <c r="R679" s="25">
        <f t="shared" si="21"/>
        <v>0</v>
      </c>
    </row>
    <row r="680" spans="1:18" hidden="1" x14ac:dyDescent="0.25">
      <c r="A680" s="26">
        <v>43571</v>
      </c>
      <c r="B680" s="25" t="s">
        <v>379</v>
      </c>
      <c r="C680" s="25" t="s">
        <v>17</v>
      </c>
      <c r="D680" s="25">
        <v>634</v>
      </c>
      <c r="E680" s="25">
        <v>158.80000000000001</v>
      </c>
      <c r="F680" s="25">
        <v>100681.4</v>
      </c>
      <c r="G680" s="25" t="s">
        <v>1297</v>
      </c>
      <c r="H680" s="25">
        <v>201920014</v>
      </c>
      <c r="I680" s="25" t="s">
        <v>19</v>
      </c>
      <c r="J680" s="25" t="s">
        <v>20</v>
      </c>
      <c r="K680" s="25" t="s">
        <v>21</v>
      </c>
      <c r="L680" s="25">
        <v>0</v>
      </c>
      <c r="M680" s="25">
        <v>2.88</v>
      </c>
      <c r="N680" s="25">
        <v>0</v>
      </c>
      <c r="O680" s="25">
        <v>59.92</v>
      </c>
      <c r="P680" s="25">
        <v>62.799100000000003</v>
      </c>
      <c r="Q680" s="25">
        <f t="shared" si="20"/>
        <v>100744.1991</v>
      </c>
      <c r="R680" s="25">
        <f t="shared" si="21"/>
        <v>0</v>
      </c>
    </row>
    <row r="681" spans="1:18" hidden="1" x14ac:dyDescent="0.25">
      <c r="A681" s="26">
        <v>43571</v>
      </c>
      <c r="B681" s="25" t="s">
        <v>379</v>
      </c>
      <c r="C681" s="25" t="s">
        <v>17</v>
      </c>
      <c r="D681" s="25">
        <v>100</v>
      </c>
      <c r="E681" s="25">
        <v>162</v>
      </c>
      <c r="F681" s="25">
        <v>16200</v>
      </c>
      <c r="G681" s="25" t="s">
        <v>1298</v>
      </c>
      <c r="H681" s="25">
        <v>2019074</v>
      </c>
      <c r="I681" s="25" t="s">
        <v>19</v>
      </c>
      <c r="J681" s="25" t="s">
        <v>20</v>
      </c>
      <c r="K681" s="25" t="s">
        <v>25</v>
      </c>
      <c r="L681" s="25">
        <v>0</v>
      </c>
      <c r="M681" s="25">
        <v>0.57999999999999996</v>
      </c>
      <c r="N681" s="25">
        <v>3.9</v>
      </c>
      <c r="O681" s="25">
        <v>29.61</v>
      </c>
      <c r="P681" s="25">
        <v>34.093200000000003</v>
      </c>
      <c r="Q681" s="25">
        <f t="shared" si="20"/>
        <v>16234.093199999999</v>
      </c>
      <c r="R681" s="25">
        <f t="shared" si="21"/>
        <v>0</v>
      </c>
    </row>
    <row r="682" spans="1:18" hidden="1" x14ac:dyDescent="0.25">
      <c r="A682" s="26">
        <v>43571</v>
      </c>
      <c r="B682" s="25" t="s">
        <v>379</v>
      </c>
      <c r="C682" s="25" t="s">
        <v>17</v>
      </c>
      <c r="D682" s="25">
        <v>200</v>
      </c>
      <c r="E682" s="25">
        <v>159</v>
      </c>
      <c r="F682" s="25">
        <v>31800</v>
      </c>
      <c r="G682" s="25" t="s">
        <v>1299</v>
      </c>
      <c r="H682" s="25">
        <v>2019074</v>
      </c>
      <c r="I682" s="25" t="s">
        <v>19</v>
      </c>
      <c r="J682" s="25" t="s">
        <v>20</v>
      </c>
      <c r="K682" s="25" t="s">
        <v>25</v>
      </c>
      <c r="L682" s="25">
        <v>0</v>
      </c>
      <c r="M682" s="25">
        <v>1.1399999999999999</v>
      </c>
      <c r="N682" s="25">
        <v>0</v>
      </c>
      <c r="O682" s="25">
        <v>29.71</v>
      </c>
      <c r="P682" s="25">
        <v>30.854800000000001</v>
      </c>
      <c r="Q682" s="25">
        <f t="shared" si="20"/>
        <v>31830.854800000001</v>
      </c>
      <c r="R682" s="25">
        <f t="shared" si="21"/>
        <v>0</v>
      </c>
    </row>
    <row r="683" spans="1:18" hidden="1" x14ac:dyDescent="0.25">
      <c r="A683" s="26">
        <v>43571</v>
      </c>
      <c r="B683" s="25" t="s">
        <v>379</v>
      </c>
      <c r="C683" s="25" t="s">
        <v>17</v>
      </c>
      <c r="D683" s="25">
        <v>100</v>
      </c>
      <c r="E683" s="25">
        <v>158</v>
      </c>
      <c r="F683" s="25">
        <v>15800</v>
      </c>
      <c r="G683" s="25" t="s">
        <v>1300</v>
      </c>
      <c r="H683" s="25">
        <v>2019074</v>
      </c>
      <c r="I683" s="25" t="s">
        <v>19</v>
      </c>
      <c r="J683" s="25" t="s">
        <v>20</v>
      </c>
      <c r="K683" s="25" t="s">
        <v>25</v>
      </c>
      <c r="L683" s="25">
        <v>0</v>
      </c>
      <c r="M683" s="25">
        <v>0.56999999999999995</v>
      </c>
      <c r="N683" s="25">
        <v>0</v>
      </c>
      <c r="O683" s="25">
        <v>29.6</v>
      </c>
      <c r="P683" s="25">
        <v>30.168800000000001</v>
      </c>
      <c r="Q683" s="25">
        <f t="shared" si="20"/>
        <v>15830.168799999999</v>
      </c>
      <c r="R683" s="25">
        <f t="shared" si="21"/>
        <v>0</v>
      </c>
    </row>
    <row r="684" spans="1:18" hidden="1" x14ac:dyDescent="0.25">
      <c r="A684" s="26">
        <v>43571</v>
      </c>
      <c r="B684" s="25" t="s">
        <v>379</v>
      </c>
      <c r="C684" s="25" t="s">
        <v>23</v>
      </c>
      <c r="D684" s="25">
        <v>400</v>
      </c>
      <c r="E684" s="25">
        <v>158.69999999999999</v>
      </c>
      <c r="F684" s="25">
        <v>63480</v>
      </c>
      <c r="G684" s="25" t="s">
        <v>1301</v>
      </c>
      <c r="H684" s="25">
        <v>2019074</v>
      </c>
      <c r="I684" s="25" t="s">
        <v>19</v>
      </c>
      <c r="J684" s="25" t="s">
        <v>20</v>
      </c>
      <c r="K684" s="25" t="s">
        <v>25</v>
      </c>
      <c r="L684" s="25">
        <v>16</v>
      </c>
      <c r="M684" s="25">
        <v>2.29</v>
      </c>
      <c r="N684" s="25">
        <v>0</v>
      </c>
      <c r="O684" s="25">
        <v>37.86</v>
      </c>
      <c r="P684" s="25">
        <v>56.145299999999999</v>
      </c>
      <c r="Q684" s="25">
        <f t="shared" si="20"/>
        <v>0</v>
      </c>
      <c r="R684" s="25">
        <f t="shared" si="21"/>
        <v>63423.854700000004</v>
      </c>
    </row>
    <row r="685" spans="1:18" hidden="1" x14ac:dyDescent="0.25">
      <c r="A685" s="26">
        <v>43570</v>
      </c>
      <c r="B685" s="25" t="s">
        <v>379</v>
      </c>
      <c r="C685" s="25" t="s">
        <v>23</v>
      </c>
      <c r="D685" s="25">
        <v>100</v>
      </c>
      <c r="E685" s="25">
        <v>164.95</v>
      </c>
      <c r="F685" s="25">
        <v>16495</v>
      </c>
      <c r="G685" s="25" t="s">
        <v>1302</v>
      </c>
      <c r="H685" s="25">
        <v>2019073</v>
      </c>
      <c r="I685" s="25" t="s">
        <v>19</v>
      </c>
      <c r="J685" s="25" t="s">
        <v>20</v>
      </c>
      <c r="K685" s="25" t="s">
        <v>25</v>
      </c>
      <c r="L685" s="25">
        <v>4.13</v>
      </c>
      <c r="M685" s="25">
        <v>0.59</v>
      </c>
      <c r="N685" s="25">
        <v>0</v>
      </c>
      <c r="O685" s="25">
        <v>29.61</v>
      </c>
      <c r="P685" s="25">
        <v>34.333799999999997</v>
      </c>
      <c r="Q685" s="25">
        <f t="shared" si="20"/>
        <v>0</v>
      </c>
      <c r="R685" s="25">
        <f t="shared" si="21"/>
        <v>16460.6662</v>
      </c>
    </row>
    <row r="686" spans="1:18" hidden="1" x14ac:dyDescent="0.25">
      <c r="A686" s="26">
        <v>43570</v>
      </c>
      <c r="B686" s="25" t="s">
        <v>379</v>
      </c>
      <c r="C686" s="25" t="s">
        <v>23</v>
      </c>
      <c r="D686" s="25">
        <v>500</v>
      </c>
      <c r="E686" s="25">
        <v>165.5</v>
      </c>
      <c r="F686" s="25">
        <v>82750</v>
      </c>
      <c r="G686" s="25" t="s">
        <v>1303</v>
      </c>
      <c r="H686" s="25">
        <v>2019073</v>
      </c>
      <c r="I686" s="25" t="s">
        <v>19</v>
      </c>
      <c r="J686" s="25" t="s">
        <v>20</v>
      </c>
      <c r="K686" s="25" t="s">
        <v>25</v>
      </c>
      <c r="L686" s="25">
        <v>20.63</v>
      </c>
      <c r="M686" s="25">
        <v>2.98</v>
      </c>
      <c r="N686" s="25">
        <v>0</v>
      </c>
      <c r="O686" s="25">
        <v>49.36</v>
      </c>
      <c r="P686" s="25">
        <v>72.969099999999997</v>
      </c>
      <c r="Q686" s="25">
        <f t="shared" si="20"/>
        <v>0</v>
      </c>
      <c r="R686" s="25">
        <f t="shared" si="21"/>
        <v>82677.030899999998</v>
      </c>
    </row>
    <row r="687" spans="1:18" hidden="1" x14ac:dyDescent="0.25">
      <c r="A687" s="26">
        <v>43570</v>
      </c>
      <c r="B687" s="25" t="s">
        <v>379</v>
      </c>
      <c r="C687" s="25" t="s">
        <v>17</v>
      </c>
      <c r="D687" s="25">
        <v>850</v>
      </c>
      <c r="E687" s="25">
        <v>164.5</v>
      </c>
      <c r="F687" s="25">
        <v>139825</v>
      </c>
      <c r="G687" s="25" t="s">
        <v>1304</v>
      </c>
      <c r="H687" s="25">
        <v>2019073</v>
      </c>
      <c r="I687" s="25" t="s">
        <v>19</v>
      </c>
      <c r="J687" s="25" t="s">
        <v>20</v>
      </c>
      <c r="K687" s="25" t="s">
        <v>25</v>
      </c>
      <c r="L687" s="25">
        <v>0</v>
      </c>
      <c r="M687" s="25">
        <v>5.03</v>
      </c>
      <c r="N687" s="25">
        <v>8.6999999999999993</v>
      </c>
      <c r="O687" s="25">
        <v>83.4</v>
      </c>
      <c r="P687" s="25">
        <v>97.133799999999994</v>
      </c>
      <c r="Q687" s="25">
        <f t="shared" si="20"/>
        <v>139922.13380000001</v>
      </c>
      <c r="R687" s="25">
        <f t="shared" si="21"/>
        <v>0</v>
      </c>
    </row>
    <row r="688" spans="1:18" hidden="1" x14ac:dyDescent="0.25">
      <c r="A688" s="26">
        <v>43570</v>
      </c>
      <c r="B688" s="25" t="s">
        <v>379</v>
      </c>
      <c r="C688" s="25" t="s">
        <v>23</v>
      </c>
      <c r="D688" s="25">
        <v>250</v>
      </c>
      <c r="E688" s="25">
        <v>166</v>
      </c>
      <c r="F688" s="25">
        <v>41500</v>
      </c>
      <c r="G688" s="25" t="s">
        <v>1305</v>
      </c>
      <c r="H688" s="25">
        <v>2019073</v>
      </c>
      <c r="I688" s="25" t="s">
        <v>19</v>
      </c>
      <c r="J688" s="25" t="s">
        <v>20</v>
      </c>
      <c r="K688" s="25" t="s">
        <v>25</v>
      </c>
      <c r="L688" s="25">
        <v>10.24</v>
      </c>
      <c r="M688" s="25">
        <v>1.49</v>
      </c>
      <c r="N688" s="25">
        <v>0</v>
      </c>
      <c r="O688" s="25">
        <v>29.77</v>
      </c>
      <c r="P688" s="25">
        <v>41.503999999999998</v>
      </c>
      <c r="Q688" s="25">
        <f t="shared" si="20"/>
        <v>0</v>
      </c>
      <c r="R688" s="25">
        <f t="shared" si="21"/>
        <v>41458.495999999999</v>
      </c>
    </row>
    <row r="689" spans="1:18" hidden="1" x14ac:dyDescent="0.25">
      <c r="A689" s="26">
        <v>43567</v>
      </c>
      <c r="B689" s="25" t="s">
        <v>379</v>
      </c>
      <c r="C689" s="25" t="s">
        <v>23</v>
      </c>
      <c r="D689" s="25">
        <v>1000</v>
      </c>
      <c r="E689" s="25">
        <v>162</v>
      </c>
      <c r="F689" s="25">
        <v>162000</v>
      </c>
      <c r="G689" s="25" t="s">
        <v>1306</v>
      </c>
      <c r="H689" s="25">
        <v>2019072</v>
      </c>
      <c r="I689" s="25" t="s">
        <v>19</v>
      </c>
      <c r="J689" s="25" t="s">
        <v>20</v>
      </c>
      <c r="K689" s="25" t="s">
        <v>25</v>
      </c>
      <c r="L689" s="25">
        <v>40.68</v>
      </c>
      <c r="M689" s="25">
        <v>5.83</v>
      </c>
      <c r="N689" s="25">
        <v>0</v>
      </c>
      <c r="O689" s="25">
        <v>96.63</v>
      </c>
      <c r="P689" s="25">
        <v>143.142</v>
      </c>
      <c r="Q689" s="25">
        <f t="shared" si="20"/>
        <v>0</v>
      </c>
      <c r="R689" s="25">
        <f t="shared" si="21"/>
        <v>161856.85800000001</v>
      </c>
    </row>
    <row r="690" spans="1:18" hidden="1" x14ac:dyDescent="0.25">
      <c r="A690" s="26">
        <v>43567</v>
      </c>
      <c r="B690" s="25" t="s">
        <v>379</v>
      </c>
      <c r="C690" s="25" t="s">
        <v>23</v>
      </c>
      <c r="D690" s="25">
        <v>100</v>
      </c>
      <c r="E690" s="25">
        <v>159.65</v>
      </c>
      <c r="F690" s="25">
        <v>15964.75</v>
      </c>
      <c r="G690" s="25" t="s">
        <v>1307</v>
      </c>
      <c r="H690" s="25">
        <v>2019072</v>
      </c>
      <c r="I690" s="25" t="s">
        <v>19</v>
      </c>
      <c r="J690" s="25" t="s">
        <v>20</v>
      </c>
      <c r="K690" s="25" t="s">
        <v>25</v>
      </c>
      <c r="L690" s="25">
        <v>4.07</v>
      </c>
      <c r="M690" s="25">
        <v>0.56999999999999995</v>
      </c>
      <c r="N690" s="25">
        <v>0</v>
      </c>
      <c r="O690" s="25">
        <v>29.6</v>
      </c>
      <c r="P690" s="25">
        <v>34.244700000000002</v>
      </c>
      <c r="Q690" s="25">
        <f t="shared" si="20"/>
        <v>0</v>
      </c>
      <c r="R690" s="25">
        <f t="shared" si="21"/>
        <v>15930.505300000001</v>
      </c>
    </row>
    <row r="691" spans="1:18" hidden="1" x14ac:dyDescent="0.25">
      <c r="A691" s="26">
        <v>43567</v>
      </c>
      <c r="B691" s="25" t="s">
        <v>379</v>
      </c>
      <c r="C691" s="25" t="s">
        <v>17</v>
      </c>
      <c r="D691" s="25">
        <v>3250</v>
      </c>
      <c r="E691" s="25">
        <v>162.5</v>
      </c>
      <c r="F691" s="25">
        <v>528125</v>
      </c>
      <c r="G691" s="25" t="s">
        <v>1308</v>
      </c>
      <c r="H691" s="25">
        <v>2019072</v>
      </c>
      <c r="I691" s="25" t="s">
        <v>19</v>
      </c>
      <c r="J691" s="25" t="s">
        <v>20</v>
      </c>
      <c r="K691" s="25" t="s">
        <v>25</v>
      </c>
      <c r="L691" s="25">
        <v>0</v>
      </c>
      <c r="M691" s="25">
        <v>19.010000000000002</v>
      </c>
      <c r="N691" s="25">
        <v>0</v>
      </c>
      <c r="O691" s="25">
        <v>315.02999999999997</v>
      </c>
      <c r="P691" s="25">
        <v>334.04309999999998</v>
      </c>
      <c r="Q691" s="25">
        <f t="shared" si="20"/>
        <v>528459.04310000001</v>
      </c>
      <c r="R691" s="25">
        <f t="shared" si="21"/>
        <v>0</v>
      </c>
    </row>
    <row r="692" spans="1:18" hidden="1" x14ac:dyDescent="0.25">
      <c r="A692" s="26">
        <v>43567</v>
      </c>
      <c r="B692" s="25" t="s">
        <v>379</v>
      </c>
      <c r="C692" s="25" t="s">
        <v>23</v>
      </c>
      <c r="D692" s="25">
        <v>150</v>
      </c>
      <c r="E692" s="25">
        <v>160.5</v>
      </c>
      <c r="F692" s="25">
        <v>24075</v>
      </c>
      <c r="G692" s="25" t="s">
        <v>1309</v>
      </c>
      <c r="H692" s="25">
        <v>2019072</v>
      </c>
      <c r="I692" s="25" t="s">
        <v>19</v>
      </c>
      <c r="J692" s="25" t="s">
        <v>20</v>
      </c>
      <c r="K692" s="25" t="s">
        <v>25</v>
      </c>
      <c r="L692" s="25">
        <v>6.1</v>
      </c>
      <c r="M692" s="25">
        <v>0.87</v>
      </c>
      <c r="N692" s="25">
        <v>0</v>
      </c>
      <c r="O692" s="25">
        <v>29.66</v>
      </c>
      <c r="P692" s="25">
        <v>36.6267</v>
      </c>
      <c r="Q692" s="25">
        <f t="shared" si="20"/>
        <v>0</v>
      </c>
      <c r="R692" s="25">
        <f t="shared" si="21"/>
        <v>24038.373299999999</v>
      </c>
    </row>
    <row r="693" spans="1:18" hidden="1" x14ac:dyDescent="0.25">
      <c r="A693" s="26">
        <v>43567</v>
      </c>
      <c r="B693" s="25" t="s">
        <v>379</v>
      </c>
      <c r="C693" s="25" t="s">
        <v>23</v>
      </c>
      <c r="D693" s="25">
        <v>2000</v>
      </c>
      <c r="E693" s="25">
        <v>163.72999999999999</v>
      </c>
      <c r="F693" s="25">
        <v>327465</v>
      </c>
      <c r="G693" s="25" t="s">
        <v>1310</v>
      </c>
      <c r="H693" s="25">
        <v>2019072</v>
      </c>
      <c r="I693" s="25" t="s">
        <v>19</v>
      </c>
      <c r="J693" s="25" t="s">
        <v>20</v>
      </c>
      <c r="K693" s="25" t="s">
        <v>25</v>
      </c>
      <c r="L693" s="25">
        <v>81.36</v>
      </c>
      <c r="M693" s="25">
        <v>11.79</v>
      </c>
      <c r="N693" s="25">
        <v>0</v>
      </c>
      <c r="O693" s="25">
        <v>195.32</v>
      </c>
      <c r="P693" s="25">
        <v>288.46899999999999</v>
      </c>
      <c r="Q693" s="25">
        <f t="shared" si="20"/>
        <v>0</v>
      </c>
      <c r="R693" s="25">
        <f t="shared" si="21"/>
        <v>327176.53100000002</v>
      </c>
    </row>
    <row r="694" spans="1:18" hidden="1" x14ac:dyDescent="0.25">
      <c r="A694" s="26">
        <v>43567</v>
      </c>
      <c r="B694" s="25" t="s">
        <v>981</v>
      </c>
      <c r="C694" s="25" t="s">
        <v>17</v>
      </c>
      <c r="D694" s="25">
        <v>10</v>
      </c>
      <c r="E694" s="25">
        <v>155.55000000000001</v>
      </c>
      <c r="F694" s="25">
        <v>1555.5</v>
      </c>
      <c r="G694" s="25" t="s">
        <v>1311</v>
      </c>
      <c r="H694" s="25">
        <v>2019072</v>
      </c>
      <c r="I694" s="25" t="s">
        <v>19</v>
      </c>
      <c r="J694" s="25" t="s">
        <v>1634</v>
      </c>
      <c r="K694" s="25" t="s">
        <v>25</v>
      </c>
      <c r="L694" s="25">
        <v>1.8</v>
      </c>
      <c r="M694" s="25">
        <v>0.06</v>
      </c>
      <c r="N694" s="25">
        <v>31.8</v>
      </c>
      <c r="O694" s="25">
        <v>41.31</v>
      </c>
      <c r="P694" s="25">
        <v>74.965999999999994</v>
      </c>
      <c r="Q694" s="25">
        <f t="shared" si="20"/>
        <v>1630.4659999999999</v>
      </c>
      <c r="R694" s="25">
        <f t="shared" si="21"/>
        <v>0</v>
      </c>
    </row>
    <row r="695" spans="1:18" hidden="1" x14ac:dyDescent="0.25">
      <c r="A695" s="26">
        <v>43566</v>
      </c>
      <c r="B695" s="25" t="s">
        <v>862</v>
      </c>
      <c r="C695" s="25" t="s">
        <v>23</v>
      </c>
      <c r="D695" s="25">
        <v>100</v>
      </c>
      <c r="E695" s="25">
        <v>283</v>
      </c>
      <c r="F695" s="25">
        <v>28300</v>
      </c>
      <c r="G695" s="25" t="s">
        <v>1312</v>
      </c>
      <c r="H695" s="25">
        <v>2019071</v>
      </c>
      <c r="I695" s="25" t="s">
        <v>19</v>
      </c>
      <c r="J695" s="25" t="s">
        <v>20</v>
      </c>
      <c r="K695" s="25" t="s">
        <v>25</v>
      </c>
      <c r="L695" s="25">
        <v>6.98</v>
      </c>
      <c r="M695" s="25">
        <v>1.02</v>
      </c>
      <c r="N695" s="25">
        <v>0</v>
      </c>
      <c r="O695" s="25">
        <v>29.69</v>
      </c>
      <c r="P695" s="25">
        <v>37.688800000000001</v>
      </c>
      <c r="Q695" s="25">
        <f t="shared" si="20"/>
        <v>0</v>
      </c>
      <c r="R695" s="25">
        <f t="shared" si="21"/>
        <v>28262.3112</v>
      </c>
    </row>
    <row r="696" spans="1:18" hidden="1" x14ac:dyDescent="0.25">
      <c r="A696" s="26">
        <v>43566</v>
      </c>
      <c r="B696" s="25" t="s">
        <v>862</v>
      </c>
      <c r="C696" s="25" t="s">
        <v>17</v>
      </c>
      <c r="D696" s="25">
        <v>100</v>
      </c>
      <c r="E696" s="25">
        <v>278.5</v>
      </c>
      <c r="F696" s="25">
        <v>27850</v>
      </c>
      <c r="G696" s="25" t="s">
        <v>1313</v>
      </c>
      <c r="H696" s="25">
        <v>2019071</v>
      </c>
      <c r="I696" s="25" t="s">
        <v>19</v>
      </c>
      <c r="J696" s="25" t="s">
        <v>20</v>
      </c>
      <c r="K696" s="25" t="s">
        <v>25</v>
      </c>
      <c r="L696" s="25">
        <v>0</v>
      </c>
      <c r="M696" s="25">
        <v>1</v>
      </c>
      <c r="N696" s="25">
        <v>11.1</v>
      </c>
      <c r="O696" s="25">
        <v>29.68</v>
      </c>
      <c r="P696" s="25">
        <v>41.782600000000002</v>
      </c>
      <c r="Q696" s="25">
        <f t="shared" si="20"/>
        <v>27891.782599999999</v>
      </c>
      <c r="R696" s="25">
        <f t="shared" si="21"/>
        <v>0</v>
      </c>
    </row>
    <row r="697" spans="1:18" hidden="1" x14ac:dyDescent="0.25">
      <c r="A697" s="26">
        <v>43566</v>
      </c>
      <c r="B697" s="25" t="s">
        <v>862</v>
      </c>
      <c r="C697" s="25" t="s">
        <v>17</v>
      </c>
      <c r="D697" s="25">
        <v>552</v>
      </c>
      <c r="E697" s="25">
        <v>278</v>
      </c>
      <c r="F697" s="25">
        <v>153454.75</v>
      </c>
      <c r="G697" s="25" t="s">
        <v>1314</v>
      </c>
      <c r="H697" s="25">
        <v>2019071</v>
      </c>
      <c r="I697" s="25" t="s">
        <v>19</v>
      </c>
      <c r="J697" s="25" t="s">
        <v>20</v>
      </c>
      <c r="K697" s="25" t="s">
        <v>25</v>
      </c>
      <c r="L697" s="25">
        <v>0</v>
      </c>
      <c r="M697" s="25">
        <v>5.52</v>
      </c>
      <c r="N697" s="25">
        <v>0</v>
      </c>
      <c r="O697" s="25">
        <v>91.53</v>
      </c>
      <c r="P697" s="25">
        <v>97.054299999999998</v>
      </c>
      <c r="Q697" s="25">
        <f t="shared" si="20"/>
        <v>153551.80429999999</v>
      </c>
      <c r="R697" s="25">
        <f t="shared" si="21"/>
        <v>0</v>
      </c>
    </row>
    <row r="698" spans="1:18" hidden="1" x14ac:dyDescent="0.25">
      <c r="A698" s="26">
        <v>43566</v>
      </c>
      <c r="B698" s="25" t="s">
        <v>862</v>
      </c>
      <c r="C698" s="25" t="s">
        <v>23</v>
      </c>
      <c r="D698" s="25">
        <v>552</v>
      </c>
      <c r="E698" s="25">
        <v>280</v>
      </c>
      <c r="F698" s="25">
        <v>154560</v>
      </c>
      <c r="G698" s="25" t="s">
        <v>1315</v>
      </c>
      <c r="H698" s="25">
        <v>2019071</v>
      </c>
      <c r="I698" s="25" t="s">
        <v>19</v>
      </c>
      <c r="J698" s="25" t="s">
        <v>20</v>
      </c>
      <c r="K698" s="25" t="s">
        <v>25</v>
      </c>
      <c r="L698" s="25">
        <v>39.020000000000003</v>
      </c>
      <c r="M698" s="25">
        <v>5.56</v>
      </c>
      <c r="N698" s="25">
        <v>0</v>
      </c>
      <c r="O698" s="25">
        <v>92.19</v>
      </c>
      <c r="P698" s="25">
        <v>136.77420000000001</v>
      </c>
      <c r="Q698" s="25">
        <f t="shared" si="20"/>
        <v>0</v>
      </c>
      <c r="R698" s="25">
        <f t="shared" si="21"/>
        <v>154423.22579999999</v>
      </c>
    </row>
    <row r="699" spans="1:18" hidden="1" x14ac:dyDescent="0.25">
      <c r="A699" s="26">
        <v>43560</v>
      </c>
      <c r="B699" s="25" t="s">
        <v>205</v>
      </c>
      <c r="C699" s="25" t="s">
        <v>17</v>
      </c>
      <c r="D699" s="25">
        <v>100</v>
      </c>
      <c r="E699" s="25">
        <v>19</v>
      </c>
      <c r="F699" s="25">
        <v>1900</v>
      </c>
      <c r="G699" s="25" t="s">
        <v>1014</v>
      </c>
      <c r="H699" s="25">
        <v>2019067</v>
      </c>
      <c r="I699" s="25" t="s">
        <v>19</v>
      </c>
      <c r="J699" s="25" t="s">
        <v>20</v>
      </c>
      <c r="K699" s="25" t="s">
        <v>25</v>
      </c>
      <c r="L699" s="25">
        <v>2</v>
      </c>
      <c r="M699" s="25">
        <v>7.0000000000000007E-2</v>
      </c>
      <c r="N699" s="25">
        <v>0.3</v>
      </c>
      <c r="O699" s="25">
        <v>41.31</v>
      </c>
      <c r="P699" s="25">
        <v>43.678400000000003</v>
      </c>
      <c r="Q699" s="25">
        <f t="shared" si="20"/>
        <v>1943.6784</v>
      </c>
      <c r="R699" s="25">
        <f t="shared" si="21"/>
        <v>0</v>
      </c>
    </row>
    <row r="700" spans="1:18" hidden="1" x14ac:dyDescent="0.25">
      <c r="A700" s="26">
        <v>43559</v>
      </c>
      <c r="B700" s="25" t="s">
        <v>397</v>
      </c>
      <c r="C700" s="25" t="s">
        <v>17</v>
      </c>
      <c r="D700" s="25">
        <v>500</v>
      </c>
      <c r="E700" s="25">
        <v>252.59</v>
      </c>
      <c r="F700" s="25">
        <v>126296.65</v>
      </c>
      <c r="G700" s="25" t="s">
        <v>1015</v>
      </c>
      <c r="H700" s="25">
        <v>2019066</v>
      </c>
      <c r="I700" s="25" t="s">
        <v>19</v>
      </c>
      <c r="J700" s="25" t="s">
        <v>20</v>
      </c>
      <c r="K700" s="25" t="s">
        <v>25</v>
      </c>
      <c r="L700" s="25">
        <v>0</v>
      </c>
      <c r="M700" s="25">
        <v>4.55</v>
      </c>
      <c r="N700" s="25">
        <v>27.9</v>
      </c>
      <c r="O700" s="25">
        <v>75.34</v>
      </c>
      <c r="P700" s="25">
        <v>107.78660000000001</v>
      </c>
      <c r="Q700" s="25">
        <f t="shared" si="20"/>
        <v>126404.4366</v>
      </c>
      <c r="R700" s="25">
        <f t="shared" si="21"/>
        <v>0</v>
      </c>
    </row>
    <row r="701" spans="1:18" hidden="1" x14ac:dyDescent="0.25">
      <c r="A701" s="26">
        <v>43559</v>
      </c>
      <c r="B701" s="25" t="s">
        <v>862</v>
      </c>
      <c r="C701" s="25" t="s">
        <v>23</v>
      </c>
      <c r="D701" s="25">
        <v>1000</v>
      </c>
      <c r="E701" s="25">
        <v>286</v>
      </c>
      <c r="F701" s="25">
        <v>286000</v>
      </c>
      <c r="G701" s="25" t="s">
        <v>1016</v>
      </c>
      <c r="H701" s="25">
        <v>2019066</v>
      </c>
      <c r="I701" s="25" t="s">
        <v>19</v>
      </c>
      <c r="J701" s="25" t="s">
        <v>20</v>
      </c>
      <c r="K701" s="25" t="s">
        <v>25</v>
      </c>
      <c r="L701" s="25">
        <v>71.33</v>
      </c>
      <c r="M701" s="25">
        <v>10.3</v>
      </c>
      <c r="N701" s="25">
        <v>0</v>
      </c>
      <c r="O701" s="25">
        <v>170.59</v>
      </c>
      <c r="P701" s="25">
        <v>252.21600000000001</v>
      </c>
      <c r="Q701" s="25">
        <f t="shared" si="20"/>
        <v>0</v>
      </c>
      <c r="R701" s="25">
        <f t="shared" si="21"/>
        <v>285747.78399999999</v>
      </c>
    </row>
    <row r="702" spans="1:18" hidden="1" x14ac:dyDescent="0.25">
      <c r="A702" s="26">
        <v>43559</v>
      </c>
      <c r="B702" s="25" t="s">
        <v>862</v>
      </c>
      <c r="C702" s="25" t="s">
        <v>17</v>
      </c>
      <c r="D702" s="25">
        <v>1000</v>
      </c>
      <c r="E702" s="25">
        <v>285</v>
      </c>
      <c r="F702" s="25">
        <v>285000</v>
      </c>
      <c r="G702" s="25" t="s">
        <v>1017</v>
      </c>
      <c r="H702" s="25">
        <v>2019066</v>
      </c>
      <c r="I702" s="25" t="s">
        <v>19</v>
      </c>
      <c r="J702" s="25" t="s">
        <v>20</v>
      </c>
      <c r="K702" s="25" t="s">
        <v>25</v>
      </c>
      <c r="L702" s="25">
        <v>0</v>
      </c>
      <c r="M702" s="25">
        <v>10.26</v>
      </c>
      <c r="N702" s="25">
        <v>0</v>
      </c>
      <c r="O702" s="25">
        <v>170</v>
      </c>
      <c r="P702" s="25">
        <v>180.26070000000001</v>
      </c>
      <c r="Q702" s="25">
        <f t="shared" si="20"/>
        <v>285180.26069999998</v>
      </c>
      <c r="R702" s="25">
        <f t="shared" si="21"/>
        <v>0</v>
      </c>
    </row>
    <row r="703" spans="1:18" hidden="1" x14ac:dyDescent="0.25">
      <c r="A703" s="26">
        <v>43559</v>
      </c>
      <c r="B703" s="25" t="s">
        <v>397</v>
      </c>
      <c r="C703" s="25" t="s">
        <v>17</v>
      </c>
      <c r="D703" s="25">
        <v>100</v>
      </c>
      <c r="E703" s="25">
        <v>248.59</v>
      </c>
      <c r="F703" s="25">
        <v>24858.85</v>
      </c>
      <c r="G703" s="25" t="s">
        <v>1018</v>
      </c>
      <c r="H703" s="25">
        <v>2019066</v>
      </c>
      <c r="I703" s="25" t="s">
        <v>19</v>
      </c>
      <c r="J703" s="25" t="s">
        <v>20</v>
      </c>
      <c r="K703" s="25" t="s">
        <v>25</v>
      </c>
      <c r="L703" s="25">
        <v>0</v>
      </c>
      <c r="M703" s="25">
        <v>0.9</v>
      </c>
      <c r="N703" s="25">
        <v>0</v>
      </c>
      <c r="O703" s="25">
        <v>29.67</v>
      </c>
      <c r="P703" s="25">
        <v>30.565000000000001</v>
      </c>
      <c r="Q703" s="25">
        <f t="shared" si="20"/>
        <v>24889.414999999997</v>
      </c>
      <c r="R703" s="25">
        <f t="shared" si="21"/>
        <v>0</v>
      </c>
    </row>
    <row r="704" spans="1:18" hidden="1" x14ac:dyDescent="0.25">
      <c r="A704" s="26">
        <v>43559</v>
      </c>
      <c r="B704" s="25" t="s">
        <v>397</v>
      </c>
      <c r="C704" s="25" t="s">
        <v>17</v>
      </c>
      <c r="D704" s="25">
        <v>100</v>
      </c>
      <c r="E704" s="25">
        <v>248.39</v>
      </c>
      <c r="F704" s="25">
        <v>24839.05</v>
      </c>
      <c r="G704" s="25" t="s">
        <v>1019</v>
      </c>
      <c r="H704" s="25">
        <v>2019066</v>
      </c>
      <c r="I704" s="25" t="s">
        <v>19</v>
      </c>
      <c r="J704" s="25" t="s">
        <v>20</v>
      </c>
      <c r="K704" s="25" t="s">
        <v>25</v>
      </c>
      <c r="L704" s="25">
        <v>0</v>
      </c>
      <c r="M704" s="25">
        <v>0.89</v>
      </c>
      <c r="N704" s="25">
        <v>0</v>
      </c>
      <c r="O704" s="25">
        <v>29.67</v>
      </c>
      <c r="P704" s="25">
        <v>30.5642</v>
      </c>
      <c r="Q704" s="25">
        <f t="shared" si="20"/>
        <v>24869.6142</v>
      </c>
      <c r="R704" s="25">
        <f t="shared" si="21"/>
        <v>0</v>
      </c>
    </row>
    <row r="705" spans="1:18" hidden="1" x14ac:dyDescent="0.25">
      <c r="A705" s="26">
        <v>43559</v>
      </c>
      <c r="B705" s="25" t="s">
        <v>397</v>
      </c>
      <c r="C705" s="25" t="s">
        <v>23</v>
      </c>
      <c r="D705" s="25">
        <v>700</v>
      </c>
      <c r="E705" s="25">
        <v>247.65</v>
      </c>
      <c r="F705" s="25">
        <v>173354.75</v>
      </c>
      <c r="G705" s="25" t="s">
        <v>1020</v>
      </c>
      <c r="H705" s="25">
        <v>2019066</v>
      </c>
      <c r="I705" s="25" t="s">
        <v>19</v>
      </c>
      <c r="J705" s="25" t="s">
        <v>20</v>
      </c>
      <c r="K705" s="25" t="s">
        <v>25</v>
      </c>
      <c r="L705" s="25">
        <v>43.67</v>
      </c>
      <c r="M705" s="25">
        <v>6.24</v>
      </c>
      <c r="N705" s="25">
        <v>0</v>
      </c>
      <c r="O705" s="25">
        <v>103.41</v>
      </c>
      <c r="P705" s="25">
        <v>153.32079999999999</v>
      </c>
      <c r="Q705" s="25">
        <f t="shared" si="20"/>
        <v>0</v>
      </c>
      <c r="R705" s="25">
        <f t="shared" si="21"/>
        <v>173201.42920000001</v>
      </c>
    </row>
    <row r="706" spans="1:18" hidden="1" x14ac:dyDescent="0.25">
      <c r="A706" s="26">
        <v>43558</v>
      </c>
      <c r="B706" s="25" t="s">
        <v>849</v>
      </c>
      <c r="C706" s="25" t="s">
        <v>17</v>
      </c>
      <c r="D706" s="25">
        <v>100</v>
      </c>
      <c r="E706" s="25">
        <v>256.5</v>
      </c>
      <c r="F706" s="25">
        <v>25649.95</v>
      </c>
      <c r="G706" s="25" t="s">
        <v>964</v>
      </c>
      <c r="H706" s="25">
        <v>2019065</v>
      </c>
      <c r="I706" s="25" t="s">
        <v>19</v>
      </c>
      <c r="J706" s="25" t="s">
        <v>20</v>
      </c>
      <c r="K706" s="25" t="s">
        <v>25</v>
      </c>
      <c r="L706" s="25">
        <v>0</v>
      </c>
      <c r="M706" s="25">
        <v>0.94</v>
      </c>
      <c r="N706" s="25">
        <v>0</v>
      </c>
      <c r="O706" s="25">
        <v>29.67</v>
      </c>
      <c r="P706" s="25">
        <v>30.606300000000001</v>
      </c>
      <c r="Q706" s="25">
        <f t="shared" si="20"/>
        <v>25680.5563</v>
      </c>
      <c r="R706" s="25">
        <f t="shared" si="21"/>
        <v>0</v>
      </c>
    </row>
    <row r="707" spans="1:18" hidden="1" x14ac:dyDescent="0.25">
      <c r="A707" s="26">
        <v>43558</v>
      </c>
      <c r="B707" s="25" t="s">
        <v>849</v>
      </c>
      <c r="C707" s="25" t="s">
        <v>23</v>
      </c>
      <c r="D707" s="25">
        <v>100</v>
      </c>
      <c r="E707" s="25">
        <v>261</v>
      </c>
      <c r="F707" s="25">
        <v>26100</v>
      </c>
      <c r="G707" s="25" t="s">
        <v>965</v>
      </c>
      <c r="H707" s="25">
        <v>2019065</v>
      </c>
      <c r="I707" s="25" t="s">
        <v>19</v>
      </c>
      <c r="J707" s="25" t="s">
        <v>20</v>
      </c>
      <c r="K707" s="25" t="s">
        <v>25</v>
      </c>
      <c r="L707" s="25">
        <v>5.95</v>
      </c>
      <c r="M707" s="25">
        <v>0.95</v>
      </c>
      <c r="N707" s="25">
        <v>29.1</v>
      </c>
      <c r="O707" s="25">
        <v>29.67</v>
      </c>
      <c r="P707" s="25">
        <v>65.672700000000006</v>
      </c>
      <c r="Q707" s="25">
        <f t="shared" ref="Q707:Q770" si="22">IF(C707="Buy",F707+P707,0)</f>
        <v>0</v>
      </c>
      <c r="R707" s="25">
        <f t="shared" ref="R707:R770" si="23">IF(C707="Sell",F707-P707,0)</f>
        <v>26034.327300000001</v>
      </c>
    </row>
    <row r="708" spans="1:18" hidden="1" x14ac:dyDescent="0.25">
      <c r="A708" s="26">
        <v>43558</v>
      </c>
      <c r="B708" s="25" t="s">
        <v>738</v>
      </c>
      <c r="C708" s="25" t="s">
        <v>17</v>
      </c>
      <c r="D708" s="25">
        <v>500</v>
      </c>
      <c r="E708" s="25">
        <v>397</v>
      </c>
      <c r="F708" s="25">
        <v>198500</v>
      </c>
      <c r="G708" s="25" t="s">
        <v>966</v>
      </c>
      <c r="H708" s="25">
        <v>2019065</v>
      </c>
      <c r="I708" s="25" t="s">
        <v>19</v>
      </c>
      <c r="J708" s="25" t="s">
        <v>20</v>
      </c>
      <c r="K708" s="25" t="s">
        <v>25</v>
      </c>
      <c r="L708" s="25">
        <v>0</v>
      </c>
      <c r="M708" s="25">
        <v>7.25</v>
      </c>
      <c r="N708" s="25">
        <v>0</v>
      </c>
      <c r="O708" s="25">
        <v>118.42</v>
      </c>
      <c r="P708" s="25">
        <v>125.6652</v>
      </c>
      <c r="Q708" s="25">
        <f t="shared" si="22"/>
        <v>198625.66519999999</v>
      </c>
      <c r="R708" s="25">
        <f t="shared" si="23"/>
        <v>0</v>
      </c>
    </row>
    <row r="709" spans="1:18" hidden="1" x14ac:dyDescent="0.25">
      <c r="A709" s="26">
        <v>43558</v>
      </c>
      <c r="B709" s="25" t="s">
        <v>849</v>
      </c>
      <c r="C709" s="25" t="s">
        <v>17</v>
      </c>
      <c r="D709" s="25">
        <v>250</v>
      </c>
      <c r="E709" s="25">
        <v>249</v>
      </c>
      <c r="F709" s="25">
        <v>62250</v>
      </c>
      <c r="G709" s="25" t="s">
        <v>967</v>
      </c>
      <c r="H709" s="25">
        <v>2019065</v>
      </c>
      <c r="I709" s="25" t="s">
        <v>19</v>
      </c>
      <c r="J709" s="25" t="s">
        <v>20</v>
      </c>
      <c r="K709" s="25" t="s">
        <v>25</v>
      </c>
      <c r="L709" s="25">
        <v>0</v>
      </c>
      <c r="M709" s="25">
        <v>2.27</v>
      </c>
      <c r="N709" s="25">
        <v>0</v>
      </c>
      <c r="O709" s="25">
        <v>37.14</v>
      </c>
      <c r="P709" s="25">
        <v>39.412199999999999</v>
      </c>
      <c r="Q709" s="25">
        <f t="shared" si="22"/>
        <v>62289.412199999999</v>
      </c>
      <c r="R709" s="25">
        <f t="shared" si="23"/>
        <v>0</v>
      </c>
    </row>
    <row r="710" spans="1:18" hidden="1" x14ac:dyDescent="0.25">
      <c r="A710" s="26">
        <v>43558</v>
      </c>
      <c r="B710" s="25" t="s">
        <v>849</v>
      </c>
      <c r="C710" s="25" t="s">
        <v>23</v>
      </c>
      <c r="D710" s="25">
        <v>250</v>
      </c>
      <c r="E710" s="25">
        <v>253</v>
      </c>
      <c r="F710" s="25">
        <v>63250</v>
      </c>
      <c r="G710" s="25" t="s">
        <v>968</v>
      </c>
      <c r="H710" s="25">
        <v>2019065</v>
      </c>
      <c r="I710" s="25" t="s">
        <v>19</v>
      </c>
      <c r="J710" s="25" t="s">
        <v>20</v>
      </c>
      <c r="K710" s="25" t="s">
        <v>25</v>
      </c>
      <c r="L710" s="25">
        <v>15.83</v>
      </c>
      <c r="M710" s="25">
        <v>2.31</v>
      </c>
      <c r="N710" s="25">
        <v>0</v>
      </c>
      <c r="O710" s="25">
        <v>37.729999999999997</v>
      </c>
      <c r="P710" s="25">
        <v>55.868699999999997</v>
      </c>
      <c r="Q710" s="25">
        <f t="shared" si="22"/>
        <v>0</v>
      </c>
      <c r="R710" s="25">
        <f t="shared" si="23"/>
        <v>63194.131300000001</v>
      </c>
    </row>
    <row r="711" spans="1:18" hidden="1" x14ac:dyDescent="0.25">
      <c r="A711" s="26">
        <v>43558</v>
      </c>
      <c r="B711" s="25" t="s">
        <v>738</v>
      </c>
      <c r="C711" s="25" t="s">
        <v>17</v>
      </c>
      <c r="D711" s="25">
        <v>500</v>
      </c>
      <c r="E711" s="25">
        <v>392</v>
      </c>
      <c r="F711" s="25">
        <v>196000</v>
      </c>
      <c r="G711" s="25" t="s">
        <v>969</v>
      </c>
      <c r="H711" s="25">
        <v>2019065</v>
      </c>
      <c r="I711" s="25" t="s">
        <v>19</v>
      </c>
      <c r="J711" s="25" t="s">
        <v>20</v>
      </c>
      <c r="K711" s="25" t="s">
        <v>25</v>
      </c>
      <c r="L711" s="25">
        <v>0</v>
      </c>
      <c r="M711" s="25">
        <v>7.15</v>
      </c>
      <c r="N711" s="25">
        <v>0</v>
      </c>
      <c r="O711" s="25">
        <v>116.93</v>
      </c>
      <c r="P711" s="25">
        <v>124.084</v>
      </c>
      <c r="Q711" s="25">
        <f t="shared" si="22"/>
        <v>196124.084</v>
      </c>
      <c r="R711" s="25">
        <f t="shared" si="23"/>
        <v>0</v>
      </c>
    </row>
    <row r="712" spans="1:18" hidden="1" x14ac:dyDescent="0.25">
      <c r="A712" s="26">
        <v>43558</v>
      </c>
      <c r="B712" s="25" t="s">
        <v>738</v>
      </c>
      <c r="C712" s="25" t="s">
        <v>23</v>
      </c>
      <c r="D712" s="25">
        <v>1000</v>
      </c>
      <c r="E712" s="25">
        <v>391.3</v>
      </c>
      <c r="F712" s="25">
        <v>391300</v>
      </c>
      <c r="G712" s="25" t="s">
        <v>970</v>
      </c>
      <c r="H712" s="25">
        <v>2019065</v>
      </c>
      <c r="I712" s="25" t="s">
        <v>19</v>
      </c>
      <c r="J712" s="25" t="s">
        <v>20</v>
      </c>
      <c r="K712" s="25" t="s">
        <v>25</v>
      </c>
      <c r="L712" s="25">
        <v>98.23</v>
      </c>
      <c r="M712" s="25">
        <v>14.28</v>
      </c>
      <c r="N712" s="25">
        <v>0</v>
      </c>
      <c r="O712" s="25">
        <v>233.44</v>
      </c>
      <c r="P712" s="25">
        <v>345.95249999999999</v>
      </c>
      <c r="Q712" s="25">
        <f t="shared" si="22"/>
        <v>0</v>
      </c>
      <c r="R712" s="25">
        <f t="shared" si="23"/>
        <v>390954.04749999999</v>
      </c>
    </row>
    <row r="713" spans="1:18" hidden="1" x14ac:dyDescent="0.25">
      <c r="A713" s="26">
        <v>43557</v>
      </c>
      <c r="B713" s="25" t="s">
        <v>849</v>
      </c>
      <c r="C713" s="25" t="s">
        <v>23</v>
      </c>
      <c r="D713" s="25">
        <v>50</v>
      </c>
      <c r="E713" s="25">
        <v>268.3</v>
      </c>
      <c r="F713" s="25">
        <v>13415</v>
      </c>
      <c r="G713" s="25" t="s">
        <v>971</v>
      </c>
      <c r="H713" s="25">
        <v>2019064</v>
      </c>
      <c r="I713" s="25" t="s">
        <v>19</v>
      </c>
      <c r="J713" s="25" t="s">
        <v>20</v>
      </c>
      <c r="K713" s="25" t="s">
        <v>25</v>
      </c>
      <c r="L713" s="25">
        <v>3.33</v>
      </c>
      <c r="M713" s="25">
        <v>0.49</v>
      </c>
      <c r="N713" s="25">
        <v>0</v>
      </c>
      <c r="O713" s="25">
        <v>29.59</v>
      </c>
      <c r="P713" s="25">
        <v>33.409599999999998</v>
      </c>
      <c r="Q713" s="25">
        <f t="shared" si="22"/>
        <v>0</v>
      </c>
      <c r="R713" s="25">
        <f t="shared" si="23"/>
        <v>13381.590399999999</v>
      </c>
    </row>
    <row r="714" spans="1:18" hidden="1" x14ac:dyDescent="0.25">
      <c r="A714" s="26">
        <v>43557</v>
      </c>
      <c r="B714" s="25" t="s">
        <v>849</v>
      </c>
      <c r="C714" s="25" t="s">
        <v>17</v>
      </c>
      <c r="D714" s="25">
        <v>50</v>
      </c>
      <c r="E714" s="25">
        <v>264.5</v>
      </c>
      <c r="F714" s="25">
        <v>13225</v>
      </c>
      <c r="G714" s="25" t="s">
        <v>972</v>
      </c>
      <c r="H714" s="25">
        <v>2019064</v>
      </c>
      <c r="I714" s="25" t="s">
        <v>19</v>
      </c>
      <c r="J714" s="25" t="s">
        <v>20</v>
      </c>
      <c r="K714" s="25" t="s">
        <v>25</v>
      </c>
      <c r="L714" s="25">
        <v>0</v>
      </c>
      <c r="M714" s="25">
        <v>0.48</v>
      </c>
      <c r="N714" s="25">
        <v>0</v>
      </c>
      <c r="O714" s="25">
        <v>29.59</v>
      </c>
      <c r="P714" s="25">
        <v>30.072700000000001</v>
      </c>
      <c r="Q714" s="25">
        <f t="shared" si="22"/>
        <v>13255.072700000001</v>
      </c>
      <c r="R714" s="25">
        <f t="shared" si="23"/>
        <v>0</v>
      </c>
    </row>
    <row r="715" spans="1:18" hidden="1" x14ac:dyDescent="0.25">
      <c r="A715" s="26">
        <v>43557</v>
      </c>
      <c r="B715" s="25" t="s">
        <v>738</v>
      </c>
      <c r="C715" s="25" t="s">
        <v>17</v>
      </c>
      <c r="D715" s="25">
        <v>100</v>
      </c>
      <c r="E715" s="25">
        <v>394</v>
      </c>
      <c r="F715" s="25">
        <v>39400</v>
      </c>
      <c r="G715" s="25" t="s">
        <v>973</v>
      </c>
      <c r="H715" s="25">
        <v>2019064</v>
      </c>
      <c r="I715" s="25" t="s">
        <v>19</v>
      </c>
      <c r="J715" s="25" t="s">
        <v>20</v>
      </c>
      <c r="K715" s="25" t="s">
        <v>25</v>
      </c>
      <c r="L715" s="25">
        <v>0</v>
      </c>
      <c r="M715" s="25">
        <v>1.44</v>
      </c>
      <c r="N715" s="25">
        <v>0</v>
      </c>
      <c r="O715" s="25">
        <v>29.76</v>
      </c>
      <c r="P715" s="25">
        <v>31.1981</v>
      </c>
      <c r="Q715" s="25">
        <f t="shared" si="22"/>
        <v>39431.198100000001</v>
      </c>
      <c r="R715" s="25">
        <f t="shared" si="23"/>
        <v>0</v>
      </c>
    </row>
    <row r="716" spans="1:18" hidden="1" x14ac:dyDescent="0.25">
      <c r="A716" s="26">
        <v>43557</v>
      </c>
      <c r="B716" s="25" t="s">
        <v>16</v>
      </c>
      <c r="C716" s="25" t="s">
        <v>17</v>
      </c>
      <c r="D716" s="25">
        <v>250</v>
      </c>
      <c r="E716" s="25">
        <v>38</v>
      </c>
      <c r="F716" s="25">
        <v>9500</v>
      </c>
      <c r="G716" s="25" t="s">
        <v>974</v>
      </c>
      <c r="H716" s="25">
        <v>2019064</v>
      </c>
      <c r="I716" s="25" t="s">
        <v>19</v>
      </c>
      <c r="J716" s="25" t="s">
        <v>1634</v>
      </c>
      <c r="K716" s="25" t="s">
        <v>25</v>
      </c>
      <c r="L716" s="25">
        <v>9.5</v>
      </c>
      <c r="M716" s="25">
        <v>0.35</v>
      </c>
      <c r="N716" s="25">
        <v>0</v>
      </c>
      <c r="O716" s="25">
        <v>61.72</v>
      </c>
      <c r="P716" s="25">
        <v>71.566800000000001</v>
      </c>
      <c r="Q716" s="25">
        <f t="shared" si="22"/>
        <v>9571.5668000000005</v>
      </c>
      <c r="R716" s="25">
        <f t="shared" si="23"/>
        <v>0</v>
      </c>
    </row>
    <row r="717" spans="1:18" hidden="1" x14ac:dyDescent="0.25">
      <c r="A717" s="26">
        <v>43557</v>
      </c>
      <c r="B717" s="25" t="s">
        <v>738</v>
      </c>
      <c r="C717" s="25" t="s">
        <v>23</v>
      </c>
      <c r="D717" s="25">
        <v>100</v>
      </c>
      <c r="E717" s="25">
        <v>397</v>
      </c>
      <c r="F717" s="25">
        <v>39700</v>
      </c>
      <c r="G717" s="25" t="s">
        <v>975</v>
      </c>
      <c r="H717" s="25">
        <v>2019064</v>
      </c>
      <c r="I717" s="25" t="s">
        <v>19</v>
      </c>
      <c r="J717" s="25" t="s">
        <v>20</v>
      </c>
      <c r="K717" s="25" t="s">
        <v>25</v>
      </c>
      <c r="L717" s="25">
        <v>10.17</v>
      </c>
      <c r="M717" s="25">
        <v>1.45</v>
      </c>
      <c r="N717" s="25">
        <v>3.6</v>
      </c>
      <c r="O717" s="25">
        <v>29.76</v>
      </c>
      <c r="P717" s="25">
        <v>44.979100000000003</v>
      </c>
      <c r="Q717" s="25">
        <f t="shared" si="22"/>
        <v>0</v>
      </c>
      <c r="R717" s="25">
        <f t="shared" si="23"/>
        <v>39655.020900000003</v>
      </c>
    </row>
    <row r="718" spans="1:18" hidden="1" x14ac:dyDescent="0.25">
      <c r="A718" s="26">
        <v>43556</v>
      </c>
      <c r="B718" s="25" t="s">
        <v>397</v>
      </c>
      <c r="C718" s="25" t="s">
        <v>23</v>
      </c>
      <c r="D718" s="25">
        <v>100</v>
      </c>
      <c r="E718" s="25">
        <v>260</v>
      </c>
      <c r="F718" s="25">
        <v>26000</v>
      </c>
      <c r="G718" s="25" t="s">
        <v>976</v>
      </c>
      <c r="H718" s="25">
        <v>2019063</v>
      </c>
      <c r="I718" s="25" t="s">
        <v>19</v>
      </c>
      <c r="J718" s="25" t="s">
        <v>20</v>
      </c>
      <c r="K718" s="25" t="s">
        <v>25</v>
      </c>
      <c r="L718" s="25">
        <v>26</v>
      </c>
      <c r="M718" s="25">
        <v>0.95</v>
      </c>
      <c r="N718" s="25">
        <v>0</v>
      </c>
      <c r="O718" s="25">
        <v>168.91</v>
      </c>
      <c r="P718" s="25">
        <v>195.85900000000001</v>
      </c>
      <c r="Q718" s="25">
        <f t="shared" si="22"/>
        <v>0</v>
      </c>
      <c r="R718" s="25">
        <f t="shared" si="23"/>
        <v>25804.141</v>
      </c>
    </row>
    <row r="719" spans="1:18" hidden="1" x14ac:dyDescent="0.25">
      <c r="A719" s="26">
        <v>43556</v>
      </c>
      <c r="B719" s="25" t="s">
        <v>849</v>
      </c>
      <c r="C719" s="25" t="s">
        <v>23</v>
      </c>
      <c r="D719" s="25">
        <v>100</v>
      </c>
      <c r="E719" s="25">
        <v>266.8</v>
      </c>
      <c r="F719" s="25">
        <v>26680</v>
      </c>
      <c r="G719" s="25" t="s">
        <v>977</v>
      </c>
      <c r="H719" s="25">
        <v>2019063</v>
      </c>
      <c r="I719" s="25" t="s">
        <v>19</v>
      </c>
      <c r="J719" s="25" t="s">
        <v>20</v>
      </c>
      <c r="K719" s="25" t="s">
        <v>25</v>
      </c>
      <c r="L719" s="25">
        <v>6.65</v>
      </c>
      <c r="M719" s="25">
        <v>0.97</v>
      </c>
      <c r="N719" s="25">
        <v>0</v>
      </c>
      <c r="O719" s="25">
        <v>29.68</v>
      </c>
      <c r="P719" s="25">
        <v>37.303800000000003</v>
      </c>
      <c r="Q719" s="25">
        <f t="shared" si="22"/>
        <v>0</v>
      </c>
      <c r="R719" s="25">
        <f t="shared" si="23"/>
        <v>26642.696199999998</v>
      </c>
    </row>
    <row r="720" spans="1:18" hidden="1" x14ac:dyDescent="0.25">
      <c r="A720" s="26">
        <v>43556</v>
      </c>
      <c r="B720" s="25" t="s">
        <v>849</v>
      </c>
      <c r="C720" s="25" t="s">
        <v>17</v>
      </c>
      <c r="D720" s="25">
        <v>100</v>
      </c>
      <c r="E720" s="25">
        <v>265.5</v>
      </c>
      <c r="F720" s="25">
        <v>26550</v>
      </c>
      <c r="G720" s="25" t="s">
        <v>978</v>
      </c>
      <c r="H720" s="25">
        <v>2019063</v>
      </c>
      <c r="I720" s="25" t="s">
        <v>19</v>
      </c>
      <c r="J720" s="25" t="s">
        <v>20</v>
      </c>
      <c r="K720" s="25" t="s">
        <v>25</v>
      </c>
      <c r="L720" s="25">
        <v>0</v>
      </c>
      <c r="M720" s="25">
        <v>0.97</v>
      </c>
      <c r="N720" s="25">
        <v>0</v>
      </c>
      <c r="O720" s="25">
        <v>29.67</v>
      </c>
      <c r="P720" s="25">
        <v>30.639099999999999</v>
      </c>
      <c r="Q720" s="25">
        <f t="shared" si="22"/>
        <v>26580.6391</v>
      </c>
      <c r="R720" s="25">
        <f t="shared" si="23"/>
        <v>0</v>
      </c>
    </row>
    <row r="721" spans="1:18" hidden="1" x14ac:dyDescent="0.25">
      <c r="A721" s="26">
        <v>43556</v>
      </c>
      <c r="B721" s="25" t="s">
        <v>738</v>
      </c>
      <c r="C721" s="25" t="s">
        <v>17</v>
      </c>
      <c r="D721" s="25">
        <v>1000</v>
      </c>
      <c r="E721" s="25">
        <v>405.5</v>
      </c>
      <c r="F721" s="25">
        <v>405500</v>
      </c>
      <c r="G721" s="25" t="s">
        <v>979</v>
      </c>
      <c r="H721" s="25">
        <v>2019063</v>
      </c>
      <c r="I721" s="25" t="s">
        <v>19</v>
      </c>
      <c r="J721" s="25" t="s">
        <v>20</v>
      </c>
      <c r="K721" s="25" t="s">
        <v>25</v>
      </c>
      <c r="L721" s="25">
        <v>0</v>
      </c>
      <c r="M721" s="25">
        <v>14.8</v>
      </c>
      <c r="N721" s="25">
        <v>0</v>
      </c>
      <c r="O721" s="25">
        <v>241.91</v>
      </c>
      <c r="P721" s="25">
        <v>256.71080000000001</v>
      </c>
      <c r="Q721" s="25">
        <f t="shared" si="22"/>
        <v>405756.7108</v>
      </c>
      <c r="R721" s="25">
        <f t="shared" si="23"/>
        <v>0</v>
      </c>
    </row>
    <row r="722" spans="1:18" hidden="1" x14ac:dyDescent="0.25">
      <c r="A722" s="26">
        <v>43556</v>
      </c>
      <c r="B722" s="25" t="s">
        <v>738</v>
      </c>
      <c r="C722" s="25" t="s">
        <v>23</v>
      </c>
      <c r="D722" s="25">
        <v>1000</v>
      </c>
      <c r="E722" s="25">
        <v>407</v>
      </c>
      <c r="F722" s="25">
        <v>407000</v>
      </c>
      <c r="G722" s="25" t="s">
        <v>980</v>
      </c>
      <c r="H722" s="25">
        <v>2019063</v>
      </c>
      <c r="I722" s="25" t="s">
        <v>19</v>
      </c>
      <c r="J722" s="25" t="s">
        <v>20</v>
      </c>
      <c r="K722" s="25" t="s">
        <v>25</v>
      </c>
      <c r="L722" s="25">
        <v>101.35</v>
      </c>
      <c r="M722" s="25">
        <v>14.86</v>
      </c>
      <c r="N722" s="25">
        <v>27</v>
      </c>
      <c r="O722" s="25">
        <v>242.8</v>
      </c>
      <c r="P722" s="25">
        <v>386.00549999999998</v>
      </c>
      <c r="Q722" s="25">
        <f t="shared" si="22"/>
        <v>0</v>
      </c>
      <c r="R722" s="25">
        <f t="shared" si="23"/>
        <v>406613.99449999997</v>
      </c>
    </row>
    <row r="723" spans="1:18" hidden="1" x14ac:dyDescent="0.25">
      <c r="A723" s="26">
        <v>43553</v>
      </c>
      <c r="B723" s="25" t="s">
        <v>981</v>
      </c>
      <c r="C723" s="25" t="s">
        <v>23</v>
      </c>
      <c r="D723" s="25">
        <v>200</v>
      </c>
      <c r="E723" s="25">
        <v>163.35</v>
      </c>
      <c r="F723" s="25">
        <v>32670</v>
      </c>
      <c r="G723" s="25" t="s">
        <v>982</v>
      </c>
      <c r="H723" s="25">
        <v>2019062</v>
      </c>
      <c r="I723" s="25" t="s">
        <v>19</v>
      </c>
      <c r="J723" s="25" t="s">
        <v>20</v>
      </c>
      <c r="K723" s="25" t="s">
        <v>25</v>
      </c>
      <c r="L723" s="25">
        <v>8</v>
      </c>
      <c r="M723" s="25">
        <v>1.19</v>
      </c>
      <c r="N723" s="25">
        <v>2.1</v>
      </c>
      <c r="O723" s="25">
        <v>29.71</v>
      </c>
      <c r="P723" s="25">
        <v>41.002499999999998</v>
      </c>
      <c r="Q723" s="25">
        <f t="shared" si="22"/>
        <v>0</v>
      </c>
      <c r="R723" s="25">
        <f t="shared" si="23"/>
        <v>32628.997500000001</v>
      </c>
    </row>
    <row r="724" spans="1:18" hidden="1" x14ac:dyDescent="0.25">
      <c r="A724" s="26">
        <v>43553</v>
      </c>
      <c r="B724" s="25" t="s">
        <v>981</v>
      </c>
      <c r="C724" s="25" t="s">
        <v>17</v>
      </c>
      <c r="D724" s="25">
        <v>200</v>
      </c>
      <c r="E724" s="25">
        <v>162.75</v>
      </c>
      <c r="F724" s="25">
        <v>32550</v>
      </c>
      <c r="G724" s="25" t="s">
        <v>983</v>
      </c>
      <c r="H724" s="25">
        <v>2019062</v>
      </c>
      <c r="I724" s="25" t="s">
        <v>19</v>
      </c>
      <c r="J724" s="25" t="s">
        <v>20</v>
      </c>
      <c r="K724" s="25" t="s">
        <v>25</v>
      </c>
      <c r="L724" s="25">
        <v>0</v>
      </c>
      <c r="M724" s="25">
        <v>1.19</v>
      </c>
      <c r="N724" s="25">
        <v>0</v>
      </c>
      <c r="O724" s="25">
        <v>29.71</v>
      </c>
      <c r="P724" s="25">
        <v>30.898099999999999</v>
      </c>
      <c r="Q724" s="25">
        <f t="shared" si="22"/>
        <v>32580.898099999999</v>
      </c>
      <c r="R724" s="25">
        <f t="shared" si="23"/>
        <v>0</v>
      </c>
    </row>
    <row r="725" spans="1:18" hidden="1" x14ac:dyDescent="0.25">
      <c r="A725" s="26">
        <v>43552</v>
      </c>
      <c r="B725" s="25" t="s">
        <v>282</v>
      </c>
      <c r="C725" s="25" t="s">
        <v>23</v>
      </c>
      <c r="D725" s="25">
        <v>50</v>
      </c>
      <c r="E725" s="25">
        <v>605</v>
      </c>
      <c r="F725" s="25">
        <v>30250</v>
      </c>
      <c r="G725" s="25" t="s">
        <v>984</v>
      </c>
      <c r="H725" s="25">
        <v>2019061</v>
      </c>
      <c r="I725" s="25" t="s">
        <v>19</v>
      </c>
      <c r="J725" s="25" t="s">
        <v>20</v>
      </c>
      <c r="K725" s="25" t="s">
        <v>25</v>
      </c>
      <c r="L725" s="25">
        <v>7.53</v>
      </c>
      <c r="M725" s="25">
        <v>1.1000000000000001</v>
      </c>
      <c r="N725" s="25">
        <v>0</v>
      </c>
      <c r="O725" s="25">
        <v>29.7</v>
      </c>
      <c r="P725" s="25">
        <v>38.334200000000003</v>
      </c>
      <c r="Q725" s="25">
        <f t="shared" si="22"/>
        <v>0</v>
      </c>
      <c r="R725" s="25">
        <f t="shared" si="23"/>
        <v>30211.665799999999</v>
      </c>
    </row>
    <row r="726" spans="1:18" hidden="1" x14ac:dyDescent="0.25">
      <c r="A726" s="26">
        <v>43552</v>
      </c>
      <c r="B726" s="25" t="s">
        <v>981</v>
      </c>
      <c r="C726" s="25" t="s">
        <v>23</v>
      </c>
      <c r="D726" s="25">
        <v>200</v>
      </c>
      <c r="E726" s="25">
        <v>162.25</v>
      </c>
      <c r="F726" s="25">
        <v>32450</v>
      </c>
      <c r="G726" s="25" t="s">
        <v>985</v>
      </c>
      <c r="H726" s="25">
        <v>2019061</v>
      </c>
      <c r="I726" s="25" t="s">
        <v>19</v>
      </c>
      <c r="J726" s="25" t="s">
        <v>20</v>
      </c>
      <c r="K726" s="25" t="s">
        <v>25</v>
      </c>
      <c r="L726" s="25">
        <v>8.36</v>
      </c>
      <c r="M726" s="25">
        <v>1.18</v>
      </c>
      <c r="N726" s="25">
        <v>0</v>
      </c>
      <c r="O726" s="25">
        <v>29.71</v>
      </c>
      <c r="P726" s="25">
        <v>39.254399999999997</v>
      </c>
      <c r="Q726" s="25">
        <f t="shared" si="22"/>
        <v>0</v>
      </c>
      <c r="R726" s="25">
        <f t="shared" si="23"/>
        <v>32410.745599999998</v>
      </c>
    </row>
    <row r="727" spans="1:18" hidden="1" x14ac:dyDescent="0.25">
      <c r="A727" s="26">
        <v>43552</v>
      </c>
      <c r="B727" s="25" t="s">
        <v>981</v>
      </c>
      <c r="C727" s="25" t="s">
        <v>17</v>
      </c>
      <c r="D727" s="25">
        <v>400</v>
      </c>
      <c r="E727" s="25">
        <v>162.75</v>
      </c>
      <c r="F727" s="25">
        <v>65100</v>
      </c>
      <c r="G727" s="25" t="s">
        <v>986</v>
      </c>
      <c r="H727" s="25">
        <v>2019061</v>
      </c>
      <c r="I727" s="25" t="s">
        <v>19</v>
      </c>
      <c r="J727" s="25" t="s">
        <v>20</v>
      </c>
      <c r="K727" s="25" t="s">
        <v>25</v>
      </c>
      <c r="L727" s="25">
        <v>0</v>
      </c>
      <c r="M727" s="25">
        <v>2.38</v>
      </c>
      <c r="N727" s="25">
        <v>6</v>
      </c>
      <c r="O727" s="25">
        <v>59.42</v>
      </c>
      <c r="P727" s="25">
        <v>67.796199999999999</v>
      </c>
      <c r="Q727" s="25">
        <f t="shared" si="22"/>
        <v>65167.796199999997</v>
      </c>
      <c r="R727" s="25">
        <f t="shared" si="23"/>
        <v>0</v>
      </c>
    </row>
    <row r="728" spans="1:18" hidden="1" x14ac:dyDescent="0.25">
      <c r="A728" s="26">
        <v>43552</v>
      </c>
      <c r="B728" s="25" t="s">
        <v>981</v>
      </c>
      <c r="C728" s="25" t="s">
        <v>23</v>
      </c>
      <c r="D728" s="25">
        <v>200</v>
      </c>
      <c r="E728" s="25">
        <v>161.25</v>
      </c>
      <c r="F728" s="25">
        <v>32250</v>
      </c>
      <c r="G728" s="25" t="s">
        <v>987</v>
      </c>
      <c r="H728" s="25">
        <v>2019061</v>
      </c>
      <c r="I728" s="25" t="s">
        <v>19</v>
      </c>
      <c r="J728" s="25" t="s">
        <v>20</v>
      </c>
      <c r="K728" s="25" t="s">
        <v>25</v>
      </c>
      <c r="L728" s="25">
        <v>8.11</v>
      </c>
      <c r="M728" s="25">
        <v>1.18</v>
      </c>
      <c r="N728" s="25">
        <v>0</v>
      </c>
      <c r="O728" s="25">
        <v>29.71</v>
      </c>
      <c r="P728" s="25">
        <v>38.997199999999999</v>
      </c>
      <c r="Q728" s="25">
        <f t="shared" si="22"/>
        <v>0</v>
      </c>
      <c r="R728" s="25">
        <f t="shared" si="23"/>
        <v>32211.002799999998</v>
      </c>
    </row>
    <row r="729" spans="1:18" hidden="1" x14ac:dyDescent="0.25">
      <c r="A729" s="26">
        <v>43552</v>
      </c>
      <c r="B729" s="25" t="s">
        <v>282</v>
      </c>
      <c r="C729" s="25" t="s">
        <v>17</v>
      </c>
      <c r="D729" s="25">
        <v>50</v>
      </c>
      <c r="E729" s="25">
        <v>600</v>
      </c>
      <c r="F729" s="25">
        <v>30000</v>
      </c>
      <c r="G729" s="25" t="s">
        <v>988</v>
      </c>
      <c r="H729" s="25">
        <v>2019061</v>
      </c>
      <c r="I729" s="25" t="s">
        <v>19</v>
      </c>
      <c r="J729" s="25" t="s">
        <v>20</v>
      </c>
      <c r="K729" s="25" t="s">
        <v>25</v>
      </c>
      <c r="L729" s="25">
        <v>0</v>
      </c>
      <c r="M729" s="25">
        <v>1.1000000000000001</v>
      </c>
      <c r="N729" s="25">
        <v>0</v>
      </c>
      <c r="O729" s="25">
        <v>29.7</v>
      </c>
      <c r="P729" s="25">
        <v>30.795000000000002</v>
      </c>
      <c r="Q729" s="25">
        <f t="shared" si="22"/>
        <v>30030.794999999998</v>
      </c>
      <c r="R729" s="25">
        <f t="shared" si="23"/>
        <v>0</v>
      </c>
    </row>
    <row r="730" spans="1:18" hidden="1" x14ac:dyDescent="0.25">
      <c r="A730" s="26">
        <v>43551</v>
      </c>
      <c r="B730" s="25" t="s">
        <v>738</v>
      </c>
      <c r="C730" s="25" t="s">
        <v>17</v>
      </c>
      <c r="D730" s="25">
        <v>100</v>
      </c>
      <c r="E730" s="25">
        <v>393</v>
      </c>
      <c r="F730" s="25">
        <v>39300</v>
      </c>
      <c r="G730" s="25" t="s">
        <v>989</v>
      </c>
      <c r="H730" s="25">
        <v>2019060</v>
      </c>
      <c r="I730" s="25" t="s">
        <v>19</v>
      </c>
      <c r="J730" s="25" t="s">
        <v>20</v>
      </c>
      <c r="K730" s="25" t="s">
        <v>25</v>
      </c>
      <c r="L730" s="25">
        <v>0</v>
      </c>
      <c r="M730" s="25">
        <v>1.43</v>
      </c>
      <c r="N730" s="25">
        <v>0</v>
      </c>
      <c r="O730" s="25">
        <v>29.76</v>
      </c>
      <c r="P730" s="25">
        <v>31.194500000000001</v>
      </c>
      <c r="Q730" s="25">
        <f t="shared" si="22"/>
        <v>39331.194499999998</v>
      </c>
      <c r="R730" s="25">
        <f t="shared" si="23"/>
        <v>0</v>
      </c>
    </row>
    <row r="731" spans="1:18" hidden="1" x14ac:dyDescent="0.25">
      <c r="A731" s="26">
        <v>43551</v>
      </c>
      <c r="B731" s="25" t="s">
        <v>738</v>
      </c>
      <c r="C731" s="25" t="s">
        <v>17</v>
      </c>
      <c r="D731" s="25">
        <v>100</v>
      </c>
      <c r="E731" s="25">
        <v>392</v>
      </c>
      <c r="F731" s="25">
        <v>39200</v>
      </c>
      <c r="G731" s="25" t="s">
        <v>990</v>
      </c>
      <c r="H731" s="25">
        <v>2019060</v>
      </c>
      <c r="I731" s="25" t="s">
        <v>19</v>
      </c>
      <c r="J731" s="25" t="s">
        <v>20</v>
      </c>
      <c r="K731" s="25" t="s">
        <v>25</v>
      </c>
      <c r="L731" s="25">
        <v>0</v>
      </c>
      <c r="M731" s="25">
        <v>1.43</v>
      </c>
      <c r="N731" s="25">
        <v>0</v>
      </c>
      <c r="O731" s="25">
        <v>29.76</v>
      </c>
      <c r="P731" s="25">
        <v>31.190799999999999</v>
      </c>
      <c r="Q731" s="25">
        <f t="shared" si="22"/>
        <v>39231.190799999997</v>
      </c>
      <c r="R731" s="25">
        <f t="shared" si="23"/>
        <v>0</v>
      </c>
    </row>
    <row r="732" spans="1:18" hidden="1" x14ac:dyDescent="0.25">
      <c r="A732" s="26">
        <v>43551</v>
      </c>
      <c r="B732" s="25" t="s">
        <v>738</v>
      </c>
      <c r="C732" s="25" t="s">
        <v>23</v>
      </c>
      <c r="D732" s="25">
        <v>100</v>
      </c>
      <c r="E732" s="25">
        <v>395</v>
      </c>
      <c r="F732" s="25">
        <v>39500</v>
      </c>
      <c r="G732" s="25" t="s">
        <v>991</v>
      </c>
      <c r="H732" s="25">
        <v>2019060</v>
      </c>
      <c r="I732" s="25" t="s">
        <v>19</v>
      </c>
      <c r="J732" s="25" t="s">
        <v>20</v>
      </c>
      <c r="K732" s="25" t="s">
        <v>25</v>
      </c>
      <c r="L732" s="25">
        <v>9.84</v>
      </c>
      <c r="M732" s="25">
        <v>1.44</v>
      </c>
      <c r="N732" s="25">
        <v>0</v>
      </c>
      <c r="O732" s="25">
        <v>29.76</v>
      </c>
      <c r="P732" s="25">
        <v>41.041800000000002</v>
      </c>
      <c r="Q732" s="25">
        <f t="shared" si="22"/>
        <v>0</v>
      </c>
      <c r="R732" s="25">
        <f t="shared" si="23"/>
        <v>39458.958200000001</v>
      </c>
    </row>
    <row r="733" spans="1:18" hidden="1" x14ac:dyDescent="0.25">
      <c r="A733" s="26">
        <v>43551</v>
      </c>
      <c r="B733" s="25" t="s">
        <v>16</v>
      </c>
      <c r="C733" s="25" t="s">
        <v>17</v>
      </c>
      <c r="D733" s="25">
        <v>500</v>
      </c>
      <c r="E733" s="25">
        <v>38.43</v>
      </c>
      <c r="F733" s="25">
        <v>19215.45</v>
      </c>
      <c r="G733" s="25" t="s">
        <v>992</v>
      </c>
      <c r="H733" s="25">
        <v>2019060</v>
      </c>
      <c r="I733" s="25" t="s">
        <v>19</v>
      </c>
      <c r="J733" s="25" t="s">
        <v>20</v>
      </c>
      <c r="K733" s="25" t="s">
        <v>25</v>
      </c>
      <c r="L733" s="25">
        <v>0</v>
      </c>
      <c r="M733" s="25">
        <v>0.7</v>
      </c>
      <c r="N733" s="25">
        <v>0</v>
      </c>
      <c r="O733" s="25">
        <v>29.63</v>
      </c>
      <c r="P733" s="25">
        <v>30.331199999999999</v>
      </c>
      <c r="Q733" s="25">
        <f t="shared" si="22"/>
        <v>19245.781200000001</v>
      </c>
      <c r="R733" s="25">
        <f t="shared" si="23"/>
        <v>0</v>
      </c>
    </row>
    <row r="734" spans="1:18" hidden="1" x14ac:dyDescent="0.25">
      <c r="A734" s="26">
        <v>43551</v>
      </c>
      <c r="B734" s="25" t="s">
        <v>981</v>
      </c>
      <c r="C734" s="25" t="s">
        <v>23</v>
      </c>
      <c r="D734" s="25">
        <v>500</v>
      </c>
      <c r="E734" s="25">
        <v>161.25</v>
      </c>
      <c r="F734" s="25">
        <v>80625</v>
      </c>
      <c r="G734" s="25" t="s">
        <v>993</v>
      </c>
      <c r="H734" s="25">
        <v>2019060</v>
      </c>
      <c r="I734" s="25" t="s">
        <v>19</v>
      </c>
      <c r="J734" s="25" t="s">
        <v>20</v>
      </c>
      <c r="K734" s="25" t="s">
        <v>25</v>
      </c>
      <c r="L734" s="25">
        <v>20.170000000000002</v>
      </c>
      <c r="M734" s="25">
        <v>2.94</v>
      </c>
      <c r="N734" s="25">
        <v>0</v>
      </c>
      <c r="O734" s="25">
        <v>48.09</v>
      </c>
      <c r="P734" s="25">
        <v>71.2029</v>
      </c>
      <c r="Q734" s="25">
        <f t="shared" si="22"/>
        <v>0</v>
      </c>
      <c r="R734" s="25">
        <f t="shared" si="23"/>
        <v>80553.797099999996</v>
      </c>
    </row>
    <row r="735" spans="1:18" hidden="1" x14ac:dyDescent="0.25">
      <c r="A735" s="26">
        <v>43551</v>
      </c>
      <c r="B735" s="25" t="s">
        <v>738</v>
      </c>
      <c r="C735" s="25" t="s">
        <v>23</v>
      </c>
      <c r="D735" s="25">
        <v>100</v>
      </c>
      <c r="E735" s="25">
        <v>395</v>
      </c>
      <c r="F735" s="25">
        <v>39500</v>
      </c>
      <c r="G735" s="25" t="s">
        <v>994</v>
      </c>
      <c r="H735" s="25">
        <v>2019060</v>
      </c>
      <c r="I735" s="25" t="s">
        <v>19</v>
      </c>
      <c r="J735" s="25" t="s">
        <v>20</v>
      </c>
      <c r="K735" s="25" t="s">
        <v>25</v>
      </c>
      <c r="L735" s="25">
        <v>10.1</v>
      </c>
      <c r="M735" s="25">
        <v>1.44</v>
      </c>
      <c r="N735" s="25">
        <v>0</v>
      </c>
      <c r="O735" s="25">
        <v>29.76</v>
      </c>
      <c r="P735" s="25">
        <v>41.3018</v>
      </c>
      <c r="Q735" s="25">
        <f t="shared" si="22"/>
        <v>0</v>
      </c>
      <c r="R735" s="25">
        <f t="shared" si="23"/>
        <v>39458.698199999999</v>
      </c>
    </row>
    <row r="736" spans="1:18" hidden="1" x14ac:dyDescent="0.25">
      <c r="A736" s="26">
        <v>43551</v>
      </c>
      <c r="B736" s="25" t="s">
        <v>16</v>
      </c>
      <c r="C736" s="25" t="s">
        <v>23</v>
      </c>
      <c r="D736" s="25">
        <v>500</v>
      </c>
      <c r="E736" s="25">
        <v>39.75</v>
      </c>
      <c r="F736" s="25">
        <v>19875</v>
      </c>
      <c r="G736" s="25" t="s">
        <v>995</v>
      </c>
      <c r="H736" s="25">
        <v>2019060</v>
      </c>
      <c r="I736" s="25" t="s">
        <v>19</v>
      </c>
      <c r="J736" s="25" t="s">
        <v>20</v>
      </c>
      <c r="K736" s="25" t="s">
        <v>25</v>
      </c>
      <c r="L736" s="25">
        <v>4.8899999999999997</v>
      </c>
      <c r="M736" s="25">
        <v>0.73</v>
      </c>
      <c r="N736" s="25">
        <v>0</v>
      </c>
      <c r="O736" s="25">
        <v>29.63</v>
      </c>
      <c r="P736" s="25">
        <v>35.245399999999997</v>
      </c>
      <c r="Q736" s="25">
        <f t="shared" si="22"/>
        <v>0</v>
      </c>
      <c r="R736" s="25">
        <f t="shared" si="23"/>
        <v>19839.7546</v>
      </c>
    </row>
    <row r="737" spans="1:18" hidden="1" x14ac:dyDescent="0.25">
      <c r="A737" s="26">
        <v>43551</v>
      </c>
      <c r="B737" s="25" t="s">
        <v>981</v>
      </c>
      <c r="C737" s="25" t="s">
        <v>17</v>
      </c>
      <c r="D737" s="25">
        <v>500</v>
      </c>
      <c r="E737" s="25">
        <v>161.5</v>
      </c>
      <c r="F737" s="25">
        <v>80750</v>
      </c>
      <c r="G737" s="25" t="s">
        <v>996</v>
      </c>
      <c r="H737" s="25">
        <v>2019060</v>
      </c>
      <c r="I737" s="25" t="s">
        <v>19</v>
      </c>
      <c r="J737" s="25" t="s">
        <v>20</v>
      </c>
      <c r="K737" s="25" t="s">
        <v>25</v>
      </c>
      <c r="L737" s="25">
        <v>0</v>
      </c>
      <c r="M737" s="25">
        <v>2.95</v>
      </c>
      <c r="N737" s="25">
        <v>10.8</v>
      </c>
      <c r="O737" s="25">
        <v>48.18</v>
      </c>
      <c r="P737" s="25">
        <v>61.927300000000002</v>
      </c>
      <c r="Q737" s="25">
        <f t="shared" si="22"/>
        <v>80811.927299999996</v>
      </c>
      <c r="R737" s="25">
        <f t="shared" si="23"/>
        <v>0</v>
      </c>
    </row>
    <row r="738" spans="1:18" hidden="1" x14ac:dyDescent="0.25">
      <c r="A738" s="26">
        <v>43546</v>
      </c>
      <c r="B738" s="25" t="s">
        <v>849</v>
      </c>
      <c r="C738" s="25" t="s">
        <v>23</v>
      </c>
      <c r="D738" s="25">
        <v>50</v>
      </c>
      <c r="E738" s="25">
        <v>222.5</v>
      </c>
      <c r="F738" s="25">
        <v>11125</v>
      </c>
      <c r="G738" s="25" t="s">
        <v>997</v>
      </c>
      <c r="H738" s="25">
        <v>2019057</v>
      </c>
      <c r="I738" s="25" t="s">
        <v>19</v>
      </c>
      <c r="J738" s="25" t="s">
        <v>20</v>
      </c>
      <c r="K738" s="25" t="s">
        <v>25</v>
      </c>
      <c r="L738" s="25">
        <v>3.29</v>
      </c>
      <c r="M738" s="25">
        <v>0.41</v>
      </c>
      <c r="N738" s="25">
        <v>5.7</v>
      </c>
      <c r="O738" s="25">
        <v>29.58</v>
      </c>
      <c r="P738" s="25">
        <v>38.976100000000002</v>
      </c>
      <c r="Q738" s="25">
        <f t="shared" si="22"/>
        <v>0</v>
      </c>
      <c r="R738" s="25">
        <f t="shared" si="23"/>
        <v>11086.0239</v>
      </c>
    </row>
    <row r="739" spans="1:18" hidden="1" x14ac:dyDescent="0.25">
      <c r="A739" s="26">
        <v>43546</v>
      </c>
      <c r="B739" s="25" t="s">
        <v>849</v>
      </c>
      <c r="C739" s="25" t="s">
        <v>23</v>
      </c>
      <c r="D739" s="25">
        <v>50</v>
      </c>
      <c r="E739" s="25">
        <v>224.5</v>
      </c>
      <c r="F739" s="25">
        <v>11225</v>
      </c>
      <c r="G739" s="25" t="s">
        <v>998</v>
      </c>
      <c r="H739" s="25">
        <v>2019057</v>
      </c>
      <c r="I739" s="25" t="s">
        <v>19</v>
      </c>
      <c r="J739" s="25" t="s">
        <v>20</v>
      </c>
      <c r="K739" s="25" t="s">
        <v>25</v>
      </c>
      <c r="L739" s="25">
        <v>2.82</v>
      </c>
      <c r="M739" s="25">
        <v>0.41</v>
      </c>
      <c r="N739" s="25">
        <v>0</v>
      </c>
      <c r="O739" s="25">
        <v>29.57</v>
      </c>
      <c r="P739" s="25">
        <v>32.799700000000001</v>
      </c>
      <c r="Q739" s="25">
        <f t="shared" si="22"/>
        <v>0</v>
      </c>
      <c r="R739" s="25">
        <f t="shared" si="23"/>
        <v>11192.2003</v>
      </c>
    </row>
    <row r="740" spans="1:18" hidden="1" x14ac:dyDescent="0.25">
      <c r="A740" s="26">
        <v>43546</v>
      </c>
      <c r="B740" s="25" t="s">
        <v>849</v>
      </c>
      <c r="C740" s="25" t="s">
        <v>23</v>
      </c>
      <c r="D740" s="25">
        <v>200</v>
      </c>
      <c r="E740" s="25">
        <v>223.5</v>
      </c>
      <c r="F740" s="25">
        <v>44700</v>
      </c>
      <c r="G740" s="25" t="s">
        <v>999</v>
      </c>
      <c r="H740" s="25">
        <v>2019057</v>
      </c>
      <c r="I740" s="25" t="s">
        <v>19</v>
      </c>
      <c r="J740" s="25" t="s">
        <v>20</v>
      </c>
      <c r="K740" s="25" t="s">
        <v>25</v>
      </c>
      <c r="L740" s="25">
        <v>11.26</v>
      </c>
      <c r="M740" s="25">
        <v>1.63</v>
      </c>
      <c r="N740" s="25">
        <v>0</v>
      </c>
      <c r="O740" s="25">
        <v>29.79</v>
      </c>
      <c r="P740" s="25">
        <v>42.681600000000003</v>
      </c>
      <c r="Q740" s="25">
        <f t="shared" si="22"/>
        <v>0</v>
      </c>
      <c r="R740" s="25">
        <f t="shared" si="23"/>
        <v>44657.318399999996</v>
      </c>
    </row>
    <row r="741" spans="1:18" hidden="1" x14ac:dyDescent="0.25">
      <c r="A741" s="26">
        <v>43546</v>
      </c>
      <c r="B741" s="25" t="s">
        <v>849</v>
      </c>
      <c r="C741" s="25" t="s">
        <v>23</v>
      </c>
      <c r="D741" s="25">
        <v>50</v>
      </c>
      <c r="E741" s="25">
        <v>226</v>
      </c>
      <c r="F741" s="25">
        <v>11300</v>
      </c>
      <c r="G741" s="25" t="s">
        <v>1000</v>
      </c>
      <c r="H741" s="25">
        <v>2019057</v>
      </c>
      <c r="I741" s="25" t="s">
        <v>19</v>
      </c>
      <c r="J741" s="25" t="s">
        <v>20</v>
      </c>
      <c r="K741" s="25" t="s">
        <v>25</v>
      </c>
      <c r="L741" s="25">
        <v>2.82</v>
      </c>
      <c r="M741" s="25">
        <v>0.41</v>
      </c>
      <c r="N741" s="25">
        <v>0</v>
      </c>
      <c r="O741" s="25">
        <v>29.57</v>
      </c>
      <c r="P741" s="25">
        <v>32.802500000000002</v>
      </c>
      <c r="Q741" s="25">
        <f t="shared" si="22"/>
        <v>0</v>
      </c>
      <c r="R741" s="25">
        <f t="shared" si="23"/>
        <v>11267.1975</v>
      </c>
    </row>
    <row r="742" spans="1:18" hidden="1" x14ac:dyDescent="0.25">
      <c r="A742" s="26">
        <v>43546</v>
      </c>
      <c r="B742" s="25" t="s">
        <v>849</v>
      </c>
      <c r="C742" s="25" t="s">
        <v>23</v>
      </c>
      <c r="D742" s="25">
        <v>50</v>
      </c>
      <c r="E742" s="25">
        <v>228.3</v>
      </c>
      <c r="F742" s="25">
        <v>11415</v>
      </c>
      <c r="G742" s="25" t="s">
        <v>1001</v>
      </c>
      <c r="H742" s="25">
        <v>2019057</v>
      </c>
      <c r="I742" s="25" t="s">
        <v>19</v>
      </c>
      <c r="J742" s="25" t="s">
        <v>20</v>
      </c>
      <c r="K742" s="25" t="s">
        <v>25</v>
      </c>
      <c r="L742" s="25">
        <v>2.82</v>
      </c>
      <c r="M742" s="25">
        <v>0.42</v>
      </c>
      <c r="N742" s="25">
        <v>0</v>
      </c>
      <c r="O742" s="25">
        <v>29.58</v>
      </c>
      <c r="P742" s="25">
        <v>32.816600000000001</v>
      </c>
      <c r="Q742" s="25">
        <f t="shared" si="22"/>
        <v>0</v>
      </c>
      <c r="R742" s="25">
        <f t="shared" si="23"/>
        <v>11382.1834</v>
      </c>
    </row>
    <row r="743" spans="1:18" hidden="1" x14ac:dyDescent="0.25">
      <c r="A743" s="26">
        <v>43546</v>
      </c>
      <c r="B743" s="25" t="s">
        <v>849</v>
      </c>
      <c r="C743" s="25" t="s">
        <v>17</v>
      </c>
      <c r="D743" s="25">
        <v>400</v>
      </c>
      <c r="E743" s="25">
        <v>226</v>
      </c>
      <c r="F743" s="25">
        <v>90400</v>
      </c>
      <c r="G743" s="25" t="s">
        <v>1002</v>
      </c>
      <c r="H743" s="25">
        <v>2019057</v>
      </c>
      <c r="I743" s="25" t="s">
        <v>19</v>
      </c>
      <c r="J743" s="25" t="s">
        <v>20</v>
      </c>
      <c r="K743" s="25" t="s">
        <v>25</v>
      </c>
      <c r="L743" s="25">
        <v>0</v>
      </c>
      <c r="M743" s="25">
        <v>3.3</v>
      </c>
      <c r="N743" s="25">
        <v>0</v>
      </c>
      <c r="O743" s="25">
        <v>53.93</v>
      </c>
      <c r="P743" s="25">
        <v>57.229599999999998</v>
      </c>
      <c r="Q743" s="25">
        <f t="shared" si="22"/>
        <v>90457.229600000006</v>
      </c>
      <c r="R743" s="25">
        <f t="shared" si="23"/>
        <v>0</v>
      </c>
    </row>
    <row r="744" spans="1:18" hidden="1" x14ac:dyDescent="0.25">
      <c r="A744" s="26">
        <v>43542</v>
      </c>
      <c r="B744" s="25" t="s">
        <v>179</v>
      </c>
      <c r="C744" s="25" t="s">
        <v>17</v>
      </c>
      <c r="D744" s="25">
        <v>100</v>
      </c>
      <c r="E744" s="25">
        <v>40</v>
      </c>
      <c r="F744" s="25">
        <v>4000</v>
      </c>
      <c r="G744" s="25" t="s">
        <v>1003</v>
      </c>
      <c r="H744" s="25">
        <v>2019054</v>
      </c>
      <c r="I744" s="25" t="s">
        <v>19</v>
      </c>
      <c r="J744" s="25" t="s">
        <v>20</v>
      </c>
      <c r="K744" s="25" t="s">
        <v>25</v>
      </c>
      <c r="L744" s="25">
        <v>4</v>
      </c>
      <c r="M744" s="25">
        <v>0.15</v>
      </c>
      <c r="N744" s="25">
        <v>0.3</v>
      </c>
      <c r="O744" s="25">
        <v>41.33</v>
      </c>
      <c r="P744" s="25">
        <v>45.776000000000003</v>
      </c>
      <c r="Q744" s="25">
        <f t="shared" si="22"/>
        <v>4045.7759999999998</v>
      </c>
      <c r="R744" s="25">
        <f t="shared" si="23"/>
        <v>0</v>
      </c>
    </row>
    <row r="745" spans="1:18" hidden="1" x14ac:dyDescent="0.25">
      <c r="A745" s="26">
        <v>43538</v>
      </c>
      <c r="B745" s="25" t="s">
        <v>871</v>
      </c>
      <c r="C745" s="25" t="s">
        <v>23</v>
      </c>
      <c r="D745" s="25">
        <v>500</v>
      </c>
      <c r="E745" s="25">
        <v>172.5</v>
      </c>
      <c r="F745" s="25">
        <v>86250</v>
      </c>
      <c r="G745" s="25" t="s">
        <v>1004</v>
      </c>
      <c r="H745" s="25">
        <v>2019052</v>
      </c>
      <c r="I745" s="25" t="s">
        <v>19</v>
      </c>
      <c r="J745" s="25" t="s">
        <v>20</v>
      </c>
      <c r="K745" s="25" t="s">
        <v>25</v>
      </c>
      <c r="L745" s="25">
        <v>21.7</v>
      </c>
      <c r="M745" s="25">
        <v>3.15</v>
      </c>
      <c r="N745" s="25">
        <v>0</v>
      </c>
      <c r="O745" s="25">
        <v>51.45</v>
      </c>
      <c r="P745" s="25">
        <v>76.298199999999994</v>
      </c>
      <c r="Q745" s="25">
        <f t="shared" si="22"/>
        <v>0</v>
      </c>
      <c r="R745" s="25">
        <f t="shared" si="23"/>
        <v>86173.701799999995</v>
      </c>
    </row>
    <row r="746" spans="1:18" hidden="1" x14ac:dyDescent="0.25">
      <c r="A746" s="26">
        <v>43538</v>
      </c>
      <c r="B746" s="25" t="s">
        <v>871</v>
      </c>
      <c r="C746" s="25" t="s">
        <v>17</v>
      </c>
      <c r="D746" s="25">
        <v>2500</v>
      </c>
      <c r="E746" s="25">
        <v>174</v>
      </c>
      <c r="F746" s="25">
        <v>435000</v>
      </c>
      <c r="G746" s="25" t="s">
        <v>1005</v>
      </c>
      <c r="H746" s="25">
        <v>2019052</v>
      </c>
      <c r="I746" s="25" t="s">
        <v>19</v>
      </c>
      <c r="J746" s="25" t="s">
        <v>20</v>
      </c>
      <c r="K746" s="25" t="s">
        <v>25</v>
      </c>
      <c r="L746" s="25">
        <v>0</v>
      </c>
      <c r="M746" s="25">
        <v>15.88</v>
      </c>
      <c r="N746" s="25">
        <v>0</v>
      </c>
      <c r="O746" s="25">
        <v>259.49</v>
      </c>
      <c r="P746" s="25">
        <v>275.36770000000001</v>
      </c>
      <c r="Q746" s="25">
        <f t="shared" si="22"/>
        <v>435275.3677</v>
      </c>
      <c r="R746" s="25">
        <f t="shared" si="23"/>
        <v>0</v>
      </c>
    </row>
    <row r="747" spans="1:18" hidden="1" x14ac:dyDescent="0.25">
      <c r="A747" s="26">
        <v>43538</v>
      </c>
      <c r="B747" s="25" t="s">
        <v>871</v>
      </c>
      <c r="C747" s="25" t="s">
        <v>23</v>
      </c>
      <c r="D747" s="25">
        <v>500</v>
      </c>
      <c r="E747" s="25">
        <v>173.5</v>
      </c>
      <c r="F747" s="25">
        <v>86750</v>
      </c>
      <c r="G747" s="25" t="s">
        <v>1006</v>
      </c>
      <c r="H747" s="25">
        <v>2019052</v>
      </c>
      <c r="I747" s="25" t="s">
        <v>19</v>
      </c>
      <c r="J747" s="25" t="s">
        <v>20</v>
      </c>
      <c r="K747" s="25" t="s">
        <v>25</v>
      </c>
      <c r="L747" s="25">
        <v>21.7</v>
      </c>
      <c r="M747" s="25">
        <v>3.17</v>
      </c>
      <c r="N747" s="25">
        <v>0</v>
      </c>
      <c r="O747" s="25">
        <v>51.75</v>
      </c>
      <c r="P747" s="25">
        <v>76.616399999999999</v>
      </c>
      <c r="Q747" s="25">
        <f t="shared" si="22"/>
        <v>0</v>
      </c>
      <c r="R747" s="25">
        <f t="shared" si="23"/>
        <v>86673.383600000001</v>
      </c>
    </row>
    <row r="748" spans="1:18" hidden="1" x14ac:dyDescent="0.25">
      <c r="A748" s="26">
        <v>43538</v>
      </c>
      <c r="B748" s="25" t="s">
        <v>871</v>
      </c>
      <c r="C748" s="25" t="s">
        <v>23</v>
      </c>
      <c r="D748" s="25">
        <v>5000</v>
      </c>
      <c r="E748" s="25">
        <v>173.33</v>
      </c>
      <c r="F748" s="25">
        <v>866639.65</v>
      </c>
      <c r="G748" s="25" t="s">
        <v>1007</v>
      </c>
      <c r="H748" s="25">
        <v>2019052</v>
      </c>
      <c r="I748" s="25" t="s">
        <v>19</v>
      </c>
      <c r="J748" s="25" t="s">
        <v>20</v>
      </c>
      <c r="K748" s="25" t="s">
        <v>25</v>
      </c>
      <c r="L748" s="25">
        <v>216.61</v>
      </c>
      <c r="M748" s="25">
        <v>31.63</v>
      </c>
      <c r="N748" s="25">
        <v>62.7</v>
      </c>
      <c r="O748" s="25">
        <v>516.99</v>
      </c>
      <c r="P748" s="25">
        <v>827.93259999999998</v>
      </c>
      <c r="Q748" s="25">
        <f t="shared" si="22"/>
        <v>0</v>
      </c>
      <c r="R748" s="25">
        <f t="shared" si="23"/>
        <v>865811.71740000008</v>
      </c>
    </row>
    <row r="749" spans="1:18" hidden="1" x14ac:dyDescent="0.25">
      <c r="A749" s="26">
        <v>43538</v>
      </c>
      <c r="B749" s="25" t="s">
        <v>871</v>
      </c>
      <c r="C749" s="25" t="s">
        <v>17</v>
      </c>
      <c r="D749" s="25">
        <v>3500</v>
      </c>
      <c r="E749" s="25">
        <v>173.76</v>
      </c>
      <c r="F749" s="25">
        <v>608158.55000000005</v>
      </c>
      <c r="G749" s="25" t="s">
        <v>1008</v>
      </c>
      <c r="H749" s="25">
        <v>2019052</v>
      </c>
      <c r="I749" s="25" t="s">
        <v>19</v>
      </c>
      <c r="J749" s="25" t="s">
        <v>20</v>
      </c>
      <c r="K749" s="25" t="s">
        <v>25</v>
      </c>
      <c r="L749" s="25">
        <v>0</v>
      </c>
      <c r="M749" s="25">
        <v>22.2</v>
      </c>
      <c r="N749" s="25">
        <v>0</v>
      </c>
      <c r="O749" s="25">
        <v>362.82</v>
      </c>
      <c r="P749" s="25">
        <v>385.01769999999999</v>
      </c>
      <c r="Q749" s="25">
        <f t="shared" si="22"/>
        <v>608543.56770000001</v>
      </c>
      <c r="R749" s="25">
        <f t="shared" si="23"/>
        <v>0</v>
      </c>
    </row>
    <row r="750" spans="1:18" hidden="1" x14ac:dyDescent="0.25">
      <c r="A750" s="26">
        <v>43537</v>
      </c>
      <c r="B750" s="25" t="s">
        <v>397</v>
      </c>
      <c r="C750" s="25" t="s">
        <v>17</v>
      </c>
      <c r="D750" s="25">
        <v>100</v>
      </c>
      <c r="E750" s="25">
        <v>250</v>
      </c>
      <c r="F750" s="25">
        <v>25000</v>
      </c>
      <c r="G750" s="25" t="s">
        <v>1009</v>
      </c>
      <c r="H750" s="25">
        <v>201819239</v>
      </c>
      <c r="I750" s="25" t="s">
        <v>19</v>
      </c>
      <c r="J750" s="25" t="s">
        <v>20</v>
      </c>
      <c r="K750" s="25" t="s">
        <v>21</v>
      </c>
      <c r="L750" s="25">
        <v>25</v>
      </c>
      <c r="M750" s="25">
        <v>0.73</v>
      </c>
      <c r="N750" s="25">
        <v>0.9</v>
      </c>
      <c r="O750" s="25">
        <v>162.38</v>
      </c>
      <c r="P750" s="25">
        <v>189.01249999999999</v>
      </c>
      <c r="Q750" s="25">
        <f t="shared" si="22"/>
        <v>25189.012500000001</v>
      </c>
      <c r="R750" s="25">
        <f t="shared" si="23"/>
        <v>0</v>
      </c>
    </row>
    <row r="751" spans="1:18" hidden="1" x14ac:dyDescent="0.25">
      <c r="A751" s="26">
        <v>43537</v>
      </c>
      <c r="B751" s="25" t="s">
        <v>871</v>
      </c>
      <c r="C751" s="25" t="s">
        <v>23</v>
      </c>
      <c r="D751" s="25">
        <v>100</v>
      </c>
      <c r="E751" s="25">
        <v>175.1</v>
      </c>
      <c r="F751" s="25">
        <v>17510</v>
      </c>
      <c r="G751" s="25" t="s">
        <v>1010</v>
      </c>
      <c r="H751" s="25">
        <v>2019051</v>
      </c>
      <c r="I751" s="25" t="s">
        <v>19</v>
      </c>
      <c r="J751" s="25" t="s">
        <v>20</v>
      </c>
      <c r="K751" s="25" t="s">
        <v>25</v>
      </c>
      <c r="L751" s="25">
        <v>4.16</v>
      </c>
      <c r="M751" s="25">
        <v>0.64</v>
      </c>
      <c r="N751" s="25">
        <v>5.0999999999999996</v>
      </c>
      <c r="O751" s="25">
        <v>29.61</v>
      </c>
      <c r="P751" s="25">
        <v>39.509</v>
      </c>
      <c r="Q751" s="25">
        <f t="shared" si="22"/>
        <v>0</v>
      </c>
      <c r="R751" s="25">
        <f t="shared" si="23"/>
        <v>17470.491000000002</v>
      </c>
    </row>
    <row r="752" spans="1:18" hidden="1" x14ac:dyDescent="0.25">
      <c r="A752" s="26">
        <v>43537</v>
      </c>
      <c r="B752" s="25" t="s">
        <v>871</v>
      </c>
      <c r="C752" s="25" t="s">
        <v>17</v>
      </c>
      <c r="D752" s="25">
        <v>100</v>
      </c>
      <c r="E752" s="25">
        <v>172.5</v>
      </c>
      <c r="F752" s="25">
        <v>17250</v>
      </c>
      <c r="G752" s="25" t="s">
        <v>1011</v>
      </c>
      <c r="H752" s="25">
        <v>2019051</v>
      </c>
      <c r="I752" s="25" t="s">
        <v>19</v>
      </c>
      <c r="J752" s="25" t="s">
        <v>20</v>
      </c>
      <c r="K752" s="25" t="s">
        <v>25</v>
      </c>
      <c r="L752" s="25">
        <v>0</v>
      </c>
      <c r="M752" s="25">
        <v>0.63</v>
      </c>
      <c r="N752" s="25">
        <v>0</v>
      </c>
      <c r="O752" s="25">
        <v>29.61</v>
      </c>
      <c r="P752" s="25">
        <v>30.239699999999999</v>
      </c>
      <c r="Q752" s="25">
        <f t="shared" si="22"/>
        <v>17280.239699999998</v>
      </c>
      <c r="R752" s="25">
        <f t="shared" si="23"/>
        <v>0</v>
      </c>
    </row>
    <row r="753" spans="1:18" hidden="1" x14ac:dyDescent="0.25">
      <c r="A753" s="26">
        <v>43537</v>
      </c>
      <c r="B753" s="25" t="s">
        <v>677</v>
      </c>
      <c r="C753" s="25" t="s">
        <v>23</v>
      </c>
      <c r="D753" s="25">
        <v>250</v>
      </c>
      <c r="E753" s="25">
        <v>251.52</v>
      </c>
      <c r="F753" s="25">
        <v>62879.75</v>
      </c>
      <c r="G753" s="25" t="s">
        <v>1012</v>
      </c>
      <c r="H753" s="25">
        <v>2019051</v>
      </c>
      <c r="I753" s="25" t="s">
        <v>19</v>
      </c>
      <c r="J753" s="25" t="s">
        <v>20</v>
      </c>
      <c r="K753" s="25" t="s">
        <v>25</v>
      </c>
      <c r="L753" s="25">
        <v>15.84</v>
      </c>
      <c r="M753" s="25">
        <v>2.2999999999999998</v>
      </c>
      <c r="N753" s="25">
        <v>0</v>
      </c>
      <c r="O753" s="25">
        <v>37.51</v>
      </c>
      <c r="P753" s="25">
        <v>55.645099999999999</v>
      </c>
      <c r="Q753" s="25">
        <f t="shared" si="22"/>
        <v>0</v>
      </c>
      <c r="R753" s="25">
        <f t="shared" si="23"/>
        <v>62824.104899999998</v>
      </c>
    </row>
    <row r="754" spans="1:18" hidden="1" x14ac:dyDescent="0.25">
      <c r="A754" s="26">
        <v>43537</v>
      </c>
      <c r="B754" s="25" t="s">
        <v>677</v>
      </c>
      <c r="C754" s="25" t="s">
        <v>17</v>
      </c>
      <c r="D754" s="25">
        <v>250</v>
      </c>
      <c r="E754" s="25">
        <v>255.25</v>
      </c>
      <c r="F754" s="25">
        <v>63812.5</v>
      </c>
      <c r="G754" s="25" t="s">
        <v>1013</v>
      </c>
      <c r="H754" s="25">
        <v>2019051</v>
      </c>
      <c r="I754" s="25" t="s">
        <v>19</v>
      </c>
      <c r="J754" s="25" t="s">
        <v>20</v>
      </c>
      <c r="K754" s="25" t="s">
        <v>25</v>
      </c>
      <c r="L754" s="25">
        <v>0</v>
      </c>
      <c r="M754" s="25">
        <v>2.33</v>
      </c>
      <c r="N754" s="25">
        <v>0</v>
      </c>
      <c r="O754" s="25">
        <v>38.07</v>
      </c>
      <c r="P754" s="25">
        <v>40.399099999999997</v>
      </c>
      <c r="Q754" s="25">
        <f t="shared" si="22"/>
        <v>63852.899100000002</v>
      </c>
      <c r="R754" s="25">
        <f t="shared" si="23"/>
        <v>0</v>
      </c>
    </row>
    <row r="755" spans="1:18" hidden="1" x14ac:dyDescent="0.25">
      <c r="A755" s="26">
        <v>43536</v>
      </c>
      <c r="B755" s="25" t="s">
        <v>397</v>
      </c>
      <c r="C755" s="25" t="s">
        <v>17</v>
      </c>
      <c r="D755" s="25">
        <v>500</v>
      </c>
      <c r="E755" s="25">
        <v>259.76</v>
      </c>
      <c r="F755" s="25">
        <v>129878.8</v>
      </c>
      <c r="G755" s="25" t="s">
        <v>943</v>
      </c>
      <c r="H755" s="25">
        <v>2019050</v>
      </c>
      <c r="I755" s="25" t="s">
        <v>19</v>
      </c>
      <c r="J755" s="25" t="s">
        <v>20</v>
      </c>
      <c r="K755" s="25" t="s">
        <v>25</v>
      </c>
      <c r="L755" s="25">
        <v>0</v>
      </c>
      <c r="M755" s="25">
        <v>4.74</v>
      </c>
      <c r="N755" s="25">
        <v>0</v>
      </c>
      <c r="O755" s="25">
        <v>77.48</v>
      </c>
      <c r="P755" s="25">
        <v>82.220600000000005</v>
      </c>
      <c r="Q755" s="25">
        <f t="shared" si="22"/>
        <v>129961.0206</v>
      </c>
      <c r="R755" s="25">
        <f t="shared" si="23"/>
        <v>0</v>
      </c>
    </row>
    <row r="756" spans="1:18" hidden="1" x14ac:dyDescent="0.25">
      <c r="A756" s="26">
        <v>43536</v>
      </c>
      <c r="B756" s="25" t="s">
        <v>944</v>
      </c>
      <c r="C756" s="25" t="s">
        <v>23</v>
      </c>
      <c r="D756" s="25">
        <v>1000</v>
      </c>
      <c r="E756" s="25">
        <v>55.15</v>
      </c>
      <c r="F756" s="25">
        <v>55150</v>
      </c>
      <c r="G756" s="25" t="s">
        <v>945</v>
      </c>
      <c r="H756" s="25">
        <v>2019050</v>
      </c>
      <c r="I756" s="25" t="s">
        <v>19</v>
      </c>
      <c r="J756" s="25" t="s">
        <v>20</v>
      </c>
      <c r="K756" s="25" t="s">
        <v>25</v>
      </c>
      <c r="L756" s="25">
        <v>13.64</v>
      </c>
      <c r="M756" s="25">
        <v>2.0099999999999998</v>
      </c>
      <c r="N756" s="25">
        <v>0</v>
      </c>
      <c r="O756" s="25">
        <v>32.9</v>
      </c>
      <c r="P756" s="25">
        <v>48.552999999999997</v>
      </c>
      <c r="Q756" s="25">
        <f t="shared" si="22"/>
        <v>0</v>
      </c>
      <c r="R756" s="25">
        <f t="shared" si="23"/>
        <v>55101.447</v>
      </c>
    </row>
    <row r="757" spans="1:18" hidden="1" x14ac:dyDescent="0.25">
      <c r="A757" s="26">
        <v>43536</v>
      </c>
      <c r="B757" s="25" t="s">
        <v>944</v>
      </c>
      <c r="C757" s="25" t="s">
        <v>17</v>
      </c>
      <c r="D757" s="25">
        <v>1000</v>
      </c>
      <c r="E757" s="25">
        <v>54</v>
      </c>
      <c r="F757" s="25">
        <v>54000</v>
      </c>
      <c r="G757" s="25" t="s">
        <v>946</v>
      </c>
      <c r="H757" s="25">
        <v>2019050</v>
      </c>
      <c r="I757" s="25" t="s">
        <v>19</v>
      </c>
      <c r="J757" s="25" t="s">
        <v>20</v>
      </c>
      <c r="K757" s="25" t="s">
        <v>25</v>
      </c>
      <c r="L757" s="25">
        <v>0</v>
      </c>
      <c r="M757" s="25">
        <v>1.97</v>
      </c>
      <c r="N757" s="25">
        <v>0</v>
      </c>
      <c r="O757" s="25">
        <v>32.21</v>
      </c>
      <c r="P757" s="25">
        <v>34.180999999999997</v>
      </c>
      <c r="Q757" s="25">
        <f t="shared" si="22"/>
        <v>54034.180999999997</v>
      </c>
      <c r="R757" s="25">
        <f t="shared" si="23"/>
        <v>0</v>
      </c>
    </row>
    <row r="758" spans="1:18" hidden="1" x14ac:dyDescent="0.25">
      <c r="A758" s="26">
        <v>43536</v>
      </c>
      <c r="B758" s="25" t="s">
        <v>397</v>
      </c>
      <c r="C758" s="25" t="s">
        <v>17</v>
      </c>
      <c r="D758" s="25">
        <v>500</v>
      </c>
      <c r="E758" s="25">
        <v>257.48</v>
      </c>
      <c r="F758" s="25">
        <v>128742.05</v>
      </c>
      <c r="G758" s="25" t="s">
        <v>947</v>
      </c>
      <c r="H758" s="25">
        <v>2019050</v>
      </c>
      <c r="I758" s="25" t="s">
        <v>19</v>
      </c>
      <c r="J758" s="25" t="s">
        <v>20</v>
      </c>
      <c r="K758" s="25" t="s">
        <v>25</v>
      </c>
      <c r="L758" s="25">
        <v>0</v>
      </c>
      <c r="M758" s="25">
        <v>4.7</v>
      </c>
      <c r="N758" s="25">
        <v>40.200000000000003</v>
      </c>
      <c r="O758" s="25">
        <v>76.8</v>
      </c>
      <c r="P758" s="25">
        <v>121.69929999999999</v>
      </c>
      <c r="Q758" s="25">
        <f t="shared" si="22"/>
        <v>128863.7493</v>
      </c>
      <c r="R758" s="25">
        <f t="shared" si="23"/>
        <v>0</v>
      </c>
    </row>
    <row r="759" spans="1:18" hidden="1" x14ac:dyDescent="0.25">
      <c r="A759" s="26">
        <v>43536</v>
      </c>
      <c r="B759" s="25" t="s">
        <v>397</v>
      </c>
      <c r="C759" s="25" t="s">
        <v>17</v>
      </c>
      <c r="D759" s="25">
        <v>250</v>
      </c>
      <c r="E759" s="25">
        <v>255.35</v>
      </c>
      <c r="F759" s="25">
        <v>63837.5</v>
      </c>
      <c r="G759" s="25" t="s">
        <v>948</v>
      </c>
      <c r="H759" s="25">
        <v>2019050</v>
      </c>
      <c r="I759" s="25" t="s">
        <v>19</v>
      </c>
      <c r="J759" s="25" t="s">
        <v>20</v>
      </c>
      <c r="K759" s="25" t="s">
        <v>25</v>
      </c>
      <c r="L759" s="25">
        <v>0</v>
      </c>
      <c r="M759" s="25">
        <v>2.33</v>
      </c>
      <c r="N759" s="25">
        <v>0</v>
      </c>
      <c r="O759" s="25">
        <v>38.08</v>
      </c>
      <c r="P759" s="25">
        <v>40.4101</v>
      </c>
      <c r="Q759" s="25">
        <f t="shared" si="22"/>
        <v>63877.910100000001</v>
      </c>
      <c r="R759" s="25">
        <f t="shared" si="23"/>
        <v>0</v>
      </c>
    </row>
    <row r="760" spans="1:18" hidden="1" x14ac:dyDescent="0.25">
      <c r="A760" s="26">
        <v>43536</v>
      </c>
      <c r="B760" s="25" t="s">
        <v>237</v>
      </c>
      <c r="C760" s="25" t="s">
        <v>23</v>
      </c>
      <c r="D760" s="25">
        <v>500</v>
      </c>
      <c r="E760" s="25">
        <v>292.5</v>
      </c>
      <c r="F760" s="25">
        <v>146250</v>
      </c>
      <c r="G760" s="25" t="s">
        <v>949</v>
      </c>
      <c r="H760" s="25">
        <v>2019050</v>
      </c>
      <c r="I760" s="25" t="s">
        <v>19</v>
      </c>
      <c r="J760" s="25" t="s">
        <v>20</v>
      </c>
      <c r="K760" s="25" t="s">
        <v>25</v>
      </c>
      <c r="L760" s="25">
        <v>36.58</v>
      </c>
      <c r="M760" s="25">
        <v>5.34</v>
      </c>
      <c r="N760" s="25">
        <v>0</v>
      </c>
      <c r="O760" s="25">
        <v>87.25</v>
      </c>
      <c r="P760" s="25">
        <v>129.16820000000001</v>
      </c>
      <c r="Q760" s="25">
        <f t="shared" si="22"/>
        <v>0</v>
      </c>
      <c r="R760" s="25">
        <f t="shared" si="23"/>
        <v>146120.83180000001</v>
      </c>
    </row>
    <row r="761" spans="1:18" hidden="1" x14ac:dyDescent="0.25">
      <c r="A761" s="26">
        <v>43536</v>
      </c>
      <c r="B761" s="25" t="s">
        <v>237</v>
      </c>
      <c r="C761" s="25" t="s">
        <v>17</v>
      </c>
      <c r="D761" s="25">
        <v>500</v>
      </c>
      <c r="E761" s="25">
        <v>291</v>
      </c>
      <c r="F761" s="25">
        <v>145500</v>
      </c>
      <c r="G761" s="25" t="s">
        <v>950</v>
      </c>
      <c r="H761" s="25">
        <v>2019050</v>
      </c>
      <c r="I761" s="25" t="s">
        <v>19</v>
      </c>
      <c r="J761" s="25" t="s">
        <v>20</v>
      </c>
      <c r="K761" s="25" t="s">
        <v>25</v>
      </c>
      <c r="L761" s="25">
        <v>0</v>
      </c>
      <c r="M761" s="25">
        <v>5.31</v>
      </c>
      <c r="N761" s="25">
        <v>0</v>
      </c>
      <c r="O761" s="25">
        <v>86.8</v>
      </c>
      <c r="P761" s="25">
        <v>92.110799999999998</v>
      </c>
      <c r="Q761" s="25">
        <f t="shared" si="22"/>
        <v>145592.11079999999</v>
      </c>
      <c r="R761" s="25">
        <f t="shared" si="23"/>
        <v>0</v>
      </c>
    </row>
    <row r="762" spans="1:18" hidden="1" x14ac:dyDescent="0.25">
      <c r="A762" s="26">
        <v>43536</v>
      </c>
      <c r="B762" s="25" t="s">
        <v>237</v>
      </c>
      <c r="C762" s="25" t="s">
        <v>17</v>
      </c>
      <c r="D762" s="25">
        <v>500</v>
      </c>
      <c r="E762" s="25">
        <v>296.64999999999998</v>
      </c>
      <c r="F762" s="25">
        <v>148325</v>
      </c>
      <c r="G762" s="25" t="s">
        <v>951</v>
      </c>
      <c r="H762" s="25">
        <v>2019050</v>
      </c>
      <c r="I762" s="25" t="s">
        <v>19</v>
      </c>
      <c r="J762" s="25" t="s">
        <v>20</v>
      </c>
      <c r="K762" s="25" t="s">
        <v>25</v>
      </c>
      <c r="L762" s="25">
        <v>0</v>
      </c>
      <c r="M762" s="25">
        <v>5.41</v>
      </c>
      <c r="N762" s="25">
        <v>0</v>
      </c>
      <c r="O762" s="25">
        <v>88.49</v>
      </c>
      <c r="P762" s="25">
        <v>93.903899999999993</v>
      </c>
      <c r="Q762" s="25">
        <f t="shared" si="22"/>
        <v>148418.9039</v>
      </c>
      <c r="R762" s="25">
        <f t="shared" si="23"/>
        <v>0</v>
      </c>
    </row>
    <row r="763" spans="1:18" hidden="1" x14ac:dyDescent="0.25">
      <c r="A763" s="26">
        <v>43536</v>
      </c>
      <c r="B763" s="25" t="s">
        <v>397</v>
      </c>
      <c r="C763" s="25" t="s">
        <v>23</v>
      </c>
      <c r="D763" s="25">
        <v>1250</v>
      </c>
      <c r="E763" s="25">
        <v>254.23</v>
      </c>
      <c r="F763" s="25">
        <v>317781.5</v>
      </c>
      <c r="G763" s="25" t="s">
        <v>952</v>
      </c>
      <c r="H763" s="25">
        <v>2019050</v>
      </c>
      <c r="I763" s="25" t="s">
        <v>19</v>
      </c>
      <c r="J763" s="25" t="s">
        <v>20</v>
      </c>
      <c r="K763" s="25" t="s">
        <v>25</v>
      </c>
      <c r="L763" s="25">
        <v>80.03</v>
      </c>
      <c r="M763" s="25">
        <v>11.6</v>
      </c>
      <c r="N763" s="25">
        <v>0</v>
      </c>
      <c r="O763" s="25">
        <v>189.58</v>
      </c>
      <c r="P763" s="25">
        <v>281.20949999999999</v>
      </c>
      <c r="Q763" s="25">
        <f t="shared" si="22"/>
        <v>0</v>
      </c>
      <c r="R763" s="25">
        <f t="shared" si="23"/>
        <v>317500.2905</v>
      </c>
    </row>
    <row r="764" spans="1:18" hidden="1" x14ac:dyDescent="0.25">
      <c r="A764" s="26">
        <v>43536</v>
      </c>
      <c r="B764" s="25" t="s">
        <v>237</v>
      </c>
      <c r="C764" s="25" t="s">
        <v>23</v>
      </c>
      <c r="D764" s="25">
        <v>500</v>
      </c>
      <c r="E764" s="25">
        <v>290.51</v>
      </c>
      <c r="F764" s="25">
        <v>145255.04999999999</v>
      </c>
      <c r="G764" s="25" t="s">
        <v>953</v>
      </c>
      <c r="H764" s="25">
        <v>2019050</v>
      </c>
      <c r="I764" s="25" t="s">
        <v>19</v>
      </c>
      <c r="J764" s="25" t="s">
        <v>20</v>
      </c>
      <c r="K764" s="25" t="s">
        <v>25</v>
      </c>
      <c r="L764" s="25">
        <v>36.74</v>
      </c>
      <c r="M764" s="25">
        <v>5.3</v>
      </c>
      <c r="N764" s="25">
        <v>0</v>
      </c>
      <c r="O764" s="25">
        <v>86.65</v>
      </c>
      <c r="P764" s="25">
        <v>128.6919</v>
      </c>
      <c r="Q764" s="25">
        <f t="shared" si="22"/>
        <v>0</v>
      </c>
      <c r="R764" s="25">
        <f t="shared" si="23"/>
        <v>145126.35809999998</v>
      </c>
    </row>
    <row r="765" spans="1:18" hidden="1" x14ac:dyDescent="0.25">
      <c r="A765" s="26">
        <v>43535</v>
      </c>
      <c r="B765" s="25" t="s">
        <v>397</v>
      </c>
      <c r="C765" s="25" t="s">
        <v>17</v>
      </c>
      <c r="D765" s="25">
        <v>332</v>
      </c>
      <c r="E765" s="25">
        <v>256.99</v>
      </c>
      <c r="F765" s="25">
        <v>85321.1</v>
      </c>
      <c r="G765" s="25" t="s">
        <v>954</v>
      </c>
      <c r="H765" s="25">
        <v>2019049</v>
      </c>
      <c r="I765" s="25" t="s">
        <v>19</v>
      </c>
      <c r="J765" s="25" t="s">
        <v>20</v>
      </c>
      <c r="K765" s="25" t="s">
        <v>25</v>
      </c>
      <c r="L765" s="25">
        <v>0</v>
      </c>
      <c r="M765" s="25">
        <v>3.11</v>
      </c>
      <c r="N765" s="25">
        <v>24.3</v>
      </c>
      <c r="O765" s="25">
        <v>50.9</v>
      </c>
      <c r="P765" s="25">
        <v>78.314300000000003</v>
      </c>
      <c r="Q765" s="25">
        <f t="shared" si="22"/>
        <v>85399.414300000004</v>
      </c>
      <c r="R765" s="25">
        <f t="shared" si="23"/>
        <v>0</v>
      </c>
    </row>
    <row r="766" spans="1:18" hidden="1" x14ac:dyDescent="0.25">
      <c r="A766" s="26">
        <v>43535</v>
      </c>
      <c r="B766" s="25" t="s">
        <v>738</v>
      </c>
      <c r="C766" s="25" t="s">
        <v>17</v>
      </c>
      <c r="D766" s="25">
        <v>250</v>
      </c>
      <c r="E766" s="25">
        <v>376</v>
      </c>
      <c r="F766" s="25">
        <v>94000</v>
      </c>
      <c r="G766" s="25" t="s">
        <v>955</v>
      </c>
      <c r="H766" s="25">
        <v>2019049</v>
      </c>
      <c r="I766" s="25" t="s">
        <v>19</v>
      </c>
      <c r="J766" s="25" t="s">
        <v>20</v>
      </c>
      <c r="K766" s="25" t="s">
        <v>25</v>
      </c>
      <c r="L766" s="25">
        <v>0</v>
      </c>
      <c r="M766" s="25">
        <v>3.43</v>
      </c>
      <c r="N766" s="25">
        <v>0</v>
      </c>
      <c r="O766" s="25">
        <v>56.08</v>
      </c>
      <c r="P766" s="25">
        <v>59.511000000000003</v>
      </c>
      <c r="Q766" s="25">
        <f t="shared" si="22"/>
        <v>94059.510999999999</v>
      </c>
      <c r="R766" s="25">
        <f t="shared" si="23"/>
        <v>0</v>
      </c>
    </row>
    <row r="767" spans="1:18" hidden="1" x14ac:dyDescent="0.25">
      <c r="A767" s="26">
        <v>43535</v>
      </c>
      <c r="B767" s="25" t="s">
        <v>738</v>
      </c>
      <c r="C767" s="25" t="s">
        <v>23</v>
      </c>
      <c r="D767" s="25">
        <v>250</v>
      </c>
      <c r="E767" s="25">
        <v>377</v>
      </c>
      <c r="F767" s="25">
        <v>94250</v>
      </c>
      <c r="G767" s="25" t="s">
        <v>956</v>
      </c>
      <c r="H767" s="25">
        <v>2019049</v>
      </c>
      <c r="I767" s="25" t="s">
        <v>19</v>
      </c>
      <c r="J767" s="25" t="s">
        <v>20</v>
      </c>
      <c r="K767" s="25" t="s">
        <v>25</v>
      </c>
      <c r="L767" s="25">
        <v>23.73</v>
      </c>
      <c r="M767" s="25">
        <v>3.44</v>
      </c>
      <c r="N767" s="25">
        <v>0</v>
      </c>
      <c r="O767" s="25">
        <v>56.22</v>
      </c>
      <c r="P767" s="25">
        <v>83.390100000000004</v>
      </c>
      <c r="Q767" s="25">
        <f t="shared" si="22"/>
        <v>0</v>
      </c>
      <c r="R767" s="25">
        <f t="shared" si="23"/>
        <v>94166.609899999996</v>
      </c>
    </row>
    <row r="768" spans="1:18" hidden="1" x14ac:dyDescent="0.25">
      <c r="A768" s="26">
        <v>43535</v>
      </c>
      <c r="B768" s="25" t="s">
        <v>237</v>
      </c>
      <c r="C768" s="25" t="s">
        <v>23</v>
      </c>
      <c r="D768" s="25">
        <v>500</v>
      </c>
      <c r="E768" s="25">
        <v>293</v>
      </c>
      <c r="F768" s="25">
        <v>146500</v>
      </c>
      <c r="G768" s="25" t="s">
        <v>957</v>
      </c>
      <c r="H768" s="25">
        <v>2019049</v>
      </c>
      <c r="I768" s="25" t="s">
        <v>19</v>
      </c>
      <c r="J768" s="25" t="s">
        <v>20</v>
      </c>
      <c r="K768" s="25" t="s">
        <v>25</v>
      </c>
      <c r="L768" s="25">
        <v>36.56</v>
      </c>
      <c r="M768" s="25">
        <v>5.35</v>
      </c>
      <c r="N768" s="25">
        <v>0</v>
      </c>
      <c r="O768" s="25">
        <v>87.4</v>
      </c>
      <c r="P768" s="25">
        <v>129.3073</v>
      </c>
      <c r="Q768" s="25">
        <f t="shared" si="22"/>
        <v>0</v>
      </c>
      <c r="R768" s="25">
        <f t="shared" si="23"/>
        <v>146370.69270000001</v>
      </c>
    </row>
    <row r="769" spans="1:18" hidden="1" x14ac:dyDescent="0.25">
      <c r="A769" s="26">
        <v>43535</v>
      </c>
      <c r="B769" s="25" t="s">
        <v>237</v>
      </c>
      <c r="C769" s="25" t="s">
        <v>17</v>
      </c>
      <c r="D769" s="25">
        <v>500</v>
      </c>
      <c r="E769" s="25">
        <v>292</v>
      </c>
      <c r="F769" s="25">
        <v>146000</v>
      </c>
      <c r="G769" s="25" t="s">
        <v>958</v>
      </c>
      <c r="H769" s="25">
        <v>2019049</v>
      </c>
      <c r="I769" s="25" t="s">
        <v>19</v>
      </c>
      <c r="J769" s="25" t="s">
        <v>20</v>
      </c>
      <c r="K769" s="25" t="s">
        <v>25</v>
      </c>
      <c r="L769" s="25">
        <v>0</v>
      </c>
      <c r="M769" s="25">
        <v>5.33</v>
      </c>
      <c r="N769" s="25">
        <v>0</v>
      </c>
      <c r="O769" s="25">
        <v>87.1</v>
      </c>
      <c r="P769" s="25">
        <v>92.429000000000002</v>
      </c>
      <c r="Q769" s="25">
        <f t="shared" si="22"/>
        <v>146092.429</v>
      </c>
      <c r="R769" s="25">
        <f t="shared" si="23"/>
        <v>0</v>
      </c>
    </row>
    <row r="770" spans="1:18" hidden="1" x14ac:dyDescent="0.25">
      <c r="A770" s="26">
        <v>43535</v>
      </c>
      <c r="B770" s="25" t="s">
        <v>397</v>
      </c>
      <c r="C770" s="25" t="s">
        <v>17</v>
      </c>
      <c r="D770" s="25">
        <v>300</v>
      </c>
      <c r="E770" s="25">
        <v>258.05</v>
      </c>
      <c r="F770" s="25">
        <v>77415.149999999994</v>
      </c>
      <c r="G770" s="25" t="s">
        <v>959</v>
      </c>
      <c r="H770" s="25">
        <v>2019049</v>
      </c>
      <c r="I770" s="25" t="s">
        <v>19</v>
      </c>
      <c r="J770" s="25" t="s">
        <v>20</v>
      </c>
      <c r="K770" s="25" t="s">
        <v>25</v>
      </c>
      <c r="L770" s="25">
        <v>0</v>
      </c>
      <c r="M770" s="25">
        <v>2.83</v>
      </c>
      <c r="N770" s="25">
        <v>0</v>
      </c>
      <c r="O770" s="25">
        <v>46.18</v>
      </c>
      <c r="P770" s="25">
        <v>49.005699999999997</v>
      </c>
      <c r="Q770" s="25">
        <f t="shared" si="22"/>
        <v>77464.155699999988</v>
      </c>
      <c r="R770" s="25">
        <f t="shared" si="23"/>
        <v>0</v>
      </c>
    </row>
    <row r="771" spans="1:18" hidden="1" x14ac:dyDescent="0.25">
      <c r="A771" s="26">
        <v>43535</v>
      </c>
      <c r="B771" s="25" t="s">
        <v>397</v>
      </c>
      <c r="C771" s="25" t="s">
        <v>23</v>
      </c>
      <c r="D771" s="25">
        <v>632</v>
      </c>
      <c r="E771" s="25">
        <v>257.85000000000002</v>
      </c>
      <c r="F771" s="25">
        <v>162961.20000000001</v>
      </c>
      <c r="G771" s="25" t="s">
        <v>960</v>
      </c>
      <c r="H771" s="25">
        <v>2019049</v>
      </c>
      <c r="I771" s="25" t="s">
        <v>19</v>
      </c>
      <c r="J771" s="25" t="s">
        <v>20</v>
      </c>
      <c r="K771" s="25" t="s">
        <v>25</v>
      </c>
      <c r="L771" s="25">
        <v>40.71</v>
      </c>
      <c r="M771" s="25">
        <v>5.95</v>
      </c>
      <c r="N771" s="25">
        <v>0</v>
      </c>
      <c r="O771" s="25">
        <v>97.22</v>
      </c>
      <c r="P771" s="25">
        <v>143.87799999999999</v>
      </c>
      <c r="Q771" s="25">
        <f t="shared" ref="Q771:Q834" si="24">IF(C771="Buy",F771+P771,0)</f>
        <v>0</v>
      </c>
      <c r="R771" s="25">
        <f t="shared" ref="R771:R834" si="25">IF(C771="Sell",F771-P771,0)</f>
        <v>162817.32200000001</v>
      </c>
    </row>
    <row r="772" spans="1:18" hidden="1" x14ac:dyDescent="0.25">
      <c r="A772" s="26">
        <v>43532</v>
      </c>
      <c r="B772" s="25" t="s">
        <v>677</v>
      </c>
      <c r="C772" s="25" t="s">
        <v>23</v>
      </c>
      <c r="D772" s="25">
        <v>1000</v>
      </c>
      <c r="E772" s="25">
        <v>243.49</v>
      </c>
      <c r="F772" s="25">
        <v>243485.9</v>
      </c>
      <c r="G772" s="25" t="s">
        <v>961</v>
      </c>
      <c r="H772" s="25">
        <v>2019048</v>
      </c>
      <c r="I772" s="25" t="s">
        <v>19</v>
      </c>
      <c r="J772" s="25" t="s">
        <v>20</v>
      </c>
      <c r="K772" s="25" t="s">
        <v>25</v>
      </c>
      <c r="L772" s="25">
        <v>60.75</v>
      </c>
      <c r="M772" s="25">
        <v>8.89</v>
      </c>
      <c r="N772" s="25">
        <v>0</v>
      </c>
      <c r="O772" s="25">
        <v>145.28</v>
      </c>
      <c r="P772" s="25">
        <v>214.91730000000001</v>
      </c>
      <c r="Q772" s="25">
        <f t="shared" si="24"/>
        <v>0</v>
      </c>
      <c r="R772" s="25">
        <f t="shared" si="25"/>
        <v>243270.98269999999</v>
      </c>
    </row>
    <row r="773" spans="1:18" hidden="1" x14ac:dyDescent="0.25">
      <c r="A773" s="26">
        <v>43532</v>
      </c>
      <c r="B773" s="25" t="s">
        <v>677</v>
      </c>
      <c r="C773" s="25" t="s">
        <v>17</v>
      </c>
      <c r="D773" s="25">
        <v>1000</v>
      </c>
      <c r="E773" s="25">
        <v>242.5</v>
      </c>
      <c r="F773" s="25">
        <v>242500</v>
      </c>
      <c r="G773" s="25" t="s">
        <v>962</v>
      </c>
      <c r="H773" s="25">
        <v>2019048</v>
      </c>
      <c r="I773" s="25" t="s">
        <v>19</v>
      </c>
      <c r="J773" s="25" t="s">
        <v>20</v>
      </c>
      <c r="K773" s="25" t="s">
        <v>25</v>
      </c>
      <c r="L773" s="25">
        <v>0</v>
      </c>
      <c r="M773" s="25">
        <v>8.85</v>
      </c>
      <c r="N773" s="25">
        <v>0</v>
      </c>
      <c r="O773" s="25">
        <v>144.66999999999999</v>
      </c>
      <c r="P773" s="25">
        <v>153.52119999999999</v>
      </c>
      <c r="Q773" s="25">
        <f t="shared" si="24"/>
        <v>242653.52119999999</v>
      </c>
      <c r="R773" s="25">
        <f t="shared" si="25"/>
        <v>0</v>
      </c>
    </row>
    <row r="774" spans="1:18" hidden="1" x14ac:dyDescent="0.25">
      <c r="A774" s="26">
        <v>43532</v>
      </c>
      <c r="B774" s="25" t="s">
        <v>16</v>
      </c>
      <c r="C774" s="25" t="s">
        <v>23</v>
      </c>
      <c r="D774" s="25">
        <v>1000</v>
      </c>
      <c r="E774" s="25">
        <v>36.6</v>
      </c>
      <c r="F774" s="25">
        <v>36595.25</v>
      </c>
      <c r="G774" s="25" t="s">
        <v>963</v>
      </c>
      <c r="H774" s="25">
        <v>2019048</v>
      </c>
      <c r="I774" s="25" t="s">
        <v>19</v>
      </c>
      <c r="J774" s="25" t="s">
        <v>1634</v>
      </c>
      <c r="K774" s="25" t="s">
        <v>25</v>
      </c>
      <c r="L774" s="25">
        <v>36.25</v>
      </c>
      <c r="M774" s="25">
        <v>1.34</v>
      </c>
      <c r="N774" s="25">
        <v>15.9</v>
      </c>
      <c r="O774" s="25">
        <v>237.74</v>
      </c>
      <c r="P774" s="25">
        <v>291.22579999999999</v>
      </c>
      <c r="Q774" s="25">
        <f t="shared" si="24"/>
        <v>0</v>
      </c>
      <c r="R774" s="25">
        <f t="shared" si="25"/>
        <v>36304.0242</v>
      </c>
    </row>
    <row r="775" spans="1:18" hidden="1" x14ac:dyDescent="0.25">
      <c r="A775" s="26">
        <v>43531</v>
      </c>
      <c r="B775" s="25" t="s">
        <v>282</v>
      </c>
      <c r="C775" s="25" t="s">
        <v>23</v>
      </c>
      <c r="D775" s="25">
        <v>1000</v>
      </c>
      <c r="E775" s="25">
        <v>613.5</v>
      </c>
      <c r="F775" s="25">
        <v>613500</v>
      </c>
      <c r="G775" s="25" t="s">
        <v>900</v>
      </c>
      <c r="H775" s="25">
        <v>201819235</v>
      </c>
      <c r="I775" s="25" t="s">
        <v>19</v>
      </c>
      <c r="J775" s="25" t="s">
        <v>20</v>
      </c>
      <c r="K775" s="25" t="s">
        <v>21</v>
      </c>
      <c r="L775" s="25">
        <v>154</v>
      </c>
      <c r="M775" s="25">
        <v>17.5</v>
      </c>
      <c r="N775" s="25">
        <v>0</v>
      </c>
      <c r="O775" s="25">
        <v>365.12</v>
      </c>
      <c r="P775" s="25">
        <v>536.62480000000005</v>
      </c>
      <c r="Q775" s="25">
        <f t="shared" si="24"/>
        <v>0</v>
      </c>
      <c r="R775" s="25">
        <f t="shared" si="25"/>
        <v>612963.37520000001</v>
      </c>
    </row>
    <row r="776" spans="1:18" hidden="1" x14ac:dyDescent="0.25">
      <c r="A776" s="26">
        <v>43531</v>
      </c>
      <c r="B776" s="25" t="s">
        <v>282</v>
      </c>
      <c r="C776" s="25" t="s">
        <v>17</v>
      </c>
      <c r="D776" s="25">
        <v>1000</v>
      </c>
      <c r="E776" s="25">
        <v>614.79999999999995</v>
      </c>
      <c r="F776" s="25">
        <v>614800</v>
      </c>
      <c r="G776" s="25" t="s">
        <v>901</v>
      </c>
      <c r="H776" s="25">
        <v>201819235</v>
      </c>
      <c r="I776" s="25" t="s">
        <v>19</v>
      </c>
      <c r="J776" s="25" t="s">
        <v>20</v>
      </c>
      <c r="K776" s="25" t="s">
        <v>21</v>
      </c>
      <c r="L776" s="25">
        <v>0</v>
      </c>
      <c r="M776" s="25">
        <v>17.62</v>
      </c>
      <c r="N776" s="25">
        <v>36.9</v>
      </c>
      <c r="O776" s="25">
        <v>365.89</v>
      </c>
      <c r="P776" s="25">
        <v>420.4119</v>
      </c>
      <c r="Q776" s="25">
        <f t="shared" si="24"/>
        <v>615220.41189999995</v>
      </c>
      <c r="R776" s="25">
        <f t="shared" si="25"/>
        <v>0</v>
      </c>
    </row>
    <row r="777" spans="1:18" hidden="1" x14ac:dyDescent="0.25">
      <c r="A777" s="26">
        <v>43531</v>
      </c>
      <c r="B777" s="25" t="s">
        <v>282</v>
      </c>
      <c r="C777" s="25" t="s">
        <v>23</v>
      </c>
      <c r="D777" s="25">
        <v>100</v>
      </c>
      <c r="E777" s="25">
        <v>613.35</v>
      </c>
      <c r="F777" s="25">
        <v>61335</v>
      </c>
      <c r="G777" s="25" t="s">
        <v>902</v>
      </c>
      <c r="H777" s="25">
        <v>2019047</v>
      </c>
      <c r="I777" s="25" t="s">
        <v>19</v>
      </c>
      <c r="J777" s="25" t="s">
        <v>20</v>
      </c>
      <c r="K777" s="25" t="s">
        <v>25</v>
      </c>
      <c r="L777" s="25">
        <v>15.38</v>
      </c>
      <c r="M777" s="25">
        <v>2.2400000000000002</v>
      </c>
      <c r="N777" s="25">
        <v>0</v>
      </c>
      <c r="O777" s="25">
        <v>36.590000000000003</v>
      </c>
      <c r="P777" s="25">
        <v>54.2087</v>
      </c>
      <c r="Q777" s="25">
        <f t="shared" si="24"/>
        <v>0</v>
      </c>
      <c r="R777" s="25">
        <f t="shared" si="25"/>
        <v>61280.791299999997</v>
      </c>
    </row>
    <row r="778" spans="1:18" hidden="1" x14ac:dyDescent="0.25">
      <c r="A778" s="26">
        <v>43531</v>
      </c>
      <c r="B778" s="25" t="s">
        <v>738</v>
      </c>
      <c r="C778" s="25" t="s">
        <v>17</v>
      </c>
      <c r="D778" s="25">
        <v>100</v>
      </c>
      <c r="E778" s="25">
        <v>369.1</v>
      </c>
      <c r="F778" s="25">
        <v>36910</v>
      </c>
      <c r="G778" s="25" t="s">
        <v>903</v>
      </c>
      <c r="H778" s="25">
        <v>2019047</v>
      </c>
      <c r="I778" s="25" t="s">
        <v>19</v>
      </c>
      <c r="J778" s="25" t="s">
        <v>20</v>
      </c>
      <c r="K778" s="25" t="s">
        <v>25</v>
      </c>
      <c r="L778" s="25">
        <v>0</v>
      </c>
      <c r="M778" s="25">
        <v>1.35</v>
      </c>
      <c r="N778" s="25">
        <v>0</v>
      </c>
      <c r="O778" s="25">
        <v>29.74</v>
      </c>
      <c r="P778" s="25">
        <v>31.087299999999999</v>
      </c>
      <c r="Q778" s="25">
        <f t="shared" si="24"/>
        <v>36941.087299999999</v>
      </c>
      <c r="R778" s="25">
        <f t="shared" si="25"/>
        <v>0</v>
      </c>
    </row>
    <row r="779" spans="1:18" hidden="1" x14ac:dyDescent="0.25">
      <c r="A779" s="26">
        <v>43531</v>
      </c>
      <c r="B779" s="25" t="s">
        <v>738</v>
      </c>
      <c r="C779" s="25" t="s">
        <v>23</v>
      </c>
      <c r="D779" s="25">
        <v>100</v>
      </c>
      <c r="E779" s="25">
        <v>372</v>
      </c>
      <c r="F779" s="25">
        <v>37200</v>
      </c>
      <c r="G779" s="25" t="s">
        <v>904</v>
      </c>
      <c r="H779" s="25">
        <v>2019047</v>
      </c>
      <c r="I779" s="25" t="s">
        <v>19</v>
      </c>
      <c r="J779" s="25" t="s">
        <v>20</v>
      </c>
      <c r="K779" s="25" t="s">
        <v>25</v>
      </c>
      <c r="L779" s="25">
        <v>9.27</v>
      </c>
      <c r="M779" s="25">
        <v>1.36</v>
      </c>
      <c r="N779" s="25">
        <v>0</v>
      </c>
      <c r="O779" s="25">
        <v>29.74</v>
      </c>
      <c r="P779" s="25">
        <v>40.367800000000003</v>
      </c>
      <c r="Q779" s="25">
        <f t="shared" si="24"/>
        <v>0</v>
      </c>
      <c r="R779" s="25">
        <f t="shared" si="25"/>
        <v>37159.6322</v>
      </c>
    </row>
    <row r="780" spans="1:18" hidden="1" x14ac:dyDescent="0.25">
      <c r="A780" s="26">
        <v>43531</v>
      </c>
      <c r="B780" s="25" t="s">
        <v>282</v>
      </c>
      <c r="C780" s="25" t="s">
        <v>23</v>
      </c>
      <c r="D780" s="25">
        <v>200</v>
      </c>
      <c r="E780" s="25">
        <v>619</v>
      </c>
      <c r="F780" s="25">
        <v>123800</v>
      </c>
      <c r="G780" s="25" t="s">
        <v>905</v>
      </c>
      <c r="H780" s="25">
        <v>2019047</v>
      </c>
      <c r="I780" s="25" t="s">
        <v>19</v>
      </c>
      <c r="J780" s="25" t="s">
        <v>20</v>
      </c>
      <c r="K780" s="25" t="s">
        <v>25</v>
      </c>
      <c r="L780" s="25">
        <v>30.76</v>
      </c>
      <c r="M780" s="25">
        <v>4.5199999999999996</v>
      </c>
      <c r="N780" s="25">
        <v>0</v>
      </c>
      <c r="O780" s="25">
        <v>73.86</v>
      </c>
      <c r="P780" s="25">
        <v>109.1387</v>
      </c>
      <c r="Q780" s="25">
        <f t="shared" si="24"/>
        <v>0</v>
      </c>
      <c r="R780" s="25">
        <f t="shared" si="25"/>
        <v>123690.8613</v>
      </c>
    </row>
    <row r="781" spans="1:18" hidden="1" x14ac:dyDescent="0.25">
      <c r="A781" s="26">
        <v>43531</v>
      </c>
      <c r="B781" s="25" t="s">
        <v>282</v>
      </c>
      <c r="C781" s="25" t="s">
        <v>17</v>
      </c>
      <c r="D781" s="25">
        <v>300</v>
      </c>
      <c r="E781" s="25">
        <v>613</v>
      </c>
      <c r="F781" s="25">
        <v>183900</v>
      </c>
      <c r="G781" s="25" t="s">
        <v>906</v>
      </c>
      <c r="H781" s="25">
        <v>2019047</v>
      </c>
      <c r="I781" s="25" t="s">
        <v>19</v>
      </c>
      <c r="J781" s="25" t="s">
        <v>20</v>
      </c>
      <c r="K781" s="25" t="s">
        <v>25</v>
      </c>
      <c r="L781" s="25">
        <v>0</v>
      </c>
      <c r="M781" s="25">
        <v>6.71</v>
      </c>
      <c r="N781" s="25">
        <v>0</v>
      </c>
      <c r="O781" s="25">
        <v>109.71</v>
      </c>
      <c r="P781" s="25">
        <v>116.4224</v>
      </c>
      <c r="Q781" s="25">
        <f t="shared" si="24"/>
        <v>184016.42240000001</v>
      </c>
      <c r="R781" s="25">
        <f t="shared" si="25"/>
        <v>0</v>
      </c>
    </row>
    <row r="782" spans="1:18" hidden="1" x14ac:dyDescent="0.25">
      <c r="A782" s="26">
        <v>43531</v>
      </c>
      <c r="B782" s="25" t="s">
        <v>738</v>
      </c>
      <c r="C782" s="25" t="s">
        <v>23</v>
      </c>
      <c r="D782" s="25">
        <v>250</v>
      </c>
      <c r="E782" s="25">
        <v>374</v>
      </c>
      <c r="F782" s="25">
        <v>93500</v>
      </c>
      <c r="G782" s="25" t="s">
        <v>907</v>
      </c>
      <c r="H782" s="25">
        <v>2019047</v>
      </c>
      <c r="I782" s="25" t="s">
        <v>19</v>
      </c>
      <c r="J782" s="25" t="s">
        <v>20</v>
      </c>
      <c r="K782" s="25" t="s">
        <v>25</v>
      </c>
      <c r="L782" s="25">
        <v>23.18</v>
      </c>
      <c r="M782" s="25">
        <v>3.41</v>
      </c>
      <c r="N782" s="25">
        <v>0</v>
      </c>
      <c r="O782" s="25">
        <v>55.78</v>
      </c>
      <c r="P782" s="25">
        <v>82.372799999999998</v>
      </c>
      <c r="Q782" s="25">
        <f t="shared" si="24"/>
        <v>0</v>
      </c>
      <c r="R782" s="25">
        <f t="shared" si="25"/>
        <v>93417.627200000003</v>
      </c>
    </row>
    <row r="783" spans="1:18" hidden="1" x14ac:dyDescent="0.25">
      <c r="A783" s="26">
        <v>43531</v>
      </c>
      <c r="B783" s="25" t="s">
        <v>282</v>
      </c>
      <c r="C783" s="25" t="s">
        <v>17</v>
      </c>
      <c r="D783" s="25">
        <v>250</v>
      </c>
      <c r="E783" s="25">
        <v>615</v>
      </c>
      <c r="F783" s="25">
        <v>153750</v>
      </c>
      <c r="G783" s="25" t="s">
        <v>908</v>
      </c>
      <c r="H783" s="25">
        <v>2019047</v>
      </c>
      <c r="I783" s="25" t="s">
        <v>19</v>
      </c>
      <c r="J783" s="25" t="s">
        <v>20</v>
      </c>
      <c r="K783" s="25" t="s">
        <v>25</v>
      </c>
      <c r="L783" s="25">
        <v>0</v>
      </c>
      <c r="M783" s="25">
        <v>5.61</v>
      </c>
      <c r="N783" s="25">
        <v>0</v>
      </c>
      <c r="O783" s="25">
        <v>91.72</v>
      </c>
      <c r="P783" s="25">
        <v>97.331900000000005</v>
      </c>
      <c r="Q783" s="25">
        <f t="shared" si="24"/>
        <v>153847.33189999999</v>
      </c>
      <c r="R783" s="25">
        <f t="shared" si="25"/>
        <v>0</v>
      </c>
    </row>
    <row r="784" spans="1:18" hidden="1" x14ac:dyDescent="0.25">
      <c r="A784" s="26">
        <v>43531</v>
      </c>
      <c r="B784" s="25" t="s">
        <v>282</v>
      </c>
      <c r="C784" s="25" t="s">
        <v>23</v>
      </c>
      <c r="D784" s="25">
        <v>250</v>
      </c>
      <c r="E784" s="25">
        <v>616</v>
      </c>
      <c r="F784" s="25">
        <v>154000</v>
      </c>
      <c r="G784" s="25" t="s">
        <v>909</v>
      </c>
      <c r="H784" s="25">
        <v>2019047</v>
      </c>
      <c r="I784" s="25" t="s">
        <v>19</v>
      </c>
      <c r="J784" s="25" t="s">
        <v>20</v>
      </c>
      <c r="K784" s="25" t="s">
        <v>25</v>
      </c>
      <c r="L784" s="25">
        <v>38.450000000000003</v>
      </c>
      <c r="M784" s="25">
        <v>5.62</v>
      </c>
      <c r="N784" s="25">
        <v>0</v>
      </c>
      <c r="O784" s="25">
        <v>91.87</v>
      </c>
      <c r="P784" s="25">
        <v>135.941</v>
      </c>
      <c r="Q784" s="25">
        <f t="shared" si="24"/>
        <v>0</v>
      </c>
      <c r="R784" s="25">
        <f t="shared" si="25"/>
        <v>153864.05900000001</v>
      </c>
    </row>
    <row r="785" spans="1:18" hidden="1" x14ac:dyDescent="0.25">
      <c r="A785" s="26">
        <v>43531</v>
      </c>
      <c r="B785" s="25" t="s">
        <v>738</v>
      </c>
      <c r="C785" s="25" t="s">
        <v>17</v>
      </c>
      <c r="D785" s="25">
        <v>250</v>
      </c>
      <c r="E785" s="25">
        <v>371.75</v>
      </c>
      <c r="F785" s="25">
        <v>92937.5</v>
      </c>
      <c r="G785" s="25" t="s">
        <v>910</v>
      </c>
      <c r="H785" s="25">
        <v>2019047</v>
      </c>
      <c r="I785" s="25" t="s">
        <v>19</v>
      </c>
      <c r="J785" s="25" t="s">
        <v>20</v>
      </c>
      <c r="K785" s="25" t="s">
        <v>25</v>
      </c>
      <c r="L785" s="25">
        <v>0</v>
      </c>
      <c r="M785" s="25">
        <v>3.39</v>
      </c>
      <c r="N785" s="25">
        <v>0</v>
      </c>
      <c r="O785" s="25">
        <v>55.44</v>
      </c>
      <c r="P785" s="25">
        <v>58.8322</v>
      </c>
      <c r="Q785" s="25">
        <f t="shared" si="24"/>
        <v>92996.332200000004</v>
      </c>
      <c r="R785" s="25">
        <f t="shared" si="25"/>
        <v>0</v>
      </c>
    </row>
    <row r="786" spans="1:18" hidden="1" x14ac:dyDescent="0.25">
      <c r="A786" s="26">
        <v>43531</v>
      </c>
      <c r="B786" s="25" t="s">
        <v>738</v>
      </c>
      <c r="C786" s="25" t="s">
        <v>17</v>
      </c>
      <c r="D786" s="25">
        <v>5000</v>
      </c>
      <c r="E786" s="25">
        <v>371</v>
      </c>
      <c r="F786" s="25">
        <v>1855000</v>
      </c>
      <c r="G786" s="25" t="s">
        <v>911</v>
      </c>
      <c r="H786" s="25">
        <v>2019047</v>
      </c>
      <c r="I786" s="25" t="s">
        <v>19</v>
      </c>
      <c r="J786" s="25" t="s">
        <v>20</v>
      </c>
      <c r="K786" s="25" t="s">
        <v>25</v>
      </c>
      <c r="L786" s="25">
        <v>0</v>
      </c>
      <c r="M786" s="25">
        <v>67.709999999999994</v>
      </c>
      <c r="N786" s="25">
        <v>0</v>
      </c>
      <c r="O786" s="25">
        <v>1106.6400000000001</v>
      </c>
      <c r="P786" s="25">
        <v>1174.3475000000001</v>
      </c>
      <c r="Q786" s="25">
        <f t="shared" si="24"/>
        <v>1856174.3474999999</v>
      </c>
      <c r="R786" s="25">
        <f t="shared" si="25"/>
        <v>0</v>
      </c>
    </row>
    <row r="787" spans="1:18" hidden="1" x14ac:dyDescent="0.25">
      <c r="A787" s="26">
        <v>43531</v>
      </c>
      <c r="B787" s="25" t="s">
        <v>738</v>
      </c>
      <c r="C787" s="25" t="s">
        <v>23</v>
      </c>
      <c r="D787" s="25">
        <v>5000</v>
      </c>
      <c r="E787" s="25">
        <v>370.64</v>
      </c>
      <c r="F787" s="25">
        <v>1853197.5</v>
      </c>
      <c r="G787" s="25" t="s">
        <v>912</v>
      </c>
      <c r="H787" s="25">
        <v>2019047</v>
      </c>
      <c r="I787" s="25" t="s">
        <v>19</v>
      </c>
      <c r="J787" s="25" t="s">
        <v>20</v>
      </c>
      <c r="K787" s="25" t="s">
        <v>25</v>
      </c>
      <c r="L787" s="25">
        <v>463.95</v>
      </c>
      <c r="M787" s="25">
        <v>67.64</v>
      </c>
      <c r="N787" s="25">
        <v>139.5</v>
      </c>
      <c r="O787" s="25">
        <v>1105.57</v>
      </c>
      <c r="P787" s="25">
        <v>1776.6614999999999</v>
      </c>
      <c r="Q787" s="25">
        <f t="shared" si="24"/>
        <v>0</v>
      </c>
      <c r="R787" s="25">
        <f t="shared" si="25"/>
        <v>1851420.8385000001</v>
      </c>
    </row>
    <row r="788" spans="1:18" hidden="1" x14ac:dyDescent="0.25">
      <c r="A788" s="26">
        <v>43530</v>
      </c>
      <c r="B788" s="25" t="s">
        <v>738</v>
      </c>
      <c r="C788" s="25" t="s">
        <v>23</v>
      </c>
      <c r="D788" s="25">
        <v>2500</v>
      </c>
      <c r="E788" s="25">
        <v>369.29</v>
      </c>
      <c r="F788" s="25">
        <v>923233.65</v>
      </c>
      <c r="G788" s="25" t="s">
        <v>913</v>
      </c>
      <c r="H788" s="25">
        <v>2019046</v>
      </c>
      <c r="I788" s="25" t="s">
        <v>19</v>
      </c>
      <c r="J788" s="25" t="s">
        <v>20</v>
      </c>
      <c r="K788" s="25" t="s">
        <v>25</v>
      </c>
      <c r="L788" s="25">
        <v>230.65</v>
      </c>
      <c r="M788" s="25">
        <v>33.700000000000003</v>
      </c>
      <c r="N788" s="25">
        <v>77.7</v>
      </c>
      <c r="O788" s="25">
        <v>550.75</v>
      </c>
      <c r="P788" s="25">
        <v>892.79809999999998</v>
      </c>
      <c r="Q788" s="25">
        <f t="shared" si="24"/>
        <v>0</v>
      </c>
      <c r="R788" s="25">
        <f t="shared" si="25"/>
        <v>922340.85190000001</v>
      </c>
    </row>
    <row r="789" spans="1:18" hidden="1" x14ac:dyDescent="0.25">
      <c r="A789" s="26">
        <v>43530</v>
      </c>
      <c r="B789" s="25" t="s">
        <v>738</v>
      </c>
      <c r="C789" s="25" t="s">
        <v>23</v>
      </c>
      <c r="D789" s="25">
        <v>1000</v>
      </c>
      <c r="E789" s="25">
        <v>371</v>
      </c>
      <c r="F789" s="25">
        <v>371000</v>
      </c>
      <c r="G789" s="25" t="s">
        <v>914</v>
      </c>
      <c r="H789" s="25">
        <v>2019046</v>
      </c>
      <c r="I789" s="25" t="s">
        <v>19</v>
      </c>
      <c r="J789" s="25" t="s">
        <v>20</v>
      </c>
      <c r="K789" s="25" t="s">
        <v>25</v>
      </c>
      <c r="L789" s="25">
        <v>92.35</v>
      </c>
      <c r="M789" s="25">
        <v>13.54</v>
      </c>
      <c r="N789" s="25">
        <v>0</v>
      </c>
      <c r="O789" s="25">
        <v>221.32</v>
      </c>
      <c r="P789" s="25">
        <v>327.2115</v>
      </c>
      <c r="Q789" s="25">
        <f t="shared" si="24"/>
        <v>0</v>
      </c>
      <c r="R789" s="25">
        <f t="shared" si="25"/>
        <v>370672.78850000002</v>
      </c>
    </row>
    <row r="790" spans="1:18" hidden="1" x14ac:dyDescent="0.25">
      <c r="A790" s="26">
        <v>43530</v>
      </c>
      <c r="B790" s="25" t="s">
        <v>738</v>
      </c>
      <c r="C790" s="25" t="s">
        <v>17</v>
      </c>
      <c r="D790" s="25">
        <v>3500</v>
      </c>
      <c r="E790" s="25">
        <v>369</v>
      </c>
      <c r="F790" s="25">
        <v>1291500</v>
      </c>
      <c r="G790" s="25" t="s">
        <v>915</v>
      </c>
      <c r="H790" s="25">
        <v>2019046</v>
      </c>
      <c r="I790" s="25" t="s">
        <v>19</v>
      </c>
      <c r="J790" s="25" t="s">
        <v>20</v>
      </c>
      <c r="K790" s="25" t="s">
        <v>25</v>
      </c>
      <c r="L790" s="25">
        <v>0</v>
      </c>
      <c r="M790" s="25">
        <v>47.14</v>
      </c>
      <c r="N790" s="25">
        <v>0</v>
      </c>
      <c r="O790" s="25">
        <v>770.47</v>
      </c>
      <c r="P790" s="25">
        <v>817.60979999999995</v>
      </c>
      <c r="Q790" s="25">
        <f t="shared" si="24"/>
        <v>1292317.6098</v>
      </c>
      <c r="R790" s="25">
        <f t="shared" si="25"/>
        <v>0</v>
      </c>
    </row>
    <row r="791" spans="1:18" hidden="1" x14ac:dyDescent="0.25">
      <c r="A791" s="26">
        <v>43529</v>
      </c>
      <c r="B791" s="25" t="s">
        <v>738</v>
      </c>
      <c r="C791" s="25" t="s">
        <v>17</v>
      </c>
      <c r="D791" s="25">
        <v>500</v>
      </c>
      <c r="E791" s="25">
        <v>355.05</v>
      </c>
      <c r="F791" s="25">
        <v>177525</v>
      </c>
      <c r="G791" s="25" t="s">
        <v>916</v>
      </c>
      <c r="H791" s="25">
        <v>2019045</v>
      </c>
      <c r="I791" s="25" t="s">
        <v>19</v>
      </c>
      <c r="J791" s="25" t="s">
        <v>20</v>
      </c>
      <c r="K791" s="25" t="s">
        <v>25</v>
      </c>
      <c r="L791" s="25">
        <v>0</v>
      </c>
      <c r="M791" s="25">
        <v>6.48</v>
      </c>
      <c r="N791" s="25">
        <v>0</v>
      </c>
      <c r="O791" s="25">
        <v>105.91</v>
      </c>
      <c r="P791" s="25">
        <v>112.3897</v>
      </c>
      <c r="Q791" s="25">
        <f t="shared" si="24"/>
        <v>177637.3897</v>
      </c>
      <c r="R791" s="25">
        <f t="shared" si="25"/>
        <v>0</v>
      </c>
    </row>
    <row r="792" spans="1:18" hidden="1" x14ac:dyDescent="0.25">
      <c r="A792" s="26">
        <v>43529</v>
      </c>
      <c r="B792" s="25" t="s">
        <v>738</v>
      </c>
      <c r="C792" s="25" t="s">
        <v>23</v>
      </c>
      <c r="D792" s="25">
        <v>500</v>
      </c>
      <c r="E792" s="25">
        <v>357.25</v>
      </c>
      <c r="F792" s="25">
        <v>178625</v>
      </c>
      <c r="G792" s="25" t="s">
        <v>917</v>
      </c>
      <c r="H792" s="25">
        <v>2019045</v>
      </c>
      <c r="I792" s="25" t="s">
        <v>19</v>
      </c>
      <c r="J792" s="25" t="s">
        <v>20</v>
      </c>
      <c r="K792" s="25" t="s">
        <v>25</v>
      </c>
      <c r="L792" s="25">
        <v>45.26</v>
      </c>
      <c r="M792" s="25">
        <v>6.52</v>
      </c>
      <c r="N792" s="25">
        <v>0</v>
      </c>
      <c r="O792" s="25">
        <v>106.56</v>
      </c>
      <c r="P792" s="25">
        <v>158.3398</v>
      </c>
      <c r="Q792" s="25">
        <f t="shared" si="24"/>
        <v>0</v>
      </c>
      <c r="R792" s="25">
        <f t="shared" si="25"/>
        <v>178466.66020000001</v>
      </c>
    </row>
    <row r="793" spans="1:18" hidden="1" x14ac:dyDescent="0.25">
      <c r="A793" s="26">
        <v>43529</v>
      </c>
      <c r="B793" s="25" t="s">
        <v>16</v>
      </c>
      <c r="C793" s="25" t="s">
        <v>17</v>
      </c>
      <c r="D793" s="25">
        <v>1000</v>
      </c>
      <c r="E793" s="25">
        <v>34.6</v>
      </c>
      <c r="F793" s="25">
        <v>34600</v>
      </c>
      <c r="G793" s="25" t="s">
        <v>918</v>
      </c>
      <c r="H793" s="25">
        <v>2019045</v>
      </c>
      <c r="I793" s="25" t="s">
        <v>19</v>
      </c>
      <c r="J793" s="25" t="s">
        <v>1634</v>
      </c>
      <c r="K793" s="25" t="s">
        <v>25</v>
      </c>
      <c r="L793" s="25">
        <v>34.6</v>
      </c>
      <c r="M793" s="25">
        <v>1.26</v>
      </c>
      <c r="N793" s="25">
        <v>0</v>
      </c>
      <c r="O793" s="25">
        <v>224.78</v>
      </c>
      <c r="P793" s="25">
        <v>260.6429</v>
      </c>
      <c r="Q793" s="25">
        <f t="shared" si="24"/>
        <v>34860.642899999999</v>
      </c>
      <c r="R793" s="25">
        <f t="shared" si="25"/>
        <v>0</v>
      </c>
    </row>
    <row r="794" spans="1:18" hidden="1" x14ac:dyDescent="0.25">
      <c r="A794" s="26">
        <v>43529</v>
      </c>
      <c r="B794" s="25" t="s">
        <v>738</v>
      </c>
      <c r="C794" s="25" t="s">
        <v>23</v>
      </c>
      <c r="D794" s="25">
        <v>5000</v>
      </c>
      <c r="E794" s="25">
        <v>359.76</v>
      </c>
      <c r="F794" s="25">
        <v>1798806.4</v>
      </c>
      <c r="G794" s="25" t="s">
        <v>919</v>
      </c>
      <c r="H794" s="25">
        <v>2019045</v>
      </c>
      <c r="I794" s="25" t="s">
        <v>19</v>
      </c>
      <c r="J794" s="25" t="s">
        <v>20</v>
      </c>
      <c r="K794" s="25" t="s">
        <v>25</v>
      </c>
      <c r="L794" s="25">
        <v>452.59</v>
      </c>
      <c r="M794" s="25">
        <v>65.66</v>
      </c>
      <c r="N794" s="25">
        <v>0</v>
      </c>
      <c r="O794" s="25">
        <v>1072.95</v>
      </c>
      <c r="P794" s="25">
        <v>1591.1962000000001</v>
      </c>
      <c r="Q794" s="25">
        <f t="shared" si="24"/>
        <v>0</v>
      </c>
      <c r="R794" s="25">
        <f t="shared" si="25"/>
        <v>1797215.2038</v>
      </c>
    </row>
    <row r="795" spans="1:18" hidden="1" x14ac:dyDescent="0.25">
      <c r="A795" s="26">
        <v>43529</v>
      </c>
      <c r="B795" s="25" t="s">
        <v>738</v>
      </c>
      <c r="C795" s="25" t="s">
        <v>17</v>
      </c>
      <c r="D795" s="25">
        <v>5000</v>
      </c>
      <c r="E795" s="25">
        <v>362.47</v>
      </c>
      <c r="F795" s="25">
        <v>1812335</v>
      </c>
      <c r="G795" s="25" t="s">
        <v>920</v>
      </c>
      <c r="H795" s="25">
        <v>2019045</v>
      </c>
      <c r="I795" s="25" t="s">
        <v>19</v>
      </c>
      <c r="J795" s="25" t="s">
        <v>20</v>
      </c>
      <c r="K795" s="25" t="s">
        <v>25</v>
      </c>
      <c r="L795" s="25">
        <v>0</v>
      </c>
      <c r="M795" s="25">
        <v>66.150000000000006</v>
      </c>
      <c r="N795" s="25">
        <v>0</v>
      </c>
      <c r="O795" s="25">
        <v>1081.26</v>
      </c>
      <c r="P795" s="25">
        <v>1147.4100000000001</v>
      </c>
      <c r="Q795" s="25">
        <f t="shared" si="24"/>
        <v>1813482.41</v>
      </c>
      <c r="R795" s="25">
        <f t="shared" si="25"/>
        <v>0</v>
      </c>
    </row>
    <row r="796" spans="1:18" hidden="1" x14ac:dyDescent="0.25">
      <c r="A796" s="26">
        <v>43529</v>
      </c>
      <c r="B796" s="25" t="s">
        <v>738</v>
      </c>
      <c r="C796" s="25" t="s">
        <v>17</v>
      </c>
      <c r="D796" s="25">
        <v>5000</v>
      </c>
      <c r="E796" s="25">
        <v>362.52</v>
      </c>
      <c r="F796" s="25">
        <v>1812597.9</v>
      </c>
      <c r="G796" s="25" t="s">
        <v>921</v>
      </c>
      <c r="H796" s="25">
        <v>2019045</v>
      </c>
      <c r="I796" s="25" t="s">
        <v>19</v>
      </c>
      <c r="J796" s="25" t="s">
        <v>20</v>
      </c>
      <c r="K796" s="25" t="s">
        <v>25</v>
      </c>
      <c r="L796" s="25">
        <v>0</v>
      </c>
      <c r="M796" s="25">
        <v>66.16</v>
      </c>
      <c r="N796" s="25">
        <v>0</v>
      </c>
      <c r="O796" s="25">
        <v>1081.3399999999999</v>
      </c>
      <c r="P796" s="25">
        <v>1147.5</v>
      </c>
      <c r="Q796" s="25">
        <f t="shared" si="24"/>
        <v>1813745.4</v>
      </c>
      <c r="R796" s="25">
        <f t="shared" si="25"/>
        <v>0</v>
      </c>
    </row>
    <row r="797" spans="1:18" hidden="1" x14ac:dyDescent="0.25">
      <c r="A797" s="26">
        <v>43529</v>
      </c>
      <c r="B797" s="25" t="s">
        <v>738</v>
      </c>
      <c r="C797" s="25" t="s">
        <v>17</v>
      </c>
      <c r="D797" s="25">
        <v>5000</v>
      </c>
      <c r="E797" s="25">
        <v>362.42</v>
      </c>
      <c r="F797" s="25">
        <v>1812080.55</v>
      </c>
      <c r="G797" s="25" t="s">
        <v>922</v>
      </c>
      <c r="H797" s="25">
        <v>2019045</v>
      </c>
      <c r="I797" s="25" t="s">
        <v>19</v>
      </c>
      <c r="J797" s="25" t="s">
        <v>20</v>
      </c>
      <c r="K797" s="25" t="s">
        <v>25</v>
      </c>
      <c r="L797" s="25">
        <v>0</v>
      </c>
      <c r="M797" s="25">
        <v>66.14</v>
      </c>
      <c r="N797" s="25">
        <v>0</v>
      </c>
      <c r="O797" s="25">
        <v>1081.03</v>
      </c>
      <c r="P797" s="25">
        <v>1147.1711</v>
      </c>
      <c r="Q797" s="25">
        <f t="shared" si="24"/>
        <v>1813227.7211</v>
      </c>
      <c r="R797" s="25">
        <f t="shared" si="25"/>
        <v>0</v>
      </c>
    </row>
    <row r="798" spans="1:18" hidden="1" x14ac:dyDescent="0.25">
      <c r="A798" s="26">
        <v>43529</v>
      </c>
      <c r="B798" s="25" t="s">
        <v>738</v>
      </c>
      <c r="C798" s="25" t="s">
        <v>23</v>
      </c>
      <c r="D798" s="25">
        <v>10000</v>
      </c>
      <c r="E798" s="25">
        <v>363.24</v>
      </c>
      <c r="F798" s="25">
        <v>3632393.9</v>
      </c>
      <c r="G798" s="25" t="s">
        <v>923</v>
      </c>
      <c r="H798" s="25">
        <v>2019045</v>
      </c>
      <c r="I798" s="25" t="s">
        <v>19</v>
      </c>
      <c r="J798" s="25" t="s">
        <v>20</v>
      </c>
      <c r="K798" s="25" t="s">
        <v>25</v>
      </c>
      <c r="L798" s="25">
        <v>905.55</v>
      </c>
      <c r="M798" s="25">
        <v>132.58000000000001</v>
      </c>
      <c r="N798" s="25">
        <v>337.8</v>
      </c>
      <c r="O798" s="25">
        <v>2166.94</v>
      </c>
      <c r="P798" s="25">
        <v>3542.8717999999999</v>
      </c>
      <c r="Q798" s="25">
        <f t="shared" si="24"/>
        <v>0</v>
      </c>
      <c r="R798" s="25">
        <f t="shared" si="25"/>
        <v>3628851.0282000001</v>
      </c>
    </row>
    <row r="799" spans="1:18" hidden="1" x14ac:dyDescent="0.25">
      <c r="A799" s="26">
        <v>43525</v>
      </c>
      <c r="B799" s="25" t="s">
        <v>480</v>
      </c>
      <c r="C799" s="25" t="s">
        <v>23</v>
      </c>
      <c r="D799" s="25">
        <v>1000</v>
      </c>
      <c r="E799" s="25">
        <v>83.95</v>
      </c>
      <c r="F799" s="25">
        <v>83950</v>
      </c>
      <c r="G799" s="25" t="s">
        <v>924</v>
      </c>
      <c r="H799" s="25">
        <v>2019044</v>
      </c>
      <c r="I799" s="25" t="s">
        <v>19</v>
      </c>
      <c r="J799" s="25" t="s">
        <v>20</v>
      </c>
      <c r="K799" s="25" t="s">
        <v>25</v>
      </c>
      <c r="L799" s="25">
        <v>21.32</v>
      </c>
      <c r="M799" s="25">
        <v>3.06</v>
      </c>
      <c r="N799" s="25">
        <v>0</v>
      </c>
      <c r="O799" s="25">
        <v>50.08</v>
      </c>
      <c r="P799" s="25">
        <v>74.464200000000005</v>
      </c>
      <c r="Q799" s="25">
        <f t="shared" si="24"/>
        <v>0</v>
      </c>
      <c r="R799" s="25">
        <f t="shared" si="25"/>
        <v>83875.535799999998</v>
      </c>
    </row>
    <row r="800" spans="1:18" hidden="1" x14ac:dyDescent="0.25">
      <c r="A800" s="26">
        <v>43525</v>
      </c>
      <c r="B800" s="25" t="s">
        <v>480</v>
      </c>
      <c r="C800" s="25" t="s">
        <v>17</v>
      </c>
      <c r="D800" s="25">
        <v>3500</v>
      </c>
      <c r="E800" s="25">
        <v>85.8</v>
      </c>
      <c r="F800" s="25">
        <v>300300</v>
      </c>
      <c r="G800" s="25" t="s">
        <v>925</v>
      </c>
      <c r="H800" s="25">
        <v>2019044</v>
      </c>
      <c r="I800" s="25" t="s">
        <v>19</v>
      </c>
      <c r="J800" s="25" t="s">
        <v>20</v>
      </c>
      <c r="K800" s="25" t="s">
        <v>25</v>
      </c>
      <c r="L800" s="25">
        <v>0</v>
      </c>
      <c r="M800" s="25">
        <v>10.96</v>
      </c>
      <c r="N800" s="25">
        <v>0</v>
      </c>
      <c r="O800" s="25">
        <v>179.15</v>
      </c>
      <c r="P800" s="25">
        <v>190.11109999999999</v>
      </c>
      <c r="Q800" s="25">
        <f t="shared" si="24"/>
        <v>300490.11109999998</v>
      </c>
      <c r="R800" s="25">
        <f t="shared" si="25"/>
        <v>0</v>
      </c>
    </row>
    <row r="801" spans="1:18" hidden="1" x14ac:dyDescent="0.25">
      <c r="A801" s="26">
        <v>43525</v>
      </c>
      <c r="B801" s="25" t="s">
        <v>480</v>
      </c>
      <c r="C801" s="25" t="s">
        <v>23</v>
      </c>
      <c r="D801" s="25">
        <v>500</v>
      </c>
      <c r="E801" s="25">
        <v>84.76</v>
      </c>
      <c r="F801" s="25">
        <v>42381.7</v>
      </c>
      <c r="G801" s="25" t="s">
        <v>926</v>
      </c>
      <c r="H801" s="25">
        <v>2019044</v>
      </c>
      <c r="I801" s="25" t="s">
        <v>19</v>
      </c>
      <c r="J801" s="25" t="s">
        <v>20</v>
      </c>
      <c r="K801" s="25" t="s">
        <v>25</v>
      </c>
      <c r="L801" s="25">
        <v>11.03</v>
      </c>
      <c r="M801" s="25">
        <v>1.55</v>
      </c>
      <c r="N801" s="25">
        <v>18</v>
      </c>
      <c r="O801" s="25">
        <v>29.78</v>
      </c>
      <c r="P801" s="25">
        <v>60.356999999999999</v>
      </c>
      <c r="Q801" s="25">
        <f t="shared" si="24"/>
        <v>0</v>
      </c>
      <c r="R801" s="25">
        <f t="shared" si="25"/>
        <v>42321.342999999993</v>
      </c>
    </row>
    <row r="802" spans="1:18" hidden="1" x14ac:dyDescent="0.25">
      <c r="A802" s="26">
        <v>43525</v>
      </c>
      <c r="B802" s="25" t="s">
        <v>480</v>
      </c>
      <c r="C802" s="25" t="s">
        <v>23</v>
      </c>
      <c r="D802" s="25">
        <v>2000</v>
      </c>
      <c r="E802" s="25">
        <v>85.2</v>
      </c>
      <c r="F802" s="25">
        <v>170400</v>
      </c>
      <c r="G802" s="25" t="s">
        <v>927</v>
      </c>
      <c r="H802" s="25">
        <v>2019044</v>
      </c>
      <c r="I802" s="25" t="s">
        <v>19</v>
      </c>
      <c r="J802" s="25" t="s">
        <v>20</v>
      </c>
      <c r="K802" s="25" t="s">
        <v>25</v>
      </c>
      <c r="L802" s="25">
        <v>42.65</v>
      </c>
      <c r="M802" s="25">
        <v>6.22</v>
      </c>
      <c r="N802" s="25">
        <v>0</v>
      </c>
      <c r="O802" s="25">
        <v>101.66</v>
      </c>
      <c r="P802" s="25">
        <v>150.52959999999999</v>
      </c>
      <c r="Q802" s="25">
        <f t="shared" si="24"/>
        <v>0</v>
      </c>
      <c r="R802" s="25">
        <f t="shared" si="25"/>
        <v>170249.47039999999</v>
      </c>
    </row>
    <row r="803" spans="1:18" hidden="1" x14ac:dyDescent="0.25">
      <c r="A803" s="26">
        <v>43514</v>
      </c>
      <c r="B803" s="25" t="s">
        <v>205</v>
      </c>
      <c r="C803" s="25" t="s">
        <v>17</v>
      </c>
      <c r="D803" s="25">
        <v>100</v>
      </c>
      <c r="E803" s="25">
        <v>17.25</v>
      </c>
      <c r="F803" s="25">
        <v>1725</v>
      </c>
      <c r="G803" s="25" t="s">
        <v>928</v>
      </c>
      <c r="H803" s="25">
        <v>2019035</v>
      </c>
      <c r="I803" s="25" t="s">
        <v>19</v>
      </c>
      <c r="J803" s="25" t="s">
        <v>20</v>
      </c>
      <c r="K803" s="25" t="s">
        <v>25</v>
      </c>
      <c r="L803" s="25">
        <v>2</v>
      </c>
      <c r="M803" s="25">
        <v>0.06</v>
      </c>
      <c r="N803" s="25">
        <v>0.3</v>
      </c>
      <c r="O803" s="25">
        <v>41.31</v>
      </c>
      <c r="P803" s="25">
        <v>43.673000000000002</v>
      </c>
      <c r="Q803" s="25">
        <f t="shared" si="24"/>
        <v>1768.673</v>
      </c>
      <c r="R803" s="25">
        <f t="shared" si="25"/>
        <v>0</v>
      </c>
    </row>
    <row r="804" spans="1:18" hidden="1" x14ac:dyDescent="0.25">
      <c r="A804" s="26">
        <v>43501</v>
      </c>
      <c r="B804" s="25" t="s">
        <v>433</v>
      </c>
      <c r="C804" s="25" t="s">
        <v>17</v>
      </c>
      <c r="D804" s="25">
        <v>1000</v>
      </c>
      <c r="E804" s="25">
        <v>7.4</v>
      </c>
      <c r="F804" s="25">
        <v>7400</v>
      </c>
      <c r="G804" s="25" t="s">
        <v>929</v>
      </c>
      <c r="H804" s="25">
        <v>2019026</v>
      </c>
      <c r="I804" s="25" t="s">
        <v>19</v>
      </c>
      <c r="J804" s="25" t="s">
        <v>20</v>
      </c>
      <c r="K804" s="25" t="s">
        <v>25</v>
      </c>
      <c r="L804" s="25">
        <v>0</v>
      </c>
      <c r="M804" s="25">
        <v>0.27</v>
      </c>
      <c r="N804" s="25">
        <v>0</v>
      </c>
      <c r="O804" s="25">
        <v>29.55</v>
      </c>
      <c r="P804" s="25">
        <v>29.8201</v>
      </c>
      <c r="Q804" s="25">
        <f t="shared" si="24"/>
        <v>7429.8200999999999</v>
      </c>
      <c r="R804" s="25">
        <f t="shared" si="25"/>
        <v>0</v>
      </c>
    </row>
    <row r="805" spans="1:18" hidden="1" x14ac:dyDescent="0.25">
      <c r="A805" s="26">
        <v>43501</v>
      </c>
      <c r="B805" s="25" t="s">
        <v>433</v>
      </c>
      <c r="C805" s="25" t="s">
        <v>17</v>
      </c>
      <c r="D805" s="25">
        <v>1000</v>
      </c>
      <c r="E805" s="25">
        <v>6.75</v>
      </c>
      <c r="F805" s="25">
        <v>6750</v>
      </c>
      <c r="G805" s="25" t="s">
        <v>930</v>
      </c>
      <c r="H805" s="25">
        <v>2019026</v>
      </c>
      <c r="I805" s="25" t="s">
        <v>19</v>
      </c>
      <c r="J805" s="25" t="s">
        <v>20</v>
      </c>
      <c r="K805" s="25" t="s">
        <v>25</v>
      </c>
      <c r="L805" s="25">
        <v>0</v>
      </c>
      <c r="M805" s="25">
        <v>0.25</v>
      </c>
      <c r="N805" s="25">
        <v>0.9</v>
      </c>
      <c r="O805" s="25">
        <v>29.54</v>
      </c>
      <c r="P805" s="25">
        <v>30.686399999999999</v>
      </c>
      <c r="Q805" s="25">
        <f t="shared" si="24"/>
        <v>6780.6863999999996</v>
      </c>
      <c r="R805" s="25">
        <f t="shared" si="25"/>
        <v>0</v>
      </c>
    </row>
    <row r="806" spans="1:18" hidden="1" x14ac:dyDescent="0.25">
      <c r="A806" s="26">
        <v>43501</v>
      </c>
      <c r="B806" s="25" t="s">
        <v>433</v>
      </c>
      <c r="C806" s="25" t="s">
        <v>23</v>
      </c>
      <c r="D806" s="25">
        <v>179</v>
      </c>
      <c r="E806" s="25">
        <v>6.3</v>
      </c>
      <c r="F806" s="25">
        <v>1127.7</v>
      </c>
      <c r="G806" s="25" t="s">
        <v>931</v>
      </c>
      <c r="H806" s="25">
        <v>2019026</v>
      </c>
      <c r="I806" s="25" t="s">
        <v>19</v>
      </c>
      <c r="J806" s="25" t="s">
        <v>20</v>
      </c>
      <c r="K806" s="25" t="s">
        <v>25</v>
      </c>
      <c r="L806" s="25">
        <v>0.28000000000000003</v>
      </c>
      <c r="M806" s="25">
        <v>0.04</v>
      </c>
      <c r="N806" s="25">
        <v>0</v>
      </c>
      <c r="O806" s="25">
        <v>29.51</v>
      </c>
      <c r="P806" s="25">
        <v>29.831199999999999</v>
      </c>
      <c r="Q806" s="25">
        <f t="shared" si="24"/>
        <v>0</v>
      </c>
      <c r="R806" s="25">
        <f t="shared" si="25"/>
        <v>1097.8688</v>
      </c>
    </row>
    <row r="807" spans="1:18" hidden="1" x14ac:dyDescent="0.25">
      <c r="A807" s="26">
        <v>43501</v>
      </c>
      <c r="B807" s="25" t="s">
        <v>433</v>
      </c>
      <c r="C807" s="25" t="s">
        <v>23</v>
      </c>
      <c r="D807" s="25">
        <v>164</v>
      </c>
      <c r="E807" s="25">
        <v>5.6</v>
      </c>
      <c r="F807" s="25">
        <v>918.4</v>
      </c>
      <c r="G807" s="25" t="s">
        <v>932</v>
      </c>
      <c r="H807" s="25">
        <v>2019026</v>
      </c>
      <c r="I807" s="25" t="s">
        <v>19</v>
      </c>
      <c r="J807" s="25" t="s">
        <v>20</v>
      </c>
      <c r="K807" s="25" t="s">
        <v>25</v>
      </c>
      <c r="L807" s="25">
        <v>0.26</v>
      </c>
      <c r="M807" s="25">
        <v>0.03</v>
      </c>
      <c r="N807" s="25">
        <v>0</v>
      </c>
      <c r="O807" s="25">
        <v>27.1</v>
      </c>
      <c r="P807" s="25">
        <v>27.3935</v>
      </c>
      <c r="Q807" s="25">
        <f t="shared" si="24"/>
        <v>0</v>
      </c>
      <c r="R807" s="25">
        <f t="shared" si="25"/>
        <v>891.00649999999996</v>
      </c>
    </row>
    <row r="808" spans="1:18" hidden="1" x14ac:dyDescent="0.25">
      <c r="A808" s="26">
        <v>43501</v>
      </c>
      <c r="B808" s="25" t="s">
        <v>433</v>
      </c>
      <c r="C808" s="25" t="s">
        <v>23</v>
      </c>
      <c r="D808" s="25">
        <v>1657</v>
      </c>
      <c r="E808" s="25">
        <v>5.5</v>
      </c>
      <c r="F808" s="25">
        <v>9113.5</v>
      </c>
      <c r="G808" s="25" t="s">
        <v>933</v>
      </c>
      <c r="H808" s="25">
        <v>2019026</v>
      </c>
      <c r="I808" s="25" t="s">
        <v>19</v>
      </c>
      <c r="J808" s="25" t="s">
        <v>20</v>
      </c>
      <c r="K808" s="25" t="s">
        <v>25</v>
      </c>
      <c r="L808" s="25">
        <v>2.46</v>
      </c>
      <c r="M808" s="25">
        <v>0.33</v>
      </c>
      <c r="N808" s="25">
        <v>0</v>
      </c>
      <c r="O808" s="25">
        <v>29.56</v>
      </c>
      <c r="P808" s="25">
        <v>32.352699999999999</v>
      </c>
      <c r="Q808" s="25">
        <f t="shared" si="24"/>
        <v>0</v>
      </c>
      <c r="R808" s="25">
        <f t="shared" si="25"/>
        <v>9081.1473000000005</v>
      </c>
    </row>
    <row r="809" spans="1:18" hidden="1" x14ac:dyDescent="0.25">
      <c r="A809" s="26">
        <v>43500</v>
      </c>
      <c r="B809" s="25" t="s">
        <v>665</v>
      </c>
      <c r="C809" s="25" t="s">
        <v>23</v>
      </c>
      <c r="D809" s="25">
        <v>100</v>
      </c>
      <c r="E809" s="25">
        <v>102.05</v>
      </c>
      <c r="F809" s="25">
        <v>10205</v>
      </c>
      <c r="G809" s="25" t="s">
        <v>934</v>
      </c>
      <c r="H809" s="25">
        <v>2019025</v>
      </c>
      <c r="I809" s="25" t="s">
        <v>19</v>
      </c>
      <c r="J809" s="25" t="s">
        <v>20</v>
      </c>
      <c r="K809" s="25" t="s">
        <v>25</v>
      </c>
      <c r="L809" s="25">
        <v>3.09</v>
      </c>
      <c r="M809" s="25">
        <v>0.31</v>
      </c>
      <c r="N809" s="25">
        <v>4.8</v>
      </c>
      <c r="O809" s="25">
        <v>29.56</v>
      </c>
      <c r="P809" s="25">
        <v>37.756100000000004</v>
      </c>
      <c r="Q809" s="25">
        <f t="shared" si="24"/>
        <v>0</v>
      </c>
      <c r="R809" s="25">
        <f t="shared" si="25"/>
        <v>10167.243899999999</v>
      </c>
    </row>
    <row r="810" spans="1:18" hidden="1" x14ac:dyDescent="0.25">
      <c r="A810" s="26">
        <v>43500</v>
      </c>
      <c r="B810" s="25" t="s">
        <v>665</v>
      </c>
      <c r="C810" s="25" t="s">
        <v>23</v>
      </c>
      <c r="D810" s="25">
        <v>250</v>
      </c>
      <c r="E810" s="25">
        <v>105.85</v>
      </c>
      <c r="F810" s="25">
        <v>26462.5</v>
      </c>
      <c r="G810" s="25" t="s">
        <v>935</v>
      </c>
      <c r="H810" s="25">
        <v>2019025</v>
      </c>
      <c r="I810" s="25" t="s">
        <v>19</v>
      </c>
      <c r="J810" s="25" t="s">
        <v>20</v>
      </c>
      <c r="K810" s="25" t="s">
        <v>25</v>
      </c>
      <c r="L810" s="25">
        <v>7.04</v>
      </c>
      <c r="M810" s="25">
        <v>0.79</v>
      </c>
      <c r="N810" s="25">
        <v>0</v>
      </c>
      <c r="O810" s="25">
        <v>29.64</v>
      </c>
      <c r="P810" s="25">
        <v>37.4739</v>
      </c>
      <c r="Q810" s="25">
        <f t="shared" si="24"/>
        <v>0</v>
      </c>
      <c r="R810" s="25">
        <f t="shared" si="25"/>
        <v>26425.026099999999</v>
      </c>
    </row>
    <row r="811" spans="1:18" hidden="1" x14ac:dyDescent="0.25">
      <c r="A811" s="26">
        <v>43500</v>
      </c>
      <c r="B811" s="25" t="s">
        <v>665</v>
      </c>
      <c r="C811" s="25" t="s">
        <v>17</v>
      </c>
      <c r="D811" s="25">
        <v>116</v>
      </c>
      <c r="E811" s="25">
        <v>115.71</v>
      </c>
      <c r="F811" s="25">
        <v>13422.5</v>
      </c>
      <c r="G811" s="25" t="s">
        <v>936</v>
      </c>
      <c r="H811" s="25">
        <v>2019025</v>
      </c>
      <c r="I811" s="25" t="s">
        <v>19</v>
      </c>
      <c r="J811" s="25" t="s">
        <v>20</v>
      </c>
      <c r="K811" s="25" t="s">
        <v>25</v>
      </c>
      <c r="L811" s="25">
        <v>0</v>
      </c>
      <c r="M811" s="25">
        <v>0.4</v>
      </c>
      <c r="N811" s="25">
        <v>0</v>
      </c>
      <c r="O811" s="25">
        <v>29.57</v>
      </c>
      <c r="P811" s="25">
        <v>29.972799999999999</v>
      </c>
      <c r="Q811" s="25">
        <f t="shared" si="24"/>
        <v>13452.4728</v>
      </c>
      <c r="R811" s="25">
        <f t="shared" si="25"/>
        <v>0</v>
      </c>
    </row>
    <row r="812" spans="1:18" hidden="1" x14ac:dyDescent="0.25">
      <c r="A812" s="26">
        <v>43500</v>
      </c>
      <c r="B812" s="25" t="s">
        <v>665</v>
      </c>
      <c r="C812" s="25" t="s">
        <v>17</v>
      </c>
      <c r="D812" s="25">
        <v>234</v>
      </c>
      <c r="E812" s="25">
        <v>115.9</v>
      </c>
      <c r="F812" s="25">
        <v>27121.7</v>
      </c>
      <c r="G812" s="25" t="s">
        <v>937</v>
      </c>
      <c r="H812" s="25">
        <v>2019025</v>
      </c>
      <c r="I812" s="25" t="s">
        <v>19</v>
      </c>
      <c r="J812" s="25" t="s">
        <v>20</v>
      </c>
      <c r="K812" s="25" t="s">
        <v>25</v>
      </c>
      <c r="L812" s="25">
        <v>0</v>
      </c>
      <c r="M812" s="25">
        <v>0.81</v>
      </c>
      <c r="N812" s="25">
        <v>0</v>
      </c>
      <c r="O812" s="25">
        <v>29.65</v>
      </c>
      <c r="P812" s="25">
        <v>30.4636</v>
      </c>
      <c r="Q812" s="25">
        <f t="shared" si="24"/>
        <v>27152.1636</v>
      </c>
      <c r="R812" s="25">
        <f t="shared" si="25"/>
        <v>0</v>
      </c>
    </row>
    <row r="813" spans="1:18" hidden="1" x14ac:dyDescent="0.25">
      <c r="A813" s="26">
        <v>43500</v>
      </c>
      <c r="B813" s="25" t="s">
        <v>665</v>
      </c>
      <c r="C813" s="25" t="s">
        <v>23</v>
      </c>
      <c r="D813" s="25">
        <v>350</v>
      </c>
      <c r="E813" s="25">
        <v>114.61</v>
      </c>
      <c r="F813" s="25">
        <v>40114.699999999997</v>
      </c>
      <c r="G813" s="25" t="s">
        <v>938</v>
      </c>
      <c r="H813" s="25">
        <v>2019025</v>
      </c>
      <c r="I813" s="25" t="s">
        <v>19</v>
      </c>
      <c r="J813" s="25" t="s">
        <v>20</v>
      </c>
      <c r="K813" s="25" t="s">
        <v>25</v>
      </c>
      <c r="L813" s="25">
        <v>9.86</v>
      </c>
      <c r="M813" s="25">
        <v>1.2</v>
      </c>
      <c r="N813" s="25">
        <v>0</v>
      </c>
      <c r="O813" s="25">
        <v>29.72</v>
      </c>
      <c r="P813" s="25">
        <v>40.783499999999997</v>
      </c>
      <c r="Q813" s="25">
        <f t="shared" si="24"/>
        <v>0</v>
      </c>
      <c r="R813" s="25">
        <f t="shared" si="25"/>
        <v>40073.916499999999</v>
      </c>
    </row>
    <row r="814" spans="1:18" hidden="1" x14ac:dyDescent="0.25">
      <c r="A814" s="26">
        <v>43500</v>
      </c>
      <c r="B814" s="25" t="s">
        <v>665</v>
      </c>
      <c r="C814" s="25" t="s">
        <v>17</v>
      </c>
      <c r="D814" s="25">
        <v>350</v>
      </c>
      <c r="E814" s="25">
        <v>115.65</v>
      </c>
      <c r="F814" s="25">
        <v>40477.5</v>
      </c>
      <c r="G814" s="25" t="s">
        <v>939</v>
      </c>
      <c r="H814" s="25">
        <v>2019025</v>
      </c>
      <c r="I814" s="25" t="s">
        <v>19</v>
      </c>
      <c r="J814" s="25" t="s">
        <v>20</v>
      </c>
      <c r="K814" s="25" t="s">
        <v>25</v>
      </c>
      <c r="L814" s="25">
        <v>0</v>
      </c>
      <c r="M814" s="25">
        <v>1.21</v>
      </c>
      <c r="N814" s="25">
        <v>0</v>
      </c>
      <c r="O814" s="25">
        <v>29.72</v>
      </c>
      <c r="P814" s="25">
        <v>30.9343</v>
      </c>
      <c r="Q814" s="25">
        <f t="shared" si="24"/>
        <v>40508.434300000001</v>
      </c>
      <c r="R814" s="25">
        <f t="shared" si="25"/>
        <v>0</v>
      </c>
    </row>
    <row r="815" spans="1:18" hidden="1" x14ac:dyDescent="0.25">
      <c r="A815" s="26">
        <v>43497</v>
      </c>
      <c r="B815" s="25" t="s">
        <v>871</v>
      </c>
      <c r="C815" s="25" t="s">
        <v>17</v>
      </c>
      <c r="D815" s="25">
        <v>100</v>
      </c>
      <c r="E815" s="25">
        <v>163.5</v>
      </c>
      <c r="F815" s="25">
        <v>16350</v>
      </c>
      <c r="G815" s="25" t="s">
        <v>940</v>
      </c>
      <c r="H815" s="25">
        <v>2019024</v>
      </c>
      <c r="I815" s="25" t="s">
        <v>19</v>
      </c>
      <c r="J815" s="25" t="s">
        <v>20</v>
      </c>
      <c r="K815" s="25" t="s">
        <v>25</v>
      </c>
      <c r="L815" s="25">
        <v>0</v>
      </c>
      <c r="M815" s="25">
        <v>0.49</v>
      </c>
      <c r="N815" s="25">
        <v>0</v>
      </c>
      <c r="O815" s="25">
        <v>29.59</v>
      </c>
      <c r="P815" s="25">
        <v>30.080500000000001</v>
      </c>
      <c r="Q815" s="25">
        <f t="shared" si="24"/>
        <v>16380.0805</v>
      </c>
      <c r="R815" s="25">
        <f t="shared" si="25"/>
        <v>0</v>
      </c>
    </row>
    <row r="816" spans="1:18" hidden="1" x14ac:dyDescent="0.25">
      <c r="A816" s="26">
        <v>43497</v>
      </c>
      <c r="B816" s="25" t="s">
        <v>871</v>
      </c>
      <c r="C816" s="25" t="s">
        <v>17</v>
      </c>
      <c r="D816" s="25">
        <v>150</v>
      </c>
      <c r="E816" s="25">
        <v>160.5</v>
      </c>
      <c r="F816" s="25">
        <v>24075</v>
      </c>
      <c r="G816" s="25" t="s">
        <v>941</v>
      </c>
      <c r="H816" s="25">
        <v>2019024</v>
      </c>
      <c r="I816" s="25" t="s">
        <v>19</v>
      </c>
      <c r="J816" s="25" t="s">
        <v>20</v>
      </c>
      <c r="K816" s="25" t="s">
        <v>25</v>
      </c>
      <c r="L816" s="25">
        <v>0</v>
      </c>
      <c r="M816" s="25">
        <v>0.72</v>
      </c>
      <c r="N816" s="25">
        <v>2.7</v>
      </c>
      <c r="O816" s="25">
        <v>29.63</v>
      </c>
      <c r="P816" s="25">
        <v>33.052199999999999</v>
      </c>
      <c r="Q816" s="25">
        <f t="shared" si="24"/>
        <v>24108.052199999998</v>
      </c>
      <c r="R816" s="25">
        <f t="shared" si="25"/>
        <v>0</v>
      </c>
    </row>
    <row r="817" spans="1:18" hidden="1" x14ac:dyDescent="0.25">
      <c r="A817" s="26">
        <v>43497</v>
      </c>
      <c r="B817" s="25" t="s">
        <v>871</v>
      </c>
      <c r="C817" s="25" t="s">
        <v>23</v>
      </c>
      <c r="D817" s="25">
        <v>250</v>
      </c>
      <c r="E817" s="25">
        <v>165</v>
      </c>
      <c r="F817" s="25">
        <v>41250</v>
      </c>
      <c r="G817" s="25" t="s">
        <v>942</v>
      </c>
      <c r="H817" s="25">
        <v>2019024</v>
      </c>
      <c r="I817" s="25" t="s">
        <v>19</v>
      </c>
      <c r="J817" s="25" t="s">
        <v>20</v>
      </c>
      <c r="K817" s="25" t="s">
        <v>25</v>
      </c>
      <c r="L817" s="25">
        <v>10</v>
      </c>
      <c r="M817" s="25">
        <v>1.24</v>
      </c>
      <c r="N817" s="25">
        <v>0</v>
      </c>
      <c r="O817" s="25">
        <v>29.72</v>
      </c>
      <c r="P817" s="25">
        <v>40.957500000000003</v>
      </c>
      <c r="Q817" s="25">
        <f t="shared" si="24"/>
        <v>0</v>
      </c>
      <c r="R817" s="25">
        <f t="shared" si="25"/>
        <v>41209.042500000003</v>
      </c>
    </row>
    <row r="818" spans="1:18" hidden="1" x14ac:dyDescent="0.25">
      <c r="A818" s="26">
        <v>43488</v>
      </c>
      <c r="B818" s="25" t="s">
        <v>111</v>
      </c>
      <c r="C818" s="25" t="s">
        <v>23</v>
      </c>
      <c r="D818" s="25">
        <v>50</v>
      </c>
      <c r="E818" s="25">
        <v>417.85</v>
      </c>
      <c r="F818" s="25">
        <v>20892.5</v>
      </c>
      <c r="G818" s="25" t="s">
        <v>834</v>
      </c>
      <c r="H818" s="25">
        <v>2019017</v>
      </c>
      <c r="I818" s="25" t="s">
        <v>19</v>
      </c>
      <c r="J818" s="25" t="s">
        <v>20</v>
      </c>
      <c r="K818" s="25" t="s">
        <v>25</v>
      </c>
      <c r="L818" s="25">
        <v>5.26</v>
      </c>
      <c r="M818" s="25">
        <v>0.63</v>
      </c>
      <c r="N818" s="25">
        <v>0</v>
      </c>
      <c r="O818" s="25">
        <v>29.61</v>
      </c>
      <c r="P818" s="25">
        <v>35.496699999999997</v>
      </c>
      <c r="Q818" s="25">
        <f t="shared" si="24"/>
        <v>0</v>
      </c>
      <c r="R818" s="25">
        <f t="shared" si="25"/>
        <v>20857.0033</v>
      </c>
    </row>
    <row r="819" spans="1:18" hidden="1" x14ac:dyDescent="0.25">
      <c r="A819" s="26">
        <v>43488</v>
      </c>
      <c r="B819" s="25" t="s">
        <v>111</v>
      </c>
      <c r="C819" s="25" t="s">
        <v>23</v>
      </c>
      <c r="D819" s="25">
        <v>50</v>
      </c>
      <c r="E819" s="25">
        <v>416.05</v>
      </c>
      <c r="F819" s="25">
        <v>20802.5</v>
      </c>
      <c r="G819" s="25" t="s">
        <v>835</v>
      </c>
      <c r="H819" s="25">
        <v>2019017</v>
      </c>
      <c r="I819" s="25" t="s">
        <v>19</v>
      </c>
      <c r="J819" s="25" t="s">
        <v>20</v>
      </c>
      <c r="K819" s="25" t="s">
        <v>25</v>
      </c>
      <c r="L819" s="25">
        <v>5.26</v>
      </c>
      <c r="M819" s="25">
        <v>0.62</v>
      </c>
      <c r="N819" s="25">
        <v>0</v>
      </c>
      <c r="O819" s="25">
        <v>29.61</v>
      </c>
      <c r="P819" s="25">
        <v>35.494100000000003</v>
      </c>
      <c r="Q819" s="25">
        <f t="shared" si="24"/>
        <v>0</v>
      </c>
      <c r="R819" s="25">
        <f t="shared" si="25"/>
        <v>20767.0059</v>
      </c>
    </row>
    <row r="820" spans="1:18" hidden="1" x14ac:dyDescent="0.25">
      <c r="A820" s="26">
        <v>43488</v>
      </c>
      <c r="B820" s="25" t="s">
        <v>111</v>
      </c>
      <c r="C820" s="25" t="s">
        <v>17</v>
      </c>
      <c r="D820" s="25">
        <v>700</v>
      </c>
      <c r="E820" s="25">
        <v>425.5</v>
      </c>
      <c r="F820" s="25">
        <v>297849</v>
      </c>
      <c r="G820" s="25" t="s">
        <v>836</v>
      </c>
      <c r="H820" s="25">
        <v>2019017</v>
      </c>
      <c r="I820" s="25" t="s">
        <v>19</v>
      </c>
      <c r="J820" s="25" t="s">
        <v>20</v>
      </c>
      <c r="K820" s="25" t="s">
        <v>25</v>
      </c>
      <c r="L820" s="25">
        <v>0</v>
      </c>
      <c r="M820" s="25">
        <v>8.94</v>
      </c>
      <c r="N820" s="25">
        <v>0</v>
      </c>
      <c r="O820" s="25">
        <v>177.34</v>
      </c>
      <c r="P820" s="25">
        <v>186.27549999999999</v>
      </c>
      <c r="Q820" s="25">
        <f t="shared" si="24"/>
        <v>298035.27549999999</v>
      </c>
      <c r="R820" s="25">
        <f t="shared" si="25"/>
        <v>0</v>
      </c>
    </row>
    <row r="821" spans="1:18" hidden="1" x14ac:dyDescent="0.25">
      <c r="A821" s="26">
        <v>43488</v>
      </c>
      <c r="B821" s="25" t="s">
        <v>111</v>
      </c>
      <c r="C821" s="25" t="s">
        <v>23</v>
      </c>
      <c r="D821" s="25">
        <v>400</v>
      </c>
      <c r="E821" s="25">
        <v>413.3</v>
      </c>
      <c r="F821" s="25">
        <v>165318.9</v>
      </c>
      <c r="G821" s="25" t="s">
        <v>837</v>
      </c>
      <c r="H821" s="25">
        <v>2019017</v>
      </c>
      <c r="I821" s="25" t="s">
        <v>19</v>
      </c>
      <c r="J821" s="25" t="s">
        <v>20</v>
      </c>
      <c r="K821" s="25" t="s">
        <v>25</v>
      </c>
      <c r="L821" s="25">
        <v>42.46</v>
      </c>
      <c r="M821" s="25">
        <v>4.96</v>
      </c>
      <c r="N821" s="25">
        <v>17.7</v>
      </c>
      <c r="O821" s="25">
        <v>98.43</v>
      </c>
      <c r="P821" s="25">
        <v>163.54949999999999</v>
      </c>
      <c r="Q821" s="25">
        <f t="shared" si="24"/>
        <v>0</v>
      </c>
      <c r="R821" s="25">
        <f t="shared" si="25"/>
        <v>165155.3505</v>
      </c>
    </row>
    <row r="822" spans="1:18" hidden="1" x14ac:dyDescent="0.25">
      <c r="A822" s="26">
        <v>43488</v>
      </c>
      <c r="B822" s="25" t="s">
        <v>111</v>
      </c>
      <c r="C822" s="25" t="s">
        <v>23</v>
      </c>
      <c r="D822" s="25">
        <v>200</v>
      </c>
      <c r="E822" s="25">
        <v>419.6</v>
      </c>
      <c r="F822" s="25">
        <v>83920.05</v>
      </c>
      <c r="G822" s="25" t="s">
        <v>838</v>
      </c>
      <c r="H822" s="25">
        <v>2019017</v>
      </c>
      <c r="I822" s="25" t="s">
        <v>19</v>
      </c>
      <c r="J822" s="25" t="s">
        <v>20</v>
      </c>
      <c r="K822" s="25" t="s">
        <v>25</v>
      </c>
      <c r="L822" s="25">
        <v>21.03</v>
      </c>
      <c r="M822" s="25">
        <v>2.52</v>
      </c>
      <c r="N822" s="25">
        <v>0</v>
      </c>
      <c r="O822" s="25">
        <v>49.97</v>
      </c>
      <c r="P822" s="25">
        <v>73.517700000000005</v>
      </c>
      <c r="Q822" s="25">
        <f t="shared" si="24"/>
        <v>0</v>
      </c>
      <c r="R822" s="25">
        <f t="shared" si="25"/>
        <v>83846.532300000006</v>
      </c>
    </row>
    <row r="823" spans="1:18" hidden="1" x14ac:dyDescent="0.25">
      <c r="A823" s="26">
        <v>43487</v>
      </c>
      <c r="B823" s="25" t="s">
        <v>80</v>
      </c>
      <c r="C823" s="25" t="s">
        <v>23</v>
      </c>
      <c r="D823" s="25">
        <v>100</v>
      </c>
      <c r="E823" s="25">
        <v>181.75</v>
      </c>
      <c r="F823" s="25">
        <v>18175</v>
      </c>
      <c r="G823" s="25" t="s">
        <v>839</v>
      </c>
      <c r="H823" s="25">
        <v>2019016</v>
      </c>
      <c r="I823" s="25" t="s">
        <v>19</v>
      </c>
      <c r="J823" s="25" t="s">
        <v>20</v>
      </c>
      <c r="K823" s="25" t="s">
        <v>25</v>
      </c>
      <c r="L823" s="25">
        <v>4.8600000000000003</v>
      </c>
      <c r="M823" s="25">
        <v>0.55000000000000004</v>
      </c>
      <c r="N823" s="25">
        <v>2.4</v>
      </c>
      <c r="O823" s="25">
        <v>29.6</v>
      </c>
      <c r="P823" s="25">
        <v>37.405299999999997</v>
      </c>
      <c r="Q823" s="25">
        <f t="shared" si="24"/>
        <v>0</v>
      </c>
      <c r="R823" s="25">
        <f t="shared" si="25"/>
        <v>18137.594700000001</v>
      </c>
    </row>
    <row r="824" spans="1:18" hidden="1" x14ac:dyDescent="0.25">
      <c r="A824" s="26">
        <v>43487</v>
      </c>
      <c r="B824" s="25" t="s">
        <v>80</v>
      </c>
      <c r="C824" s="25" t="s">
        <v>17</v>
      </c>
      <c r="D824" s="25">
        <v>200</v>
      </c>
      <c r="E824" s="25">
        <v>181</v>
      </c>
      <c r="F824" s="25">
        <v>36200</v>
      </c>
      <c r="G824" s="25" t="s">
        <v>840</v>
      </c>
      <c r="H824" s="25">
        <v>2019016</v>
      </c>
      <c r="I824" s="25" t="s">
        <v>19</v>
      </c>
      <c r="J824" s="25" t="s">
        <v>20</v>
      </c>
      <c r="K824" s="25" t="s">
        <v>25</v>
      </c>
      <c r="L824" s="25">
        <v>0</v>
      </c>
      <c r="M824" s="25">
        <v>1.0900000000000001</v>
      </c>
      <c r="N824" s="25">
        <v>0</v>
      </c>
      <c r="O824" s="25">
        <v>29.7</v>
      </c>
      <c r="P824" s="25">
        <v>30.786000000000001</v>
      </c>
      <c r="Q824" s="25">
        <f t="shared" si="24"/>
        <v>36230.786</v>
      </c>
      <c r="R824" s="25">
        <f t="shared" si="25"/>
        <v>0</v>
      </c>
    </row>
    <row r="825" spans="1:18" hidden="1" x14ac:dyDescent="0.25">
      <c r="A825" s="26">
        <v>43487</v>
      </c>
      <c r="B825" s="25" t="s">
        <v>80</v>
      </c>
      <c r="C825" s="25" t="s">
        <v>23</v>
      </c>
      <c r="D825" s="25">
        <v>100</v>
      </c>
      <c r="E825" s="25">
        <v>186</v>
      </c>
      <c r="F825" s="25">
        <v>18600</v>
      </c>
      <c r="G825" s="25" t="s">
        <v>841</v>
      </c>
      <c r="H825" s="25">
        <v>2019016</v>
      </c>
      <c r="I825" s="25" t="s">
        <v>19</v>
      </c>
      <c r="J825" s="25" t="s">
        <v>20</v>
      </c>
      <c r="K825" s="25" t="s">
        <v>25</v>
      </c>
      <c r="L825" s="25">
        <v>4.5599999999999996</v>
      </c>
      <c r="M825" s="25">
        <v>0.56000000000000005</v>
      </c>
      <c r="N825" s="25">
        <v>0</v>
      </c>
      <c r="O825" s="25">
        <v>29.6</v>
      </c>
      <c r="P825" s="25">
        <v>34.718000000000004</v>
      </c>
      <c r="Q825" s="25">
        <f t="shared" si="24"/>
        <v>0</v>
      </c>
      <c r="R825" s="25">
        <f t="shared" si="25"/>
        <v>18565.281999999999</v>
      </c>
    </row>
    <row r="826" spans="1:18" hidden="1" x14ac:dyDescent="0.25">
      <c r="A826" s="26">
        <v>43487</v>
      </c>
      <c r="B826" s="25" t="s">
        <v>205</v>
      </c>
      <c r="C826" s="25" t="s">
        <v>17</v>
      </c>
      <c r="D826" s="25">
        <v>25</v>
      </c>
      <c r="E826" s="25">
        <v>23.15</v>
      </c>
      <c r="F826" s="25">
        <v>578.75</v>
      </c>
      <c r="G826" s="25" t="s">
        <v>842</v>
      </c>
      <c r="H826" s="25">
        <v>2019016</v>
      </c>
      <c r="I826" s="25" t="s">
        <v>19</v>
      </c>
      <c r="J826" s="25" t="s">
        <v>20</v>
      </c>
      <c r="K826" s="25" t="s">
        <v>25</v>
      </c>
      <c r="L826" s="25">
        <v>0.57999999999999996</v>
      </c>
      <c r="M826" s="25">
        <v>0.02</v>
      </c>
      <c r="N826" s="25">
        <v>0</v>
      </c>
      <c r="O826" s="25">
        <v>17.079999999999998</v>
      </c>
      <c r="P826" s="25">
        <v>17.677399999999999</v>
      </c>
      <c r="Q826" s="25">
        <f t="shared" si="24"/>
        <v>596.42740000000003</v>
      </c>
      <c r="R826" s="25">
        <f t="shared" si="25"/>
        <v>0</v>
      </c>
    </row>
    <row r="827" spans="1:18" hidden="1" x14ac:dyDescent="0.25">
      <c r="A827" s="26">
        <v>43486</v>
      </c>
      <c r="B827" s="25" t="s">
        <v>800</v>
      </c>
      <c r="C827" s="25" t="s">
        <v>17</v>
      </c>
      <c r="D827" s="25">
        <v>100</v>
      </c>
      <c r="E827" s="25">
        <v>338.5</v>
      </c>
      <c r="F827" s="25">
        <v>33850</v>
      </c>
      <c r="G827" s="25" t="s">
        <v>843</v>
      </c>
      <c r="H827" s="25">
        <v>2019015</v>
      </c>
      <c r="I827" s="25" t="s">
        <v>19</v>
      </c>
      <c r="J827" s="25" t="s">
        <v>20</v>
      </c>
      <c r="K827" s="25" t="s">
        <v>25</v>
      </c>
      <c r="L827" s="25">
        <v>0</v>
      </c>
      <c r="M827" s="25">
        <v>1.02</v>
      </c>
      <c r="N827" s="25">
        <v>0</v>
      </c>
      <c r="O827" s="25">
        <v>29.68</v>
      </c>
      <c r="P827" s="25">
        <v>30.695499999999999</v>
      </c>
      <c r="Q827" s="25">
        <f t="shared" si="24"/>
        <v>33880.695500000002</v>
      </c>
      <c r="R827" s="25">
        <f t="shared" si="25"/>
        <v>0</v>
      </c>
    </row>
    <row r="828" spans="1:18" hidden="1" x14ac:dyDescent="0.25">
      <c r="A828" s="26">
        <v>43486</v>
      </c>
      <c r="B828" s="25" t="s">
        <v>800</v>
      </c>
      <c r="C828" s="25" t="s">
        <v>23</v>
      </c>
      <c r="D828" s="25">
        <v>100</v>
      </c>
      <c r="E828" s="25">
        <v>343</v>
      </c>
      <c r="F828" s="25">
        <v>34300</v>
      </c>
      <c r="G828" s="25" t="s">
        <v>844</v>
      </c>
      <c r="H828" s="25">
        <v>2019015</v>
      </c>
      <c r="I828" s="25" t="s">
        <v>19</v>
      </c>
      <c r="J828" s="25" t="s">
        <v>20</v>
      </c>
      <c r="K828" s="25" t="s">
        <v>25</v>
      </c>
      <c r="L828" s="25">
        <v>8.99</v>
      </c>
      <c r="M828" s="25">
        <v>1.03</v>
      </c>
      <c r="N828" s="25">
        <v>4.5</v>
      </c>
      <c r="O828" s="25">
        <v>29.69</v>
      </c>
      <c r="P828" s="25">
        <v>44.209099999999999</v>
      </c>
      <c r="Q828" s="25">
        <f t="shared" si="24"/>
        <v>0</v>
      </c>
      <c r="R828" s="25">
        <f t="shared" si="25"/>
        <v>34255.7909</v>
      </c>
    </row>
    <row r="829" spans="1:18" hidden="1" x14ac:dyDescent="0.25">
      <c r="A829" s="26">
        <v>43486</v>
      </c>
      <c r="B829" s="25" t="s">
        <v>111</v>
      </c>
      <c r="C829" s="25" t="s">
        <v>23</v>
      </c>
      <c r="D829" s="25">
        <v>100</v>
      </c>
      <c r="E829" s="25">
        <v>401</v>
      </c>
      <c r="F829" s="25">
        <v>40100</v>
      </c>
      <c r="G829" s="25" t="s">
        <v>845</v>
      </c>
      <c r="H829" s="25">
        <v>2019015</v>
      </c>
      <c r="I829" s="25" t="s">
        <v>19</v>
      </c>
      <c r="J829" s="25" t="s">
        <v>20</v>
      </c>
      <c r="K829" s="25" t="s">
        <v>25</v>
      </c>
      <c r="L829" s="25">
        <v>10.02</v>
      </c>
      <c r="M829" s="25">
        <v>1.2</v>
      </c>
      <c r="N829" s="25">
        <v>0</v>
      </c>
      <c r="O829" s="25">
        <v>29.72</v>
      </c>
      <c r="P829" s="25">
        <v>40.943100000000001</v>
      </c>
      <c r="Q829" s="25">
        <f t="shared" si="24"/>
        <v>0</v>
      </c>
      <c r="R829" s="25">
        <f t="shared" si="25"/>
        <v>40059.056900000003</v>
      </c>
    </row>
    <row r="830" spans="1:18" hidden="1" x14ac:dyDescent="0.25">
      <c r="A830" s="26">
        <v>43486</v>
      </c>
      <c r="B830" s="25" t="s">
        <v>111</v>
      </c>
      <c r="C830" s="25" t="s">
        <v>17</v>
      </c>
      <c r="D830" s="25">
        <v>100</v>
      </c>
      <c r="E830" s="25">
        <v>400.2</v>
      </c>
      <c r="F830" s="25">
        <v>40020</v>
      </c>
      <c r="G830" s="25" t="s">
        <v>846</v>
      </c>
      <c r="H830" s="25">
        <v>2019015</v>
      </c>
      <c r="I830" s="25" t="s">
        <v>19</v>
      </c>
      <c r="J830" s="25" t="s">
        <v>20</v>
      </c>
      <c r="K830" s="25" t="s">
        <v>25</v>
      </c>
      <c r="L830" s="25">
        <v>0</v>
      </c>
      <c r="M830" s="25">
        <v>1.2</v>
      </c>
      <c r="N830" s="25">
        <v>0</v>
      </c>
      <c r="O830" s="25">
        <v>29.72</v>
      </c>
      <c r="P830" s="25">
        <v>30.9206</v>
      </c>
      <c r="Q830" s="25">
        <f t="shared" si="24"/>
        <v>40050.920599999998</v>
      </c>
      <c r="R830" s="25">
        <f t="shared" si="25"/>
        <v>0</v>
      </c>
    </row>
    <row r="831" spans="1:18" hidden="1" x14ac:dyDescent="0.25">
      <c r="A831" s="26">
        <v>43483</v>
      </c>
      <c r="B831" s="25" t="s">
        <v>480</v>
      </c>
      <c r="C831" s="25" t="s">
        <v>23</v>
      </c>
      <c r="D831" s="25">
        <v>1000</v>
      </c>
      <c r="E831" s="25">
        <v>90.65</v>
      </c>
      <c r="F831" s="25">
        <v>90650</v>
      </c>
      <c r="G831" s="25" t="s">
        <v>847</v>
      </c>
      <c r="H831" s="25">
        <v>2019014</v>
      </c>
      <c r="I831" s="25" t="s">
        <v>19</v>
      </c>
      <c r="J831" s="25" t="s">
        <v>20</v>
      </c>
      <c r="K831" s="25" t="s">
        <v>25</v>
      </c>
      <c r="L831" s="25">
        <v>22.71</v>
      </c>
      <c r="M831" s="25">
        <v>2.72</v>
      </c>
      <c r="N831" s="25">
        <v>7.2</v>
      </c>
      <c r="O831" s="25">
        <v>53.98</v>
      </c>
      <c r="P831" s="25">
        <v>86.609499999999997</v>
      </c>
      <c r="Q831" s="25">
        <f t="shared" si="24"/>
        <v>0</v>
      </c>
      <c r="R831" s="25">
        <f t="shared" si="25"/>
        <v>90563.390499999994</v>
      </c>
    </row>
    <row r="832" spans="1:18" hidden="1" x14ac:dyDescent="0.25">
      <c r="A832" s="26">
        <v>43483</v>
      </c>
      <c r="B832" s="25" t="s">
        <v>205</v>
      </c>
      <c r="C832" s="25" t="s">
        <v>17</v>
      </c>
      <c r="D832" s="25">
        <v>100</v>
      </c>
      <c r="E832" s="25">
        <v>22.9</v>
      </c>
      <c r="F832" s="25">
        <v>2290</v>
      </c>
      <c r="G832" s="25" t="s">
        <v>848</v>
      </c>
      <c r="H832" s="25">
        <v>2019014</v>
      </c>
      <c r="I832" s="25" t="s">
        <v>19</v>
      </c>
      <c r="J832" s="25" t="s">
        <v>20</v>
      </c>
      <c r="K832" s="25" t="s">
        <v>25</v>
      </c>
      <c r="L832" s="25">
        <v>2.29</v>
      </c>
      <c r="M832" s="25">
        <v>7.0000000000000007E-2</v>
      </c>
      <c r="N832" s="25">
        <v>0</v>
      </c>
      <c r="O832" s="25">
        <v>41.31</v>
      </c>
      <c r="P832" s="25">
        <v>43.668700000000001</v>
      </c>
      <c r="Q832" s="25">
        <f t="shared" si="24"/>
        <v>2333.6687000000002</v>
      </c>
      <c r="R832" s="25">
        <f t="shared" si="25"/>
        <v>0</v>
      </c>
    </row>
    <row r="833" spans="1:18" hidden="1" x14ac:dyDescent="0.25">
      <c r="A833" s="26">
        <v>43483</v>
      </c>
      <c r="B833" s="25" t="s">
        <v>849</v>
      </c>
      <c r="C833" s="25" t="s">
        <v>23</v>
      </c>
      <c r="D833" s="25">
        <v>100</v>
      </c>
      <c r="E833" s="25">
        <v>283.2</v>
      </c>
      <c r="F833" s="25">
        <v>28320</v>
      </c>
      <c r="G833" s="25" t="s">
        <v>850</v>
      </c>
      <c r="H833" s="25">
        <v>2019014</v>
      </c>
      <c r="I833" s="25" t="s">
        <v>19</v>
      </c>
      <c r="J833" s="25" t="s">
        <v>20</v>
      </c>
      <c r="K833" s="25" t="s">
        <v>25</v>
      </c>
      <c r="L833" s="25">
        <v>7</v>
      </c>
      <c r="M833" s="25">
        <v>0.85</v>
      </c>
      <c r="N833" s="25">
        <v>0</v>
      </c>
      <c r="O833" s="25">
        <v>29.65</v>
      </c>
      <c r="P833" s="25">
        <v>37.499600000000001</v>
      </c>
      <c r="Q833" s="25">
        <f t="shared" si="24"/>
        <v>0</v>
      </c>
      <c r="R833" s="25">
        <f t="shared" si="25"/>
        <v>28282.500400000001</v>
      </c>
    </row>
    <row r="834" spans="1:18" hidden="1" x14ac:dyDescent="0.25">
      <c r="A834" s="26">
        <v>43483</v>
      </c>
      <c r="B834" s="25" t="s">
        <v>849</v>
      </c>
      <c r="C834" s="25" t="s">
        <v>17</v>
      </c>
      <c r="D834" s="25">
        <v>100</v>
      </c>
      <c r="E834" s="25">
        <v>277</v>
      </c>
      <c r="F834" s="25">
        <v>27700</v>
      </c>
      <c r="G834" s="25" t="s">
        <v>851</v>
      </c>
      <c r="H834" s="25">
        <v>2019014</v>
      </c>
      <c r="I834" s="25" t="s">
        <v>19</v>
      </c>
      <c r="J834" s="25" t="s">
        <v>20</v>
      </c>
      <c r="K834" s="25" t="s">
        <v>25</v>
      </c>
      <c r="L834" s="25">
        <v>0</v>
      </c>
      <c r="M834" s="25">
        <v>0.83</v>
      </c>
      <c r="N834" s="25">
        <v>0</v>
      </c>
      <c r="O834" s="25">
        <v>29.65</v>
      </c>
      <c r="P834" s="25">
        <v>30.481000000000002</v>
      </c>
      <c r="Q834" s="25">
        <f t="shared" si="24"/>
        <v>27730.481</v>
      </c>
      <c r="R834" s="25">
        <f t="shared" si="25"/>
        <v>0</v>
      </c>
    </row>
    <row r="835" spans="1:18" hidden="1" x14ac:dyDescent="0.25">
      <c r="A835" s="26">
        <v>43483</v>
      </c>
      <c r="B835" s="25" t="s">
        <v>480</v>
      </c>
      <c r="C835" s="25" t="s">
        <v>17</v>
      </c>
      <c r="D835" s="25">
        <v>1000</v>
      </c>
      <c r="E835" s="25">
        <v>89</v>
      </c>
      <c r="F835" s="25">
        <v>89000</v>
      </c>
      <c r="G835" s="25" t="s">
        <v>852</v>
      </c>
      <c r="H835" s="25">
        <v>2019014</v>
      </c>
      <c r="I835" s="25" t="s">
        <v>19</v>
      </c>
      <c r="J835" s="25" t="s">
        <v>20</v>
      </c>
      <c r="K835" s="25" t="s">
        <v>25</v>
      </c>
      <c r="L835" s="25">
        <v>0</v>
      </c>
      <c r="M835" s="25">
        <v>2.67</v>
      </c>
      <c r="N835" s="25">
        <v>0</v>
      </c>
      <c r="O835" s="25">
        <v>52.99</v>
      </c>
      <c r="P835" s="25">
        <v>55.66</v>
      </c>
      <c r="Q835" s="25">
        <f t="shared" ref="Q835:Q898" si="26">IF(C835="Buy",F835+P835,0)</f>
        <v>89055.66</v>
      </c>
      <c r="R835" s="25">
        <f t="shared" ref="R835:R898" si="27">IF(C835="Sell",F835-P835,0)</f>
        <v>0</v>
      </c>
    </row>
    <row r="836" spans="1:18" hidden="1" x14ac:dyDescent="0.25">
      <c r="A836" s="26">
        <v>43482</v>
      </c>
      <c r="B836" s="25" t="s">
        <v>56</v>
      </c>
      <c r="C836" s="25" t="s">
        <v>23</v>
      </c>
      <c r="D836" s="25">
        <v>100</v>
      </c>
      <c r="E836" s="25">
        <v>859</v>
      </c>
      <c r="F836" s="25">
        <v>85900</v>
      </c>
      <c r="G836" s="25" t="s">
        <v>853</v>
      </c>
      <c r="H836" s="25">
        <v>201819201</v>
      </c>
      <c r="I836" s="25" t="s">
        <v>19</v>
      </c>
      <c r="J836" s="25" t="s">
        <v>20</v>
      </c>
      <c r="K836" s="25" t="s">
        <v>21</v>
      </c>
      <c r="L836" s="25">
        <v>21.62</v>
      </c>
      <c r="M836" s="25">
        <v>2.4700000000000002</v>
      </c>
      <c r="N836" s="25">
        <v>0</v>
      </c>
      <c r="O836" s="25">
        <v>51.13</v>
      </c>
      <c r="P836" s="25">
        <v>75.218199999999996</v>
      </c>
      <c r="Q836" s="25">
        <f t="shared" si="26"/>
        <v>0</v>
      </c>
      <c r="R836" s="25">
        <f t="shared" si="27"/>
        <v>85824.781799999997</v>
      </c>
    </row>
    <row r="837" spans="1:18" hidden="1" x14ac:dyDescent="0.25">
      <c r="A837" s="26">
        <v>43482</v>
      </c>
      <c r="B837" s="25" t="s">
        <v>480</v>
      </c>
      <c r="C837" s="25" t="s">
        <v>23</v>
      </c>
      <c r="D837" s="25">
        <v>1000</v>
      </c>
      <c r="E837" s="25">
        <v>92.3</v>
      </c>
      <c r="F837" s="25">
        <v>92300</v>
      </c>
      <c r="G837" s="25" t="s">
        <v>854</v>
      </c>
      <c r="H837" s="25">
        <v>201819201</v>
      </c>
      <c r="I837" s="25" t="s">
        <v>19</v>
      </c>
      <c r="J837" s="25" t="s">
        <v>20</v>
      </c>
      <c r="K837" s="25" t="s">
        <v>21</v>
      </c>
      <c r="L837" s="25">
        <v>23.38</v>
      </c>
      <c r="M837" s="25">
        <v>2.65</v>
      </c>
      <c r="N837" s="25">
        <v>0</v>
      </c>
      <c r="O837" s="25">
        <v>54.93</v>
      </c>
      <c r="P837" s="25">
        <v>80.960599999999999</v>
      </c>
      <c r="Q837" s="25">
        <f t="shared" si="26"/>
        <v>0</v>
      </c>
      <c r="R837" s="25">
        <f t="shared" si="27"/>
        <v>92219.039399999994</v>
      </c>
    </row>
    <row r="838" spans="1:18" hidden="1" x14ac:dyDescent="0.25">
      <c r="A838" s="26">
        <v>43482</v>
      </c>
      <c r="B838" s="25" t="s">
        <v>480</v>
      </c>
      <c r="C838" s="25" t="s">
        <v>17</v>
      </c>
      <c r="D838" s="25">
        <v>1000</v>
      </c>
      <c r="E838" s="25">
        <v>91.25</v>
      </c>
      <c r="F838" s="25">
        <v>91250</v>
      </c>
      <c r="G838" s="25" t="s">
        <v>855</v>
      </c>
      <c r="H838" s="25">
        <v>201819201</v>
      </c>
      <c r="I838" s="25" t="s">
        <v>19</v>
      </c>
      <c r="J838" s="25" t="s">
        <v>20</v>
      </c>
      <c r="K838" s="25" t="s">
        <v>21</v>
      </c>
      <c r="L838" s="25">
        <v>0</v>
      </c>
      <c r="M838" s="25">
        <v>2.64</v>
      </c>
      <c r="N838" s="25">
        <v>10.8</v>
      </c>
      <c r="O838" s="25">
        <v>54.32</v>
      </c>
      <c r="P838" s="25">
        <v>67.7607</v>
      </c>
      <c r="Q838" s="25">
        <f t="shared" si="26"/>
        <v>91317.760699999999</v>
      </c>
      <c r="R838" s="25">
        <f t="shared" si="27"/>
        <v>0</v>
      </c>
    </row>
    <row r="839" spans="1:18" hidden="1" x14ac:dyDescent="0.25">
      <c r="A839" s="26">
        <v>43482</v>
      </c>
      <c r="B839" s="25" t="s">
        <v>56</v>
      </c>
      <c r="C839" s="25" t="s">
        <v>17</v>
      </c>
      <c r="D839" s="25">
        <v>100</v>
      </c>
      <c r="E839" s="25">
        <v>870.26</v>
      </c>
      <c r="F839" s="25">
        <v>87026</v>
      </c>
      <c r="G839" s="25" t="s">
        <v>856</v>
      </c>
      <c r="H839" s="25">
        <v>201819201</v>
      </c>
      <c r="I839" s="25" t="s">
        <v>19</v>
      </c>
      <c r="J839" s="25" t="s">
        <v>20</v>
      </c>
      <c r="K839" s="25" t="s">
        <v>21</v>
      </c>
      <c r="L839" s="25">
        <v>0</v>
      </c>
      <c r="M839" s="25">
        <v>2.58</v>
      </c>
      <c r="N839" s="25">
        <v>0</v>
      </c>
      <c r="O839" s="25">
        <v>51.8</v>
      </c>
      <c r="P839" s="25">
        <v>54.380299999999998</v>
      </c>
      <c r="Q839" s="25">
        <f t="shared" si="26"/>
        <v>87080.380300000004</v>
      </c>
      <c r="R839" s="25">
        <f t="shared" si="27"/>
        <v>0</v>
      </c>
    </row>
    <row r="840" spans="1:18" hidden="1" x14ac:dyDescent="0.25">
      <c r="A840" s="26">
        <v>43482</v>
      </c>
      <c r="B840" s="25" t="s">
        <v>56</v>
      </c>
      <c r="C840" s="25" t="s">
        <v>23</v>
      </c>
      <c r="D840" s="25">
        <v>50</v>
      </c>
      <c r="E840" s="25">
        <v>843</v>
      </c>
      <c r="F840" s="25">
        <v>42150</v>
      </c>
      <c r="G840" s="25" t="s">
        <v>857</v>
      </c>
      <c r="H840" s="25">
        <v>2019013</v>
      </c>
      <c r="I840" s="25" t="s">
        <v>19</v>
      </c>
      <c r="J840" s="25" t="s">
        <v>20</v>
      </c>
      <c r="K840" s="25" t="s">
        <v>25</v>
      </c>
      <c r="L840" s="25">
        <v>10.45</v>
      </c>
      <c r="M840" s="25">
        <v>1.26</v>
      </c>
      <c r="N840" s="25">
        <v>0</v>
      </c>
      <c r="O840" s="25">
        <v>29.73</v>
      </c>
      <c r="P840" s="25">
        <v>41.444499999999998</v>
      </c>
      <c r="Q840" s="25">
        <f t="shared" si="26"/>
        <v>0</v>
      </c>
      <c r="R840" s="25">
        <f t="shared" si="27"/>
        <v>42108.555500000002</v>
      </c>
    </row>
    <row r="841" spans="1:18" hidden="1" x14ac:dyDescent="0.25">
      <c r="A841" s="26">
        <v>43482</v>
      </c>
      <c r="B841" s="25" t="s">
        <v>56</v>
      </c>
      <c r="C841" s="25" t="s">
        <v>17</v>
      </c>
      <c r="D841" s="25">
        <v>50</v>
      </c>
      <c r="E841" s="25">
        <v>829</v>
      </c>
      <c r="F841" s="25">
        <v>41450</v>
      </c>
      <c r="G841" s="25" t="s">
        <v>858</v>
      </c>
      <c r="H841" s="25">
        <v>2019013</v>
      </c>
      <c r="I841" s="25" t="s">
        <v>19</v>
      </c>
      <c r="J841" s="25" t="s">
        <v>20</v>
      </c>
      <c r="K841" s="25" t="s">
        <v>25</v>
      </c>
      <c r="L841" s="25">
        <v>0</v>
      </c>
      <c r="M841" s="25">
        <v>1.24</v>
      </c>
      <c r="N841" s="25">
        <v>0</v>
      </c>
      <c r="O841" s="25">
        <v>29.72</v>
      </c>
      <c r="P841" s="25">
        <v>30.9635</v>
      </c>
      <c r="Q841" s="25">
        <f t="shared" si="26"/>
        <v>41480.963499999998</v>
      </c>
      <c r="R841" s="25">
        <f t="shared" si="27"/>
        <v>0</v>
      </c>
    </row>
    <row r="842" spans="1:18" hidden="1" x14ac:dyDescent="0.25">
      <c r="A842" s="26">
        <v>43482</v>
      </c>
      <c r="B842" s="25" t="s">
        <v>480</v>
      </c>
      <c r="C842" s="25" t="s">
        <v>17</v>
      </c>
      <c r="D842" s="25">
        <v>500</v>
      </c>
      <c r="E842" s="25">
        <v>87</v>
      </c>
      <c r="F842" s="25">
        <v>43500</v>
      </c>
      <c r="G842" s="25" t="s">
        <v>859</v>
      </c>
      <c r="H842" s="25">
        <v>2019013</v>
      </c>
      <c r="I842" s="25" t="s">
        <v>19</v>
      </c>
      <c r="J842" s="25" t="s">
        <v>20</v>
      </c>
      <c r="K842" s="25" t="s">
        <v>25</v>
      </c>
      <c r="L842" s="25">
        <v>0</v>
      </c>
      <c r="M842" s="25">
        <v>1.3</v>
      </c>
      <c r="N842" s="25">
        <v>0</v>
      </c>
      <c r="O842" s="25">
        <v>29.74</v>
      </c>
      <c r="P842" s="25">
        <v>31.044899999999998</v>
      </c>
      <c r="Q842" s="25">
        <f t="shared" si="26"/>
        <v>43531.044900000001</v>
      </c>
      <c r="R842" s="25">
        <f t="shared" si="27"/>
        <v>0</v>
      </c>
    </row>
    <row r="843" spans="1:18" hidden="1" x14ac:dyDescent="0.25">
      <c r="A843" s="26">
        <v>43482</v>
      </c>
      <c r="B843" s="25" t="s">
        <v>480</v>
      </c>
      <c r="C843" s="25" t="s">
        <v>23</v>
      </c>
      <c r="D843" s="25">
        <v>500</v>
      </c>
      <c r="E843" s="25">
        <v>88.25</v>
      </c>
      <c r="F843" s="25">
        <v>44125</v>
      </c>
      <c r="G843" s="25" t="s">
        <v>860</v>
      </c>
      <c r="H843" s="25">
        <v>2019013</v>
      </c>
      <c r="I843" s="25" t="s">
        <v>19</v>
      </c>
      <c r="J843" s="25" t="s">
        <v>20</v>
      </c>
      <c r="K843" s="25" t="s">
        <v>25</v>
      </c>
      <c r="L843" s="25">
        <v>10.95</v>
      </c>
      <c r="M843" s="25">
        <v>1.32</v>
      </c>
      <c r="N843" s="25">
        <v>0</v>
      </c>
      <c r="O843" s="25">
        <v>29.74</v>
      </c>
      <c r="P843" s="25">
        <v>42.013800000000003</v>
      </c>
      <c r="Q843" s="25">
        <f t="shared" si="26"/>
        <v>0</v>
      </c>
      <c r="R843" s="25">
        <f t="shared" si="27"/>
        <v>44082.986199999999</v>
      </c>
    </row>
    <row r="844" spans="1:18" hidden="1" x14ac:dyDescent="0.25">
      <c r="A844" s="26">
        <v>43482</v>
      </c>
      <c r="B844" s="25" t="s">
        <v>205</v>
      </c>
      <c r="C844" s="25" t="s">
        <v>17</v>
      </c>
      <c r="D844" s="25">
        <v>25</v>
      </c>
      <c r="E844" s="25">
        <v>23.05</v>
      </c>
      <c r="F844" s="25">
        <v>576.25</v>
      </c>
      <c r="G844" s="25" t="s">
        <v>861</v>
      </c>
      <c r="H844" s="25">
        <v>2019013</v>
      </c>
      <c r="I844" s="25" t="s">
        <v>19</v>
      </c>
      <c r="J844" s="25" t="s">
        <v>20</v>
      </c>
      <c r="K844" s="25" t="s">
        <v>25</v>
      </c>
      <c r="L844" s="25">
        <v>0.6</v>
      </c>
      <c r="M844" s="25">
        <v>0.02</v>
      </c>
      <c r="N844" s="25">
        <v>5.4</v>
      </c>
      <c r="O844" s="25">
        <v>17</v>
      </c>
      <c r="P844" s="25">
        <v>23.017299999999999</v>
      </c>
      <c r="Q844" s="25">
        <f t="shared" si="26"/>
        <v>599.26729999999998</v>
      </c>
      <c r="R844" s="25">
        <f t="shared" si="27"/>
        <v>0</v>
      </c>
    </row>
    <row r="845" spans="1:18" hidden="1" x14ac:dyDescent="0.25">
      <c r="A845" s="26">
        <v>43474</v>
      </c>
      <c r="B845" s="25" t="s">
        <v>862</v>
      </c>
      <c r="C845" s="25" t="s">
        <v>23</v>
      </c>
      <c r="D845" s="25">
        <v>200</v>
      </c>
      <c r="E845" s="25">
        <v>233.35</v>
      </c>
      <c r="F845" s="25">
        <v>46670</v>
      </c>
      <c r="G845" s="25" t="s">
        <v>863</v>
      </c>
      <c r="H845" s="25">
        <v>201819195</v>
      </c>
      <c r="I845" s="25" t="s">
        <v>19</v>
      </c>
      <c r="J845" s="25" t="s">
        <v>20</v>
      </c>
      <c r="K845" s="25" t="s">
        <v>21</v>
      </c>
      <c r="L845" s="25">
        <v>11.88</v>
      </c>
      <c r="M845" s="25">
        <v>1.35</v>
      </c>
      <c r="N845" s="25">
        <v>0</v>
      </c>
      <c r="O845" s="25">
        <v>29.74</v>
      </c>
      <c r="P845" s="25">
        <v>42.970100000000002</v>
      </c>
      <c r="Q845" s="25">
        <f t="shared" si="26"/>
        <v>0</v>
      </c>
      <c r="R845" s="25">
        <f t="shared" si="27"/>
        <v>46627.029900000001</v>
      </c>
    </row>
    <row r="846" spans="1:18" hidden="1" x14ac:dyDescent="0.25">
      <c r="A846" s="26">
        <v>43474</v>
      </c>
      <c r="B846" s="25" t="s">
        <v>862</v>
      </c>
      <c r="C846" s="25" t="s">
        <v>23</v>
      </c>
      <c r="D846" s="25">
        <v>100</v>
      </c>
      <c r="E846" s="25">
        <v>234</v>
      </c>
      <c r="F846" s="25">
        <v>23400</v>
      </c>
      <c r="G846" s="25" t="s">
        <v>864</v>
      </c>
      <c r="H846" s="25">
        <v>201819195</v>
      </c>
      <c r="I846" s="25" t="s">
        <v>19</v>
      </c>
      <c r="J846" s="25" t="s">
        <v>20</v>
      </c>
      <c r="K846" s="25" t="s">
        <v>21</v>
      </c>
      <c r="L846" s="25">
        <v>5.94</v>
      </c>
      <c r="M846" s="25">
        <v>0.69</v>
      </c>
      <c r="N846" s="25">
        <v>0</v>
      </c>
      <c r="O846" s="25">
        <v>29.62</v>
      </c>
      <c r="P846" s="25">
        <v>36.246899999999997</v>
      </c>
      <c r="Q846" s="25">
        <f t="shared" si="26"/>
        <v>0</v>
      </c>
      <c r="R846" s="25">
        <f t="shared" si="27"/>
        <v>23363.753100000002</v>
      </c>
    </row>
    <row r="847" spans="1:18" hidden="1" x14ac:dyDescent="0.25">
      <c r="A847" s="26">
        <v>43474</v>
      </c>
      <c r="B847" s="25" t="s">
        <v>862</v>
      </c>
      <c r="C847" s="25" t="s">
        <v>23</v>
      </c>
      <c r="D847" s="25">
        <v>100</v>
      </c>
      <c r="E847" s="25">
        <v>237.51</v>
      </c>
      <c r="F847" s="25">
        <v>23751.1</v>
      </c>
      <c r="G847" s="25" t="s">
        <v>865</v>
      </c>
      <c r="H847" s="25">
        <v>201819195</v>
      </c>
      <c r="I847" s="25" t="s">
        <v>19</v>
      </c>
      <c r="J847" s="25" t="s">
        <v>20</v>
      </c>
      <c r="K847" s="25" t="s">
        <v>21</v>
      </c>
      <c r="L847" s="25">
        <v>6.17</v>
      </c>
      <c r="M847" s="25">
        <v>0.72</v>
      </c>
      <c r="N847" s="25">
        <v>0</v>
      </c>
      <c r="O847" s="25">
        <v>29.63</v>
      </c>
      <c r="P847" s="25">
        <v>36.5169</v>
      </c>
      <c r="Q847" s="25">
        <f t="shared" si="26"/>
        <v>0</v>
      </c>
      <c r="R847" s="25">
        <f t="shared" si="27"/>
        <v>23714.5831</v>
      </c>
    </row>
    <row r="848" spans="1:18" hidden="1" x14ac:dyDescent="0.25">
      <c r="A848" s="26">
        <v>43474</v>
      </c>
      <c r="B848" s="25" t="s">
        <v>862</v>
      </c>
      <c r="C848" s="25" t="s">
        <v>17</v>
      </c>
      <c r="D848" s="25">
        <v>400</v>
      </c>
      <c r="E848" s="25">
        <v>240.8</v>
      </c>
      <c r="F848" s="25">
        <v>96320</v>
      </c>
      <c r="G848" s="25" t="s">
        <v>866</v>
      </c>
      <c r="H848" s="25">
        <v>201819195</v>
      </c>
      <c r="I848" s="25" t="s">
        <v>19</v>
      </c>
      <c r="J848" s="25" t="s">
        <v>20</v>
      </c>
      <c r="K848" s="25" t="s">
        <v>21</v>
      </c>
      <c r="L848" s="25">
        <v>0</v>
      </c>
      <c r="M848" s="25">
        <v>2.79</v>
      </c>
      <c r="N848" s="25">
        <v>6</v>
      </c>
      <c r="O848" s="25">
        <v>57.34</v>
      </c>
      <c r="P848" s="25">
        <v>66.125100000000003</v>
      </c>
      <c r="Q848" s="25">
        <f t="shared" si="26"/>
        <v>96386.125100000005</v>
      </c>
      <c r="R848" s="25">
        <f t="shared" si="27"/>
        <v>0</v>
      </c>
    </row>
    <row r="849" spans="1:18" hidden="1" x14ac:dyDescent="0.25">
      <c r="A849" s="26">
        <v>43473</v>
      </c>
      <c r="B849" s="25" t="s">
        <v>862</v>
      </c>
      <c r="C849" s="25" t="s">
        <v>17</v>
      </c>
      <c r="D849" s="25">
        <v>100</v>
      </c>
      <c r="E849" s="25">
        <v>267.7</v>
      </c>
      <c r="F849" s="25">
        <v>26770</v>
      </c>
      <c r="G849" s="25" t="s">
        <v>867</v>
      </c>
      <c r="H849" s="25">
        <v>2019006</v>
      </c>
      <c r="I849" s="25" t="s">
        <v>19</v>
      </c>
      <c r="J849" s="25" t="s">
        <v>20</v>
      </c>
      <c r="K849" s="25" t="s">
        <v>25</v>
      </c>
      <c r="L849" s="25">
        <v>0</v>
      </c>
      <c r="M849" s="25">
        <v>0.8</v>
      </c>
      <c r="N849" s="25">
        <v>0</v>
      </c>
      <c r="O849" s="25">
        <v>29.64</v>
      </c>
      <c r="P849" s="25">
        <v>30.443100000000001</v>
      </c>
      <c r="Q849" s="25">
        <f t="shared" si="26"/>
        <v>26800.4431</v>
      </c>
      <c r="R849" s="25">
        <f t="shared" si="27"/>
        <v>0</v>
      </c>
    </row>
    <row r="850" spans="1:18" hidden="1" x14ac:dyDescent="0.25">
      <c r="A850" s="26">
        <v>43473</v>
      </c>
      <c r="B850" s="25" t="s">
        <v>862</v>
      </c>
      <c r="C850" s="25" t="s">
        <v>23</v>
      </c>
      <c r="D850" s="25">
        <v>100</v>
      </c>
      <c r="E850" s="25">
        <v>253.05</v>
      </c>
      <c r="F850" s="25">
        <v>25305</v>
      </c>
      <c r="G850" s="25" t="s">
        <v>868</v>
      </c>
      <c r="H850" s="25">
        <v>2019006</v>
      </c>
      <c r="I850" s="25" t="s">
        <v>19</v>
      </c>
      <c r="J850" s="25" t="s">
        <v>20</v>
      </c>
      <c r="K850" s="25" t="s">
        <v>25</v>
      </c>
      <c r="L850" s="25">
        <v>7</v>
      </c>
      <c r="M850" s="25">
        <v>0.76</v>
      </c>
      <c r="N850" s="25">
        <v>1.8</v>
      </c>
      <c r="O850" s="25">
        <v>29.64</v>
      </c>
      <c r="P850" s="25">
        <v>39.199100000000001</v>
      </c>
      <c r="Q850" s="25">
        <f t="shared" si="26"/>
        <v>0</v>
      </c>
      <c r="R850" s="25">
        <f t="shared" si="27"/>
        <v>25265.800899999998</v>
      </c>
    </row>
    <row r="851" spans="1:18" hidden="1" x14ac:dyDescent="0.25">
      <c r="A851" s="26">
        <v>43469</v>
      </c>
      <c r="B851" s="25" t="s">
        <v>849</v>
      </c>
      <c r="C851" s="25" t="s">
        <v>17</v>
      </c>
      <c r="D851" s="25">
        <v>200</v>
      </c>
      <c r="E851" s="25">
        <v>241.45</v>
      </c>
      <c r="F851" s="25">
        <v>48290</v>
      </c>
      <c r="G851" s="25" t="s">
        <v>869</v>
      </c>
      <c r="H851" s="25">
        <v>201819192</v>
      </c>
      <c r="I851" s="25" t="s">
        <v>19</v>
      </c>
      <c r="J851" s="25" t="s">
        <v>20</v>
      </c>
      <c r="K851" s="25" t="s">
        <v>21</v>
      </c>
      <c r="L851" s="25">
        <v>0</v>
      </c>
      <c r="M851" s="25">
        <v>1.4</v>
      </c>
      <c r="N851" s="25">
        <v>0</v>
      </c>
      <c r="O851" s="25">
        <v>29.75</v>
      </c>
      <c r="P851" s="25">
        <v>31.1462</v>
      </c>
      <c r="Q851" s="25">
        <f t="shared" si="26"/>
        <v>48321.146200000003</v>
      </c>
      <c r="R851" s="25">
        <f t="shared" si="27"/>
        <v>0</v>
      </c>
    </row>
    <row r="852" spans="1:18" hidden="1" x14ac:dyDescent="0.25">
      <c r="A852" s="26">
        <v>43469</v>
      </c>
      <c r="B852" s="25" t="s">
        <v>849</v>
      </c>
      <c r="C852" s="25" t="s">
        <v>23</v>
      </c>
      <c r="D852" s="25">
        <v>200</v>
      </c>
      <c r="E852" s="25">
        <v>238.5</v>
      </c>
      <c r="F852" s="25">
        <v>47700</v>
      </c>
      <c r="G852" s="25" t="s">
        <v>870</v>
      </c>
      <c r="H852" s="25">
        <v>201819192</v>
      </c>
      <c r="I852" s="25" t="s">
        <v>19</v>
      </c>
      <c r="J852" s="25" t="s">
        <v>20</v>
      </c>
      <c r="K852" s="25" t="s">
        <v>21</v>
      </c>
      <c r="L852" s="25">
        <v>12.14</v>
      </c>
      <c r="M852" s="25">
        <v>1.38</v>
      </c>
      <c r="N852" s="25">
        <v>0</v>
      </c>
      <c r="O852" s="25">
        <v>29.75</v>
      </c>
      <c r="P852" s="25">
        <v>43.269500000000001</v>
      </c>
      <c r="Q852" s="25">
        <f t="shared" si="26"/>
        <v>0</v>
      </c>
      <c r="R852" s="25">
        <f t="shared" si="27"/>
        <v>47656.730499999998</v>
      </c>
    </row>
    <row r="853" spans="1:18" hidden="1" x14ac:dyDescent="0.25">
      <c r="A853" s="26">
        <v>43469</v>
      </c>
      <c r="B853" s="25" t="s">
        <v>871</v>
      </c>
      <c r="C853" s="25" t="s">
        <v>23</v>
      </c>
      <c r="D853" s="25">
        <v>100</v>
      </c>
      <c r="E853" s="25">
        <v>187.86</v>
      </c>
      <c r="F853" s="25">
        <v>18785.5</v>
      </c>
      <c r="G853" s="25" t="s">
        <v>872</v>
      </c>
      <c r="H853" s="25">
        <v>201819192</v>
      </c>
      <c r="I853" s="25" t="s">
        <v>19</v>
      </c>
      <c r="J853" s="25" t="s">
        <v>20</v>
      </c>
      <c r="K853" s="25" t="s">
        <v>21</v>
      </c>
      <c r="L853" s="25">
        <v>4.6100000000000003</v>
      </c>
      <c r="M853" s="25">
        <v>0.6</v>
      </c>
      <c r="N853" s="25">
        <v>0</v>
      </c>
      <c r="O853" s="25">
        <v>29.6</v>
      </c>
      <c r="P853" s="25">
        <v>34.805300000000003</v>
      </c>
      <c r="Q853" s="25">
        <f t="shared" si="26"/>
        <v>0</v>
      </c>
      <c r="R853" s="25">
        <f t="shared" si="27"/>
        <v>18750.6947</v>
      </c>
    </row>
    <row r="854" spans="1:18" hidden="1" x14ac:dyDescent="0.25">
      <c r="A854" s="26">
        <v>43469</v>
      </c>
      <c r="B854" s="25" t="s">
        <v>849</v>
      </c>
      <c r="C854" s="25" t="s">
        <v>23</v>
      </c>
      <c r="D854" s="25">
        <v>350</v>
      </c>
      <c r="E854" s="25">
        <v>245</v>
      </c>
      <c r="F854" s="25">
        <v>85750</v>
      </c>
      <c r="G854" s="25" t="s">
        <v>873</v>
      </c>
      <c r="H854" s="25">
        <v>201819192</v>
      </c>
      <c r="I854" s="25" t="s">
        <v>19</v>
      </c>
      <c r="J854" s="25" t="s">
        <v>20</v>
      </c>
      <c r="K854" s="25" t="s">
        <v>21</v>
      </c>
      <c r="L854" s="25">
        <v>21.25</v>
      </c>
      <c r="M854" s="25">
        <v>2.5</v>
      </c>
      <c r="N854" s="25">
        <v>0</v>
      </c>
      <c r="O854" s="25">
        <v>51.05</v>
      </c>
      <c r="P854" s="25">
        <v>74.803899999999999</v>
      </c>
      <c r="Q854" s="25">
        <f t="shared" si="26"/>
        <v>0</v>
      </c>
      <c r="R854" s="25">
        <f t="shared" si="27"/>
        <v>85675.196100000001</v>
      </c>
    </row>
    <row r="855" spans="1:18" hidden="1" x14ac:dyDescent="0.25">
      <c r="A855" s="26">
        <v>43469</v>
      </c>
      <c r="B855" s="25" t="s">
        <v>849</v>
      </c>
      <c r="C855" s="25" t="s">
        <v>17</v>
      </c>
      <c r="D855" s="25">
        <v>350</v>
      </c>
      <c r="E855" s="25">
        <v>244</v>
      </c>
      <c r="F855" s="25">
        <v>85400</v>
      </c>
      <c r="G855" s="25" t="s">
        <v>874</v>
      </c>
      <c r="H855" s="25">
        <v>201819192</v>
      </c>
      <c r="I855" s="25" t="s">
        <v>19</v>
      </c>
      <c r="J855" s="25" t="s">
        <v>20</v>
      </c>
      <c r="K855" s="25" t="s">
        <v>21</v>
      </c>
      <c r="L855" s="25">
        <v>0</v>
      </c>
      <c r="M855" s="25">
        <v>2.4500000000000002</v>
      </c>
      <c r="N855" s="25">
        <v>0</v>
      </c>
      <c r="O855" s="25">
        <v>50.83</v>
      </c>
      <c r="P855" s="25">
        <v>53.283900000000003</v>
      </c>
      <c r="Q855" s="25">
        <f t="shared" si="26"/>
        <v>85453.283899999995</v>
      </c>
      <c r="R855" s="25">
        <f t="shared" si="27"/>
        <v>0</v>
      </c>
    </row>
    <row r="856" spans="1:18" hidden="1" x14ac:dyDescent="0.25">
      <c r="A856" s="26">
        <v>43469</v>
      </c>
      <c r="B856" s="25" t="s">
        <v>871</v>
      </c>
      <c r="C856" s="25" t="s">
        <v>17</v>
      </c>
      <c r="D856" s="25">
        <v>100</v>
      </c>
      <c r="E856" s="25">
        <v>193.4</v>
      </c>
      <c r="F856" s="25">
        <v>19340</v>
      </c>
      <c r="G856" s="25" t="s">
        <v>875</v>
      </c>
      <c r="H856" s="25">
        <v>201819192</v>
      </c>
      <c r="I856" s="25" t="s">
        <v>19</v>
      </c>
      <c r="J856" s="25" t="s">
        <v>20</v>
      </c>
      <c r="K856" s="25" t="s">
        <v>21</v>
      </c>
      <c r="L856" s="25">
        <v>0</v>
      </c>
      <c r="M856" s="25">
        <v>0.56999999999999995</v>
      </c>
      <c r="N856" s="25">
        <v>9.3000000000000007</v>
      </c>
      <c r="O856" s="25">
        <v>29.6</v>
      </c>
      <c r="P856" s="25">
        <v>39.471200000000003</v>
      </c>
      <c r="Q856" s="25">
        <f t="shared" si="26"/>
        <v>19379.4712</v>
      </c>
      <c r="R856" s="25">
        <f t="shared" si="27"/>
        <v>0</v>
      </c>
    </row>
    <row r="857" spans="1:18" hidden="1" x14ac:dyDescent="0.25">
      <c r="A857" s="26">
        <v>43468</v>
      </c>
      <c r="B857" s="25" t="s">
        <v>849</v>
      </c>
      <c r="C857" s="25" t="s">
        <v>23</v>
      </c>
      <c r="D857" s="25">
        <v>500</v>
      </c>
      <c r="E857" s="25">
        <v>247.01</v>
      </c>
      <c r="F857" s="25">
        <v>123507.2</v>
      </c>
      <c r="G857" s="25" t="s">
        <v>876</v>
      </c>
      <c r="H857" s="25">
        <v>201819191</v>
      </c>
      <c r="I857" s="25" t="s">
        <v>19</v>
      </c>
      <c r="J857" s="25" t="s">
        <v>20</v>
      </c>
      <c r="K857" s="25" t="s">
        <v>21</v>
      </c>
      <c r="L857" s="25">
        <v>31</v>
      </c>
      <c r="M857" s="25">
        <v>3.6</v>
      </c>
      <c r="N857" s="25">
        <v>0</v>
      </c>
      <c r="O857" s="25">
        <v>73.52</v>
      </c>
      <c r="P857" s="25">
        <v>108.1198</v>
      </c>
      <c r="Q857" s="25">
        <f t="shared" si="26"/>
        <v>0</v>
      </c>
      <c r="R857" s="25">
        <f t="shared" si="27"/>
        <v>123399.0802</v>
      </c>
    </row>
    <row r="858" spans="1:18" hidden="1" x14ac:dyDescent="0.25">
      <c r="A858" s="26">
        <v>43468</v>
      </c>
      <c r="B858" s="25" t="s">
        <v>849</v>
      </c>
      <c r="C858" s="25" t="s">
        <v>17</v>
      </c>
      <c r="D858" s="25">
        <v>500</v>
      </c>
      <c r="E858" s="25">
        <v>246.91</v>
      </c>
      <c r="F858" s="25">
        <v>123453.45</v>
      </c>
      <c r="G858" s="25" t="s">
        <v>877</v>
      </c>
      <c r="H858" s="25">
        <v>201819191</v>
      </c>
      <c r="I858" s="25" t="s">
        <v>19</v>
      </c>
      <c r="J858" s="25" t="s">
        <v>20</v>
      </c>
      <c r="K858" s="25" t="s">
        <v>21</v>
      </c>
      <c r="L858" s="25">
        <v>0</v>
      </c>
      <c r="M858" s="25">
        <v>3.58</v>
      </c>
      <c r="N858" s="25">
        <v>7.5</v>
      </c>
      <c r="O858" s="25">
        <v>73.48</v>
      </c>
      <c r="P858" s="25">
        <v>84.558300000000003</v>
      </c>
      <c r="Q858" s="25">
        <f t="shared" si="26"/>
        <v>123538.0083</v>
      </c>
      <c r="R858" s="25">
        <f t="shared" si="27"/>
        <v>0</v>
      </c>
    </row>
    <row r="859" spans="1:18" hidden="1" x14ac:dyDescent="0.25">
      <c r="A859" s="26">
        <v>43468</v>
      </c>
      <c r="B859" s="25" t="s">
        <v>849</v>
      </c>
      <c r="C859" s="25" t="s">
        <v>17</v>
      </c>
      <c r="D859" s="25">
        <v>100</v>
      </c>
      <c r="E859" s="25">
        <v>253</v>
      </c>
      <c r="F859" s="25">
        <v>25300</v>
      </c>
      <c r="G859" s="25" t="s">
        <v>878</v>
      </c>
      <c r="H859" s="25">
        <v>2019003</v>
      </c>
      <c r="I859" s="25" t="s">
        <v>19</v>
      </c>
      <c r="J859" s="25" t="s">
        <v>20</v>
      </c>
      <c r="K859" s="25" t="s">
        <v>25</v>
      </c>
      <c r="L859" s="25">
        <v>0</v>
      </c>
      <c r="M859" s="25">
        <v>0.76</v>
      </c>
      <c r="N859" s="25">
        <v>0</v>
      </c>
      <c r="O859" s="25">
        <v>29.64</v>
      </c>
      <c r="P859" s="25">
        <v>30.399100000000001</v>
      </c>
      <c r="Q859" s="25">
        <f t="shared" si="26"/>
        <v>25330.399099999999</v>
      </c>
      <c r="R859" s="25">
        <f t="shared" si="27"/>
        <v>0</v>
      </c>
    </row>
    <row r="860" spans="1:18" hidden="1" x14ac:dyDescent="0.25">
      <c r="A860" s="26">
        <v>43468</v>
      </c>
      <c r="B860" s="25" t="s">
        <v>849</v>
      </c>
      <c r="C860" s="25" t="s">
        <v>17</v>
      </c>
      <c r="D860" s="25">
        <v>100</v>
      </c>
      <c r="E860" s="25">
        <v>250.5</v>
      </c>
      <c r="F860" s="25">
        <v>25050</v>
      </c>
      <c r="G860" s="25" t="s">
        <v>879</v>
      </c>
      <c r="H860" s="25">
        <v>2019003</v>
      </c>
      <c r="I860" s="25" t="s">
        <v>19</v>
      </c>
      <c r="J860" s="25" t="s">
        <v>20</v>
      </c>
      <c r="K860" s="25" t="s">
        <v>25</v>
      </c>
      <c r="L860" s="25">
        <v>0</v>
      </c>
      <c r="M860" s="25">
        <v>0.75</v>
      </c>
      <c r="N860" s="25">
        <v>4.5</v>
      </c>
      <c r="O860" s="25">
        <v>29.64</v>
      </c>
      <c r="P860" s="25">
        <v>34.891500000000001</v>
      </c>
      <c r="Q860" s="25">
        <f t="shared" si="26"/>
        <v>25084.891500000002</v>
      </c>
      <c r="R860" s="25">
        <f t="shared" si="27"/>
        <v>0</v>
      </c>
    </row>
    <row r="861" spans="1:18" hidden="1" x14ac:dyDescent="0.25">
      <c r="A861" s="26">
        <v>43468</v>
      </c>
      <c r="B861" s="25" t="s">
        <v>849</v>
      </c>
      <c r="C861" s="25" t="s">
        <v>17</v>
      </c>
      <c r="D861" s="25">
        <v>100</v>
      </c>
      <c r="E861" s="25">
        <v>248.5</v>
      </c>
      <c r="F861" s="25">
        <v>24850</v>
      </c>
      <c r="G861" s="25" t="s">
        <v>880</v>
      </c>
      <c r="H861" s="25">
        <v>2019003</v>
      </c>
      <c r="I861" s="25" t="s">
        <v>19</v>
      </c>
      <c r="J861" s="25" t="s">
        <v>20</v>
      </c>
      <c r="K861" s="25" t="s">
        <v>25</v>
      </c>
      <c r="L861" s="25">
        <v>0</v>
      </c>
      <c r="M861" s="25">
        <v>0.75</v>
      </c>
      <c r="N861" s="25">
        <v>0</v>
      </c>
      <c r="O861" s="25">
        <v>29.64</v>
      </c>
      <c r="P861" s="25">
        <v>30.3855</v>
      </c>
      <c r="Q861" s="25">
        <f t="shared" si="26"/>
        <v>24880.3855</v>
      </c>
      <c r="R861" s="25">
        <f t="shared" si="27"/>
        <v>0</v>
      </c>
    </row>
    <row r="862" spans="1:18" hidden="1" x14ac:dyDescent="0.25">
      <c r="A862" s="26">
        <v>43468</v>
      </c>
      <c r="B862" s="25" t="s">
        <v>849</v>
      </c>
      <c r="C862" s="25" t="s">
        <v>23</v>
      </c>
      <c r="D862" s="25">
        <v>300</v>
      </c>
      <c r="E862" s="25">
        <v>246.65</v>
      </c>
      <c r="F862" s="25">
        <v>73995</v>
      </c>
      <c r="G862" s="25" t="s">
        <v>881</v>
      </c>
      <c r="H862" s="25">
        <v>2019003</v>
      </c>
      <c r="I862" s="25" t="s">
        <v>19</v>
      </c>
      <c r="J862" s="25" t="s">
        <v>20</v>
      </c>
      <c r="K862" s="25" t="s">
        <v>25</v>
      </c>
      <c r="L862" s="25">
        <v>19</v>
      </c>
      <c r="M862" s="25">
        <v>2.2200000000000002</v>
      </c>
      <c r="N862" s="25">
        <v>0</v>
      </c>
      <c r="O862" s="25">
        <v>44.06</v>
      </c>
      <c r="P862" s="25">
        <v>65.279899999999998</v>
      </c>
      <c r="Q862" s="25">
        <f t="shared" si="26"/>
        <v>0</v>
      </c>
      <c r="R862" s="25">
        <f t="shared" si="27"/>
        <v>73929.720100000006</v>
      </c>
    </row>
    <row r="863" spans="1:18" hidden="1" x14ac:dyDescent="0.25">
      <c r="A863" s="26">
        <v>43467</v>
      </c>
      <c r="B863" s="25" t="s">
        <v>480</v>
      </c>
      <c r="C863" s="25" t="s">
        <v>23</v>
      </c>
      <c r="D863" s="25">
        <v>1000</v>
      </c>
      <c r="E863" s="25">
        <v>95.25</v>
      </c>
      <c r="F863" s="25">
        <v>95250</v>
      </c>
      <c r="G863" s="25" t="s">
        <v>882</v>
      </c>
      <c r="H863" s="25">
        <v>2019002</v>
      </c>
      <c r="I863" s="25" t="s">
        <v>19</v>
      </c>
      <c r="J863" s="25" t="s">
        <v>20</v>
      </c>
      <c r="K863" s="25" t="s">
        <v>25</v>
      </c>
      <c r="L863" s="25">
        <v>23.66</v>
      </c>
      <c r="M863" s="25">
        <v>2.86</v>
      </c>
      <c r="N863" s="25">
        <v>0</v>
      </c>
      <c r="O863" s="25">
        <v>56.71</v>
      </c>
      <c r="P863" s="25">
        <v>83.227500000000006</v>
      </c>
      <c r="Q863" s="25">
        <f t="shared" si="26"/>
        <v>0</v>
      </c>
      <c r="R863" s="25">
        <f t="shared" si="27"/>
        <v>95166.772500000006</v>
      </c>
    </row>
    <row r="864" spans="1:18" hidden="1" x14ac:dyDescent="0.25">
      <c r="A864" s="26">
        <v>43467</v>
      </c>
      <c r="B864" s="25" t="s">
        <v>480</v>
      </c>
      <c r="C864" s="25" t="s">
        <v>17</v>
      </c>
      <c r="D864" s="25">
        <v>5000</v>
      </c>
      <c r="E864" s="25">
        <v>94.9</v>
      </c>
      <c r="F864" s="25">
        <v>474500</v>
      </c>
      <c r="G864" s="25" t="s">
        <v>883</v>
      </c>
      <c r="H864" s="25">
        <v>2019002</v>
      </c>
      <c r="I864" s="25" t="s">
        <v>19</v>
      </c>
      <c r="J864" s="25" t="s">
        <v>20</v>
      </c>
      <c r="K864" s="25" t="s">
        <v>25</v>
      </c>
      <c r="L864" s="25">
        <v>0</v>
      </c>
      <c r="M864" s="25">
        <v>14.24</v>
      </c>
      <c r="N864" s="25">
        <v>0</v>
      </c>
      <c r="O864" s="25">
        <v>282.52</v>
      </c>
      <c r="P864" s="25">
        <v>296.755</v>
      </c>
      <c r="Q864" s="25">
        <f t="shared" si="26"/>
        <v>474796.755</v>
      </c>
      <c r="R864" s="25">
        <f t="shared" si="27"/>
        <v>0</v>
      </c>
    </row>
    <row r="865" spans="1:18" hidden="1" x14ac:dyDescent="0.25">
      <c r="A865" s="26">
        <v>43467</v>
      </c>
      <c r="B865" s="25" t="s">
        <v>480</v>
      </c>
      <c r="C865" s="25" t="s">
        <v>23</v>
      </c>
      <c r="D865" s="25">
        <v>4000</v>
      </c>
      <c r="E865" s="25">
        <v>95.05</v>
      </c>
      <c r="F865" s="25">
        <v>380200</v>
      </c>
      <c r="G865" s="25" t="s">
        <v>884</v>
      </c>
      <c r="H865" s="25">
        <v>2019002</v>
      </c>
      <c r="I865" s="25" t="s">
        <v>19</v>
      </c>
      <c r="J865" s="25" t="s">
        <v>20</v>
      </c>
      <c r="K865" s="25" t="s">
        <v>25</v>
      </c>
      <c r="L865" s="25">
        <v>94.62</v>
      </c>
      <c r="M865" s="25">
        <v>11.41</v>
      </c>
      <c r="N865" s="25">
        <v>0</v>
      </c>
      <c r="O865" s="25">
        <v>226.37</v>
      </c>
      <c r="P865" s="25">
        <v>332.39600000000002</v>
      </c>
      <c r="Q865" s="25">
        <f t="shared" si="26"/>
        <v>0</v>
      </c>
      <c r="R865" s="25">
        <f t="shared" si="27"/>
        <v>379867.60399999999</v>
      </c>
    </row>
    <row r="866" spans="1:18" hidden="1" x14ac:dyDescent="0.25">
      <c r="A866" s="26">
        <v>43467</v>
      </c>
      <c r="B866" s="25" t="s">
        <v>480</v>
      </c>
      <c r="C866" s="25" t="s">
        <v>23</v>
      </c>
      <c r="D866" s="25">
        <v>5000</v>
      </c>
      <c r="E866" s="25">
        <v>94.5</v>
      </c>
      <c r="F866" s="25">
        <v>472500</v>
      </c>
      <c r="G866" s="25" t="s">
        <v>885</v>
      </c>
      <c r="H866" s="25">
        <v>2019002</v>
      </c>
      <c r="I866" s="25" t="s">
        <v>19</v>
      </c>
      <c r="J866" s="25" t="s">
        <v>20</v>
      </c>
      <c r="K866" s="25" t="s">
        <v>25</v>
      </c>
      <c r="L866" s="25">
        <v>118.44</v>
      </c>
      <c r="M866" s="25">
        <v>14.17</v>
      </c>
      <c r="N866" s="25">
        <v>57</v>
      </c>
      <c r="O866" s="25">
        <v>281.33</v>
      </c>
      <c r="P866" s="25">
        <v>470.94470000000001</v>
      </c>
      <c r="Q866" s="25">
        <f t="shared" si="26"/>
        <v>0</v>
      </c>
      <c r="R866" s="25">
        <f t="shared" si="27"/>
        <v>472029.05530000001</v>
      </c>
    </row>
    <row r="867" spans="1:18" hidden="1" x14ac:dyDescent="0.25">
      <c r="A867" s="26">
        <v>43467</v>
      </c>
      <c r="B867" s="25" t="s">
        <v>480</v>
      </c>
      <c r="C867" s="25" t="s">
        <v>17</v>
      </c>
      <c r="D867" s="25">
        <v>5000</v>
      </c>
      <c r="E867" s="25">
        <v>94</v>
      </c>
      <c r="F867" s="25">
        <v>470000</v>
      </c>
      <c r="G867" s="25" t="s">
        <v>886</v>
      </c>
      <c r="H867" s="25">
        <v>2019002</v>
      </c>
      <c r="I867" s="25" t="s">
        <v>19</v>
      </c>
      <c r="J867" s="25" t="s">
        <v>20</v>
      </c>
      <c r="K867" s="25" t="s">
        <v>25</v>
      </c>
      <c r="L867" s="25">
        <v>0</v>
      </c>
      <c r="M867" s="25">
        <v>14.1</v>
      </c>
      <c r="N867" s="25">
        <v>0</v>
      </c>
      <c r="O867" s="25">
        <v>279.83999999999997</v>
      </c>
      <c r="P867" s="25">
        <v>293.94</v>
      </c>
      <c r="Q867" s="25">
        <f t="shared" si="26"/>
        <v>470293.94</v>
      </c>
      <c r="R867" s="25">
        <f t="shared" si="27"/>
        <v>0</v>
      </c>
    </row>
    <row r="868" spans="1:18" hidden="1" x14ac:dyDescent="0.25">
      <c r="A868" s="26">
        <v>43467</v>
      </c>
      <c r="B868" s="25" t="s">
        <v>205</v>
      </c>
      <c r="C868" s="25" t="s">
        <v>17</v>
      </c>
      <c r="D868" s="25">
        <v>50</v>
      </c>
      <c r="E868" s="25">
        <v>25.65</v>
      </c>
      <c r="F868" s="25">
        <v>1282.5</v>
      </c>
      <c r="G868" s="25" t="s">
        <v>887</v>
      </c>
      <c r="H868" s="25">
        <v>2019002</v>
      </c>
      <c r="I868" s="25" t="s">
        <v>19</v>
      </c>
      <c r="J868" s="25" t="s">
        <v>20</v>
      </c>
      <c r="K868" s="25" t="s">
        <v>25</v>
      </c>
      <c r="L868" s="25">
        <v>1.28</v>
      </c>
      <c r="M868" s="25">
        <v>0.04</v>
      </c>
      <c r="N868" s="25">
        <v>0</v>
      </c>
      <c r="O868" s="25">
        <v>37.840000000000003</v>
      </c>
      <c r="P868" s="25">
        <v>39.158499999999997</v>
      </c>
      <c r="Q868" s="25">
        <f t="shared" si="26"/>
        <v>1321.6585</v>
      </c>
      <c r="R868" s="25">
        <f t="shared" si="27"/>
        <v>0</v>
      </c>
    </row>
    <row r="869" spans="1:18" hidden="1" x14ac:dyDescent="0.25">
      <c r="A869" s="26">
        <v>43452</v>
      </c>
      <c r="B869" s="25" t="s">
        <v>888</v>
      </c>
      <c r="C869" s="25" t="s">
        <v>23</v>
      </c>
      <c r="D869" s="25">
        <v>50</v>
      </c>
      <c r="E869" s="25">
        <v>1220.3</v>
      </c>
      <c r="F869" s="25">
        <v>61015</v>
      </c>
      <c r="G869" s="25" t="s">
        <v>889</v>
      </c>
      <c r="H869" s="25">
        <v>201819180</v>
      </c>
      <c r="I869" s="25" t="s">
        <v>19</v>
      </c>
      <c r="J869" s="25" t="s">
        <v>20</v>
      </c>
      <c r="K869" s="25" t="s">
        <v>21</v>
      </c>
      <c r="L869" s="25">
        <v>15</v>
      </c>
      <c r="M869" s="25">
        <v>1.76</v>
      </c>
      <c r="N869" s="25">
        <v>0</v>
      </c>
      <c r="O869" s="25">
        <v>36.32</v>
      </c>
      <c r="P869" s="25">
        <v>53.078899999999997</v>
      </c>
      <c r="Q869" s="25">
        <f t="shared" si="26"/>
        <v>0</v>
      </c>
      <c r="R869" s="25">
        <f t="shared" si="27"/>
        <v>60961.9211</v>
      </c>
    </row>
    <row r="870" spans="1:18" hidden="1" x14ac:dyDescent="0.25">
      <c r="A870" s="26">
        <v>43452</v>
      </c>
      <c r="B870" s="25" t="s">
        <v>888</v>
      </c>
      <c r="C870" s="25" t="s">
        <v>17</v>
      </c>
      <c r="D870" s="25">
        <v>50</v>
      </c>
      <c r="E870" s="25">
        <v>1238</v>
      </c>
      <c r="F870" s="25">
        <v>61900</v>
      </c>
      <c r="G870" s="25" t="s">
        <v>890</v>
      </c>
      <c r="H870" s="25">
        <v>201819180</v>
      </c>
      <c r="I870" s="25" t="s">
        <v>19</v>
      </c>
      <c r="J870" s="25" t="s">
        <v>20</v>
      </c>
      <c r="K870" s="25" t="s">
        <v>21</v>
      </c>
      <c r="L870" s="25">
        <v>0</v>
      </c>
      <c r="M870" s="25">
        <v>1.78</v>
      </c>
      <c r="N870" s="25">
        <v>3.9</v>
      </c>
      <c r="O870" s="25">
        <v>36.840000000000003</v>
      </c>
      <c r="P870" s="25">
        <v>42.5242</v>
      </c>
      <c r="Q870" s="25">
        <f t="shared" si="26"/>
        <v>61942.5242</v>
      </c>
      <c r="R870" s="25">
        <f t="shared" si="27"/>
        <v>0</v>
      </c>
    </row>
    <row r="871" spans="1:18" hidden="1" x14ac:dyDescent="0.25">
      <c r="A871" s="26">
        <v>43448</v>
      </c>
      <c r="B871" s="25" t="s">
        <v>480</v>
      </c>
      <c r="C871" s="25" t="s">
        <v>23</v>
      </c>
      <c r="D871" s="25">
        <v>500</v>
      </c>
      <c r="E871" s="25">
        <v>90.5</v>
      </c>
      <c r="F871" s="25">
        <v>45250</v>
      </c>
      <c r="G871" s="25" t="s">
        <v>891</v>
      </c>
      <c r="H871" s="25">
        <v>2018236</v>
      </c>
      <c r="I871" s="25" t="s">
        <v>19</v>
      </c>
      <c r="J871" s="25" t="s">
        <v>20</v>
      </c>
      <c r="K871" s="25" t="s">
        <v>25</v>
      </c>
      <c r="L871" s="25">
        <v>11</v>
      </c>
      <c r="M871" s="25">
        <v>1.36</v>
      </c>
      <c r="N871" s="25">
        <v>0</v>
      </c>
      <c r="O871" s="25">
        <v>29.74</v>
      </c>
      <c r="P871" s="25">
        <v>42.097499999999997</v>
      </c>
      <c r="Q871" s="25">
        <f t="shared" si="26"/>
        <v>0</v>
      </c>
      <c r="R871" s="25">
        <f t="shared" si="27"/>
        <v>45207.902499999997</v>
      </c>
    </row>
    <row r="872" spans="1:18" hidden="1" x14ac:dyDescent="0.25">
      <c r="A872" s="26">
        <v>43448</v>
      </c>
      <c r="B872" s="25" t="s">
        <v>480</v>
      </c>
      <c r="C872" s="25" t="s">
        <v>17</v>
      </c>
      <c r="D872" s="25">
        <v>500</v>
      </c>
      <c r="E872" s="25">
        <v>91.25</v>
      </c>
      <c r="F872" s="25">
        <v>45625</v>
      </c>
      <c r="G872" s="25" t="s">
        <v>892</v>
      </c>
      <c r="H872" s="25">
        <v>2018236</v>
      </c>
      <c r="I872" s="25" t="s">
        <v>19</v>
      </c>
      <c r="J872" s="25" t="s">
        <v>20</v>
      </c>
      <c r="K872" s="25" t="s">
        <v>25</v>
      </c>
      <c r="L872" s="25">
        <v>0</v>
      </c>
      <c r="M872" s="25">
        <v>1.37</v>
      </c>
      <c r="N872" s="25">
        <v>3</v>
      </c>
      <c r="O872" s="25">
        <v>29.75</v>
      </c>
      <c r="P872" s="25">
        <v>34.118699999999997</v>
      </c>
      <c r="Q872" s="25">
        <f t="shared" si="26"/>
        <v>45659.118699999999</v>
      </c>
      <c r="R872" s="25">
        <f t="shared" si="27"/>
        <v>0</v>
      </c>
    </row>
    <row r="873" spans="1:18" hidden="1" x14ac:dyDescent="0.25">
      <c r="A873" s="26">
        <v>43447</v>
      </c>
      <c r="B873" s="25" t="s">
        <v>480</v>
      </c>
      <c r="C873" s="25" t="s">
        <v>17</v>
      </c>
      <c r="D873" s="25">
        <v>500</v>
      </c>
      <c r="E873" s="25">
        <v>90.05</v>
      </c>
      <c r="F873" s="25">
        <v>45025</v>
      </c>
      <c r="G873" s="25" t="s">
        <v>893</v>
      </c>
      <c r="H873" s="25">
        <v>2018235</v>
      </c>
      <c r="I873" s="25" t="s">
        <v>19</v>
      </c>
      <c r="J873" s="25" t="s">
        <v>20</v>
      </c>
      <c r="K873" s="25" t="s">
        <v>25</v>
      </c>
      <c r="L873" s="25">
        <v>0</v>
      </c>
      <c r="M873" s="25">
        <v>1.35</v>
      </c>
      <c r="N873" s="25">
        <v>0</v>
      </c>
      <c r="O873" s="25">
        <v>29.74</v>
      </c>
      <c r="P873" s="25">
        <v>31.090699999999998</v>
      </c>
      <c r="Q873" s="25">
        <f t="shared" si="26"/>
        <v>45056.090700000001</v>
      </c>
      <c r="R873" s="25">
        <f t="shared" si="27"/>
        <v>0</v>
      </c>
    </row>
    <row r="874" spans="1:18" hidden="1" x14ac:dyDescent="0.25">
      <c r="A874" s="26">
        <v>43447</v>
      </c>
      <c r="B874" s="25" t="s">
        <v>480</v>
      </c>
      <c r="C874" s="25" t="s">
        <v>23</v>
      </c>
      <c r="D874" s="25">
        <v>500</v>
      </c>
      <c r="E874" s="25">
        <v>89.35</v>
      </c>
      <c r="F874" s="25">
        <v>44675</v>
      </c>
      <c r="G874" s="25" t="s">
        <v>894</v>
      </c>
      <c r="H874" s="25">
        <v>2018235</v>
      </c>
      <c r="I874" s="25" t="s">
        <v>19</v>
      </c>
      <c r="J874" s="25" t="s">
        <v>20</v>
      </c>
      <c r="K874" s="25" t="s">
        <v>25</v>
      </c>
      <c r="L874" s="25">
        <v>11</v>
      </c>
      <c r="M874" s="25">
        <v>1.34</v>
      </c>
      <c r="N874" s="25">
        <v>2.7</v>
      </c>
      <c r="O874" s="25">
        <v>29.74</v>
      </c>
      <c r="P874" s="25">
        <v>44.780099999999997</v>
      </c>
      <c r="Q874" s="25">
        <f t="shared" si="26"/>
        <v>0</v>
      </c>
      <c r="R874" s="25">
        <f t="shared" si="27"/>
        <v>44630.219899999996</v>
      </c>
    </row>
    <row r="875" spans="1:18" hidden="1" x14ac:dyDescent="0.25">
      <c r="A875" s="26">
        <v>43446</v>
      </c>
      <c r="B875" s="25" t="s">
        <v>205</v>
      </c>
      <c r="C875" s="25" t="s">
        <v>17</v>
      </c>
      <c r="D875" s="25">
        <v>50</v>
      </c>
      <c r="E875" s="25">
        <v>22.2</v>
      </c>
      <c r="F875" s="25">
        <v>1110</v>
      </c>
      <c r="G875" s="25" t="s">
        <v>895</v>
      </c>
      <c r="H875" s="25">
        <v>201819176</v>
      </c>
      <c r="I875" s="25" t="s">
        <v>19</v>
      </c>
      <c r="J875" s="25" t="s">
        <v>20</v>
      </c>
      <c r="K875" s="25" t="s">
        <v>21</v>
      </c>
      <c r="L875" s="25">
        <v>1</v>
      </c>
      <c r="M875" s="25">
        <v>0.05</v>
      </c>
      <c r="N875" s="25">
        <v>0.3</v>
      </c>
      <c r="O875" s="25">
        <v>32.75</v>
      </c>
      <c r="P875" s="25">
        <v>34.101700000000001</v>
      </c>
      <c r="Q875" s="25">
        <f t="shared" si="26"/>
        <v>1144.1016999999999</v>
      </c>
      <c r="R875" s="25">
        <f t="shared" si="27"/>
        <v>0</v>
      </c>
    </row>
    <row r="876" spans="1:18" hidden="1" x14ac:dyDescent="0.25">
      <c r="A876" s="26">
        <v>43433</v>
      </c>
      <c r="B876" s="25" t="s">
        <v>480</v>
      </c>
      <c r="C876" s="25" t="s">
        <v>23</v>
      </c>
      <c r="D876" s="25">
        <v>1000</v>
      </c>
      <c r="E876" s="25">
        <v>82.93</v>
      </c>
      <c r="F876" s="25">
        <v>82930.600000000006</v>
      </c>
      <c r="G876" s="25" t="s">
        <v>896</v>
      </c>
      <c r="H876" s="25">
        <v>2018225</v>
      </c>
      <c r="I876" s="25" t="s">
        <v>19</v>
      </c>
      <c r="J876" s="25" t="s">
        <v>20</v>
      </c>
      <c r="K876" s="25" t="s">
        <v>25</v>
      </c>
      <c r="L876" s="25">
        <v>20.87</v>
      </c>
      <c r="M876" s="25">
        <v>2.4900000000000002</v>
      </c>
      <c r="N876" s="25">
        <v>10.199999999999999</v>
      </c>
      <c r="O876" s="25">
        <v>49.38</v>
      </c>
      <c r="P876" s="25">
        <v>82.937799999999996</v>
      </c>
      <c r="Q876" s="25">
        <f t="shared" si="26"/>
        <v>0</v>
      </c>
      <c r="R876" s="25">
        <f t="shared" si="27"/>
        <v>82847.662200000006</v>
      </c>
    </row>
    <row r="877" spans="1:18" hidden="1" x14ac:dyDescent="0.25">
      <c r="A877" s="26">
        <v>43433</v>
      </c>
      <c r="B877" s="25" t="s">
        <v>480</v>
      </c>
      <c r="C877" s="25" t="s">
        <v>23</v>
      </c>
      <c r="D877" s="25">
        <v>500</v>
      </c>
      <c r="E877" s="25">
        <v>83.15</v>
      </c>
      <c r="F877" s="25">
        <v>41575</v>
      </c>
      <c r="G877" s="25" t="s">
        <v>897</v>
      </c>
      <c r="H877" s="25">
        <v>2018225</v>
      </c>
      <c r="I877" s="25" t="s">
        <v>19</v>
      </c>
      <c r="J877" s="25" t="s">
        <v>20</v>
      </c>
      <c r="K877" s="25" t="s">
        <v>25</v>
      </c>
      <c r="L877" s="25">
        <v>10.57</v>
      </c>
      <c r="M877" s="25">
        <v>1.25</v>
      </c>
      <c r="N877" s="25">
        <v>0</v>
      </c>
      <c r="O877" s="25">
        <v>29.72</v>
      </c>
      <c r="P877" s="25">
        <v>41.537300000000002</v>
      </c>
      <c r="Q877" s="25">
        <f t="shared" si="26"/>
        <v>0</v>
      </c>
      <c r="R877" s="25">
        <f t="shared" si="27"/>
        <v>41533.462699999996</v>
      </c>
    </row>
    <row r="878" spans="1:18" hidden="1" x14ac:dyDescent="0.25">
      <c r="A878" s="26">
        <v>43433</v>
      </c>
      <c r="B878" s="25" t="s">
        <v>480</v>
      </c>
      <c r="C878" s="25" t="s">
        <v>23</v>
      </c>
      <c r="D878" s="25">
        <v>500</v>
      </c>
      <c r="E878" s="25">
        <v>85</v>
      </c>
      <c r="F878" s="25">
        <v>42500</v>
      </c>
      <c r="G878" s="25" t="s">
        <v>898</v>
      </c>
      <c r="H878" s="25">
        <v>2018225</v>
      </c>
      <c r="I878" s="25" t="s">
        <v>19</v>
      </c>
      <c r="J878" s="25" t="s">
        <v>20</v>
      </c>
      <c r="K878" s="25" t="s">
        <v>25</v>
      </c>
      <c r="L878" s="25">
        <v>10.57</v>
      </c>
      <c r="M878" s="25">
        <v>1.28</v>
      </c>
      <c r="N878" s="25">
        <v>0</v>
      </c>
      <c r="O878" s="25">
        <v>29.73</v>
      </c>
      <c r="P878" s="25">
        <v>41.575099999999999</v>
      </c>
      <c r="Q878" s="25">
        <f t="shared" si="26"/>
        <v>0</v>
      </c>
      <c r="R878" s="25">
        <f t="shared" si="27"/>
        <v>42458.424899999998</v>
      </c>
    </row>
    <row r="879" spans="1:18" hidden="1" x14ac:dyDescent="0.25">
      <c r="A879" s="26">
        <v>43433</v>
      </c>
      <c r="B879" s="25" t="s">
        <v>480</v>
      </c>
      <c r="C879" s="25" t="s">
        <v>17</v>
      </c>
      <c r="D879" s="25">
        <v>2000</v>
      </c>
      <c r="E879" s="25">
        <v>85.55</v>
      </c>
      <c r="F879" s="25">
        <v>171100</v>
      </c>
      <c r="G879" s="25" t="s">
        <v>899</v>
      </c>
      <c r="H879" s="25">
        <v>2018225</v>
      </c>
      <c r="I879" s="25" t="s">
        <v>19</v>
      </c>
      <c r="J879" s="25" t="s">
        <v>20</v>
      </c>
      <c r="K879" s="25" t="s">
        <v>25</v>
      </c>
      <c r="L879" s="25">
        <v>0</v>
      </c>
      <c r="M879" s="25">
        <v>5.13</v>
      </c>
      <c r="N879" s="25">
        <v>0</v>
      </c>
      <c r="O879" s="25">
        <v>101.87</v>
      </c>
      <c r="P879" s="25">
        <v>107.0031</v>
      </c>
      <c r="Q879" s="25">
        <f t="shared" si="26"/>
        <v>171207.0031</v>
      </c>
      <c r="R879" s="25">
        <f t="shared" si="27"/>
        <v>0</v>
      </c>
    </row>
    <row r="880" spans="1:18" hidden="1" x14ac:dyDescent="0.25">
      <c r="A880" s="26">
        <v>43419</v>
      </c>
      <c r="B880" s="25" t="s">
        <v>738</v>
      </c>
      <c r="C880" s="25" t="s">
        <v>23</v>
      </c>
      <c r="D880" s="25">
        <v>5000</v>
      </c>
      <c r="E880" s="25">
        <v>370.7</v>
      </c>
      <c r="F880" s="25">
        <v>1853500</v>
      </c>
      <c r="G880" s="25" t="s">
        <v>814</v>
      </c>
      <c r="H880" s="25">
        <v>2018216</v>
      </c>
      <c r="I880" s="25" t="s">
        <v>19</v>
      </c>
      <c r="J880" s="25" t="s">
        <v>20</v>
      </c>
      <c r="K880" s="25" t="s">
        <v>25</v>
      </c>
      <c r="L880" s="25">
        <v>463.36</v>
      </c>
      <c r="M880" s="25">
        <v>55.61</v>
      </c>
      <c r="N880" s="25">
        <v>0</v>
      </c>
      <c r="O880" s="25">
        <v>1103.58</v>
      </c>
      <c r="P880" s="25">
        <v>1622.5451</v>
      </c>
      <c r="Q880" s="25">
        <f t="shared" si="26"/>
        <v>0</v>
      </c>
      <c r="R880" s="25">
        <f t="shared" si="27"/>
        <v>1851877.4549</v>
      </c>
    </row>
    <row r="881" spans="1:18" hidden="1" x14ac:dyDescent="0.25">
      <c r="A881" s="26">
        <v>43419</v>
      </c>
      <c r="B881" s="25" t="s">
        <v>738</v>
      </c>
      <c r="C881" s="25" t="s">
        <v>17</v>
      </c>
      <c r="D881" s="25">
        <v>5000</v>
      </c>
      <c r="E881" s="25">
        <v>372.06</v>
      </c>
      <c r="F881" s="25">
        <v>1860281.85</v>
      </c>
      <c r="G881" s="25" t="s">
        <v>815</v>
      </c>
      <c r="H881" s="25">
        <v>2018216</v>
      </c>
      <c r="I881" s="25" t="s">
        <v>19</v>
      </c>
      <c r="J881" s="25" t="s">
        <v>20</v>
      </c>
      <c r="K881" s="25" t="s">
        <v>25</v>
      </c>
      <c r="L881" s="25">
        <v>0</v>
      </c>
      <c r="M881" s="25">
        <v>55.81</v>
      </c>
      <c r="N881" s="25">
        <v>223.8</v>
      </c>
      <c r="O881" s="25">
        <v>1107.6199999999999</v>
      </c>
      <c r="P881" s="25">
        <v>1387.2285999999999</v>
      </c>
      <c r="Q881" s="25">
        <f t="shared" si="26"/>
        <v>1861669.0786000001</v>
      </c>
      <c r="R881" s="25">
        <f t="shared" si="27"/>
        <v>0</v>
      </c>
    </row>
    <row r="882" spans="1:18" hidden="1" x14ac:dyDescent="0.25">
      <c r="A882" s="26">
        <v>43419</v>
      </c>
      <c r="B882" s="25" t="s">
        <v>738</v>
      </c>
      <c r="C882" s="25" t="s">
        <v>17</v>
      </c>
      <c r="D882" s="25">
        <v>5000</v>
      </c>
      <c r="E882" s="25">
        <v>371</v>
      </c>
      <c r="F882" s="25">
        <v>1855000</v>
      </c>
      <c r="G882" s="25" t="s">
        <v>816</v>
      </c>
      <c r="H882" s="25">
        <v>2018216</v>
      </c>
      <c r="I882" s="25" t="s">
        <v>19</v>
      </c>
      <c r="J882" s="25" t="s">
        <v>20</v>
      </c>
      <c r="K882" s="25" t="s">
        <v>25</v>
      </c>
      <c r="L882" s="25">
        <v>0</v>
      </c>
      <c r="M882" s="25">
        <v>55.65</v>
      </c>
      <c r="N882" s="25">
        <v>0</v>
      </c>
      <c r="O882" s="25">
        <v>1104.52</v>
      </c>
      <c r="P882" s="25">
        <v>1160.1701</v>
      </c>
      <c r="Q882" s="25">
        <f t="shared" si="26"/>
        <v>1856160.1701</v>
      </c>
      <c r="R882" s="25">
        <f t="shared" si="27"/>
        <v>0</v>
      </c>
    </row>
    <row r="883" spans="1:18" hidden="1" x14ac:dyDescent="0.25">
      <c r="A883" s="26">
        <v>43419</v>
      </c>
      <c r="B883" s="25" t="s">
        <v>738</v>
      </c>
      <c r="C883" s="25" t="s">
        <v>23</v>
      </c>
      <c r="D883" s="25">
        <v>5000</v>
      </c>
      <c r="E883" s="25">
        <v>369</v>
      </c>
      <c r="F883" s="25">
        <v>1845000</v>
      </c>
      <c r="G883" s="25" t="s">
        <v>817</v>
      </c>
      <c r="H883" s="25">
        <v>2018216</v>
      </c>
      <c r="I883" s="25" t="s">
        <v>19</v>
      </c>
      <c r="J883" s="25" t="s">
        <v>20</v>
      </c>
      <c r="K883" s="25" t="s">
        <v>25</v>
      </c>
      <c r="L883" s="25">
        <v>463.36</v>
      </c>
      <c r="M883" s="25">
        <v>55.35</v>
      </c>
      <c r="N883" s="25">
        <v>0</v>
      </c>
      <c r="O883" s="25">
        <v>1098.55</v>
      </c>
      <c r="P883" s="25">
        <v>1617.2606000000001</v>
      </c>
      <c r="Q883" s="25">
        <f t="shared" si="26"/>
        <v>0</v>
      </c>
      <c r="R883" s="25">
        <f t="shared" si="27"/>
        <v>1843382.7394000001</v>
      </c>
    </row>
    <row r="884" spans="1:18" hidden="1" x14ac:dyDescent="0.25">
      <c r="A884" s="26">
        <v>43419</v>
      </c>
      <c r="B884" s="25" t="s">
        <v>190</v>
      </c>
      <c r="C884" s="25" t="s">
        <v>23</v>
      </c>
      <c r="D884" s="25">
        <v>5000</v>
      </c>
      <c r="E884" s="25">
        <v>4.18</v>
      </c>
      <c r="F884" s="25">
        <v>20900</v>
      </c>
      <c r="G884" s="25" t="s">
        <v>818</v>
      </c>
      <c r="H884" s="25">
        <v>2018216</v>
      </c>
      <c r="I884" s="25" t="s">
        <v>19</v>
      </c>
      <c r="J884" s="25" t="s">
        <v>20</v>
      </c>
      <c r="K884" s="25" t="s">
        <v>25</v>
      </c>
      <c r="L884" s="25">
        <v>21.04</v>
      </c>
      <c r="M884" s="25">
        <v>0.63</v>
      </c>
      <c r="N884" s="25">
        <v>0</v>
      </c>
      <c r="O884" s="25">
        <v>295.11</v>
      </c>
      <c r="P884" s="25">
        <v>316.77699999999999</v>
      </c>
      <c r="Q884" s="25">
        <f t="shared" si="26"/>
        <v>0</v>
      </c>
      <c r="R884" s="25">
        <f t="shared" si="27"/>
        <v>20583.223000000002</v>
      </c>
    </row>
    <row r="885" spans="1:18" hidden="1" x14ac:dyDescent="0.25">
      <c r="A885" s="26">
        <v>43419</v>
      </c>
      <c r="B885" s="25" t="s">
        <v>16</v>
      </c>
      <c r="C885" s="25" t="s">
        <v>23</v>
      </c>
      <c r="D885" s="25">
        <v>100</v>
      </c>
      <c r="E885" s="25">
        <v>42.05</v>
      </c>
      <c r="F885" s="25">
        <v>4205</v>
      </c>
      <c r="G885" s="25" t="s">
        <v>819</v>
      </c>
      <c r="H885" s="25">
        <v>2018216</v>
      </c>
      <c r="I885" s="25" t="s">
        <v>19</v>
      </c>
      <c r="J885" s="25" t="s">
        <v>20</v>
      </c>
      <c r="K885" s="25" t="s">
        <v>25</v>
      </c>
      <c r="L885" s="25">
        <v>4.21</v>
      </c>
      <c r="M885" s="25">
        <v>0.13</v>
      </c>
      <c r="N885" s="25">
        <v>0</v>
      </c>
      <c r="O885" s="25">
        <v>41.32</v>
      </c>
      <c r="P885" s="25">
        <v>45.656100000000002</v>
      </c>
      <c r="Q885" s="25">
        <f t="shared" si="26"/>
        <v>0</v>
      </c>
      <c r="R885" s="25">
        <f t="shared" si="27"/>
        <v>4159.3438999999998</v>
      </c>
    </row>
    <row r="886" spans="1:18" hidden="1" x14ac:dyDescent="0.25">
      <c r="A886" s="26">
        <v>43419</v>
      </c>
      <c r="B886" s="25" t="s">
        <v>205</v>
      </c>
      <c r="C886" s="25" t="s">
        <v>23</v>
      </c>
      <c r="D886" s="25">
        <v>200</v>
      </c>
      <c r="E886" s="25">
        <v>24.65</v>
      </c>
      <c r="F886" s="25">
        <v>4930</v>
      </c>
      <c r="G886" s="25" t="s">
        <v>820</v>
      </c>
      <c r="H886" s="25">
        <v>2018216</v>
      </c>
      <c r="I886" s="25" t="s">
        <v>19</v>
      </c>
      <c r="J886" s="25" t="s">
        <v>20</v>
      </c>
      <c r="K886" s="25" t="s">
        <v>25</v>
      </c>
      <c r="L886" s="25">
        <v>4.93</v>
      </c>
      <c r="M886" s="25">
        <v>0.15</v>
      </c>
      <c r="N886" s="25">
        <v>0</v>
      </c>
      <c r="O886" s="25">
        <v>41.33</v>
      </c>
      <c r="P886" s="25">
        <v>46.407899999999998</v>
      </c>
      <c r="Q886" s="25">
        <f t="shared" si="26"/>
        <v>0</v>
      </c>
      <c r="R886" s="25">
        <f t="shared" si="27"/>
        <v>4883.5920999999998</v>
      </c>
    </row>
    <row r="887" spans="1:18" hidden="1" x14ac:dyDescent="0.25">
      <c r="A887" s="26">
        <v>43419</v>
      </c>
      <c r="B887" s="25" t="s">
        <v>288</v>
      </c>
      <c r="C887" s="25" t="s">
        <v>23</v>
      </c>
      <c r="D887" s="25">
        <v>600</v>
      </c>
      <c r="E887" s="25">
        <v>23.5</v>
      </c>
      <c r="F887" s="25">
        <v>14100</v>
      </c>
      <c r="G887" s="25" t="s">
        <v>821</v>
      </c>
      <c r="H887" s="25">
        <v>2018216</v>
      </c>
      <c r="I887" s="25" t="s">
        <v>19</v>
      </c>
      <c r="J887" s="25" t="s">
        <v>20</v>
      </c>
      <c r="K887" s="25" t="s">
        <v>25</v>
      </c>
      <c r="L887" s="25">
        <v>14.1</v>
      </c>
      <c r="M887" s="25">
        <v>0.42</v>
      </c>
      <c r="N887" s="25">
        <v>0</v>
      </c>
      <c r="O887" s="25">
        <v>91.59</v>
      </c>
      <c r="P887" s="25">
        <v>106.1131</v>
      </c>
      <c r="Q887" s="25">
        <f t="shared" si="26"/>
        <v>0</v>
      </c>
      <c r="R887" s="25">
        <f t="shared" si="27"/>
        <v>13993.8869</v>
      </c>
    </row>
    <row r="888" spans="1:18" hidden="1" x14ac:dyDescent="0.25">
      <c r="A888" s="26">
        <v>43418</v>
      </c>
      <c r="B888" s="25" t="s">
        <v>738</v>
      </c>
      <c r="C888" s="25" t="s">
        <v>17</v>
      </c>
      <c r="D888" s="25">
        <v>1000</v>
      </c>
      <c r="E888" s="25">
        <v>362</v>
      </c>
      <c r="F888" s="25">
        <v>362000</v>
      </c>
      <c r="G888" s="25" t="s">
        <v>822</v>
      </c>
      <c r="H888" s="25">
        <v>2018215</v>
      </c>
      <c r="I888" s="25" t="s">
        <v>19</v>
      </c>
      <c r="J888" s="25" t="s">
        <v>20</v>
      </c>
      <c r="K888" s="25" t="s">
        <v>25</v>
      </c>
      <c r="L888" s="25">
        <v>0</v>
      </c>
      <c r="M888" s="25">
        <v>10.86</v>
      </c>
      <c r="N888" s="25">
        <v>0</v>
      </c>
      <c r="O888" s="25">
        <v>215.53</v>
      </c>
      <c r="P888" s="25">
        <v>226.38980000000001</v>
      </c>
      <c r="Q888" s="25">
        <f t="shared" si="26"/>
        <v>362226.3898</v>
      </c>
      <c r="R888" s="25">
        <f t="shared" si="27"/>
        <v>0</v>
      </c>
    </row>
    <row r="889" spans="1:18" hidden="1" x14ac:dyDescent="0.25">
      <c r="A889" s="26">
        <v>43418</v>
      </c>
      <c r="B889" s="25" t="s">
        <v>738</v>
      </c>
      <c r="C889" s="25" t="s">
        <v>23</v>
      </c>
      <c r="D889" s="25">
        <v>1000</v>
      </c>
      <c r="E889" s="25">
        <v>366</v>
      </c>
      <c r="F889" s="25">
        <v>366000</v>
      </c>
      <c r="G889" s="25" t="s">
        <v>823</v>
      </c>
      <c r="H889" s="25">
        <v>2018215</v>
      </c>
      <c r="I889" s="25" t="s">
        <v>19</v>
      </c>
      <c r="J889" s="25" t="s">
        <v>20</v>
      </c>
      <c r="K889" s="25" t="s">
        <v>25</v>
      </c>
      <c r="L889" s="25">
        <v>91.42</v>
      </c>
      <c r="M889" s="25">
        <v>10.98</v>
      </c>
      <c r="N889" s="25">
        <v>0</v>
      </c>
      <c r="O889" s="25">
        <v>217.92</v>
      </c>
      <c r="P889" s="25">
        <v>320.32010000000002</v>
      </c>
      <c r="Q889" s="25">
        <f t="shared" si="26"/>
        <v>0</v>
      </c>
      <c r="R889" s="25">
        <f t="shared" si="27"/>
        <v>365679.67989999999</v>
      </c>
    </row>
    <row r="890" spans="1:18" hidden="1" x14ac:dyDescent="0.25">
      <c r="A890" s="26">
        <v>43418</v>
      </c>
      <c r="B890" s="25" t="s">
        <v>738</v>
      </c>
      <c r="C890" s="25" t="s">
        <v>17</v>
      </c>
      <c r="D890" s="25">
        <v>1000</v>
      </c>
      <c r="E890" s="25">
        <v>364.25</v>
      </c>
      <c r="F890" s="25">
        <v>364250</v>
      </c>
      <c r="G890" s="25" t="s">
        <v>824</v>
      </c>
      <c r="H890" s="25">
        <v>2018215</v>
      </c>
      <c r="I890" s="25" t="s">
        <v>19</v>
      </c>
      <c r="J890" s="25" t="s">
        <v>20</v>
      </c>
      <c r="K890" s="25" t="s">
        <v>25</v>
      </c>
      <c r="L890" s="25">
        <v>0</v>
      </c>
      <c r="M890" s="25">
        <v>10.93</v>
      </c>
      <c r="N890" s="25">
        <v>0</v>
      </c>
      <c r="O890" s="25">
        <v>216.87</v>
      </c>
      <c r="P890" s="25">
        <v>227.79750000000001</v>
      </c>
      <c r="Q890" s="25">
        <f t="shared" si="26"/>
        <v>364477.79749999999</v>
      </c>
      <c r="R890" s="25">
        <f t="shared" si="27"/>
        <v>0</v>
      </c>
    </row>
    <row r="891" spans="1:18" hidden="1" x14ac:dyDescent="0.25">
      <c r="A891" s="26">
        <v>43418</v>
      </c>
      <c r="B891" s="25" t="s">
        <v>738</v>
      </c>
      <c r="C891" s="25" t="s">
        <v>23</v>
      </c>
      <c r="D891" s="25">
        <v>10000</v>
      </c>
      <c r="E891" s="25">
        <v>364</v>
      </c>
      <c r="F891" s="25">
        <v>3640000</v>
      </c>
      <c r="G891" s="25" t="s">
        <v>825</v>
      </c>
      <c r="H891" s="25">
        <v>2018215</v>
      </c>
      <c r="I891" s="25" t="s">
        <v>19</v>
      </c>
      <c r="J891" s="25" t="s">
        <v>20</v>
      </c>
      <c r="K891" s="25" t="s">
        <v>25</v>
      </c>
      <c r="L891" s="25">
        <v>914.24</v>
      </c>
      <c r="M891" s="25">
        <v>109.2</v>
      </c>
      <c r="N891" s="25">
        <v>0</v>
      </c>
      <c r="O891" s="25">
        <v>2167.2800000000002</v>
      </c>
      <c r="P891" s="25">
        <v>3190.7204000000002</v>
      </c>
      <c r="Q891" s="25">
        <f t="shared" si="26"/>
        <v>0</v>
      </c>
      <c r="R891" s="25">
        <f t="shared" si="27"/>
        <v>3636809.2796</v>
      </c>
    </row>
    <row r="892" spans="1:18" hidden="1" x14ac:dyDescent="0.25">
      <c r="A892" s="26">
        <v>43418</v>
      </c>
      <c r="B892" s="25" t="s">
        <v>738</v>
      </c>
      <c r="C892" s="25" t="s">
        <v>17</v>
      </c>
      <c r="D892" s="25">
        <v>9000</v>
      </c>
      <c r="E892" s="25">
        <v>365.4</v>
      </c>
      <c r="F892" s="25">
        <v>3288587.8</v>
      </c>
      <c r="G892" s="25" t="s">
        <v>826</v>
      </c>
      <c r="H892" s="25">
        <v>2018215</v>
      </c>
      <c r="I892" s="25" t="s">
        <v>19</v>
      </c>
      <c r="J892" s="25" t="s">
        <v>20</v>
      </c>
      <c r="K892" s="25" t="s">
        <v>25</v>
      </c>
      <c r="L892" s="25">
        <v>0</v>
      </c>
      <c r="M892" s="25">
        <v>98.66</v>
      </c>
      <c r="N892" s="25">
        <v>0</v>
      </c>
      <c r="O892" s="25">
        <v>1958.07</v>
      </c>
      <c r="P892" s="25">
        <v>2056.7274000000002</v>
      </c>
      <c r="Q892" s="25">
        <f t="shared" si="26"/>
        <v>3290644.5274</v>
      </c>
      <c r="R892" s="25">
        <f t="shared" si="27"/>
        <v>0</v>
      </c>
    </row>
    <row r="893" spans="1:18" hidden="1" x14ac:dyDescent="0.25">
      <c r="A893" s="26">
        <v>43418</v>
      </c>
      <c r="B893" s="25" t="s">
        <v>738</v>
      </c>
      <c r="C893" s="25" t="s">
        <v>17</v>
      </c>
      <c r="D893" s="25">
        <v>8000</v>
      </c>
      <c r="E893" s="25">
        <v>365.55</v>
      </c>
      <c r="F893" s="25">
        <v>2924387.25</v>
      </c>
      <c r="G893" s="25" t="s">
        <v>827</v>
      </c>
      <c r="H893" s="25">
        <v>2018215</v>
      </c>
      <c r="I893" s="25" t="s">
        <v>19</v>
      </c>
      <c r="J893" s="25" t="s">
        <v>20</v>
      </c>
      <c r="K893" s="25" t="s">
        <v>25</v>
      </c>
      <c r="L893" s="25">
        <v>0</v>
      </c>
      <c r="M893" s="25">
        <v>87.73</v>
      </c>
      <c r="N893" s="25">
        <v>0</v>
      </c>
      <c r="O893" s="25">
        <v>1741.18</v>
      </c>
      <c r="P893" s="25">
        <v>1828.9117000000001</v>
      </c>
      <c r="Q893" s="25">
        <f t="shared" si="26"/>
        <v>2926216.1617000001</v>
      </c>
      <c r="R893" s="25">
        <f t="shared" si="27"/>
        <v>0</v>
      </c>
    </row>
    <row r="894" spans="1:18" hidden="1" x14ac:dyDescent="0.25">
      <c r="A894" s="26">
        <v>43418</v>
      </c>
      <c r="B894" s="25" t="s">
        <v>738</v>
      </c>
      <c r="C894" s="25" t="s">
        <v>23</v>
      </c>
      <c r="D894" s="25">
        <v>8000</v>
      </c>
      <c r="E894" s="25">
        <v>368.07</v>
      </c>
      <c r="F894" s="25">
        <v>2944530.8</v>
      </c>
      <c r="G894" s="25" t="s">
        <v>828</v>
      </c>
      <c r="H894" s="25">
        <v>2018215</v>
      </c>
      <c r="I894" s="25" t="s">
        <v>19</v>
      </c>
      <c r="J894" s="25" t="s">
        <v>20</v>
      </c>
      <c r="K894" s="25" t="s">
        <v>25</v>
      </c>
      <c r="L894" s="25">
        <v>731.39</v>
      </c>
      <c r="M894" s="25">
        <v>88.34</v>
      </c>
      <c r="N894" s="25">
        <v>0</v>
      </c>
      <c r="O894" s="25">
        <v>1753.17</v>
      </c>
      <c r="P894" s="25">
        <v>2572.8960000000002</v>
      </c>
      <c r="Q894" s="25">
        <f t="shared" si="26"/>
        <v>0</v>
      </c>
      <c r="R894" s="25">
        <f t="shared" si="27"/>
        <v>2941957.9039999996</v>
      </c>
    </row>
    <row r="895" spans="1:18" hidden="1" x14ac:dyDescent="0.25">
      <c r="A895" s="26">
        <v>43418</v>
      </c>
      <c r="B895" s="25" t="s">
        <v>738</v>
      </c>
      <c r="C895" s="25" t="s">
        <v>17</v>
      </c>
      <c r="D895" s="25">
        <v>2500</v>
      </c>
      <c r="E895" s="25">
        <v>366.5</v>
      </c>
      <c r="F895" s="25">
        <v>916250</v>
      </c>
      <c r="G895" s="25" t="s">
        <v>829</v>
      </c>
      <c r="H895" s="25">
        <v>2018215</v>
      </c>
      <c r="I895" s="25" t="s">
        <v>19</v>
      </c>
      <c r="J895" s="25" t="s">
        <v>20</v>
      </c>
      <c r="K895" s="25" t="s">
        <v>25</v>
      </c>
      <c r="L895" s="25">
        <v>0</v>
      </c>
      <c r="M895" s="25">
        <v>27.49</v>
      </c>
      <c r="N895" s="25">
        <v>0</v>
      </c>
      <c r="O895" s="25">
        <v>545.53</v>
      </c>
      <c r="P895" s="25">
        <v>573.01769999999999</v>
      </c>
      <c r="Q895" s="25">
        <f t="shared" si="26"/>
        <v>916823.01769999997</v>
      </c>
      <c r="R895" s="25">
        <f t="shared" si="27"/>
        <v>0</v>
      </c>
    </row>
    <row r="896" spans="1:18" hidden="1" x14ac:dyDescent="0.25">
      <c r="A896" s="26">
        <v>43418</v>
      </c>
      <c r="B896" s="25" t="s">
        <v>738</v>
      </c>
      <c r="C896" s="25" t="s">
        <v>17</v>
      </c>
      <c r="D896" s="25">
        <v>2500</v>
      </c>
      <c r="E896" s="25">
        <v>366</v>
      </c>
      <c r="F896" s="25">
        <v>915000</v>
      </c>
      <c r="G896" s="25" t="s">
        <v>830</v>
      </c>
      <c r="H896" s="25">
        <v>2018215</v>
      </c>
      <c r="I896" s="25" t="s">
        <v>19</v>
      </c>
      <c r="J896" s="25" t="s">
        <v>20</v>
      </c>
      <c r="K896" s="25" t="s">
        <v>25</v>
      </c>
      <c r="L896" s="25">
        <v>0</v>
      </c>
      <c r="M896" s="25">
        <v>27.45</v>
      </c>
      <c r="N896" s="25">
        <v>0</v>
      </c>
      <c r="O896" s="25">
        <v>544.79999999999995</v>
      </c>
      <c r="P896" s="25">
        <v>572.25</v>
      </c>
      <c r="Q896" s="25">
        <f t="shared" si="26"/>
        <v>915572.25</v>
      </c>
      <c r="R896" s="25">
        <f t="shared" si="27"/>
        <v>0</v>
      </c>
    </row>
    <row r="897" spans="1:18" hidden="1" x14ac:dyDescent="0.25">
      <c r="A897" s="26">
        <v>43418</v>
      </c>
      <c r="B897" s="25" t="s">
        <v>738</v>
      </c>
      <c r="C897" s="25" t="s">
        <v>23</v>
      </c>
      <c r="D897" s="25">
        <v>5000</v>
      </c>
      <c r="E897" s="25">
        <v>365.19</v>
      </c>
      <c r="F897" s="25">
        <v>1825946.75</v>
      </c>
      <c r="G897" s="25" t="s">
        <v>831</v>
      </c>
      <c r="H897" s="25">
        <v>2018215</v>
      </c>
      <c r="I897" s="25" t="s">
        <v>19</v>
      </c>
      <c r="J897" s="25" t="s">
        <v>20</v>
      </c>
      <c r="K897" s="25" t="s">
        <v>25</v>
      </c>
      <c r="L897" s="25">
        <v>457.12</v>
      </c>
      <c r="M897" s="25">
        <v>54.78</v>
      </c>
      <c r="N897" s="25">
        <v>0</v>
      </c>
      <c r="O897" s="25">
        <v>1087.18</v>
      </c>
      <c r="P897" s="25">
        <v>1599.0784000000001</v>
      </c>
      <c r="Q897" s="25">
        <f t="shared" si="26"/>
        <v>0</v>
      </c>
      <c r="R897" s="25">
        <f t="shared" si="27"/>
        <v>1824347.6716</v>
      </c>
    </row>
    <row r="898" spans="1:18" hidden="1" x14ac:dyDescent="0.25">
      <c r="A898" s="26">
        <v>43418</v>
      </c>
      <c r="B898" s="25" t="s">
        <v>738</v>
      </c>
      <c r="C898" s="25" t="s">
        <v>23</v>
      </c>
      <c r="D898" s="25">
        <v>8000</v>
      </c>
      <c r="E898" s="25">
        <v>365.5</v>
      </c>
      <c r="F898" s="25">
        <v>2924000</v>
      </c>
      <c r="G898" s="25" t="s">
        <v>832</v>
      </c>
      <c r="H898" s="25">
        <v>2018215</v>
      </c>
      <c r="I898" s="25" t="s">
        <v>19</v>
      </c>
      <c r="J898" s="25" t="s">
        <v>20</v>
      </c>
      <c r="K898" s="25" t="s">
        <v>25</v>
      </c>
      <c r="L898" s="25">
        <v>731.82</v>
      </c>
      <c r="M898" s="25">
        <v>87.72</v>
      </c>
      <c r="N898" s="25">
        <v>702.3</v>
      </c>
      <c r="O898" s="25">
        <v>1740.95</v>
      </c>
      <c r="P898" s="25">
        <v>3262.7903999999999</v>
      </c>
      <c r="Q898" s="25">
        <f t="shared" si="26"/>
        <v>0</v>
      </c>
      <c r="R898" s="25">
        <f t="shared" si="27"/>
        <v>2920737.2096000002</v>
      </c>
    </row>
    <row r="899" spans="1:18" hidden="1" x14ac:dyDescent="0.25">
      <c r="A899" s="26">
        <v>43418</v>
      </c>
      <c r="B899" s="25" t="s">
        <v>738</v>
      </c>
      <c r="C899" s="25" t="s">
        <v>17</v>
      </c>
      <c r="D899" s="25">
        <v>8000</v>
      </c>
      <c r="E899" s="25">
        <v>366.7</v>
      </c>
      <c r="F899" s="25">
        <v>2933602.75</v>
      </c>
      <c r="G899" s="25" t="s">
        <v>833</v>
      </c>
      <c r="H899" s="25">
        <v>2018215</v>
      </c>
      <c r="I899" s="25" t="s">
        <v>19</v>
      </c>
      <c r="J899" s="25" t="s">
        <v>20</v>
      </c>
      <c r="K899" s="25" t="s">
        <v>25</v>
      </c>
      <c r="L899" s="25">
        <v>0</v>
      </c>
      <c r="M899" s="25">
        <v>88.01</v>
      </c>
      <c r="N899" s="25">
        <v>0</v>
      </c>
      <c r="O899" s="25">
        <v>1746.68</v>
      </c>
      <c r="P899" s="25">
        <v>1834.6880000000001</v>
      </c>
      <c r="Q899" s="25">
        <f t="shared" ref="Q899:Q962" si="28">IF(C899="Buy",F899+P899,0)</f>
        <v>2935437.4380000001</v>
      </c>
      <c r="R899" s="25">
        <f t="shared" ref="R899:R962" si="29">IF(C899="Sell",F899-P899,0)</f>
        <v>0</v>
      </c>
    </row>
    <row r="900" spans="1:18" hidden="1" x14ac:dyDescent="0.25">
      <c r="A900" s="26">
        <v>43404</v>
      </c>
      <c r="B900" s="25" t="s">
        <v>738</v>
      </c>
      <c r="C900" s="25" t="s">
        <v>23</v>
      </c>
      <c r="D900" s="25">
        <v>100</v>
      </c>
      <c r="E900" s="25">
        <v>344</v>
      </c>
      <c r="F900" s="25">
        <v>34400</v>
      </c>
      <c r="G900" s="25" t="s">
        <v>783</v>
      </c>
      <c r="H900" s="25">
        <v>2018206</v>
      </c>
      <c r="I900" s="25" t="s">
        <v>19</v>
      </c>
      <c r="J900" s="25" t="s">
        <v>20</v>
      </c>
      <c r="K900" s="25" t="s">
        <v>25</v>
      </c>
      <c r="L900" s="25">
        <v>8.4499999999999993</v>
      </c>
      <c r="M900" s="25">
        <v>1.03</v>
      </c>
      <c r="N900" s="25">
        <v>0</v>
      </c>
      <c r="O900" s="25">
        <v>29.69</v>
      </c>
      <c r="P900" s="25">
        <v>39.171999999999997</v>
      </c>
      <c r="Q900" s="25">
        <f t="shared" si="28"/>
        <v>0</v>
      </c>
      <c r="R900" s="25">
        <f t="shared" si="29"/>
        <v>34360.828000000001</v>
      </c>
    </row>
    <row r="901" spans="1:18" hidden="1" x14ac:dyDescent="0.25">
      <c r="A901" s="26">
        <v>43404</v>
      </c>
      <c r="B901" s="25" t="s">
        <v>738</v>
      </c>
      <c r="C901" s="25" t="s">
        <v>23</v>
      </c>
      <c r="D901" s="25">
        <v>2500</v>
      </c>
      <c r="E901" s="25">
        <v>349.9</v>
      </c>
      <c r="F901" s="25">
        <v>874750</v>
      </c>
      <c r="G901" s="25" t="s">
        <v>784</v>
      </c>
      <c r="H901" s="25">
        <v>2018206</v>
      </c>
      <c r="I901" s="25" t="s">
        <v>19</v>
      </c>
      <c r="J901" s="25" t="s">
        <v>20</v>
      </c>
      <c r="K901" s="25" t="s">
        <v>25</v>
      </c>
      <c r="L901" s="25">
        <v>220.98</v>
      </c>
      <c r="M901" s="25">
        <v>26.24</v>
      </c>
      <c r="N901" s="25">
        <v>0</v>
      </c>
      <c r="O901" s="25">
        <v>520.83000000000004</v>
      </c>
      <c r="P901" s="25">
        <v>768.05250000000001</v>
      </c>
      <c r="Q901" s="25">
        <f t="shared" si="28"/>
        <v>0</v>
      </c>
      <c r="R901" s="25">
        <f t="shared" si="29"/>
        <v>873981.94750000001</v>
      </c>
    </row>
    <row r="902" spans="1:18" hidden="1" x14ac:dyDescent="0.25">
      <c r="A902" s="26">
        <v>43404</v>
      </c>
      <c r="B902" s="25" t="s">
        <v>738</v>
      </c>
      <c r="C902" s="25" t="s">
        <v>23</v>
      </c>
      <c r="D902" s="25">
        <v>1000</v>
      </c>
      <c r="E902" s="25">
        <v>348</v>
      </c>
      <c r="F902" s="25">
        <v>348000</v>
      </c>
      <c r="G902" s="25" t="s">
        <v>785</v>
      </c>
      <c r="H902" s="25">
        <v>2018206</v>
      </c>
      <c r="I902" s="25" t="s">
        <v>19</v>
      </c>
      <c r="J902" s="25" t="s">
        <v>20</v>
      </c>
      <c r="K902" s="25" t="s">
        <v>25</v>
      </c>
      <c r="L902" s="25">
        <v>88.39</v>
      </c>
      <c r="M902" s="25">
        <v>10.44</v>
      </c>
      <c r="N902" s="25">
        <v>0</v>
      </c>
      <c r="O902" s="25">
        <v>207.2</v>
      </c>
      <c r="P902" s="25">
        <v>306.02999999999997</v>
      </c>
      <c r="Q902" s="25">
        <f t="shared" si="28"/>
        <v>0</v>
      </c>
      <c r="R902" s="25">
        <f t="shared" si="29"/>
        <v>347693.97</v>
      </c>
    </row>
    <row r="903" spans="1:18" hidden="1" x14ac:dyDescent="0.25">
      <c r="A903" s="26">
        <v>43404</v>
      </c>
      <c r="B903" s="25" t="s">
        <v>738</v>
      </c>
      <c r="C903" s="25" t="s">
        <v>23</v>
      </c>
      <c r="D903" s="25">
        <v>1000</v>
      </c>
      <c r="E903" s="25">
        <v>355</v>
      </c>
      <c r="F903" s="25">
        <v>355000</v>
      </c>
      <c r="G903" s="25" t="s">
        <v>786</v>
      </c>
      <c r="H903" s="25">
        <v>2018206</v>
      </c>
      <c r="I903" s="25" t="s">
        <v>19</v>
      </c>
      <c r="J903" s="25" t="s">
        <v>20</v>
      </c>
      <c r="K903" s="25" t="s">
        <v>25</v>
      </c>
      <c r="L903" s="25">
        <v>88.39</v>
      </c>
      <c r="M903" s="25">
        <v>10.65</v>
      </c>
      <c r="N903" s="25">
        <v>0</v>
      </c>
      <c r="O903" s="25">
        <v>211.37</v>
      </c>
      <c r="P903" s="25">
        <v>310.41000000000003</v>
      </c>
      <c r="Q903" s="25">
        <f t="shared" si="28"/>
        <v>0</v>
      </c>
      <c r="R903" s="25">
        <f t="shared" si="29"/>
        <v>354689.59</v>
      </c>
    </row>
    <row r="904" spans="1:18" hidden="1" x14ac:dyDescent="0.25">
      <c r="A904" s="26">
        <v>43404</v>
      </c>
      <c r="B904" s="25" t="s">
        <v>738</v>
      </c>
      <c r="C904" s="25" t="s">
        <v>23</v>
      </c>
      <c r="D904" s="25">
        <v>2000</v>
      </c>
      <c r="E904" s="25">
        <v>356</v>
      </c>
      <c r="F904" s="25">
        <v>712000</v>
      </c>
      <c r="G904" s="25" t="s">
        <v>787</v>
      </c>
      <c r="H904" s="25">
        <v>2018206</v>
      </c>
      <c r="I904" s="25" t="s">
        <v>19</v>
      </c>
      <c r="J904" s="25" t="s">
        <v>20</v>
      </c>
      <c r="K904" s="25" t="s">
        <v>25</v>
      </c>
      <c r="L904" s="25">
        <v>176.78</v>
      </c>
      <c r="M904" s="25">
        <v>21.36</v>
      </c>
      <c r="N904" s="25">
        <v>0</v>
      </c>
      <c r="O904" s="25">
        <v>423.92</v>
      </c>
      <c r="P904" s="25">
        <v>622.05999999999995</v>
      </c>
      <c r="Q904" s="25">
        <f t="shared" si="28"/>
        <v>0</v>
      </c>
      <c r="R904" s="25">
        <f t="shared" si="29"/>
        <v>711377.94</v>
      </c>
    </row>
    <row r="905" spans="1:18" hidden="1" x14ac:dyDescent="0.25">
      <c r="A905" s="26">
        <v>43404</v>
      </c>
      <c r="B905" s="25" t="s">
        <v>738</v>
      </c>
      <c r="C905" s="25" t="s">
        <v>17</v>
      </c>
      <c r="D905" s="25">
        <v>6600</v>
      </c>
      <c r="E905" s="25">
        <v>355</v>
      </c>
      <c r="F905" s="25">
        <v>2342968.6</v>
      </c>
      <c r="G905" s="25" t="s">
        <v>788</v>
      </c>
      <c r="H905" s="25">
        <v>2018206</v>
      </c>
      <c r="I905" s="25" t="s">
        <v>19</v>
      </c>
      <c r="J905" s="25" t="s">
        <v>20</v>
      </c>
      <c r="K905" s="25" t="s">
        <v>25</v>
      </c>
      <c r="L905" s="25">
        <v>0</v>
      </c>
      <c r="M905" s="25">
        <v>70.290000000000006</v>
      </c>
      <c r="N905" s="25">
        <v>140.1</v>
      </c>
      <c r="O905" s="25">
        <v>1395.01</v>
      </c>
      <c r="P905" s="25">
        <v>1605.4001000000001</v>
      </c>
      <c r="Q905" s="25">
        <f t="shared" si="28"/>
        <v>2344574.0001000003</v>
      </c>
      <c r="R905" s="25">
        <f t="shared" si="29"/>
        <v>0</v>
      </c>
    </row>
    <row r="906" spans="1:18" hidden="1" x14ac:dyDescent="0.25">
      <c r="A906" s="26">
        <v>43403</v>
      </c>
      <c r="B906" s="25" t="s">
        <v>738</v>
      </c>
      <c r="C906" s="25" t="s">
        <v>23</v>
      </c>
      <c r="D906" s="25">
        <v>1000</v>
      </c>
      <c r="E906" s="25">
        <v>348.5</v>
      </c>
      <c r="F906" s="25">
        <v>348500</v>
      </c>
      <c r="G906" s="25" t="s">
        <v>789</v>
      </c>
      <c r="H906" s="25">
        <v>2018205</v>
      </c>
      <c r="I906" s="25" t="s">
        <v>19</v>
      </c>
      <c r="J906" s="25" t="s">
        <v>20</v>
      </c>
      <c r="K906" s="25" t="s">
        <v>25</v>
      </c>
      <c r="L906" s="25">
        <v>86.94</v>
      </c>
      <c r="M906" s="25">
        <v>10.46</v>
      </c>
      <c r="N906" s="25">
        <v>0</v>
      </c>
      <c r="O906" s="25">
        <v>207.5</v>
      </c>
      <c r="P906" s="25">
        <v>304.89510000000001</v>
      </c>
      <c r="Q906" s="25">
        <f t="shared" si="28"/>
        <v>0</v>
      </c>
      <c r="R906" s="25">
        <f t="shared" si="29"/>
        <v>348195.10489999998</v>
      </c>
    </row>
    <row r="907" spans="1:18" hidden="1" x14ac:dyDescent="0.25">
      <c r="A907" s="26">
        <v>43403</v>
      </c>
      <c r="B907" s="25" t="s">
        <v>480</v>
      </c>
      <c r="C907" s="25" t="s">
        <v>23</v>
      </c>
      <c r="D907" s="25">
        <v>10000</v>
      </c>
      <c r="E907" s="25">
        <v>85.16</v>
      </c>
      <c r="F907" s="25">
        <v>851577</v>
      </c>
      <c r="G907" s="25" t="s">
        <v>790</v>
      </c>
      <c r="H907" s="25">
        <v>2018205</v>
      </c>
      <c r="I907" s="25" t="s">
        <v>19</v>
      </c>
      <c r="J907" s="25" t="s">
        <v>20</v>
      </c>
      <c r="K907" s="25" t="s">
        <v>25</v>
      </c>
      <c r="L907" s="25">
        <v>211.67</v>
      </c>
      <c r="M907" s="25">
        <v>25.55</v>
      </c>
      <c r="N907" s="25">
        <v>0</v>
      </c>
      <c r="O907" s="25">
        <v>507.03</v>
      </c>
      <c r="P907" s="25">
        <v>744.24710000000005</v>
      </c>
      <c r="Q907" s="25">
        <f t="shared" si="28"/>
        <v>0</v>
      </c>
      <c r="R907" s="25">
        <f t="shared" si="29"/>
        <v>850832.75289999996</v>
      </c>
    </row>
    <row r="908" spans="1:18" hidden="1" x14ac:dyDescent="0.25">
      <c r="A908" s="26">
        <v>43403</v>
      </c>
      <c r="B908" s="25" t="s">
        <v>480</v>
      </c>
      <c r="C908" s="25" t="s">
        <v>17</v>
      </c>
      <c r="D908" s="25">
        <v>10000</v>
      </c>
      <c r="E908" s="25">
        <v>85.45</v>
      </c>
      <c r="F908" s="25">
        <v>854500</v>
      </c>
      <c r="G908" s="25" t="s">
        <v>791</v>
      </c>
      <c r="H908" s="25">
        <v>2018205</v>
      </c>
      <c r="I908" s="25" t="s">
        <v>19</v>
      </c>
      <c r="J908" s="25" t="s">
        <v>20</v>
      </c>
      <c r="K908" s="25" t="s">
        <v>25</v>
      </c>
      <c r="L908" s="25">
        <v>0</v>
      </c>
      <c r="M908" s="25">
        <v>25.64</v>
      </c>
      <c r="N908" s="25">
        <v>0</v>
      </c>
      <c r="O908" s="25">
        <v>508.77</v>
      </c>
      <c r="P908" s="25">
        <v>534.40499999999997</v>
      </c>
      <c r="Q908" s="25">
        <f t="shared" si="28"/>
        <v>855034.40500000003</v>
      </c>
      <c r="R908" s="25">
        <f t="shared" si="29"/>
        <v>0</v>
      </c>
    </row>
    <row r="909" spans="1:18" hidden="1" x14ac:dyDescent="0.25">
      <c r="A909" s="26">
        <v>43403</v>
      </c>
      <c r="B909" s="25" t="s">
        <v>738</v>
      </c>
      <c r="C909" s="25" t="s">
        <v>17</v>
      </c>
      <c r="D909" s="25">
        <v>1000</v>
      </c>
      <c r="E909" s="25">
        <v>347</v>
      </c>
      <c r="F909" s="25">
        <v>347000</v>
      </c>
      <c r="G909" s="25" t="s">
        <v>792</v>
      </c>
      <c r="H909" s="25">
        <v>2018205</v>
      </c>
      <c r="I909" s="25" t="s">
        <v>19</v>
      </c>
      <c r="J909" s="25" t="s">
        <v>20</v>
      </c>
      <c r="K909" s="25" t="s">
        <v>25</v>
      </c>
      <c r="L909" s="25">
        <v>0</v>
      </c>
      <c r="M909" s="25">
        <v>10.41</v>
      </c>
      <c r="N909" s="25">
        <v>0</v>
      </c>
      <c r="O909" s="25">
        <v>206.6</v>
      </c>
      <c r="P909" s="25">
        <v>217.01</v>
      </c>
      <c r="Q909" s="25">
        <f t="shared" si="28"/>
        <v>347217.01</v>
      </c>
      <c r="R909" s="25">
        <f t="shared" si="29"/>
        <v>0</v>
      </c>
    </row>
    <row r="910" spans="1:18" hidden="1" x14ac:dyDescent="0.25">
      <c r="A910" s="26">
        <v>43403</v>
      </c>
      <c r="B910" s="25" t="s">
        <v>480</v>
      </c>
      <c r="C910" s="25" t="s">
        <v>23</v>
      </c>
      <c r="D910" s="25">
        <v>5000</v>
      </c>
      <c r="E910" s="25">
        <v>83.5</v>
      </c>
      <c r="F910" s="25">
        <v>417489.6</v>
      </c>
      <c r="G910" s="25" t="s">
        <v>793</v>
      </c>
      <c r="H910" s="25">
        <v>2018205</v>
      </c>
      <c r="I910" s="25" t="s">
        <v>19</v>
      </c>
      <c r="J910" s="25" t="s">
        <v>20</v>
      </c>
      <c r="K910" s="25" t="s">
        <v>25</v>
      </c>
      <c r="L910" s="25">
        <v>105.39</v>
      </c>
      <c r="M910" s="25">
        <v>12.52</v>
      </c>
      <c r="N910" s="25">
        <v>97.2</v>
      </c>
      <c r="O910" s="25">
        <v>248.57</v>
      </c>
      <c r="P910" s="25">
        <v>463.68490000000003</v>
      </c>
      <c r="Q910" s="25">
        <f t="shared" si="28"/>
        <v>0</v>
      </c>
      <c r="R910" s="25">
        <f t="shared" si="29"/>
        <v>417025.91509999998</v>
      </c>
    </row>
    <row r="911" spans="1:18" hidden="1" x14ac:dyDescent="0.25">
      <c r="A911" s="26">
        <v>43403</v>
      </c>
      <c r="B911" s="25" t="s">
        <v>480</v>
      </c>
      <c r="C911" s="25" t="s">
        <v>17</v>
      </c>
      <c r="D911" s="25">
        <v>5000</v>
      </c>
      <c r="E911" s="25">
        <v>83.3</v>
      </c>
      <c r="F911" s="25">
        <v>416500</v>
      </c>
      <c r="G911" s="25" t="s">
        <v>794</v>
      </c>
      <c r="H911" s="25">
        <v>2018205</v>
      </c>
      <c r="I911" s="25" t="s">
        <v>19</v>
      </c>
      <c r="J911" s="25" t="s">
        <v>20</v>
      </c>
      <c r="K911" s="25" t="s">
        <v>25</v>
      </c>
      <c r="L911" s="25">
        <v>0</v>
      </c>
      <c r="M911" s="25">
        <v>12.49</v>
      </c>
      <c r="N911" s="25">
        <v>0</v>
      </c>
      <c r="O911" s="25">
        <v>247.98</v>
      </c>
      <c r="P911" s="25">
        <v>260.47480000000002</v>
      </c>
      <c r="Q911" s="25">
        <f t="shared" si="28"/>
        <v>416760.47480000003</v>
      </c>
      <c r="R911" s="25">
        <f t="shared" si="29"/>
        <v>0</v>
      </c>
    </row>
    <row r="912" spans="1:18" hidden="1" x14ac:dyDescent="0.25">
      <c r="A912" s="26">
        <v>43402</v>
      </c>
      <c r="B912" s="25" t="s">
        <v>738</v>
      </c>
      <c r="C912" s="25" t="s">
        <v>23</v>
      </c>
      <c r="D912" s="25">
        <v>100</v>
      </c>
      <c r="E912" s="25">
        <v>336.05</v>
      </c>
      <c r="F912" s="25">
        <v>33605</v>
      </c>
      <c r="G912" s="25" t="s">
        <v>795</v>
      </c>
      <c r="H912" s="25">
        <v>2018204</v>
      </c>
      <c r="I912" s="25" t="s">
        <v>19</v>
      </c>
      <c r="J912" s="25" t="s">
        <v>20</v>
      </c>
      <c r="K912" s="25" t="s">
        <v>25</v>
      </c>
      <c r="L912" s="25">
        <v>8.84</v>
      </c>
      <c r="M912" s="25">
        <v>1.01</v>
      </c>
      <c r="N912" s="25">
        <v>21</v>
      </c>
      <c r="O912" s="25">
        <v>29.68</v>
      </c>
      <c r="P912" s="25">
        <v>60.528100000000002</v>
      </c>
      <c r="Q912" s="25">
        <f t="shared" si="28"/>
        <v>0</v>
      </c>
      <c r="R912" s="25">
        <f t="shared" si="29"/>
        <v>33544.471899999997</v>
      </c>
    </row>
    <row r="913" spans="1:18" hidden="1" x14ac:dyDescent="0.25">
      <c r="A913" s="26">
        <v>43402</v>
      </c>
      <c r="B913" s="25" t="s">
        <v>738</v>
      </c>
      <c r="C913" s="25" t="s">
        <v>23</v>
      </c>
      <c r="D913" s="25">
        <v>200</v>
      </c>
      <c r="E913" s="25">
        <v>340</v>
      </c>
      <c r="F913" s="25">
        <v>68000</v>
      </c>
      <c r="G913" s="25" t="s">
        <v>796</v>
      </c>
      <c r="H913" s="25">
        <v>2018204</v>
      </c>
      <c r="I913" s="25" t="s">
        <v>19</v>
      </c>
      <c r="J913" s="25" t="s">
        <v>20</v>
      </c>
      <c r="K913" s="25" t="s">
        <v>25</v>
      </c>
      <c r="L913" s="25">
        <v>17.37</v>
      </c>
      <c r="M913" s="25">
        <v>2.04</v>
      </c>
      <c r="N913" s="25">
        <v>0</v>
      </c>
      <c r="O913" s="25">
        <v>40.49</v>
      </c>
      <c r="P913" s="25">
        <v>59.9</v>
      </c>
      <c r="Q913" s="25">
        <f t="shared" si="28"/>
        <v>0</v>
      </c>
      <c r="R913" s="25">
        <f t="shared" si="29"/>
        <v>67940.100000000006</v>
      </c>
    </row>
    <row r="914" spans="1:18" hidden="1" x14ac:dyDescent="0.25">
      <c r="A914" s="26">
        <v>43402</v>
      </c>
      <c r="B914" s="25" t="s">
        <v>738</v>
      </c>
      <c r="C914" s="25" t="s">
        <v>23</v>
      </c>
      <c r="D914" s="25">
        <v>200</v>
      </c>
      <c r="E914" s="25">
        <v>345</v>
      </c>
      <c r="F914" s="25">
        <v>69000</v>
      </c>
      <c r="G914" s="25" t="s">
        <v>797</v>
      </c>
      <c r="H914" s="25">
        <v>2018204</v>
      </c>
      <c r="I914" s="25" t="s">
        <v>19</v>
      </c>
      <c r="J914" s="25" t="s">
        <v>20</v>
      </c>
      <c r="K914" s="25" t="s">
        <v>25</v>
      </c>
      <c r="L914" s="25">
        <v>17.37</v>
      </c>
      <c r="M914" s="25">
        <v>2.0699999999999998</v>
      </c>
      <c r="N914" s="25">
        <v>0</v>
      </c>
      <c r="O914" s="25">
        <v>41.08</v>
      </c>
      <c r="P914" s="25">
        <v>60.52</v>
      </c>
      <c r="Q914" s="25">
        <f t="shared" si="28"/>
        <v>0</v>
      </c>
      <c r="R914" s="25">
        <f t="shared" si="29"/>
        <v>68939.48</v>
      </c>
    </row>
    <row r="915" spans="1:18" hidden="1" x14ac:dyDescent="0.25">
      <c r="A915" s="26">
        <v>43402</v>
      </c>
      <c r="B915" s="25" t="s">
        <v>738</v>
      </c>
      <c r="C915" s="25" t="s">
        <v>23</v>
      </c>
      <c r="D915" s="25">
        <v>500</v>
      </c>
      <c r="E915" s="25">
        <v>349.95</v>
      </c>
      <c r="F915" s="25">
        <v>174975</v>
      </c>
      <c r="G915" s="25" t="s">
        <v>798</v>
      </c>
      <c r="H915" s="25">
        <v>2018204</v>
      </c>
      <c r="I915" s="25" t="s">
        <v>19</v>
      </c>
      <c r="J915" s="25" t="s">
        <v>20</v>
      </c>
      <c r="K915" s="25" t="s">
        <v>25</v>
      </c>
      <c r="L915" s="25">
        <v>43.42</v>
      </c>
      <c r="M915" s="25">
        <v>5.25</v>
      </c>
      <c r="N915" s="25">
        <v>0</v>
      </c>
      <c r="O915" s="25">
        <v>104.18</v>
      </c>
      <c r="P915" s="25">
        <v>152.8493</v>
      </c>
      <c r="Q915" s="25">
        <f t="shared" si="28"/>
        <v>0</v>
      </c>
      <c r="R915" s="25">
        <f t="shared" si="29"/>
        <v>174822.1507</v>
      </c>
    </row>
    <row r="916" spans="1:18" hidden="1" x14ac:dyDescent="0.25">
      <c r="A916" s="26">
        <v>43402</v>
      </c>
      <c r="B916" s="25" t="s">
        <v>738</v>
      </c>
      <c r="C916" s="25" t="s">
        <v>17</v>
      </c>
      <c r="D916" s="25">
        <v>1000</v>
      </c>
      <c r="E916" s="25">
        <v>349.15</v>
      </c>
      <c r="F916" s="25">
        <v>349150</v>
      </c>
      <c r="G916" s="25" t="s">
        <v>799</v>
      </c>
      <c r="H916" s="25">
        <v>2018204</v>
      </c>
      <c r="I916" s="25" t="s">
        <v>19</v>
      </c>
      <c r="J916" s="25" t="s">
        <v>20</v>
      </c>
      <c r="K916" s="25" t="s">
        <v>25</v>
      </c>
      <c r="L916" s="25">
        <v>0</v>
      </c>
      <c r="M916" s="25">
        <v>10.47</v>
      </c>
      <c r="N916" s="25">
        <v>0</v>
      </c>
      <c r="O916" s="25">
        <v>207.88</v>
      </c>
      <c r="P916" s="25">
        <v>218.3544</v>
      </c>
      <c r="Q916" s="25">
        <f t="shared" si="28"/>
        <v>349368.35440000001</v>
      </c>
      <c r="R916" s="25">
        <f t="shared" si="29"/>
        <v>0</v>
      </c>
    </row>
    <row r="917" spans="1:18" hidden="1" x14ac:dyDescent="0.25">
      <c r="A917" s="26">
        <v>43399</v>
      </c>
      <c r="B917" s="25" t="s">
        <v>800</v>
      </c>
      <c r="C917" s="25" t="s">
        <v>23</v>
      </c>
      <c r="D917" s="25">
        <v>1000</v>
      </c>
      <c r="E917" s="25">
        <v>320</v>
      </c>
      <c r="F917" s="25">
        <v>320000</v>
      </c>
      <c r="G917" s="25" t="s">
        <v>801</v>
      </c>
      <c r="H917" s="25">
        <v>2018203</v>
      </c>
      <c r="I917" s="25" t="s">
        <v>19</v>
      </c>
      <c r="J917" s="25" t="s">
        <v>20</v>
      </c>
      <c r="K917" s="25" t="s">
        <v>25</v>
      </c>
      <c r="L917" s="25">
        <v>79.75</v>
      </c>
      <c r="M917" s="25">
        <v>9.6</v>
      </c>
      <c r="N917" s="25">
        <v>0</v>
      </c>
      <c r="O917" s="25">
        <v>190.53</v>
      </c>
      <c r="P917" s="25">
        <v>279.88</v>
      </c>
      <c r="Q917" s="25">
        <f t="shared" si="28"/>
        <v>0</v>
      </c>
      <c r="R917" s="25">
        <f t="shared" si="29"/>
        <v>319720.12</v>
      </c>
    </row>
    <row r="918" spans="1:18" hidden="1" x14ac:dyDescent="0.25">
      <c r="A918" s="26">
        <v>43399</v>
      </c>
      <c r="B918" s="25" t="s">
        <v>800</v>
      </c>
      <c r="C918" s="25" t="s">
        <v>17</v>
      </c>
      <c r="D918" s="25">
        <v>1000</v>
      </c>
      <c r="E918" s="25">
        <v>318</v>
      </c>
      <c r="F918" s="25">
        <v>318000</v>
      </c>
      <c r="G918" s="25" t="s">
        <v>802</v>
      </c>
      <c r="H918" s="25">
        <v>2018203</v>
      </c>
      <c r="I918" s="25" t="s">
        <v>19</v>
      </c>
      <c r="J918" s="25" t="s">
        <v>20</v>
      </c>
      <c r="K918" s="25" t="s">
        <v>25</v>
      </c>
      <c r="L918" s="25">
        <v>0</v>
      </c>
      <c r="M918" s="25">
        <v>9.5399999999999991</v>
      </c>
      <c r="N918" s="25">
        <v>0</v>
      </c>
      <c r="O918" s="25">
        <v>189.34</v>
      </c>
      <c r="P918" s="25">
        <v>198.88</v>
      </c>
      <c r="Q918" s="25">
        <f t="shared" si="28"/>
        <v>318198.88</v>
      </c>
      <c r="R918" s="25">
        <f t="shared" si="29"/>
        <v>0</v>
      </c>
    </row>
    <row r="919" spans="1:18" hidden="1" x14ac:dyDescent="0.25">
      <c r="A919" s="26">
        <v>43399</v>
      </c>
      <c r="B919" s="25" t="s">
        <v>738</v>
      </c>
      <c r="C919" s="25" t="s">
        <v>23</v>
      </c>
      <c r="D919" s="25">
        <v>2500</v>
      </c>
      <c r="E919" s="25">
        <v>315</v>
      </c>
      <c r="F919" s="25">
        <v>787500</v>
      </c>
      <c r="G919" s="25" t="s">
        <v>803</v>
      </c>
      <c r="H919" s="25">
        <v>2018203</v>
      </c>
      <c r="I919" s="25" t="s">
        <v>19</v>
      </c>
      <c r="J919" s="25" t="s">
        <v>20</v>
      </c>
      <c r="K919" s="25" t="s">
        <v>25</v>
      </c>
      <c r="L919" s="25">
        <v>197.44</v>
      </c>
      <c r="M919" s="25">
        <v>23.63</v>
      </c>
      <c r="N919" s="25">
        <v>0</v>
      </c>
      <c r="O919" s="25">
        <v>468.88</v>
      </c>
      <c r="P919" s="25">
        <v>689.94510000000002</v>
      </c>
      <c r="Q919" s="25">
        <f t="shared" si="28"/>
        <v>0</v>
      </c>
      <c r="R919" s="25">
        <f t="shared" si="29"/>
        <v>786810.05489999999</v>
      </c>
    </row>
    <row r="920" spans="1:18" hidden="1" x14ac:dyDescent="0.25">
      <c r="A920" s="26">
        <v>43399</v>
      </c>
      <c r="B920" s="25" t="s">
        <v>738</v>
      </c>
      <c r="C920" s="25" t="s">
        <v>23</v>
      </c>
      <c r="D920" s="25">
        <v>1000</v>
      </c>
      <c r="E920" s="25">
        <v>317</v>
      </c>
      <c r="F920" s="25">
        <v>317000</v>
      </c>
      <c r="G920" s="25" t="s">
        <v>804</v>
      </c>
      <c r="H920" s="25">
        <v>2018203</v>
      </c>
      <c r="I920" s="25" t="s">
        <v>19</v>
      </c>
      <c r="J920" s="25" t="s">
        <v>20</v>
      </c>
      <c r="K920" s="25" t="s">
        <v>25</v>
      </c>
      <c r="L920" s="25">
        <v>78.83</v>
      </c>
      <c r="M920" s="25">
        <v>9.51</v>
      </c>
      <c r="N920" s="25">
        <v>104.7</v>
      </c>
      <c r="O920" s="25">
        <v>188.75</v>
      </c>
      <c r="P920" s="25">
        <v>381.79</v>
      </c>
      <c r="Q920" s="25">
        <f t="shared" si="28"/>
        <v>0</v>
      </c>
      <c r="R920" s="25">
        <f t="shared" si="29"/>
        <v>316618.21000000002</v>
      </c>
    </row>
    <row r="921" spans="1:18" hidden="1" x14ac:dyDescent="0.25">
      <c r="A921" s="26">
        <v>43399</v>
      </c>
      <c r="B921" s="25" t="s">
        <v>738</v>
      </c>
      <c r="C921" s="25" t="s">
        <v>23</v>
      </c>
      <c r="D921" s="25">
        <v>1000</v>
      </c>
      <c r="E921" s="25">
        <v>318</v>
      </c>
      <c r="F921" s="25">
        <v>318000</v>
      </c>
      <c r="G921" s="25" t="s">
        <v>805</v>
      </c>
      <c r="H921" s="25">
        <v>2018203</v>
      </c>
      <c r="I921" s="25" t="s">
        <v>19</v>
      </c>
      <c r="J921" s="25" t="s">
        <v>20</v>
      </c>
      <c r="K921" s="25" t="s">
        <v>25</v>
      </c>
      <c r="L921" s="25">
        <v>78.98</v>
      </c>
      <c r="M921" s="25">
        <v>9.5399999999999991</v>
      </c>
      <c r="N921" s="25">
        <v>0</v>
      </c>
      <c r="O921" s="25">
        <v>189.34</v>
      </c>
      <c r="P921" s="25">
        <v>277.86</v>
      </c>
      <c r="Q921" s="25">
        <f t="shared" si="28"/>
        <v>0</v>
      </c>
      <c r="R921" s="25">
        <f t="shared" si="29"/>
        <v>317722.14</v>
      </c>
    </row>
    <row r="922" spans="1:18" hidden="1" x14ac:dyDescent="0.25">
      <c r="A922" s="26">
        <v>43399</v>
      </c>
      <c r="B922" s="25" t="s">
        <v>738</v>
      </c>
      <c r="C922" s="25" t="s">
        <v>17</v>
      </c>
      <c r="D922" s="25">
        <v>4500</v>
      </c>
      <c r="E922" s="25">
        <v>315.7</v>
      </c>
      <c r="F922" s="25">
        <v>1420650</v>
      </c>
      <c r="G922" s="25" t="s">
        <v>806</v>
      </c>
      <c r="H922" s="25">
        <v>2018203</v>
      </c>
      <c r="I922" s="25" t="s">
        <v>19</v>
      </c>
      <c r="J922" s="25" t="s">
        <v>20</v>
      </c>
      <c r="K922" s="25" t="s">
        <v>25</v>
      </c>
      <c r="L922" s="25">
        <v>0</v>
      </c>
      <c r="M922" s="25">
        <v>42.62</v>
      </c>
      <c r="N922" s="25">
        <v>0</v>
      </c>
      <c r="O922" s="25">
        <v>845.85</v>
      </c>
      <c r="P922" s="25">
        <v>888.46939999999995</v>
      </c>
      <c r="Q922" s="25">
        <f t="shared" si="28"/>
        <v>1421538.4694000001</v>
      </c>
      <c r="R922" s="25">
        <f t="shared" si="29"/>
        <v>0</v>
      </c>
    </row>
    <row r="923" spans="1:18" hidden="1" x14ac:dyDescent="0.25">
      <c r="A923" s="26">
        <v>43398</v>
      </c>
      <c r="B923" s="25" t="s">
        <v>480</v>
      </c>
      <c r="C923" s="25" t="s">
        <v>17</v>
      </c>
      <c r="D923" s="25">
        <v>10000</v>
      </c>
      <c r="E923" s="25">
        <v>79.900000000000006</v>
      </c>
      <c r="F923" s="25">
        <v>799000</v>
      </c>
      <c r="G923" s="25" t="s">
        <v>807</v>
      </c>
      <c r="H923" s="25">
        <v>2018202</v>
      </c>
      <c r="I923" s="25" t="s">
        <v>19</v>
      </c>
      <c r="J923" s="25" t="s">
        <v>20</v>
      </c>
      <c r="K923" s="25" t="s">
        <v>25</v>
      </c>
      <c r="L923" s="25">
        <v>0</v>
      </c>
      <c r="M923" s="25">
        <v>23.97</v>
      </c>
      <c r="N923" s="25">
        <v>124.5</v>
      </c>
      <c r="O923" s="25">
        <v>475.72</v>
      </c>
      <c r="P923" s="25">
        <v>624.19039999999995</v>
      </c>
      <c r="Q923" s="25">
        <f t="shared" si="28"/>
        <v>799624.19039999996</v>
      </c>
      <c r="R923" s="25">
        <f t="shared" si="29"/>
        <v>0</v>
      </c>
    </row>
    <row r="924" spans="1:18" hidden="1" x14ac:dyDescent="0.25">
      <c r="A924" s="26">
        <v>43398</v>
      </c>
      <c r="B924" s="25" t="s">
        <v>800</v>
      </c>
      <c r="C924" s="25" t="s">
        <v>23</v>
      </c>
      <c r="D924" s="25">
        <v>1000</v>
      </c>
      <c r="E924" s="25">
        <v>313</v>
      </c>
      <c r="F924" s="25">
        <v>313000</v>
      </c>
      <c r="G924" s="25" t="s">
        <v>808</v>
      </c>
      <c r="H924" s="25">
        <v>2018202</v>
      </c>
      <c r="I924" s="25" t="s">
        <v>19</v>
      </c>
      <c r="J924" s="25" t="s">
        <v>20</v>
      </c>
      <c r="K924" s="25" t="s">
        <v>25</v>
      </c>
      <c r="L924" s="25">
        <v>79.290000000000006</v>
      </c>
      <c r="M924" s="25">
        <v>9.39</v>
      </c>
      <c r="N924" s="25">
        <v>0</v>
      </c>
      <c r="O924" s="25">
        <v>186.36</v>
      </c>
      <c r="P924" s="25">
        <v>275.0401</v>
      </c>
      <c r="Q924" s="25">
        <f t="shared" si="28"/>
        <v>0</v>
      </c>
      <c r="R924" s="25">
        <f t="shared" si="29"/>
        <v>312724.95990000002</v>
      </c>
    </row>
    <row r="925" spans="1:18" hidden="1" x14ac:dyDescent="0.25">
      <c r="A925" s="26">
        <v>43398</v>
      </c>
      <c r="B925" s="25" t="s">
        <v>800</v>
      </c>
      <c r="C925" s="25" t="s">
        <v>23</v>
      </c>
      <c r="D925" s="25">
        <v>1000</v>
      </c>
      <c r="E925" s="25">
        <v>312</v>
      </c>
      <c r="F925" s="25">
        <v>312000</v>
      </c>
      <c r="G925" s="25" t="s">
        <v>809</v>
      </c>
      <c r="H925" s="25">
        <v>2018202</v>
      </c>
      <c r="I925" s="25" t="s">
        <v>19</v>
      </c>
      <c r="J925" s="25" t="s">
        <v>20</v>
      </c>
      <c r="K925" s="25" t="s">
        <v>25</v>
      </c>
      <c r="L925" s="25">
        <v>79.290000000000006</v>
      </c>
      <c r="M925" s="25">
        <v>9.36</v>
      </c>
      <c r="N925" s="25">
        <v>0</v>
      </c>
      <c r="O925" s="25">
        <v>185.76</v>
      </c>
      <c r="P925" s="25">
        <v>274.41000000000003</v>
      </c>
      <c r="Q925" s="25">
        <f t="shared" si="28"/>
        <v>0</v>
      </c>
      <c r="R925" s="25">
        <f t="shared" si="29"/>
        <v>311725.59000000003</v>
      </c>
    </row>
    <row r="926" spans="1:18" hidden="1" x14ac:dyDescent="0.25">
      <c r="A926" s="26">
        <v>43398</v>
      </c>
      <c r="B926" s="25" t="s">
        <v>800</v>
      </c>
      <c r="C926" s="25" t="s">
        <v>23</v>
      </c>
      <c r="D926" s="25">
        <v>1000</v>
      </c>
      <c r="E926" s="25">
        <v>315</v>
      </c>
      <c r="F926" s="25">
        <v>315000</v>
      </c>
      <c r="G926" s="25" t="s">
        <v>810</v>
      </c>
      <c r="H926" s="25">
        <v>2018202</v>
      </c>
      <c r="I926" s="25" t="s">
        <v>19</v>
      </c>
      <c r="J926" s="25" t="s">
        <v>20</v>
      </c>
      <c r="K926" s="25" t="s">
        <v>25</v>
      </c>
      <c r="L926" s="25">
        <v>79.290000000000006</v>
      </c>
      <c r="M926" s="25">
        <v>9.4499999999999993</v>
      </c>
      <c r="N926" s="25">
        <v>0</v>
      </c>
      <c r="O926" s="25">
        <v>187.55</v>
      </c>
      <c r="P926" s="25">
        <v>276.29000000000002</v>
      </c>
      <c r="Q926" s="25">
        <f t="shared" si="28"/>
        <v>0</v>
      </c>
      <c r="R926" s="25">
        <f t="shared" si="29"/>
        <v>314723.71000000002</v>
      </c>
    </row>
    <row r="927" spans="1:18" hidden="1" x14ac:dyDescent="0.25">
      <c r="A927" s="26">
        <v>43398</v>
      </c>
      <c r="B927" s="25" t="s">
        <v>800</v>
      </c>
      <c r="C927" s="25" t="s">
        <v>23</v>
      </c>
      <c r="D927" s="25">
        <v>1000</v>
      </c>
      <c r="E927" s="25">
        <v>320</v>
      </c>
      <c r="F927" s="25">
        <v>320000</v>
      </c>
      <c r="G927" s="25" t="s">
        <v>811</v>
      </c>
      <c r="H927" s="25">
        <v>2018202</v>
      </c>
      <c r="I927" s="25" t="s">
        <v>19</v>
      </c>
      <c r="J927" s="25" t="s">
        <v>20</v>
      </c>
      <c r="K927" s="25" t="s">
        <v>25</v>
      </c>
      <c r="L927" s="25">
        <v>79.290000000000006</v>
      </c>
      <c r="M927" s="25">
        <v>9.6</v>
      </c>
      <c r="N927" s="25">
        <v>0</v>
      </c>
      <c r="O927" s="25">
        <v>190.53</v>
      </c>
      <c r="P927" s="25">
        <v>279.42</v>
      </c>
      <c r="Q927" s="25">
        <f t="shared" si="28"/>
        <v>0</v>
      </c>
      <c r="R927" s="25">
        <f t="shared" si="29"/>
        <v>319720.58</v>
      </c>
    </row>
    <row r="928" spans="1:18" hidden="1" x14ac:dyDescent="0.25">
      <c r="A928" s="26">
        <v>43398</v>
      </c>
      <c r="B928" s="25" t="s">
        <v>800</v>
      </c>
      <c r="C928" s="25" t="s">
        <v>17</v>
      </c>
      <c r="D928" s="25">
        <v>4000</v>
      </c>
      <c r="E928" s="25">
        <v>319.33</v>
      </c>
      <c r="F928" s="25">
        <v>1277331.3</v>
      </c>
      <c r="G928" s="25" t="s">
        <v>812</v>
      </c>
      <c r="H928" s="25">
        <v>2018202</v>
      </c>
      <c r="I928" s="25" t="s">
        <v>19</v>
      </c>
      <c r="J928" s="25" t="s">
        <v>20</v>
      </c>
      <c r="K928" s="25" t="s">
        <v>25</v>
      </c>
      <c r="L928" s="25">
        <v>0</v>
      </c>
      <c r="M928" s="25">
        <v>38.32</v>
      </c>
      <c r="N928" s="25">
        <v>0</v>
      </c>
      <c r="O928" s="25">
        <v>760.52</v>
      </c>
      <c r="P928" s="25">
        <v>798.84</v>
      </c>
      <c r="Q928" s="25">
        <f t="shared" si="28"/>
        <v>1278130.1400000001</v>
      </c>
      <c r="R928" s="25">
        <f t="shared" si="29"/>
        <v>0</v>
      </c>
    </row>
    <row r="929" spans="1:18" hidden="1" x14ac:dyDescent="0.25">
      <c r="A929" s="26">
        <v>43398</v>
      </c>
      <c r="B929" s="25" t="s">
        <v>480</v>
      </c>
      <c r="C929" s="25" t="s">
        <v>23</v>
      </c>
      <c r="D929" s="25">
        <v>10000</v>
      </c>
      <c r="E929" s="25">
        <v>81</v>
      </c>
      <c r="F929" s="25">
        <v>810000</v>
      </c>
      <c r="G929" s="25" t="s">
        <v>813</v>
      </c>
      <c r="H929" s="25">
        <v>2018202</v>
      </c>
      <c r="I929" s="25" t="s">
        <v>19</v>
      </c>
      <c r="J929" s="25" t="s">
        <v>20</v>
      </c>
      <c r="K929" s="25" t="s">
        <v>25</v>
      </c>
      <c r="L929" s="25">
        <v>200.83</v>
      </c>
      <c r="M929" s="25">
        <v>24.3</v>
      </c>
      <c r="N929" s="25">
        <v>0</v>
      </c>
      <c r="O929" s="25">
        <v>482.27</v>
      </c>
      <c r="P929" s="25">
        <v>707.4</v>
      </c>
      <c r="Q929" s="25">
        <f t="shared" si="28"/>
        <v>0</v>
      </c>
      <c r="R929" s="25">
        <f t="shared" si="29"/>
        <v>809292.6</v>
      </c>
    </row>
    <row r="930" spans="1:18" hidden="1" x14ac:dyDescent="0.25">
      <c r="A930" s="26">
        <v>43390</v>
      </c>
      <c r="B930" s="25" t="s">
        <v>480</v>
      </c>
      <c r="C930" s="25" t="s">
        <v>23</v>
      </c>
      <c r="D930" s="25">
        <v>10000</v>
      </c>
      <c r="E930" s="25">
        <v>80.75</v>
      </c>
      <c r="F930" s="25">
        <v>807500</v>
      </c>
      <c r="G930" s="25" t="s">
        <v>774</v>
      </c>
      <c r="H930" s="25">
        <v>2018197</v>
      </c>
      <c r="I930" s="25" t="s">
        <v>19</v>
      </c>
      <c r="J930" s="25" t="s">
        <v>20</v>
      </c>
      <c r="K930" s="25" t="s">
        <v>25</v>
      </c>
      <c r="L930" s="25">
        <v>199.3</v>
      </c>
      <c r="M930" s="25">
        <v>24.23</v>
      </c>
      <c r="N930" s="25">
        <v>0</v>
      </c>
      <c r="O930" s="25">
        <v>480.77</v>
      </c>
      <c r="P930" s="25">
        <v>704.29520000000002</v>
      </c>
      <c r="Q930" s="25">
        <f t="shared" si="28"/>
        <v>0</v>
      </c>
      <c r="R930" s="25">
        <f t="shared" si="29"/>
        <v>806795.70479999995</v>
      </c>
    </row>
    <row r="931" spans="1:18" hidden="1" x14ac:dyDescent="0.25">
      <c r="A931" s="26">
        <v>43390</v>
      </c>
      <c r="B931" s="25" t="s">
        <v>480</v>
      </c>
      <c r="C931" s="25" t="s">
        <v>17</v>
      </c>
      <c r="D931" s="25">
        <v>10000</v>
      </c>
      <c r="E931" s="25">
        <v>80.599999999999994</v>
      </c>
      <c r="F931" s="25">
        <v>806000</v>
      </c>
      <c r="G931" s="25" t="s">
        <v>775</v>
      </c>
      <c r="H931" s="25">
        <v>2018197</v>
      </c>
      <c r="I931" s="25" t="s">
        <v>19</v>
      </c>
      <c r="J931" s="25" t="s">
        <v>20</v>
      </c>
      <c r="K931" s="25" t="s">
        <v>25</v>
      </c>
      <c r="L931" s="25">
        <v>0</v>
      </c>
      <c r="M931" s="25">
        <v>24.18</v>
      </c>
      <c r="N931" s="25">
        <v>97.2</v>
      </c>
      <c r="O931" s="25">
        <v>479.9</v>
      </c>
      <c r="P931" s="25">
        <v>601.28009999999995</v>
      </c>
      <c r="Q931" s="25">
        <f t="shared" si="28"/>
        <v>806601.28009999997</v>
      </c>
      <c r="R931" s="25">
        <f t="shared" si="29"/>
        <v>0</v>
      </c>
    </row>
    <row r="932" spans="1:18" hidden="1" x14ac:dyDescent="0.25">
      <c r="A932" s="26">
        <v>43390</v>
      </c>
      <c r="B932" s="25" t="s">
        <v>480</v>
      </c>
      <c r="C932" s="25" t="s">
        <v>23</v>
      </c>
      <c r="D932" s="25">
        <v>10000</v>
      </c>
      <c r="E932" s="25">
        <v>78.5</v>
      </c>
      <c r="F932" s="25">
        <v>785000</v>
      </c>
      <c r="G932" s="25" t="s">
        <v>776</v>
      </c>
      <c r="H932" s="25">
        <v>2018197</v>
      </c>
      <c r="I932" s="25" t="s">
        <v>19</v>
      </c>
      <c r="J932" s="25" t="s">
        <v>20</v>
      </c>
      <c r="K932" s="25" t="s">
        <v>25</v>
      </c>
      <c r="L932" s="25">
        <v>199.3</v>
      </c>
      <c r="M932" s="25">
        <v>23.55</v>
      </c>
      <c r="N932" s="25">
        <v>0</v>
      </c>
      <c r="O932" s="25">
        <v>467.38</v>
      </c>
      <c r="P932" s="25">
        <v>690.23</v>
      </c>
      <c r="Q932" s="25">
        <f t="shared" si="28"/>
        <v>0</v>
      </c>
      <c r="R932" s="25">
        <f t="shared" si="29"/>
        <v>784309.77</v>
      </c>
    </row>
    <row r="933" spans="1:18" hidden="1" x14ac:dyDescent="0.25">
      <c r="A933" s="26">
        <v>43390</v>
      </c>
      <c r="B933" s="25" t="s">
        <v>480</v>
      </c>
      <c r="C933" s="25" t="s">
        <v>17</v>
      </c>
      <c r="D933" s="25">
        <v>10000</v>
      </c>
      <c r="E933" s="25">
        <v>79.03</v>
      </c>
      <c r="F933" s="25">
        <v>790276.25</v>
      </c>
      <c r="G933" s="25" t="s">
        <v>777</v>
      </c>
      <c r="H933" s="25">
        <v>2018197</v>
      </c>
      <c r="I933" s="25" t="s">
        <v>19</v>
      </c>
      <c r="J933" s="25" t="s">
        <v>20</v>
      </c>
      <c r="K933" s="25" t="s">
        <v>25</v>
      </c>
      <c r="L933" s="25">
        <v>0</v>
      </c>
      <c r="M933" s="25">
        <v>23.71</v>
      </c>
      <c r="N933" s="25">
        <v>0</v>
      </c>
      <c r="O933" s="25">
        <v>470.52</v>
      </c>
      <c r="P933" s="25">
        <v>494.2285</v>
      </c>
      <c r="Q933" s="25">
        <f t="shared" si="28"/>
        <v>790770.47849999997</v>
      </c>
      <c r="R933" s="25">
        <f t="shared" si="29"/>
        <v>0</v>
      </c>
    </row>
    <row r="934" spans="1:18" hidden="1" x14ac:dyDescent="0.25">
      <c r="A934" s="26">
        <v>43390</v>
      </c>
      <c r="B934" s="25" t="s">
        <v>404</v>
      </c>
      <c r="C934" s="25" t="s">
        <v>23</v>
      </c>
      <c r="D934" s="25">
        <v>10</v>
      </c>
      <c r="E934" s="25">
        <v>285.55</v>
      </c>
      <c r="F934" s="25">
        <v>2855.5</v>
      </c>
      <c r="G934" s="25" t="s">
        <v>778</v>
      </c>
      <c r="H934" s="25">
        <v>2018197</v>
      </c>
      <c r="I934" s="25" t="s">
        <v>19</v>
      </c>
      <c r="J934" s="25" t="s">
        <v>20</v>
      </c>
      <c r="K934" s="25" t="s">
        <v>25</v>
      </c>
      <c r="L934" s="25">
        <v>2.86</v>
      </c>
      <c r="M934" s="25">
        <v>0.09</v>
      </c>
      <c r="N934" s="25">
        <v>0</v>
      </c>
      <c r="O934" s="25">
        <v>41.32</v>
      </c>
      <c r="P934" s="25">
        <v>44.265700000000002</v>
      </c>
      <c r="Q934" s="25">
        <f t="shared" si="28"/>
        <v>0</v>
      </c>
      <c r="R934" s="25">
        <f t="shared" si="29"/>
        <v>2811.2343000000001</v>
      </c>
    </row>
    <row r="935" spans="1:18" hidden="1" x14ac:dyDescent="0.25">
      <c r="A935" s="26">
        <v>43390</v>
      </c>
      <c r="B935" s="25" t="s">
        <v>397</v>
      </c>
      <c r="C935" s="25" t="s">
        <v>23</v>
      </c>
      <c r="D935" s="25">
        <v>57</v>
      </c>
      <c r="E935" s="25">
        <v>252.6</v>
      </c>
      <c r="F935" s="25">
        <v>14398.25</v>
      </c>
      <c r="G935" s="25" t="s">
        <v>779</v>
      </c>
      <c r="H935" s="25">
        <v>2018197</v>
      </c>
      <c r="I935" s="25" t="s">
        <v>19</v>
      </c>
      <c r="J935" s="25" t="s">
        <v>20</v>
      </c>
      <c r="K935" s="25" t="s">
        <v>25</v>
      </c>
      <c r="L935" s="25">
        <v>14.4</v>
      </c>
      <c r="M935" s="25">
        <v>0.43</v>
      </c>
      <c r="N935" s="25">
        <v>0</v>
      </c>
      <c r="O935" s="25">
        <v>93.52</v>
      </c>
      <c r="P935" s="25">
        <v>108.3519</v>
      </c>
      <c r="Q935" s="25">
        <f t="shared" si="28"/>
        <v>0</v>
      </c>
      <c r="R935" s="25">
        <f t="shared" si="29"/>
        <v>14289.8981</v>
      </c>
    </row>
    <row r="936" spans="1:18" hidden="1" x14ac:dyDescent="0.25">
      <c r="A936" s="26">
        <v>43390</v>
      </c>
      <c r="B936" s="25" t="s">
        <v>26</v>
      </c>
      <c r="C936" s="25" t="s">
        <v>23</v>
      </c>
      <c r="D936" s="25">
        <v>250</v>
      </c>
      <c r="E936" s="25">
        <v>77.06</v>
      </c>
      <c r="F936" s="25">
        <v>19264.150000000001</v>
      </c>
      <c r="G936" s="25" t="s">
        <v>780</v>
      </c>
      <c r="H936" s="25">
        <v>2018197</v>
      </c>
      <c r="I936" s="25" t="s">
        <v>19</v>
      </c>
      <c r="J936" s="25" t="s">
        <v>20</v>
      </c>
      <c r="K936" s="25" t="s">
        <v>25</v>
      </c>
      <c r="L936" s="25">
        <v>19.260000000000002</v>
      </c>
      <c r="M936" s="25">
        <v>0.57999999999999996</v>
      </c>
      <c r="N936" s="25">
        <v>0</v>
      </c>
      <c r="O936" s="25">
        <v>125.13</v>
      </c>
      <c r="P936" s="25">
        <v>144.96789999999999</v>
      </c>
      <c r="Q936" s="25">
        <f t="shared" si="28"/>
        <v>0</v>
      </c>
      <c r="R936" s="25">
        <f t="shared" si="29"/>
        <v>19119.182100000002</v>
      </c>
    </row>
    <row r="937" spans="1:18" hidden="1" x14ac:dyDescent="0.25">
      <c r="A937" s="26">
        <v>43390</v>
      </c>
      <c r="B937" s="25" t="s">
        <v>683</v>
      </c>
      <c r="C937" s="25" t="s">
        <v>23</v>
      </c>
      <c r="D937" s="25">
        <v>10</v>
      </c>
      <c r="E937" s="25">
        <v>96.3</v>
      </c>
      <c r="F937" s="25">
        <v>963</v>
      </c>
      <c r="G937" s="25" t="s">
        <v>781</v>
      </c>
      <c r="H937" s="25">
        <v>2018197</v>
      </c>
      <c r="I937" s="25" t="s">
        <v>19</v>
      </c>
      <c r="J937" s="25" t="s">
        <v>20</v>
      </c>
      <c r="K937" s="25" t="s">
        <v>25</v>
      </c>
      <c r="L937" s="25">
        <v>0.96</v>
      </c>
      <c r="M937" s="25">
        <v>0.03</v>
      </c>
      <c r="N937" s="25">
        <v>0</v>
      </c>
      <c r="O937" s="25">
        <v>28.41</v>
      </c>
      <c r="P937" s="25">
        <v>29.399000000000001</v>
      </c>
      <c r="Q937" s="25">
        <f t="shared" si="28"/>
        <v>0</v>
      </c>
      <c r="R937" s="25">
        <f t="shared" si="29"/>
        <v>933.601</v>
      </c>
    </row>
    <row r="938" spans="1:18" hidden="1" x14ac:dyDescent="0.25">
      <c r="A938" s="26">
        <v>43390</v>
      </c>
      <c r="B938" s="25" t="s">
        <v>321</v>
      </c>
      <c r="C938" s="25" t="s">
        <v>23</v>
      </c>
      <c r="D938" s="25">
        <v>25</v>
      </c>
      <c r="E938" s="25">
        <v>206.18</v>
      </c>
      <c r="F938" s="25">
        <v>5154.45</v>
      </c>
      <c r="G938" s="25" t="s">
        <v>782</v>
      </c>
      <c r="H938" s="25">
        <v>2018197</v>
      </c>
      <c r="I938" s="25" t="s">
        <v>19</v>
      </c>
      <c r="J938" s="25" t="s">
        <v>20</v>
      </c>
      <c r="K938" s="25" t="s">
        <v>25</v>
      </c>
      <c r="L938" s="25">
        <v>4.92</v>
      </c>
      <c r="M938" s="25">
        <v>0.15</v>
      </c>
      <c r="N938" s="25">
        <v>0</v>
      </c>
      <c r="O938" s="25">
        <v>41.33</v>
      </c>
      <c r="P938" s="25">
        <v>46.404699999999998</v>
      </c>
      <c r="Q938" s="25">
        <f t="shared" si="28"/>
        <v>0</v>
      </c>
      <c r="R938" s="25">
        <f t="shared" si="29"/>
        <v>5108.0452999999998</v>
      </c>
    </row>
    <row r="939" spans="1:18" hidden="1" x14ac:dyDescent="0.25">
      <c r="A939" s="26">
        <v>43389</v>
      </c>
      <c r="B939" s="25" t="s">
        <v>480</v>
      </c>
      <c r="C939" s="25" t="s">
        <v>23</v>
      </c>
      <c r="D939" s="25">
        <v>1000</v>
      </c>
      <c r="E939" s="25">
        <v>77.5</v>
      </c>
      <c r="F939" s="25">
        <v>77500</v>
      </c>
      <c r="G939" s="25" t="s">
        <v>696</v>
      </c>
      <c r="H939" s="25">
        <v>2018196</v>
      </c>
      <c r="I939" s="25" t="s">
        <v>19</v>
      </c>
      <c r="J939" s="25" t="s">
        <v>20</v>
      </c>
      <c r="K939" s="25" t="s">
        <v>25</v>
      </c>
      <c r="L939" s="25">
        <v>20.23</v>
      </c>
      <c r="M939" s="25">
        <v>2.33</v>
      </c>
      <c r="N939" s="25">
        <v>0</v>
      </c>
      <c r="O939" s="25">
        <v>46.14</v>
      </c>
      <c r="P939" s="25">
        <v>68.695099999999996</v>
      </c>
      <c r="Q939" s="25">
        <f t="shared" si="28"/>
        <v>0</v>
      </c>
      <c r="R939" s="25">
        <f t="shared" si="29"/>
        <v>77431.304900000003</v>
      </c>
    </row>
    <row r="940" spans="1:18" hidden="1" x14ac:dyDescent="0.25">
      <c r="A940" s="26">
        <v>43389</v>
      </c>
      <c r="B940" s="25" t="s">
        <v>697</v>
      </c>
      <c r="C940" s="25" t="s">
        <v>23</v>
      </c>
      <c r="D940" s="25">
        <v>1000</v>
      </c>
      <c r="E940" s="25">
        <v>39.6</v>
      </c>
      <c r="F940" s="25">
        <v>39600</v>
      </c>
      <c r="G940" s="25" t="s">
        <v>698</v>
      </c>
      <c r="H940" s="25">
        <v>2018196</v>
      </c>
      <c r="I940" s="25" t="s">
        <v>19</v>
      </c>
      <c r="J940" s="25" t="s">
        <v>20</v>
      </c>
      <c r="K940" s="25" t="s">
        <v>25</v>
      </c>
      <c r="L940" s="25">
        <v>9.49</v>
      </c>
      <c r="M940" s="25">
        <v>1.19</v>
      </c>
      <c r="N940" s="25">
        <v>0</v>
      </c>
      <c r="O940" s="25">
        <v>29.71</v>
      </c>
      <c r="P940" s="25">
        <v>40.387999999999998</v>
      </c>
      <c r="Q940" s="25">
        <f t="shared" si="28"/>
        <v>0</v>
      </c>
      <c r="R940" s="25">
        <f t="shared" si="29"/>
        <v>39559.612000000001</v>
      </c>
    </row>
    <row r="941" spans="1:18" hidden="1" x14ac:dyDescent="0.25">
      <c r="A941" s="26">
        <v>43389</v>
      </c>
      <c r="B941" s="25" t="s">
        <v>480</v>
      </c>
      <c r="C941" s="25" t="s">
        <v>23</v>
      </c>
      <c r="D941" s="25">
        <v>5000</v>
      </c>
      <c r="E941" s="25">
        <v>79.75</v>
      </c>
      <c r="F941" s="25">
        <v>398750</v>
      </c>
      <c r="G941" s="25" t="s">
        <v>699</v>
      </c>
      <c r="H941" s="25">
        <v>2018196</v>
      </c>
      <c r="I941" s="25" t="s">
        <v>19</v>
      </c>
      <c r="J941" s="25" t="s">
        <v>20</v>
      </c>
      <c r="K941" s="25" t="s">
        <v>25</v>
      </c>
      <c r="L941" s="25">
        <v>101.14</v>
      </c>
      <c r="M941" s="25">
        <v>11.96</v>
      </c>
      <c r="N941" s="25">
        <v>0</v>
      </c>
      <c r="O941" s="25">
        <v>237.41</v>
      </c>
      <c r="P941" s="25">
        <v>350.51240000000001</v>
      </c>
      <c r="Q941" s="25">
        <f t="shared" si="28"/>
        <v>0</v>
      </c>
      <c r="R941" s="25">
        <f t="shared" si="29"/>
        <v>398399.48759999999</v>
      </c>
    </row>
    <row r="942" spans="1:18" hidden="1" x14ac:dyDescent="0.25">
      <c r="A942" s="26">
        <v>43389</v>
      </c>
      <c r="B942" s="25" t="s">
        <v>697</v>
      </c>
      <c r="C942" s="25" t="s">
        <v>17</v>
      </c>
      <c r="D942" s="25">
        <v>1000</v>
      </c>
      <c r="E942" s="25">
        <v>39.299999999999997</v>
      </c>
      <c r="F942" s="25">
        <v>39300</v>
      </c>
      <c r="G942" s="25" t="s">
        <v>700</v>
      </c>
      <c r="H942" s="25">
        <v>2018196</v>
      </c>
      <c r="I942" s="25" t="s">
        <v>19</v>
      </c>
      <c r="J942" s="25" t="s">
        <v>20</v>
      </c>
      <c r="K942" s="25" t="s">
        <v>25</v>
      </c>
      <c r="L942" s="25">
        <v>0</v>
      </c>
      <c r="M942" s="25">
        <v>1.18</v>
      </c>
      <c r="N942" s="25">
        <v>0</v>
      </c>
      <c r="O942" s="25">
        <v>29.71</v>
      </c>
      <c r="P942" s="25">
        <v>30.889099999999999</v>
      </c>
      <c r="Q942" s="25">
        <f t="shared" si="28"/>
        <v>39330.8891</v>
      </c>
      <c r="R942" s="25">
        <f t="shared" si="29"/>
        <v>0</v>
      </c>
    </row>
    <row r="943" spans="1:18" hidden="1" x14ac:dyDescent="0.25">
      <c r="A943" s="26">
        <v>43389</v>
      </c>
      <c r="B943" s="25" t="s">
        <v>480</v>
      </c>
      <c r="C943" s="25" t="s">
        <v>23</v>
      </c>
      <c r="D943" s="25">
        <v>2500</v>
      </c>
      <c r="E943" s="25">
        <v>80.150000000000006</v>
      </c>
      <c r="F943" s="25">
        <v>200375</v>
      </c>
      <c r="G943" s="25" t="s">
        <v>701</v>
      </c>
      <c r="H943" s="25">
        <v>2018196</v>
      </c>
      <c r="I943" s="25" t="s">
        <v>19</v>
      </c>
      <c r="J943" s="25" t="s">
        <v>20</v>
      </c>
      <c r="K943" s="25" t="s">
        <v>25</v>
      </c>
      <c r="L943" s="25">
        <v>50.57</v>
      </c>
      <c r="M943" s="25">
        <v>6.01</v>
      </c>
      <c r="N943" s="25">
        <v>0</v>
      </c>
      <c r="O943" s="25">
        <v>119.3</v>
      </c>
      <c r="P943" s="25">
        <v>175.88140000000001</v>
      </c>
      <c r="Q943" s="25">
        <f t="shared" si="28"/>
        <v>0</v>
      </c>
      <c r="R943" s="25">
        <f t="shared" si="29"/>
        <v>200199.11859999999</v>
      </c>
    </row>
    <row r="944" spans="1:18" hidden="1" x14ac:dyDescent="0.25">
      <c r="A944" s="26">
        <v>43389</v>
      </c>
      <c r="B944" s="25" t="s">
        <v>480</v>
      </c>
      <c r="C944" s="25" t="s">
        <v>23</v>
      </c>
      <c r="D944" s="25">
        <v>2500</v>
      </c>
      <c r="E944" s="25">
        <v>81.5</v>
      </c>
      <c r="F944" s="25">
        <v>203750</v>
      </c>
      <c r="G944" s="25" t="s">
        <v>702</v>
      </c>
      <c r="H944" s="25">
        <v>2018196</v>
      </c>
      <c r="I944" s="25" t="s">
        <v>19</v>
      </c>
      <c r="J944" s="25" t="s">
        <v>20</v>
      </c>
      <c r="K944" s="25" t="s">
        <v>25</v>
      </c>
      <c r="L944" s="25">
        <v>50.57</v>
      </c>
      <c r="M944" s="25">
        <v>6.11</v>
      </c>
      <c r="N944" s="25">
        <v>0</v>
      </c>
      <c r="O944" s="25">
        <v>121.32</v>
      </c>
      <c r="P944" s="25">
        <v>178.0025</v>
      </c>
      <c r="Q944" s="25">
        <f t="shared" si="28"/>
        <v>0</v>
      </c>
      <c r="R944" s="25">
        <f t="shared" si="29"/>
        <v>203571.9975</v>
      </c>
    </row>
    <row r="945" spans="1:18" hidden="1" x14ac:dyDescent="0.25">
      <c r="A945" s="26">
        <v>43389</v>
      </c>
      <c r="B945" s="25" t="s">
        <v>480</v>
      </c>
      <c r="C945" s="25" t="s">
        <v>17</v>
      </c>
      <c r="D945" s="25">
        <v>11000</v>
      </c>
      <c r="E945" s="25">
        <v>81.790000000000006</v>
      </c>
      <c r="F945" s="25">
        <v>899667.25</v>
      </c>
      <c r="G945" s="25" t="s">
        <v>703</v>
      </c>
      <c r="H945" s="25">
        <v>2018196</v>
      </c>
      <c r="I945" s="25" t="s">
        <v>19</v>
      </c>
      <c r="J945" s="25" t="s">
        <v>20</v>
      </c>
      <c r="K945" s="25" t="s">
        <v>25</v>
      </c>
      <c r="L945" s="25">
        <v>0</v>
      </c>
      <c r="M945" s="25">
        <v>26.99</v>
      </c>
      <c r="N945" s="25">
        <v>55.8</v>
      </c>
      <c r="O945" s="25">
        <v>535.69000000000005</v>
      </c>
      <c r="P945" s="25">
        <v>618.48050000000001</v>
      </c>
      <c r="Q945" s="25">
        <f t="shared" si="28"/>
        <v>900285.73049999995</v>
      </c>
      <c r="R945" s="25">
        <f t="shared" si="29"/>
        <v>0</v>
      </c>
    </row>
    <row r="946" spans="1:18" hidden="1" x14ac:dyDescent="0.25">
      <c r="A946" s="26">
        <v>43388</v>
      </c>
      <c r="B946" s="25" t="s">
        <v>659</v>
      </c>
      <c r="C946" s="25" t="s">
        <v>23</v>
      </c>
      <c r="D946" s="25">
        <v>2000</v>
      </c>
      <c r="E946" s="25">
        <v>246</v>
      </c>
      <c r="F946" s="25">
        <v>492000</v>
      </c>
      <c r="G946" s="25" t="s">
        <v>704</v>
      </c>
      <c r="H946" s="25">
        <v>2018195</v>
      </c>
      <c r="I946" s="25" t="s">
        <v>19</v>
      </c>
      <c r="J946" s="25" t="s">
        <v>20</v>
      </c>
      <c r="K946" s="25" t="s">
        <v>25</v>
      </c>
      <c r="L946" s="25">
        <v>123</v>
      </c>
      <c r="M946" s="25">
        <v>14.76</v>
      </c>
      <c r="N946" s="25">
        <v>0</v>
      </c>
      <c r="O946" s="25">
        <v>292.93</v>
      </c>
      <c r="P946" s="25">
        <v>430.69</v>
      </c>
      <c r="Q946" s="25">
        <f t="shared" si="28"/>
        <v>0</v>
      </c>
      <c r="R946" s="25">
        <f t="shared" si="29"/>
        <v>491569.31</v>
      </c>
    </row>
    <row r="947" spans="1:18" hidden="1" x14ac:dyDescent="0.25">
      <c r="A947" s="26">
        <v>43388</v>
      </c>
      <c r="B947" s="25" t="s">
        <v>659</v>
      </c>
      <c r="C947" s="25" t="s">
        <v>17</v>
      </c>
      <c r="D947" s="25">
        <v>2000</v>
      </c>
      <c r="E947" s="25">
        <v>246.23</v>
      </c>
      <c r="F947" s="25">
        <v>492465.65</v>
      </c>
      <c r="G947" s="25" t="s">
        <v>705</v>
      </c>
      <c r="H947" s="25">
        <v>2018195</v>
      </c>
      <c r="I947" s="25" t="s">
        <v>19</v>
      </c>
      <c r="J947" s="25" t="s">
        <v>20</v>
      </c>
      <c r="K947" s="25" t="s">
        <v>25</v>
      </c>
      <c r="L947" s="25">
        <v>0</v>
      </c>
      <c r="M947" s="25">
        <v>14.77</v>
      </c>
      <c r="N947" s="25">
        <v>29.7</v>
      </c>
      <c r="O947" s="25">
        <v>293.2</v>
      </c>
      <c r="P947" s="25">
        <v>337.67399999999998</v>
      </c>
      <c r="Q947" s="25">
        <f t="shared" si="28"/>
        <v>492803.32400000002</v>
      </c>
      <c r="R947" s="25">
        <f t="shared" si="29"/>
        <v>0</v>
      </c>
    </row>
    <row r="948" spans="1:18" hidden="1" x14ac:dyDescent="0.25">
      <c r="A948" s="26">
        <v>43385</v>
      </c>
      <c r="B948" s="25" t="s">
        <v>706</v>
      </c>
      <c r="C948" s="25" t="s">
        <v>17</v>
      </c>
      <c r="D948" s="25">
        <v>100</v>
      </c>
      <c r="E948" s="25">
        <v>480.89</v>
      </c>
      <c r="F948" s="25">
        <v>48088.85</v>
      </c>
      <c r="G948" s="25" t="s">
        <v>707</v>
      </c>
      <c r="H948" s="25">
        <v>2018194</v>
      </c>
      <c r="I948" s="25" t="s">
        <v>19</v>
      </c>
      <c r="J948" s="25" t="s">
        <v>20</v>
      </c>
      <c r="K948" s="25" t="s">
        <v>25</v>
      </c>
      <c r="L948" s="25">
        <v>0</v>
      </c>
      <c r="M948" s="25">
        <v>1.44</v>
      </c>
      <c r="N948" s="25">
        <v>0</v>
      </c>
      <c r="O948" s="25">
        <v>29.81</v>
      </c>
      <c r="P948" s="25">
        <v>31.252199999999998</v>
      </c>
      <c r="Q948" s="25">
        <f t="shared" si="28"/>
        <v>48120.102200000001</v>
      </c>
      <c r="R948" s="25">
        <f t="shared" si="29"/>
        <v>0</v>
      </c>
    </row>
    <row r="949" spans="1:18" hidden="1" x14ac:dyDescent="0.25">
      <c r="A949" s="26">
        <v>43385</v>
      </c>
      <c r="B949" s="25" t="s">
        <v>706</v>
      </c>
      <c r="C949" s="25" t="s">
        <v>23</v>
      </c>
      <c r="D949" s="25">
        <v>1000</v>
      </c>
      <c r="E949" s="25">
        <v>479</v>
      </c>
      <c r="F949" s="25">
        <v>479000</v>
      </c>
      <c r="G949" s="25" t="s">
        <v>708</v>
      </c>
      <c r="H949" s="25">
        <v>2018194</v>
      </c>
      <c r="I949" s="25" t="s">
        <v>19</v>
      </c>
      <c r="J949" s="25" t="s">
        <v>20</v>
      </c>
      <c r="K949" s="25" t="s">
        <v>25</v>
      </c>
      <c r="L949" s="25">
        <v>119.06</v>
      </c>
      <c r="M949" s="25">
        <v>14.37</v>
      </c>
      <c r="N949" s="25">
        <v>0</v>
      </c>
      <c r="O949" s="25">
        <v>286.44</v>
      </c>
      <c r="P949" s="25">
        <v>419.87020000000001</v>
      </c>
      <c r="Q949" s="25">
        <f t="shared" si="28"/>
        <v>0</v>
      </c>
      <c r="R949" s="25">
        <f t="shared" si="29"/>
        <v>478580.1298</v>
      </c>
    </row>
    <row r="950" spans="1:18" hidden="1" x14ac:dyDescent="0.25">
      <c r="A950" s="26">
        <v>43385</v>
      </c>
      <c r="B950" s="25" t="s">
        <v>706</v>
      </c>
      <c r="C950" s="25" t="s">
        <v>17</v>
      </c>
      <c r="D950" s="25">
        <v>900</v>
      </c>
      <c r="E950" s="25">
        <v>480.99</v>
      </c>
      <c r="F950" s="25">
        <v>432892.3</v>
      </c>
      <c r="G950" s="25" t="s">
        <v>709</v>
      </c>
      <c r="H950" s="25">
        <v>2018194</v>
      </c>
      <c r="I950" s="25" t="s">
        <v>19</v>
      </c>
      <c r="J950" s="25" t="s">
        <v>20</v>
      </c>
      <c r="K950" s="25" t="s">
        <v>25</v>
      </c>
      <c r="L950" s="25">
        <v>0</v>
      </c>
      <c r="M950" s="25">
        <v>12.99</v>
      </c>
      <c r="N950" s="25">
        <v>0</v>
      </c>
      <c r="O950" s="25">
        <v>257.74</v>
      </c>
      <c r="P950" s="25">
        <v>270.72669999999999</v>
      </c>
      <c r="Q950" s="25">
        <f t="shared" si="28"/>
        <v>433163.02669999999</v>
      </c>
      <c r="R950" s="25">
        <f t="shared" si="29"/>
        <v>0</v>
      </c>
    </row>
    <row r="951" spans="1:18" hidden="1" x14ac:dyDescent="0.25">
      <c r="A951" s="26">
        <v>43385</v>
      </c>
      <c r="B951" s="25" t="s">
        <v>706</v>
      </c>
      <c r="C951" s="25" t="s">
        <v>23</v>
      </c>
      <c r="D951" s="25">
        <v>1000</v>
      </c>
      <c r="E951" s="25">
        <v>475</v>
      </c>
      <c r="F951" s="25">
        <v>475000</v>
      </c>
      <c r="G951" s="25" t="s">
        <v>710</v>
      </c>
      <c r="H951" s="25">
        <v>2018194</v>
      </c>
      <c r="I951" s="25" t="s">
        <v>19</v>
      </c>
      <c r="J951" s="25" t="s">
        <v>20</v>
      </c>
      <c r="K951" s="25" t="s">
        <v>25</v>
      </c>
      <c r="L951" s="25">
        <v>118.94</v>
      </c>
      <c r="M951" s="25">
        <v>14.25</v>
      </c>
      <c r="N951" s="25">
        <v>57.3</v>
      </c>
      <c r="O951" s="25">
        <v>282.81</v>
      </c>
      <c r="P951" s="25">
        <v>473.30029999999999</v>
      </c>
      <c r="Q951" s="25">
        <f t="shared" si="28"/>
        <v>0</v>
      </c>
      <c r="R951" s="25">
        <f t="shared" si="29"/>
        <v>474526.6997</v>
      </c>
    </row>
    <row r="952" spans="1:18" hidden="1" x14ac:dyDescent="0.25">
      <c r="A952" s="26">
        <v>43385</v>
      </c>
      <c r="B952" s="25" t="s">
        <v>706</v>
      </c>
      <c r="C952" s="25" t="s">
        <v>17</v>
      </c>
      <c r="D952" s="25">
        <v>1000</v>
      </c>
      <c r="E952" s="25">
        <v>470</v>
      </c>
      <c r="F952" s="25">
        <v>470000</v>
      </c>
      <c r="G952" s="25" t="s">
        <v>711</v>
      </c>
      <c r="H952" s="25">
        <v>2018194</v>
      </c>
      <c r="I952" s="25" t="s">
        <v>19</v>
      </c>
      <c r="J952" s="25" t="s">
        <v>20</v>
      </c>
      <c r="K952" s="25" t="s">
        <v>25</v>
      </c>
      <c r="L952" s="25">
        <v>0</v>
      </c>
      <c r="M952" s="25">
        <v>14.1</v>
      </c>
      <c r="N952" s="25">
        <v>0</v>
      </c>
      <c r="O952" s="25">
        <v>279.83999999999997</v>
      </c>
      <c r="P952" s="25">
        <v>293.94</v>
      </c>
      <c r="Q952" s="25">
        <f t="shared" si="28"/>
        <v>470293.94</v>
      </c>
      <c r="R952" s="25">
        <f t="shared" si="29"/>
        <v>0</v>
      </c>
    </row>
    <row r="953" spans="1:18" hidden="1" x14ac:dyDescent="0.25">
      <c r="A953" s="26">
        <v>43384</v>
      </c>
      <c r="B953" s="25" t="s">
        <v>226</v>
      </c>
      <c r="C953" s="25" t="s">
        <v>23</v>
      </c>
      <c r="D953" s="25">
        <v>500</v>
      </c>
      <c r="E953" s="25">
        <v>457.15</v>
      </c>
      <c r="F953" s="25">
        <v>228575.6</v>
      </c>
      <c r="G953" s="25" t="s">
        <v>712</v>
      </c>
      <c r="H953" s="25">
        <v>2018193</v>
      </c>
      <c r="I953" s="25" t="s">
        <v>19</v>
      </c>
      <c r="J953" s="25" t="s">
        <v>20</v>
      </c>
      <c r="K953" s="25" t="s">
        <v>25</v>
      </c>
      <c r="L953" s="25">
        <v>57.5</v>
      </c>
      <c r="M953" s="25">
        <v>6.86</v>
      </c>
      <c r="N953" s="25">
        <v>0</v>
      </c>
      <c r="O953" s="25">
        <v>136.09</v>
      </c>
      <c r="P953" s="25">
        <v>200.44739999999999</v>
      </c>
      <c r="Q953" s="25">
        <f t="shared" si="28"/>
        <v>0</v>
      </c>
      <c r="R953" s="25">
        <f t="shared" si="29"/>
        <v>228375.1526</v>
      </c>
    </row>
    <row r="954" spans="1:18" hidden="1" x14ac:dyDescent="0.25">
      <c r="A954" s="26">
        <v>43384</v>
      </c>
      <c r="B954" s="25" t="s">
        <v>226</v>
      </c>
      <c r="C954" s="25" t="s">
        <v>23</v>
      </c>
      <c r="D954" s="25">
        <v>500</v>
      </c>
      <c r="E954" s="25">
        <v>465</v>
      </c>
      <c r="F954" s="25">
        <v>232500</v>
      </c>
      <c r="G954" s="25" t="s">
        <v>713</v>
      </c>
      <c r="H954" s="25">
        <v>2018193</v>
      </c>
      <c r="I954" s="25" t="s">
        <v>19</v>
      </c>
      <c r="J954" s="25" t="s">
        <v>20</v>
      </c>
      <c r="K954" s="25" t="s">
        <v>25</v>
      </c>
      <c r="L954" s="25">
        <v>57.5</v>
      </c>
      <c r="M954" s="25">
        <v>6.98</v>
      </c>
      <c r="N954" s="25">
        <v>0</v>
      </c>
      <c r="O954" s="25">
        <v>138.43</v>
      </c>
      <c r="P954" s="25">
        <v>202.9051</v>
      </c>
      <c r="Q954" s="25">
        <f t="shared" si="28"/>
        <v>0</v>
      </c>
      <c r="R954" s="25">
        <f t="shared" si="29"/>
        <v>232297.0949</v>
      </c>
    </row>
    <row r="955" spans="1:18" hidden="1" x14ac:dyDescent="0.25">
      <c r="A955" s="26">
        <v>43384</v>
      </c>
      <c r="B955" s="25" t="s">
        <v>226</v>
      </c>
      <c r="C955" s="25" t="s">
        <v>17</v>
      </c>
      <c r="D955" s="25">
        <v>1000</v>
      </c>
      <c r="E955" s="25">
        <v>459</v>
      </c>
      <c r="F955" s="25">
        <v>459000</v>
      </c>
      <c r="G955" s="25" t="s">
        <v>714</v>
      </c>
      <c r="H955" s="25">
        <v>2018193</v>
      </c>
      <c r="I955" s="25" t="s">
        <v>19</v>
      </c>
      <c r="J955" s="25" t="s">
        <v>20</v>
      </c>
      <c r="K955" s="25" t="s">
        <v>25</v>
      </c>
      <c r="L955" s="25">
        <v>0</v>
      </c>
      <c r="M955" s="25">
        <v>13.77</v>
      </c>
      <c r="N955" s="25">
        <v>27.9</v>
      </c>
      <c r="O955" s="25">
        <v>273.29000000000002</v>
      </c>
      <c r="P955" s="25">
        <v>314.95999999999998</v>
      </c>
      <c r="Q955" s="25">
        <f t="shared" si="28"/>
        <v>459314.96</v>
      </c>
      <c r="R955" s="25">
        <f t="shared" si="29"/>
        <v>0</v>
      </c>
    </row>
    <row r="956" spans="1:18" hidden="1" x14ac:dyDescent="0.25">
      <c r="A956" s="26">
        <v>43382</v>
      </c>
      <c r="B956" s="25" t="s">
        <v>282</v>
      </c>
      <c r="C956" s="25" t="s">
        <v>17</v>
      </c>
      <c r="D956" s="25">
        <v>100</v>
      </c>
      <c r="E956" s="25">
        <v>599</v>
      </c>
      <c r="F956" s="25">
        <v>59900</v>
      </c>
      <c r="G956" s="25" t="s">
        <v>715</v>
      </c>
      <c r="H956" s="25">
        <v>2018191</v>
      </c>
      <c r="I956" s="25" t="s">
        <v>19</v>
      </c>
      <c r="J956" s="25" t="s">
        <v>20</v>
      </c>
      <c r="K956" s="25" t="s">
        <v>25</v>
      </c>
      <c r="L956" s="25">
        <v>0</v>
      </c>
      <c r="M956" s="25">
        <v>1.8</v>
      </c>
      <c r="N956" s="25">
        <v>0</v>
      </c>
      <c r="O956" s="25">
        <v>35.67</v>
      </c>
      <c r="P956" s="25">
        <v>37.466900000000003</v>
      </c>
      <c r="Q956" s="25">
        <f t="shared" si="28"/>
        <v>59937.466899999999</v>
      </c>
      <c r="R956" s="25">
        <f t="shared" si="29"/>
        <v>0</v>
      </c>
    </row>
    <row r="957" spans="1:18" hidden="1" x14ac:dyDescent="0.25">
      <c r="A957" s="26">
        <v>43382</v>
      </c>
      <c r="B957" s="25" t="s">
        <v>282</v>
      </c>
      <c r="C957" s="25" t="s">
        <v>23</v>
      </c>
      <c r="D957" s="25">
        <v>200</v>
      </c>
      <c r="E957" s="25">
        <v>583.17999999999995</v>
      </c>
      <c r="F957" s="25">
        <v>116635.25</v>
      </c>
      <c r="G957" s="25" t="s">
        <v>716</v>
      </c>
      <c r="H957" s="25">
        <v>2018191</v>
      </c>
      <c r="I957" s="25" t="s">
        <v>19</v>
      </c>
      <c r="J957" s="25" t="s">
        <v>20</v>
      </c>
      <c r="K957" s="25" t="s">
        <v>25</v>
      </c>
      <c r="L957" s="25">
        <v>29.53</v>
      </c>
      <c r="M957" s="25">
        <v>3.5</v>
      </c>
      <c r="N957" s="25">
        <v>42.3</v>
      </c>
      <c r="O957" s="25">
        <v>69.459999999999994</v>
      </c>
      <c r="P957" s="25">
        <v>144.78899999999999</v>
      </c>
      <c r="Q957" s="25">
        <f t="shared" si="28"/>
        <v>0</v>
      </c>
      <c r="R957" s="25">
        <f t="shared" si="29"/>
        <v>116490.461</v>
      </c>
    </row>
    <row r="958" spans="1:18" hidden="1" x14ac:dyDescent="0.25">
      <c r="A958" s="26">
        <v>43382</v>
      </c>
      <c r="B958" s="25" t="s">
        <v>282</v>
      </c>
      <c r="C958" s="25" t="s">
        <v>23</v>
      </c>
      <c r="D958" s="25">
        <v>500</v>
      </c>
      <c r="E958" s="25">
        <v>583</v>
      </c>
      <c r="F958" s="25">
        <v>291500</v>
      </c>
      <c r="G958" s="25" t="s">
        <v>717</v>
      </c>
      <c r="H958" s="25">
        <v>2018191</v>
      </c>
      <c r="I958" s="25" t="s">
        <v>19</v>
      </c>
      <c r="J958" s="25" t="s">
        <v>20</v>
      </c>
      <c r="K958" s="25" t="s">
        <v>25</v>
      </c>
      <c r="L958" s="25">
        <v>73.2</v>
      </c>
      <c r="M958" s="25">
        <v>8.75</v>
      </c>
      <c r="N958" s="25">
        <v>0</v>
      </c>
      <c r="O958" s="25">
        <v>173.56</v>
      </c>
      <c r="P958" s="25">
        <v>255.505</v>
      </c>
      <c r="Q958" s="25">
        <f t="shared" si="28"/>
        <v>0</v>
      </c>
      <c r="R958" s="25">
        <f t="shared" si="29"/>
        <v>291244.495</v>
      </c>
    </row>
    <row r="959" spans="1:18" hidden="1" x14ac:dyDescent="0.25">
      <c r="A959" s="26">
        <v>43382</v>
      </c>
      <c r="B959" s="25" t="s">
        <v>282</v>
      </c>
      <c r="C959" s="25" t="s">
        <v>23</v>
      </c>
      <c r="D959" s="25">
        <v>100</v>
      </c>
      <c r="E959" s="25">
        <v>587</v>
      </c>
      <c r="F959" s="25">
        <v>58700</v>
      </c>
      <c r="G959" s="25" t="s">
        <v>718</v>
      </c>
      <c r="H959" s="25">
        <v>2018191</v>
      </c>
      <c r="I959" s="25" t="s">
        <v>19</v>
      </c>
      <c r="J959" s="25" t="s">
        <v>20</v>
      </c>
      <c r="K959" s="25" t="s">
        <v>25</v>
      </c>
      <c r="L959" s="25">
        <v>14.64</v>
      </c>
      <c r="M959" s="25">
        <v>1.76</v>
      </c>
      <c r="N959" s="25">
        <v>0</v>
      </c>
      <c r="O959" s="25">
        <v>34.96</v>
      </c>
      <c r="P959" s="25">
        <v>51.360900000000001</v>
      </c>
      <c r="Q959" s="25">
        <f t="shared" si="28"/>
        <v>0</v>
      </c>
      <c r="R959" s="25">
        <f t="shared" si="29"/>
        <v>58648.6391</v>
      </c>
    </row>
    <row r="960" spans="1:18" hidden="1" x14ac:dyDescent="0.25">
      <c r="A960" s="26">
        <v>43382</v>
      </c>
      <c r="B960" s="25" t="s">
        <v>282</v>
      </c>
      <c r="C960" s="25" t="s">
        <v>17</v>
      </c>
      <c r="D960" s="25">
        <v>100</v>
      </c>
      <c r="E960" s="25">
        <v>582.85</v>
      </c>
      <c r="F960" s="25">
        <v>58285</v>
      </c>
      <c r="G960" s="25" t="s">
        <v>719</v>
      </c>
      <c r="H960" s="25">
        <v>2018191</v>
      </c>
      <c r="I960" s="25" t="s">
        <v>19</v>
      </c>
      <c r="J960" s="25" t="s">
        <v>20</v>
      </c>
      <c r="K960" s="25" t="s">
        <v>25</v>
      </c>
      <c r="L960" s="25">
        <v>0</v>
      </c>
      <c r="M960" s="25">
        <v>1.75</v>
      </c>
      <c r="N960" s="25">
        <v>0</v>
      </c>
      <c r="O960" s="25">
        <v>34.700000000000003</v>
      </c>
      <c r="P960" s="25">
        <v>36.448500000000003</v>
      </c>
      <c r="Q960" s="25">
        <f t="shared" si="28"/>
        <v>58321.448499999999</v>
      </c>
      <c r="R960" s="25">
        <f t="shared" si="29"/>
        <v>0</v>
      </c>
    </row>
    <row r="961" spans="1:18" hidden="1" x14ac:dyDescent="0.25">
      <c r="A961" s="26">
        <v>43382</v>
      </c>
      <c r="B961" s="25" t="s">
        <v>282</v>
      </c>
      <c r="C961" s="25" t="s">
        <v>17</v>
      </c>
      <c r="D961" s="25">
        <v>500</v>
      </c>
      <c r="E961" s="25">
        <v>583.91</v>
      </c>
      <c r="F961" s="25">
        <v>291954.84999999998</v>
      </c>
      <c r="G961" s="25" t="s">
        <v>720</v>
      </c>
      <c r="H961" s="25">
        <v>2018191</v>
      </c>
      <c r="I961" s="25" t="s">
        <v>19</v>
      </c>
      <c r="J961" s="25" t="s">
        <v>20</v>
      </c>
      <c r="K961" s="25" t="s">
        <v>25</v>
      </c>
      <c r="L961" s="25">
        <v>0</v>
      </c>
      <c r="M961" s="25">
        <v>8.76</v>
      </c>
      <c r="N961" s="25">
        <v>0</v>
      </c>
      <c r="O961" s="25">
        <v>173.83</v>
      </c>
      <c r="P961" s="25">
        <v>182.58879999999999</v>
      </c>
      <c r="Q961" s="25">
        <f t="shared" si="28"/>
        <v>292137.4388</v>
      </c>
      <c r="R961" s="25">
        <f t="shared" si="29"/>
        <v>0</v>
      </c>
    </row>
    <row r="962" spans="1:18" hidden="1" x14ac:dyDescent="0.25">
      <c r="A962" s="26">
        <v>43382</v>
      </c>
      <c r="B962" s="25" t="s">
        <v>279</v>
      </c>
      <c r="C962" s="25" t="s">
        <v>23</v>
      </c>
      <c r="D962" s="25">
        <v>1000</v>
      </c>
      <c r="E962" s="25">
        <v>236.54</v>
      </c>
      <c r="F962" s="25">
        <v>236539.65</v>
      </c>
      <c r="G962" s="25" t="s">
        <v>721</v>
      </c>
      <c r="H962" s="25">
        <v>2018191</v>
      </c>
      <c r="I962" s="25" t="s">
        <v>19</v>
      </c>
      <c r="J962" s="25" t="s">
        <v>20</v>
      </c>
      <c r="K962" s="25" t="s">
        <v>25</v>
      </c>
      <c r="L962" s="25">
        <v>58.63</v>
      </c>
      <c r="M962" s="25">
        <v>7.1</v>
      </c>
      <c r="N962" s="25">
        <v>0</v>
      </c>
      <c r="O962" s="25">
        <v>140.84</v>
      </c>
      <c r="P962" s="25">
        <v>206.56630000000001</v>
      </c>
      <c r="Q962" s="25">
        <f t="shared" si="28"/>
        <v>0</v>
      </c>
      <c r="R962" s="25">
        <f t="shared" si="29"/>
        <v>236333.08369999999</v>
      </c>
    </row>
    <row r="963" spans="1:18" hidden="1" x14ac:dyDescent="0.25">
      <c r="A963" s="26">
        <v>43382</v>
      </c>
      <c r="B963" s="25" t="s">
        <v>279</v>
      </c>
      <c r="C963" s="25" t="s">
        <v>17</v>
      </c>
      <c r="D963" s="25">
        <v>1000</v>
      </c>
      <c r="E963" s="25">
        <v>232.53</v>
      </c>
      <c r="F963" s="25">
        <v>232525.45</v>
      </c>
      <c r="G963" s="25" t="s">
        <v>722</v>
      </c>
      <c r="H963" s="25">
        <v>2018191</v>
      </c>
      <c r="I963" s="25" t="s">
        <v>19</v>
      </c>
      <c r="J963" s="25" t="s">
        <v>20</v>
      </c>
      <c r="K963" s="25" t="s">
        <v>25</v>
      </c>
      <c r="L963" s="25">
        <v>0</v>
      </c>
      <c r="M963" s="25">
        <v>6.98</v>
      </c>
      <c r="N963" s="25">
        <v>0</v>
      </c>
      <c r="O963" s="25">
        <v>138.44999999999999</v>
      </c>
      <c r="P963" s="25">
        <v>145.4256</v>
      </c>
      <c r="Q963" s="25">
        <f t="shared" ref="Q963:Q1026" si="30">IF(C963="Buy",F963+P963,0)</f>
        <v>232670.8756</v>
      </c>
      <c r="R963" s="25">
        <f t="shared" ref="R963:R1026" si="31">IF(C963="Sell",F963-P963,0)</f>
        <v>0</v>
      </c>
    </row>
    <row r="964" spans="1:18" hidden="1" x14ac:dyDescent="0.25">
      <c r="A964" s="26">
        <v>43382</v>
      </c>
      <c r="B964" s="25" t="s">
        <v>282</v>
      </c>
      <c r="C964" s="25" t="s">
        <v>17</v>
      </c>
      <c r="D964" s="25">
        <v>100</v>
      </c>
      <c r="E964" s="25">
        <v>600</v>
      </c>
      <c r="F964" s="25">
        <v>60000</v>
      </c>
      <c r="G964" s="25" t="s">
        <v>723</v>
      </c>
      <c r="H964" s="25">
        <v>2018191</v>
      </c>
      <c r="I964" s="25" t="s">
        <v>19</v>
      </c>
      <c r="J964" s="25" t="s">
        <v>20</v>
      </c>
      <c r="K964" s="25" t="s">
        <v>25</v>
      </c>
      <c r="L964" s="25">
        <v>0</v>
      </c>
      <c r="M964" s="25">
        <v>1.8</v>
      </c>
      <c r="N964" s="25">
        <v>0</v>
      </c>
      <c r="O964" s="25">
        <v>35.72</v>
      </c>
      <c r="P964" s="25">
        <v>37.520000000000003</v>
      </c>
      <c r="Q964" s="25">
        <f t="shared" si="30"/>
        <v>60037.52</v>
      </c>
      <c r="R964" s="25">
        <f t="shared" si="31"/>
        <v>0</v>
      </c>
    </row>
    <row r="965" spans="1:18" hidden="1" x14ac:dyDescent="0.25">
      <c r="A965" s="26">
        <v>43381</v>
      </c>
      <c r="B965" s="25" t="s">
        <v>321</v>
      </c>
      <c r="C965" s="25" t="s">
        <v>23</v>
      </c>
      <c r="D965" s="25">
        <v>100</v>
      </c>
      <c r="E965" s="25">
        <v>171.8</v>
      </c>
      <c r="F965" s="25">
        <v>17180</v>
      </c>
      <c r="G965" s="25" t="s">
        <v>724</v>
      </c>
      <c r="H965" s="25">
        <v>2018190</v>
      </c>
      <c r="I965" s="25" t="s">
        <v>19</v>
      </c>
      <c r="J965" s="25" t="s">
        <v>20</v>
      </c>
      <c r="K965" s="25" t="s">
        <v>25</v>
      </c>
      <c r="L965" s="25">
        <v>4.45</v>
      </c>
      <c r="M965" s="25">
        <v>0.52</v>
      </c>
      <c r="N965" s="25">
        <v>0</v>
      </c>
      <c r="O965" s="25">
        <v>29.59</v>
      </c>
      <c r="P965" s="25">
        <v>34.555399999999999</v>
      </c>
      <c r="Q965" s="25">
        <f t="shared" si="30"/>
        <v>0</v>
      </c>
      <c r="R965" s="25">
        <f t="shared" si="31"/>
        <v>17145.444599999999</v>
      </c>
    </row>
    <row r="966" spans="1:18" hidden="1" x14ac:dyDescent="0.25">
      <c r="A966" s="26">
        <v>43381</v>
      </c>
      <c r="B966" s="25" t="s">
        <v>321</v>
      </c>
      <c r="C966" s="25" t="s">
        <v>23</v>
      </c>
      <c r="D966" s="25">
        <v>500</v>
      </c>
      <c r="E966" s="25">
        <v>175</v>
      </c>
      <c r="F966" s="25">
        <v>87500</v>
      </c>
      <c r="G966" s="25" t="s">
        <v>725</v>
      </c>
      <c r="H966" s="25">
        <v>2018190</v>
      </c>
      <c r="I966" s="25" t="s">
        <v>19</v>
      </c>
      <c r="J966" s="25" t="s">
        <v>20</v>
      </c>
      <c r="K966" s="25" t="s">
        <v>25</v>
      </c>
      <c r="L966" s="25">
        <v>22.25</v>
      </c>
      <c r="M966" s="25">
        <v>2.63</v>
      </c>
      <c r="N966" s="25">
        <v>0</v>
      </c>
      <c r="O966" s="25">
        <v>52.1</v>
      </c>
      <c r="P966" s="25">
        <v>76.975099999999998</v>
      </c>
      <c r="Q966" s="25">
        <f t="shared" si="30"/>
        <v>0</v>
      </c>
      <c r="R966" s="25">
        <f t="shared" si="31"/>
        <v>87423.024900000004</v>
      </c>
    </row>
    <row r="967" spans="1:18" hidden="1" x14ac:dyDescent="0.25">
      <c r="A967" s="26">
        <v>43381</v>
      </c>
      <c r="B967" s="25" t="s">
        <v>480</v>
      </c>
      <c r="C967" s="25" t="s">
        <v>23</v>
      </c>
      <c r="D967" s="25">
        <v>2500</v>
      </c>
      <c r="E967" s="25">
        <v>69.900000000000006</v>
      </c>
      <c r="F967" s="25">
        <v>174750</v>
      </c>
      <c r="G967" s="25" t="s">
        <v>726</v>
      </c>
      <c r="H967" s="25">
        <v>2018190</v>
      </c>
      <c r="I967" s="25" t="s">
        <v>19</v>
      </c>
      <c r="J967" s="25" t="s">
        <v>20</v>
      </c>
      <c r="K967" s="25" t="s">
        <v>25</v>
      </c>
      <c r="L967" s="25">
        <v>44.06</v>
      </c>
      <c r="M967" s="25">
        <v>5.24</v>
      </c>
      <c r="N967" s="25">
        <v>0</v>
      </c>
      <c r="O967" s="25">
        <v>104.05</v>
      </c>
      <c r="P967" s="25">
        <v>153.35249999999999</v>
      </c>
      <c r="Q967" s="25">
        <f t="shared" si="30"/>
        <v>0</v>
      </c>
      <c r="R967" s="25">
        <f t="shared" si="31"/>
        <v>174596.64749999999</v>
      </c>
    </row>
    <row r="968" spans="1:18" hidden="1" x14ac:dyDescent="0.25">
      <c r="A968" s="26">
        <v>43381</v>
      </c>
      <c r="B968" s="25" t="s">
        <v>321</v>
      </c>
      <c r="C968" s="25" t="s">
        <v>23</v>
      </c>
      <c r="D968" s="25">
        <v>500</v>
      </c>
      <c r="E968" s="25">
        <v>180</v>
      </c>
      <c r="F968" s="25">
        <v>90000</v>
      </c>
      <c r="G968" s="25" t="s">
        <v>727</v>
      </c>
      <c r="H968" s="25">
        <v>2018190</v>
      </c>
      <c r="I968" s="25" t="s">
        <v>19</v>
      </c>
      <c r="J968" s="25" t="s">
        <v>20</v>
      </c>
      <c r="K968" s="25" t="s">
        <v>25</v>
      </c>
      <c r="L968" s="25">
        <v>22.25</v>
      </c>
      <c r="M968" s="25">
        <v>2.7</v>
      </c>
      <c r="N968" s="25">
        <v>0</v>
      </c>
      <c r="O968" s="25">
        <v>53.59</v>
      </c>
      <c r="P968" s="25">
        <v>78.540000000000006</v>
      </c>
      <c r="Q968" s="25">
        <f t="shared" si="30"/>
        <v>0</v>
      </c>
      <c r="R968" s="25">
        <f t="shared" si="31"/>
        <v>89921.46</v>
      </c>
    </row>
    <row r="969" spans="1:18" hidden="1" x14ac:dyDescent="0.25">
      <c r="A969" s="26">
        <v>43381</v>
      </c>
      <c r="B969" s="25" t="s">
        <v>321</v>
      </c>
      <c r="C969" s="25" t="s">
        <v>17</v>
      </c>
      <c r="D969" s="25">
        <v>1100</v>
      </c>
      <c r="E969" s="25">
        <v>178.95</v>
      </c>
      <c r="F969" s="25">
        <v>196845</v>
      </c>
      <c r="G969" s="25" t="s">
        <v>728</v>
      </c>
      <c r="H969" s="25">
        <v>2018190</v>
      </c>
      <c r="I969" s="25" t="s">
        <v>19</v>
      </c>
      <c r="J969" s="25" t="s">
        <v>20</v>
      </c>
      <c r="K969" s="25" t="s">
        <v>25</v>
      </c>
      <c r="L969" s="25">
        <v>0</v>
      </c>
      <c r="M969" s="25">
        <v>5.91</v>
      </c>
      <c r="N969" s="25">
        <v>0</v>
      </c>
      <c r="O969" s="25">
        <v>117.2</v>
      </c>
      <c r="P969" s="25">
        <v>123.1054</v>
      </c>
      <c r="Q969" s="25">
        <f t="shared" si="30"/>
        <v>196968.1054</v>
      </c>
      <c r="R969" s="25">
        <f t="shared" si="31"/>
        <v>0</v>
      </c>
    </row>
    <row r="970" spans="1:18" hidden="1" x14ac:dyDescent="0.25">
      <c r="A970" s="26">
        <v>43381</v>
      </c>
      <c r="B970" s="25" t="s">
        <v>480</v>
      </c>
      <c r="C970" s="25" t="s">
        <v>17</v>
      </c>
      <c r="D970" s="25">
        <v>2500</v>
      </c>
      <c r="E970" s="25">
        <v>70.3</v>
      </c>
      <c r="F970" s="25">
        <v>175750</v>
      </c>
      <c r="G970" s="25" t="s">
        <v>729</v>
      </c>
      <c r="H970" s="25">
        <v>2018190</v>
      </c>
      <c r="I970" s="25" t="s">
        <v>19</v>
      </c>
      <c r="J970" s="25" t="s">
        <v>20</v>
      </c>
      <c r="K970" s="25" t="s">
        <v>25</v>
      </c>
      <c r="L970" s="25">
        <v>0</v>
      </c>
      <c r="M970" s="25">
        <v>5.27</v>
      </c>
      <c r="N970" s="25">
        <v>22.5</v>
      </c>
      <c r="O970" s="25">
        <v>104.64</v>
      </c>
      <c r="P970" s="25">
        <v>132.41249999999999</v>
      </c>
      <c r="Q970" s="25">
        <f t="shared" si="30"/>
        <v>175882.41250000001</v>
      </c>
      <c r="R970" s="25">
        <f t="shared" si="31"/>
        <v>0</v>
      </c>
    </row>
    <row r="971" spans="1:18" hidden="1" x14ac:dyDescent="0.25">
      <c r="A971" s="26">
        <v>43378</v>
      </c>
      <c r="B971" s="25" t="s">
        <v>480</v>
      </c>
      <c r="C971" s="25" t="s">
        <v>23</v>
      </c>
      <c r="D971" s="25">
        <v>2500</v>
      </c>
      <c r="E971" s="25">
        <v>68.400000000000006</v>
      </c>
      <c r="F971" s="25">
        <v>171000</v>
      </c>
      <c r="G971" s="25" t="s">
        <v>730</v>
      </c>
      <c r="H971" s="25">
        <v>2018189</v>
      </c>
      <c r="I971" s="25" t="s">
        <v>19</v>
      </c>
      <c r="J971" s="25" t="s">
        <v>20</v>
      </c>
      <c r="K971" s="25" t="s">
        <v>25</v>
      </c>
      <c r="L971" s="25">
        <v>42.91</v>
      </c>
      <c r="M971" s="25">
        <v>5.13</v>
      </c>
      <c r="N971" s="25">
        <v>0</v>
      </c>
      <c r="O971" s="25">
        <v>101.82</v>
      </c>
      <c r="P971" s="25">
        <v>149.86000000000001</v>
      </c>
      <c r="Q971" s="25">
        <f t="shared" si="30"/>
        <v>0</v>
      </c>
      <c r="R971" s="25">
        <f t="shared" si="31"/>
        <v>170850.14</v>
      </c>
    </row>
    <row r="972" spans="1:18" hidden="1" x14ac:dyDescent="0.25">
      <c r="A972" s="26">
        <v>43378</v>
      </c>
      <c r="B972" s="25" t="s">
        <v>282</v>
      </c>
      <c r="C972" s="25" t="s">
        <v>23</v>
      </c>
      <c r="D972" s="25">
        <v>250</v>
      </c>
      <c r="E972" s="25">
        <v>615</v>
      </c>
      <c r="F972" s="25">
        <v>153750</v>
      </c>
      <c r="G972" s="25" t="s">
        <v>731</v>
      </c>
      <c r="H972" s="25">
        <v>2018189</v>
      </c>
      <c r="I972" s="25" t="s">
        <v>19</v>
      </c>
      <c r="J972" s="25" t="s">
        <v>20</v>
      </c>
      <c r="K972" s="25" t="s">
        <v>25</v>
      </c>
      <c r="L972" s="25">
        <v>38.17</v>
      </c>
      <c r="M972" s="25">
        <v>4.6100000000000003</v>
      </c>
      <c r="N972" s="25">
        <v>30</v>
      </c>
      <c r="O972" s="25">
        <v>91.55</v>
      </c>
      <c r="P972" s="25">
        <v>164.33260000000001</v>
      </c>
      <c r="Q972" s="25">
        <f t="shared" si="30"/>
        <v>0</v>
      </c>
      <c r="R972" s="25">
        <f t="shared" si="31"/>
        <v>153585.66740000001</v>
      </c>
    </row>
    <row r="973" spans="1:18" hidden="1" x14ac:dyDescent="0.25">
      <c r="A973" s="26">
        <v>43378</v>
      </c>
      <c r="B973" s="25" t="s">
        <v>480</v>
      </c>
      <c r="C973" s="25" t="s">
        <v>23</v>
      </c>
      <c r="D973" s="25">
        <v>2500</v>
      </c>
      <c r="E973" s="25">
        <v>69.25</v>
      </c>
      <c r="F973" s="25">
        <v>173125</v>
      </c>
      <c r="G973" s="25" t="s">
        <v>732</v>
      </c>
      <c r="H973" s="25">
        <v>2018189</v>
      </c>
      <c r="I973" s="25" t="s">
        <v>19</v>
      </c>
      <c r="J973" s="25" t="s">
        <v>20</v>
      </c>
      <c r="K973" s="25" t="s">
        <v>25</v>
      </c>
      <c r="L973" s="25">
        <v>42.91</v>
      </c>
      <c r="M973" s="25">
        <v>5.19</v>
      </c>
      <c r="N973" s="25">
        <v>0</v>
      </c>
      <c r="O973" s="25">
        <v>103.08</v>
      </c>
      <c r="P973" s="25">
        <v>151.18369999999999</v>
      </c>
      <c r="Q973" s="25">
        <f t="shared" si="30"/>
        <v>0</v>
      </c>
      <c r="R973" s="25">
        <f t="shared" si="31"/>
        <v>172973.81630000001</v>
      </c>
    </row>
    <row r="974" spans="1:18" hidden="1" x14ac:dyDescent="0.25">
      <c r="A974" s="26">
        <v>43378</v>
      </c>
      <c r="B974" s="25" t="s">
        <v>282</v>
      </c>
      <c r="C974" s="25" t="s">
        <v>17</v>
      </c>
      <c r="D974" s="25">
        <v>250</v>
      </c>
      <c r="E974" s="25">
        <v>619.41999999999996</v>
      </c>
      <c r="F974" s="25">
        <v>154856.20000000001</v>
      </c>
      <c r="G974" s="25" t="s">
        <v>733</v>
      </c>
      <c r="H974" s="25">
        <v>2018189</v>
      </c>
      <c r="I974" s="25" t="s">
        <v>19</v>
      </c>
      <c r="J974" s="25" t="s">
        <v>20</v>
      </c>
      <c r="K974" s="25" t="s">
        <v>25</v>
      </c>
      <c r="L974" s="25">
        <v>0</v>
      </c>
      <c r="M974" s="25">
        <v>4.6500000000000004</v>
      </c>
      <c r="N974" s="25">
        <v>0</v>
      </c>
      <c r="O974" s="25">
        <v>92.2</v>
      </c>
      <c r="P974" s="25">
        <v>96.845799999999997</v>
      </c>
      <c r="Q974" s="25">
        <f t="shared" si="30"/>
        <v>154953.04580000002</v>
      </c>
      <c r="R974" s="25">
        <f t="shared" si="31"/>
        <v>0</v>
      </c>
    </row>
    <row r="975" spans="1:18" hidden="1" x14ac:dyDescent="0.25">
      <c r="A975" s="26">
        <v>43378</v>
      </c>
      <c r="B975" s="25" t="s">
        <v>480</v>
      </c>
      <c r="C975" s="25" t="s">
        <v>17</v>
      </c>
      <c r="D975" s="25">
        <v>5000</v>
      </c>
      <c r="E975" s="25">
        <v>68.5</v>
      </c>
      <c r="F975" s="25">
        <v>342500</v>
      </c>
      <c r="G975" s="25" t="s">
        <v>734</v>
      </c>
      <c r="H975" s="25">
        <v>2018189</v>
      </c>
      <c r="I975" s="25" t="s">
        <v>19</v>
      </c>
      <c r="J975" s="25" t="s">
        <v>20</v>
      </c>
      <c r="K975" s="25" t="s">
        <v>25</v>
      </c>
      <c r="L975" s="25">
        <v>0</v>
      </c>
      <c r="M975" s="25">
        <v>10.28</v>
      </c>
      <c r="N975" s="25">
        <v>0</v>
      </c>
      <c r="O975" s="25">
        <v>203.92</v>
      </c>
      <c r="P975" s="25">
        <v>214.1951</v>
      </c>
      <c r="Q975" s="25">
        <f t="shared" si="30"/>
        <v>342714.19510000001</v>
      </c>
      <c r="R975" s="25">
        <f t="shared" si="31"/>
        <v>0</v>
      </c>
    </row>
    <row r="976" spans="1:18" hidden="1" x14ac:dyDescent="0.25">
      <c r="A976" s="26">
        <v>43377</v>
      </c>
      <c r="B976" s="25" t="s">
        <v>480</v>
      </c>
      <c r="C976" s="25" t="s">
        <v>23</v>
      </c>
      <c r="D976" s="25">
        <v>500</v>
      </c>
      <c r="E976" s="25">
        <v>68.2</v>
      </c>
      <c r="F976" s="25">
        <v>34100</v>
      </c>
      <c r="G976" s="25" t="s">
        <v>735</v>
      </c>
      <c r="H976" s="25">
        <v>2018188</v>
      </c>
      <c r="I976" s="25" t="s">
        <v>19</v>
      </c>
      <c r="J976" s="25" t="s">
        <v>20</v>
      </c>
      <c r="K976" s="25" t="s">
        <v>25</v>
      </c>
      <c r="L976" s="25">
        <v>8.51</v>
      </c>
      <c r="M976" s="25">
        <v>1.02</v>
      </c>
      <c r="N976" s="25">
        <v>0</v>
      </c>
      <c r="O976" s="25">
        <v>29.68</v>
      </c>
      <c r="P976" s="25">
        <v>39.213099999999997</v>
      </c>
      <c r="Q976" s="25">
        <f t="shared" si="30"/>
        <v>0</v>
      </c>
      <c r="R976" s="25">
        <f t="shared" si="31"/>
        <v>34060.786899999999</v>
      </c>
    </row>
    <row r="977" spans="1:18" hidden="1" x14ac:dyDescent="0.25">
      <c r="A977" s="26">
        <v>43377</v>
      </c>
      <c r="B977" s="25" t="s">
        <v>270</v>
      </c>
      <c r="C977" s="25" t="s">
        <v>23</v>
      </c>
      <c r="D977" s="25">
        <v>1100</v>
      </c>
      <c r="E977" s="25">
        <v>104.5</v>
      </c>
      <c r="F977" s="25">
        <v>114950</v>
      </c>
      <c r="G977" s="25" t="s">
        <v>736</v>
      </c>
      <c r="H977" s="25">
        <v>2018188</v>
      </c>
      <c r="I977" s="25" t="s">
        <v>19</v>
      </c>
      <c r="J977" s="25" t="s">
        <v>20</v>
      </c>
      <c r="K977" s="25" t="s">
        <v>25</v>
      </c>
      <c r="L977" s="25">
        <v>28.64</v>
      </c>
      <c r="M977" s="25">
        <v>3.45</v>
      </c>
      <c r="N977" s="25">
        <v>0</v>
      </c>
      <c r="O977" s="25">
        <v>68.45</v>
      </c>
      <c r="P977" s="25">
        <v>100.5384</v>
      </c>
      <c r="Q977" s="25">
        <f t="shared" si="30"/>
        <v>0</v>
      </c>
      <c r="R977" s="25">
        <f t="shared" si="31"/>
        <v>114849.4616</v>
      </c>
    </row>
    <row r="978" spans="1:18" hidden="1" x14ac:dyDescent="0.25">
      <c r="A978" s="26">
        <v>43377</v>
      </c>
      <c r="B978" s="25" t="s">
        <v>270</v>
      </c>
      <c r="C978" s="25" t="s">
        <v>17</v>
      </c>
      <c r="D978" s="25">
        <v>1100</v>
      </c>
      <c r="E978" s="25">
        <v>103.8</v>
      </c>
      <c r="F978" s="25">
        <v>114180</v>
      </c>
      <c r="G978" s="25" t="s">
        <v>737</v>
      </c>
      <c r="H978" s="25">
        <v>2018188</v>
      </c>
      <c r="I978" s="25" t="s">
        <v>19</v>
      </c>
      <c r="J978" s="25" t="s">
        <v>20</v>
      </c>
      <c r="K978" s="25" t="s">
        <v>25</v>
      </c>
      <c r="L978" s="25">
        <v>0</v>
      </c>
      <c r="M978" s="25">
        <v>3.43</v>
      </c>
      <c r="N978" s="25">
        <v>0</v>
      </c>
      <c r="O978" s="25">
        <v>67.98</v>
      </c>
      <c r="P978" s="25">
        <v>71.4054</v>
      </c>
      <c r="Q978" s="25">
        <f t="shared" si="30"/>
        <v>114251.4054</v>
      </c>
      <c r="R978" s="25">
        <f t="shared" si="31"/>
        <v>0</v>
      </c>
    </row>
    <row r="979" spans="1:18" hidden="1" x14ac:dyDescent="0.25">
      <c r="A979" s="26">
        <v>43377</v>
      </c>
      <c r="B979" s="25" t="s">
        <v>738</v>
      </c>
      <c r="C979" s="25" t="s">
        <v>23</v>
      </c>
      <c r="D979" s="25">
        <v>100</v>
      </c>
      <c r="E979" s="25">
        <v>316.5</v>
      </c>
      <c r="F979" s="25">
        <v>31650</v>
      </c>
      <c r="G979" s="25" t="s">
        <v>739</v>
      </c>
      <c r="H979" s="25">
        <v>2018188</v>
      </c>
      <c r="I979" s="25" t="s">
        <v>19</v>
      </c>
      <c r="J979" s="25" t="s">
        <v>20</v>
      </c>
      <c r="K979" s="25" t="s">
        <v>25</v>
      </c>
      <c r="L979" s="25">
        <v>7.89</v>
      </c>
      <c r="M979" s="25">
        <v>0.95</v>
      </c>
      <c r="N979" s="25">
        <v>0</v>
      </c>
      <c r="O979" s="25">
        <v>29.67</v>
      </c>
      <c r="P979" s="25">
        <v>38.509500000000003</v>
      </c>
      <c r="Q979" s="25">
        <f t="shared" si="30"/>
        <v>0</v>
      </c>
      <c r="R979" s="25">
        <f t="shared" si="31"/>
        <v>31611.4905</v>
      </c>
    </row>
    <row r="980" spans="1:18" hidden="1" x14ac:dyDescent="0.25">
      <c r="A980" s="26">
        <v>43377</v>
      </c>
      <c r="B980" s="25" t="s">
        <v>738</v>
      </c>
      <c r="C980" s="25" t="s">
        <v>23</v>
      </c>
      <c r="D980" s="25">
        <v>1000</v>
      </c>
      <c r="E980" s="25">
        <v>312.7</v>
      </c>
      <c r="F980" s="25">
        <v>312700</v>
      </c>
      <c r="G980" s="25" t="s">
        <v>740</v>
      </c>
      <c r="H980" s="25">
        <v>2018188</v>
      </c>
      <c r="I980" s="25" t="s">
        <v>19</v>
      </c>
      <c r="J980" s="25" t="s">
        <v>20</v>
      </c>
      <c r="K980" s="25" t="s">
        <v>25</v>
      </c>
      <c r="L980" s="25">
        <v>79.099999999999994</v>
      </c>
      <c r="M980" s="25">
        <v>9.3800000000000008</v>
      </c>
      <c r="N980" s="25">
        <v>48.9</v>
      </c>
      <c r="O980" s="25">
        <v>186.18</v>
      </c>
      <c r="P980" s="25">
        <v>323.56099999999998</v>
      </c>
      <c r="Q980" s="25">
        <f t="shared" si="30"/>
        <v>0</v>
      </c>
      <c r="R980" s="25">
        <f t="shared" si="31"/>
        <v>312376.43900000001</v>
      </c>
    </row>
    <row r="981" spans="1:18" hidden="1" x14ac:dyDescent="0.25">
      <c r="A981" s="26">
        <v>43377</v>
      </c>
      <c r="B981" s="25" t="s">
        <v>480</v>
      </c>
      <c r="C981" s="25" t="s">
        <v>17</v>
      </c>
      <c r="D981" s="25">
        <v>500</v>
      </c>
      <c r="E981" s="25">
        <v>68</v>
      </c>
      <c r="F981" s="25">
        <v>34000</v>
      </c>
      <c r="G981" s="25" t="s">
        <v>741</v>
      </c>
      <c r="H981" s="25">
        <v>2018188</v>
      </c>
      <c r="I981" s="25" t="s">
        <v>19</v>
      </c>
      <c r="J981" s="25" t="s">
        <v>20</v>
      </c>
      <c r="K981" s="25" t="s">
        <v>25</v>
      </c>
      <c r="L981" s="25">
        <v>0</v>
      </c>
      <c r="M981" s="25">
        <v>1.02</v>
      </c>
      <c r="N981" s="25">
        <v>0</v>
      </c>
      <c r="O981" s="25">
        <v>29.68</v>
      </c>
      <c r="P981" s="25">
        <v>30.7</v>
      </c>
      <c r="Q981" s="25">
        <f t="shared" si="30"/>
        <v>34030.699999999997</v>
      </c>
      <c r="R981" s="25">
        <f t="shared" si="31"/>
        <v>0</v>
      </c>
    </row>
    <row r="982" spans="1:18" hidden="1" x14ac:dyDescent="0.25">
      <c r="A982" s="26">
        <v>43377</v>
      </c>
      <c r="B982" s="25" t="s">
        <v>738</v>
      </c>
      <c r="C982" s="25" t="s">
        <v>23</v>
      </c>
      <c r="D982" s="25">
        <v>1000</v>
      </c>
      <c r="E982" s="25">
        <v>319.01</v>
      </c>
      <c r="F982" s="25">
        <v>319014.65000000002</v>
      </c>
      <c r="G982" s="25" t="s">
        <v>742</v>
      </c>
      <c r="H982" s="25">
        <v>2018188</v>
      </c>
      <c r="I982" s="25" t="s">
        <v>19</v>
      </c>
      <c r="J982" s="25" t="s">
        <v>20</v>
      </c>
      <c r="K982" s="25" t="s">
        <v>25</v>
      </c>
      <c r="L982" s="25">
        <v>78.86</v>
      </c>
      <c r="M982" s="25">
        <v>9.57</v>
      </c>
      <c r="N982" s="25">
        <v>0</v>
      </c>
      <c r="O982" s="25">
        <v>189.95</v>
      </c>
      <c r="P982" s="25">
        <v>278.38049999999998</v>
      </c>
      <c r="Q982" s="25">
        <f t="shared" si="30"/>
        <v>0</v>
      </c>
      <c r="R982" s="25">
        <f t="shared" si="31"/>
        <v>318736.26949999999</v>
      </c>
    </row>
    <row r="983" spans="1:18" hidden="1" x14ac:dyDescent="0.25">
      <c r="A983" s="26">
        <v>43377</v>
      </c>
      <c r="B983" s="25" t="s">
        <v>738</v>
      </c>
      <c r="C983" s="25" t="s">
        <v>17</v>
      </c>
      <c r="D983" s="25">
        <v>2100</v>
      </c>
      <c r="E983" s="25">
        <v>315</v>
      </c>
      <c r="F983" s="25">
        <v>661500</v>
      </c>
      <c r="G983" s="25" t="s">
        <v>743</v>
      </c>
      <c r="H983" s="25">
        <v>2018188</v>
      </c>
      <c r="I983" s="25" t="s">
        <v>19</v>
      </c>
      <c r="J983" s="25" t="s">
        <v>20</v>
      </c>
      <c r="K983" s="25" t="s">
        <v>25</v>
      </c>
      <c r="L983" s="25">
        <v>0</v>
      </c>
      <c r="M983" s="25">
        <v>19.850000000000001</v>
      </c>
      <c r="N983" s="25">
        <v>0</v>
      </c>
      <c r="O983" s="25">
        <v>393.86</v>
      </c>
      <c r="P983" s="25">
        <v>413.70510000000002</v>
      </c>
      <c r="Q983" s="25">
        <f t="shared" si="30"/>
        <v>661913.70510000002</v>
      </c>
      <c r="R983" s="25">
        <f t="shared" si="31"/>
        <v>0</v>
      </c>
    </row>
    <row r="984" spans="1:18" hidden="1" x14ac:dyDescent="0.25">
      <c r="A984" s="26">
        <v>43376</v>
      </c>
      <c r="B984" s="25" t="s">
        <v>279</v>
      </c>
      <c r="C984" s="25" t="s">
        <v>23</v>
      </c>
      <c r="D984" s="25">
        <v>500</v>
      </c>
      <c r="E984" s="25">
        <v>255</v>
      </c>
      <c r="F984" s="25">
        <v>127502.39999999999</v>
      </c>
      <c r="G984" s="25" t="s">
        <v>744</v>
      </c>
      <c r="H984" s="25">
        <v>2018187</v>
      </c>
      <c r="I984" s="25" t="s">
        <v>19</v>
      </c>
      <c r="J984" s="25" t="s">
        <v>20</v>
      </c>
      <c r="K984" s="25" t="s">
        <v>25</v>
      </c>
      <c r="L984" s="25">
        <v>32.159999999999997</v>
      </c>
      <c r="M984" s="25">
        <v>3.83</v>
      </c>
      <c r="N984" s="25">
        <v>0</v>
      </c>
      <c r="O984" s="25">
        <v>75.92</v>
      </c>
      <c r="P984" s="25">
        <v>111.9051</v>
      </c>
      <c r="Q984" s="25">
        <f t="shared" si="30"/>
        <v>0</v>
      </c>
      <c r="R984" s="25">
        <f t="shared" si="31"/>
        <v>127390.49489999999</v>
      </c>
    </row>
    <row r="985" spans="1:18" hidden="1" x14ac:dyDescent="0.25">
      <c r="A985" s="26">
        <v>43376</v>
      </c>
      <c r="B985" s="25" t="s">
        <v>279</v>
      </c>
      <c r="C985" s="25" t="s">
        <v>23</v>
      </c>
      <c r="D985" s="25">
        <v>500</v>
      </c>
      <c r="E985" s="25">
        <v>256</v>
      </c>
      <c r="F985" s="25">
        <v>128000</v>
      </c>
      <c r="G985" s="25" t="s">
        <v>745</v>
      </c>
      <c r="H985" s="25">
        <v>2018187</v>
      </c>
      <c r="I985" s="25" t="s">
        <v>19</v>
      </c>
      <c r="J985" s="25" t="s">
        <v>20</v>
      </c>
      <c r="K985" s="25" t="s">
        <v>25</v>
      </c>
      <c r="L985" s="25">
        <v>32.159999999999997</v>
      </c>
      <c r="M985" s="25">
        <v>3.84</v>
      </c>
      <c r="N985" s="25">
        <v>0</v>
      </c>
      <c r="O985" s="25">
        <v>76.2</v>
      </c>
      <c r="P985" s="25">
        <v>112.2</v>
      </c>
      <c r="Q985" s="25">
        <f t="shared" si="30"/>
        <v>0</v>
      </c>
      <c r="R985" s="25">
        <f t="shared" si="31"/>
        <v>127887.8</v>
      </c>
    </row>
    <row r="986" spans="1:18" hidden="1" x14ac:dyDescent="0.25">
      <c r="A986" s="26">
        <v>43376</v>
      </c>
      <c r="B986" s="25" t="s">
        <v>279</v>
      </c>
      <c r="C986" s="25" t="s">
        <v>17</v>
      </c>
      <c r="D986" s="25">
        <v>547</v>
      </c>
      <c r="E986" s="25">
        <v>264</v>
      </c>
      <c r="F986" s="25">
        <v>144408</v>
      </c>
      <c r="G986" s="25" t="s">
        <v>746</v>
      </c>
      <c r="H986" s="25">
        <v>2018187</v>
      </c>
      <c r="I986" s="25" t="s">
        <v>19</v>
      </c>
      <c r="J986" s="25" t="s">
        <v>20</v>
      </c>
      <c r="K986" s="25" t="s">
        <v>25</v>
      </c>
      <c r="L986" s="25">
        <v>0</v>
      </c>
      <c r="M986" s="25">
        <v>4.33</v>
      </c>
      <c r="N986" s="25">
        <v>0</v>
      </c>
      <c r="O986" s="25">
        <v>86</v>
      </c>
      <c r="P986" s="25">
        <v>90.332099999999997</v>
      </c>
      <c r="Q986" s="25">
        <f t="shared" si="30"/>
        <v>144498.3321</v>
      </c>
      <c r="R986" s="25">
        <f t="shared" si="31"/>
        <v>0</v>
      </c>
    </row>
    <row r="987" spans="1:18" hidden="1" x14ac:dyDescent="0.25">
      <c r="A987" s="26">
        <v>43376</v>
      </c>
      <c r="B987" s="25" t="s">
        <v>279</v>
      </c>
      <c r="C987" s="25" t="s">
        <v>23</v>
      </c>
      <c r="D987" s="25">
        <v>500</v>
      </c>
      <c r="E987" s="25">
        <v>261.01</v>
      </c>
      <c r="F987" s="25">
        <v>130504</v>
      </c>
      <c r="G987" s="25" t="s">
        <v>747</v>
      </c>
      <c r="H987" s="25">
        <v>2018187</v>
      </c>
      <c r="I987" s="25" t="s">
        <v>19</v>
      </c>
      <c r="J987" s="25" t="s">
        <v>20</v>
      </c>
      <c r="K987" s="25" t="s">
        <v>25</v>
      </c>
      <c r="L987" s="25">
        <v>32.159999999999997</v>
      </c>
      <c r="M987" s="25">
        <v>3.92</v>
      </c>
      <c r="N987" s="25">
        <v>0</v>
      </c>
      <c r="O987" s="25">
        <v>77.7</v>
      </c>
      <c r="P987" s="25">
        <v>113.7752</v>
      </c>
      <c r="Q987" s="25">
        <f t="shared" si="30"/>
        <v>0</v>
      </c>
      <c r="R987" s="25">
        <f t="shared" si="31"/>
        <v>130390.2248</v>
      </c>
    </row>
    <row r="988" spans="1:18" hidden="1" x14ac:dyDescent="0.25">
      <c r="A988" s="26">
        <v>43376</v>
      </c>
      <c r="B988" s="25" t="s">
        <v>279</v>
      </c>
      <c r="C988" s="25" t="s">
        <v>17</v>
      </c>
      <c r="D988" s="25">
        <v>953</v>
      </c>
      <c r="E988" s="25">
        <v>257.75</v>
      </c>
      <c r="F988" s="25">
        <v>245639.2</v>
      </c>
      <c r="G988" s="25" t="s">
        <v>748</v>
      </c>
      <c r="H988" s="25">
        <v>2018187</v>
      </c>
      <c r="I988" s="25" t="s">
        <v>19</v>
      </c>
      <c r="J988" s="25" t="s">
        <v>20</v>
      </c>
      <c r="K988" s="25" t="s">
        <v>25</v>
      </c>
      <c r="L988" s="25">
        <v>0</v>
      </c>
      <c r="M988" s="25">
        <v>7.37</v>
      </c>
      <c r="N988" s="25">
        <v>46.5</v>
      </c>
      <c r="O988" s="25">
        <v>146.26</v>
      </c>
      <c r="P988" s="25">
        <v>200.1293</v>
      </c>
      <c r="Q988" s="25">
        <f t="shared" si="30"/>
        <v>245839.32930000001</v>
      </c>
      <c r="R988" s="25">
        <f t="shared" si="31"/>
        <v>0</v>
      </c>
    </row>
    <row r="989" spans="1:18" hidden="1" x14ac:dyDescent="0.25">
      <c r="A989" s="26">
        <v>43376</v>
      </c>
      <c r="B989" s="25" t="s">
        <v>279</v>
      </c>
      <c r="C989" s="25" t="s">
        <v>23</v>
      </c>
      <c r="D989" s="25">
        <v>500</v>
      </c>
      <c r="E989" s="25">
        <v>257</v>
      </c>
      <c r="F989" s="25">
        <v>128500</v>
      </c>
      <c r="G989" s="25" t="s">
        <v>749</v>
      </c>
      <c r="H989" s="25">
        <v>2018187</v>
      </c>
      <c r="I989" s="25" t="s">
        <v>19</v>
      </c>
      <c r="J989" s="25" t="s">
        <v>20</v>
      </c>
      <c r="K989" s="25" t="s">
        <v>25</v>
      </c>
      <c r="L989" s="25">
        <v>32.159999999999997</v>
      </c>
      <c r="M989" s="25">
        <v>3.86</v>
      </c>
      <c r="N989" s="25">
        <v>0</v>
      </c>
      <c r="O989" s="25">
        <v>76.510000000000005</v>
      </c>
      <c r="P989" s="25">
        <v>112.52509999999999</v>
      </c>
      <c r="Q989" s="25">
        <f t="shared" si="30"/>
        <v>0</v>
      </c>
      <c r="R989" s="25">
        <f t="shared" si="31"/>
        <v>128387.4749</v>
      </c>
    </row>
    <row r="990" spans="1:18" hidden="1" x14ac:dyDescent="0.25">
      <c r="A990" s="26">
        <v>43376</v>
      </c>
      <c r="B990" s="25" t="s">
        <v>279</v>
      </c>
      <c r="C990" s="25" t="s">
        <v>17</v>
      </c>
      <c r="D990" s="25">
        <v>500</v>
      </c>
      <c r="E990" s="25">
        <v>252</v>
      </c>
      <c r="F990" s="25">
        <v>126000</v>
      </c>
      <c r="G990" s="25" t="s">
        <v>750</v>
      </c>
      <c r="H990" s="25">
        <v>2018187</v>
      </c>
      <c r="I990" s="25" t="s">
        <v>19</v>
      </c>
      <c r="J990" s="25" t="s">
        <v>20</v>
      </c>
      <c r="K990" s="25" t="s">
        <v>25</v>
      </c>
      <c r="L990" s="25">
        <v>0</v>
      </c>
      <c r="M990" s="25">
        <v>3.78</v>
      </c>
      <c r="N990" s="25">
        <v>0</v>
      </c>
      <c r="O990" s="25">
        <v>75.02</v>
      </c>
      <c r="P990" s="25">
        <v>78.8</v>
      </c>
      <c r="Q990" s="25">
        <f t="shared" si="30"/>
        <v>126078.8</v>
      </c>
      <c r="R990" s="25">
        <f t="shared" si="31"/>
        <v>0</v>
      </c>
    </row>
    <row r="991" spans="1:18" hidden="1" x14ac:dyDescent="0.25">
      <c r="A991" s="26">
        <v>43376</v>
      </c>
      <c r="B991" s="25" t="s">
        <v>279</v>
      </c>
      <c r="C991" s="25" t="s">
        <v>23</v>
      </c>
      <c r="D991" s="25">
        <v>500</v>
      </c>
      <c r="E991" s="25">
        <v>257</v>
      </c>
      <c r="F991" s="25">
        <v>128500</v>
      </c>
      <c r="G991" s="25" t="s">
        <v>751</v>
      </c>
      <c r="H991" s="25">
        <v>2018187</v>
      </c>
      <c r="I991" s="25" t="s">
        <v>19</v>
      </c>
      <c r="J991" s="25" t="s">
        <v>20</v>
      </c>
      <c r="K991" s="25" t="s">
        <v>25</v>
      </c>
      <c r="L991" s="25">
        <v>32.21</v>
      </c>
      <c r="M991" s="25">
        <v>3.86</v>
      </c>
      <c r="N991" s="25">
        <v>0</v>
      </c>
      <c r="O991" s="25">
        <v>76.510000000000005</v>
      </c>
      <c r="P991" s="25">
        <v>112.57510000000001</v>
      </c>
      <c r="Q991" s="25">
        <f t="shared" si="30"/>
        <v>0</v>
      </c>
      <c r="R991" s="25">
        <f t="shared" si="31"/>
        <v>128387.4249</v>
      </c>
    </row>
    <row r="992" spans="1:18" hidden="1" x14ac:dyDescent="0.25">
      <c r="A992" s="26">
        <v>43376</v>
      </c>
      <c r="B992" s="25" t="s">
        <v>279</v>
      </c>
      <c r="C992" s="25" t="s">
        <v>23</v>
      </c>
      <c r="D992" s="25">
        <v>500</v>
      </c>
      <c r="E992" s="25">
        <v>259</v>
      </c>
      <c r="F992" s="25">
        <v>129500</v>
      </c>
      <c r="G992" s="25" t="s">
        <v>752</v>
      </c>
      <c r="H992" s="25">
        <v>2018187</v>
      </c>
      <c r="I992" s="25" t="s">
        <v>19</v>
      </c>
      <c r="J992" s="25" t="s">
        <v>20</v>
      </c>
      <c r="K992" s="25" t="s">
        <v>25</v>
      </c>
      <c r="L992" s="25">
        <v>32.159999999999997</v>
      </c>
      <c r="M992" s="25">
        <v>3.89</v>
      </c>
      <c r="N992" s="25">
        <v>0</v>
      </c>
      <c r="O992" s="25">
        <v>77.099999999999994</v>
      </c>
      <c r="P992" s="25">
        <v>113.1451</v>
      </c>
      <c r="Q992" s="25">
        <f t="shared" si="30"/>
        <v>0</v>
      </c>
      <c r="R992" s="25">
        <f t="shared" si="31"/>
        <v>129386.85490000001</v>
      </c>
    </row>
    <row r="993" spans="1:18" hidden="1" x14ac:dyDescent="0.25">
      <c r="A993" s="26">
        <v>43376</v>
      </c>
      <c r="B993" s="25" t="s">
        <v>279</v>
      </c>
      <c r="C993" s="25" t="s">
        <v>17</v>
      </c>
      <c r="D993" s="25">
        <v>1000</v>
      </c>
      <c r="E993" s="25">
        <v>255</v>
      </c>
      <c r="F993" s="25">
        <v>255000</v>
      </c>
      <c r="G993" s="25" t="s">
        <v>753</v>
      </c>
      <c r="H993" s="25">
        <v>2018187</v>
      </c>
      <c r="I993" s="25" t="s">
        <v>19</v>
      </c>
      <c r="J993" s="25" t="s">
        <v>20</v>
      </c>
      <c r="K993" s="25" t="s">
        <v>25</v>
      </c>
      <c r="L993" s="25">
        <v>0</v>
      </c>
      <c r="M993" s="25">
        <v>7.65</v>
      </c>
      <c r="N993" s="25">
        <v>0</v>
      </c>
      <c r="O993" s="25">
        <v>151.83000000000001</v>
      </c>
      <c r="P993" s="25">
        <v>159.47999999999999</v>
      </c>
      <c r="Q993" s="25">
        <f t="shared" si="30"/>
        <v>255159.48</v>
      </c>
      <c r="R993" s="25">
        <f t="shared" si="31"/>
        <v>0</v>
      </c>
    </row>
    <row r="994" spans="1:18" hidden="1" x14ac:dyDescent="0.25">
      <c r="A994" s="26">
        <v>43371</v>
      </c>
      <c r="B994" s="25" t="s">
        <v>279</v>
      </c>
      <c r="C994" s="25" t="s">
        <v>23</v>
      </c>
      <c r="D994" s="25">
        <v>250</v>
      </c>
      <c r="E994" s="25">
        <v>241</v>
      </c>
      <c r="F994" s="25">
        <v>60250</v>
      </c>
      <c r="G994" s="25" t="s">
        <v>754</v>
      </c>
      <c r="H994" s="25">
        <v>2018185</v>
      </c>
      <c r="I994" s="25" t="s">
        <v>19</v>
      </c>
      <c r="J994" s="25" t="s">
        <v>20</v>
      </c>
      <c r="K994" s="25" t="s">
        <v>25</v>
      </c>
      <c r="L994" s="25">
        <v>14.58</v>
      </c>
      <c r="M994" s="25">
        <v>1.81</v>
      </c>
      <c r="N994" s="25">
        <v>39.6</v>
      </c>
      <c r="O994" s="25">
        <v>35.869999999999997</v>
      </c>
      <c r="P994" s="25">
        <v>91.857500000000002</v>
      </c>
      <c r="Q994" s="25">
        <f t="shared" si="30"/>
        <v>0</v>
      </c>
      <c r="R994" s="25">
        <f t="shared" si="31"/>
        <v>60158.142500000002</v>
      </c>
    </row>
    <row r="995" spans="1:18" hidden="1" x14ac:dyDescent="0.25">
      <c r="A995" s="26">
        <v>43371</v>
      </c>
      <c r="B995" s="25" t="s">
        <v>279</v>
      </c>
      <c r="C995" s="25" t="s">
        <v>17</v>
      </c>
      <c r="D995" s="25">
        <v>250</v>
      </c>
      <c r="E995" s="25">
        <v>241.5</v>
      </c>
      <c r="F995" s="25">
        <v>60375</v>
      </c>
      <c r="G995" s="25" t="s">
        <v>755</v>
      </c>
      <c r="H995" s="25">
        <v>2018185</v>
      </c>
      <c r="I995" s="25" t="s">
        <v>19</v>
      </c>
      <c r="J995" s="25" t="s">
        <v>20</v>
      </c>
      <c r="K995" s="25" t="s">
        <v>25</v>
      </c>
      <c r="L995" s="25">
        <v>0</v>
      </c>
      <c r="M995" s="25">
        <v>1.81</v>
      </c>
      <c r="N995" s="25">
        <v>0</v>
      </c>
      <c r="O995" s="25">
        <v>35.950000000000003</v>
      </c>
      <c r="P995" s="25">
        <v>37.761200000000002</v>
      </c>
      <c r="Q995" s="25">
        <f t="shared" si="30"/>
        <v>60412.761200000001</v>
      </c>
      <c r="R995" s="25">
        <f t="shared" si="31"/>
        <v>0</v>
      </c>
    </row>
    <row r="996" spans="1:18" hidden="1" x14ac:dyDescent="0.25">
      <c r="A996" s="26">
        <v>43371</v>
      </c>
      <c r="B996" s="25" t="s">
        <v>279</v>
      </c>
      <c r="C996" s="25" t="s">
        <v>23</v>
      </c>
      <c r="D996" s="25">
        <v>1000</v>
      </c>
      <c r="E996" s="25">
        <v>242</v>
      </c>
      <c r="F996" s="25">
        <v>242000</v>
      </c>
      <c r="G996" s="25" t="s">
        <v>756</v>
      </c>
      <c r="H996" s="25">
        <v>2018185</v>
      </c>
      <c r="I996" s="25" t="s">
        <v>19</v>
      </c>
      <c r="J996" s="25" t="s">
        <v>20</v>
      </c>
      <c r="K996" s="25" t="s">
        <v>25</v>
      </c>
      <c r="L996" s="25">
        <v>59.77</v>
      </c>
      <c r="M996" s="25">
        <v>7.26</v>
      </c>
      <c r="N996" s="25">
        <v>0</v>
      </c>
      <c r="O996" s="25">
        <v>144.09</v>
      </c>
      <c r="P996" s="25">
        <v>211.12</v>
      </c>
      <c r="Q996" s="25">
        <f t="shared" si="30"/>
        <v>0</v>
      </c>
      <c r="R996" s="25">
        <f t="shared" si="31"/>
        <v>241788.88</v>
      </c>
    </row>
    <row r="997" spans="1:18" hidden="1" x14ac:dyDescent="0.25">
      <c r="A997" s="26">
        <v>43371</v>
      </c>
      <c r="B997" s="25" t="s">
        <v>279</v>
      </c>
      <c r="C997" s="25" t="s">
        <v>17</v>
      </c>
      <c r="D997" s="25">
        <v>1000</v>
      </c>
      <c r="E997" s="25">
        <v>241</v>
      </c>
      <c r="F997" s="25">
        <v>241000</v>
      </c>
      <c r="G997" s="25" t="s">
        <v>757</v>
      </c>
      <c r="H997" s="25">
        <v>2018185</v>
      </c>
      <c r="I997" s="25" t="s">
        <v>19</v>
      </c>
      <c r="J997" s="25" t="s">
        <v>20</v>
      </c>
      <c r="K997" s="25" t="s">
        <v>25</v>
      </c>
      <c r="L997" s="25">
        <v>0</v>
      </c>
      <c r="M997" s="25">
        <v>7.23</v>
      </c>
      <c r="N997" s="25">
        <v>0</v>
      </c>
      <c r="O997" s="25">
        <v>143.49</v>
      </c>
      <c r="P997" s="25">
        <v>150.72</v>
      </c>
      <c r="Q997" s="25">
        <f t="shared" si="30"/>
        <v>241150.72</v>
      </c>
      <c r="R997" s="25">
        <f t="shared" si="31"/>
        <v>0</v>
      </c>
    </row>
    <row r="998" spans="1:18" hidden="1" x14ac:dyDescent="0.25">
      <c r="A998" s="26">
        <v>43371</v>
      </c>
      <c r="B998" s="25" t="s">
        <v>279</v>
      </c>
      <c r="C998" s="25" t="s">
        <v>23</v>
      </c>
      <c r="D998" s="25">
        <v>1000</v>
      </c>
      <c r="E998" s="25">
        <v>237</v>
      </c>
      <c r="F998" s="25">
        <v>237000</v>
      </c>
      <c r="G998" s="25" t="s">
        <v>758</v>
      </c>
      <c r="H998" s="25">
        <v>2018185</v>
      </c>
      <c r="I998" s="25" t="s">
        <v>19</v>
      </c>
      <c r="J998" s="25" t="s">
        <v>20</v>
      </c>
      <c r="K998" s="25" t="s">
        <v>25</v>
      </c>
      <c r="L998" s="25">
        <v>59.77</v>
      </c>
      <c r="M998" s="25">
        <v>7.11</v>
      </c>
      <c r="N998" s="25">
        <v>0</v>
      </c>
      <c r="O998" s="25">
        <v>141.11000000000001</v>
      </c>
      <c r="P998" s="25">
        <v>207.99010000000001</v>
      </c>
      <c r="Q998" s="25">
        <f t="shared" si="30"/>
        <v>0</v>
      </c>
      <c r="R998" s="25">
        <f t="shared" si="31"/>
        <v>236792.0099</v>
      </c>
    </row>
    <row r="999" spans="1:18" hidden="1" x14ac:dyDescent="0.25">
      <c r="A999" s="26">
        <v>43371</v>
      </c>
      <c r="B999" s="25" t="s">
        <v>279</v>
      </c>
      <c r="C999" s="25" t="s">
        <v>23</v>
      </c>
      <c r="D999" s="25">
        <v>500</v>
      </c>
      <c r="E999" s="25">
        <v>232</v>
      </c>
      <c r="F999" s="25">
        <v>116000</v>
      </c>
      <c r="G999" s="25" t="s">
        <v>759</v>
      </c>
      <c r="H999" s="25">
        <v>2018185</v>
      </c>
      <c r="I999" s="25" t="s">
        <v>19</v>
      </c>
      <c r="J999" s="25" t="s">
        <v>20</v>
      </c>
      <c r="K999" s="25" t="s">
        <v>25</v>
      </c>
      <c r="L999" s="25">
        <v>29.88</v>
      </c>
      <c r="M999" s="25">
        <v>3.48</v>
      </c>
      <c r="N999" s="25">
        <v>0</v>
      </c>
      <c r="O999" s="25">
        <v>69.06</v>
      </c>
      <c r="P999" s="25">
        <v>102.42</v>
      </c>
      <c r="Q999" s="25">
        <f t="shared" si="30"/>
        <v>0</v>
      </c>
      <c r="R999" s="25">
        <f t="shared" si="31"/>
        <v>115897.58</v>
      </c>
    </row>
    <row r="1000" spans="1:18" hidden="1" x14ac:dyDescent="0.25">
      <c r="A1000" s="26">
        <v>43371</v>
      </c>
      <c r="B1000" s="25" t="s">
        <v>279</v>
      </c>
      <c r="C1000" s="25" t="s">
        <v>17</v>
      </c>
      <c r="D1000" s="25">
        <v>1500</v>
      </c>
      <c r="E1000" s="25">
        <v>238.87</v>
      </c>
      <c r="F1000" s="25">
        <v>358300.45</v>
      </c>
      <c r="G1000" s="25" t="s">
        <v>760</v>
      </c>
      <c r="H1000" s="25">
        <v>2018185</v>
      </c>
      <c r="I1000" s="25" t="s">
        <v>19</v>
      </c>
      <c r="J1000" s="25" t="s">
        <v>20</v>
      </c>
      <c r="K1000" s="25" t="s">
        <v>25</v>
      </c>
      <c r="L1000" s="25">
        <v>0</v>
      </c>
      <c r="M1000" s="25">
        <v>10.75</v>
      </c>
      <c r="N1000" s="25">
        <v>0</v>
      </c>
      <c r="O1000" s="25">
        <v>213.33</v>
      </c>
      <c r="P1000" s="25">
        <v>224.0796</v>
      </c>
      <c r="Q1000" s="25">
        <f t="shared" si="30"/>
        <v>358524.52960000001</v>
      </c>
      <c r="R1000" s="25">
        <f t="shared" si="31"/>
        <v>0</v>
      </c>
    </row>
    <row r="1001" spans="1:18" hidden="1" x14ac:dyDescent="0.25">
      <c r="A1001" s="26">
        <v>43370</v>
      </c>
      <c r="B1001" s="25" t="s">
        <v>659</v>
      </c>
      <c r="C1001" s="25" t="s">
        <v>23</v>
      </c>
      <c r="D1001" s="25">
        <v>1000</v>
      </c>
      <c r="E1001" s="25">
        <v>212.55</v>
      </c>
      <c r="F1001" s="25">
        <v>212552.55</v>
      </c>
      <c r="G1001" s="25" t="s">
        <v>761</v>
      </c>
      <c r="H1001" s="25">
        <v>2018184</v>
      </c>
      <c r="I1001" s="25" t="s">
        <v>19</v>
      </c>
      <c r="J1001" s="25" t="s">
        <v>20</v>
      </c>
      <c r="K1001" s="25" t="s">
        <v>25</v>
      </c>
      <c r="L1001" s="25">
        <v>52.66</v>
      </c>
      <c r="M1001" s="25">
        <v>6.38</v>
      </c>
      <c r="N1001" s="25">
        <v>0</v>
      </c>
      <c r="O1001" s="25">
        <v>126.55</v>
      </c>
      <c r="P1001" s="25">
        <v>185.5864</v>
      </c>
      <c r="Q1001" s="25">
        <f t="shared" si="30"/>
        <v>0</v>
      </c>
      <c r="R1001" s="25">
        <f t="shared" si="31"/>
        <v>212366.96359999999</v>
      </c>
    </row>
    <row r="1002" spans="1:18" hidden="1" x14ac:dyDescent="0.25">
      <c r="A1002" s="26">
        <v>43370</v>
      </c>
      <c r="B1002" s="25" t="s">
        <v>282</v>
      </c>
      <c r="C1002" s="25" t="s">
        <v>23</v>
      </c>
      <c r="D1002" s="25">
        <v>100</v>
      </c>
      <c r="E1002" s="25">
        <v>703.24</v>
      </c>
      <c r="F1002" s="25">
        <v>70323.8</v>
      </c>
      <c r="G1002" s="25" t="s">
        <v>762</v>
      </c>
      <c r="H1002" s="25">
        <v>2018184</v>
      </c>
      <c r="I1002" s="25" t="s">
        <v>19</v>
      </c>
      <c r="J1002" s="25" t="s">
        <v>20</v>
      </c>
      <c r="K1002" s="25" t="s">
        <v>25</v>
      </c>
      <c r="L1002" s="25">
        <v>18.02</v>
      </c>
      <c r="M1002" s="25">
        <v>2.11</v>
      </c>
      <c r="N1002" s="25">
        <v>0</v>
      </c>
      <c r="O1002" s="25">
        <v>41.87</v>
      </c>
      <c r="P1002" s="25">
        <v>61.999699999999997</v>
      </c>
      <c r="Q1002" s="25">
        <f t="shared" si="30"/>
        <v>0</v>
      </c>
      <c r="R1002" s="25">
        <f t="shared" si="31"/>
        <v>70261.800300000003</v>
      </c>
    </row>
    <row r="1003" spans="1:18" hidden="1" x14ac:dyDescent="0.25">
      <c r="A1003" s="26">
        <v>43370</v>
      </c>
      <c r="B1003" s="25" t="s">
        <v>282</v>
      </c>
      <c r="C1003" s="25" t="s">
        <v>17</v>
      </c>
      <c r="D1003" s="25">
        <v>100</v>
      </c>
      <c r="E1003" s="25">
        <v>699</v>
      </c>
      <c r="F1003" s="25">
        <v>69900</v>
      </c>
      <c r="G1003" s="25" t="s">
        <v>763</v>
      </c>
      <c r="H1003" s="25">
        <v>2018184</v>
      </c>
      <c r="I1003" s="25" t="s">
        <v>19</v>
      </c>
      <c r="J1003" s="25" t="s">
        <v>20</v>
      </c>
      <c r="K1003" s="25" t="s">
        <v>25</v>
      </c>
      <c r="L1003" s="25">
        <v>0</v>
      </c>
      <c r="M1003" s="25">
        <v>2.1</v>
      </c>
      <c r="N1003" s="25">
        <v>32.1</v>
      </c>
      <c r="O1003" s="25">
        <v>41.62</v>
      </c>
      <c r="P1003" s="25">
        <v>75.817099999999996</v>
      </c>
      <c r="Q1003" s="25">
        <f t="shared" si="30"/>
        <v>69975.8171</v>
      </c>
      <c r="R1003" s="25">
        <f t="shared" si="31"/>
        <v>0</v>
      </c>
    </row>
    <row r="1004" spans="1:18" hidden="1" x14ac:dyDescent="0.25">
      <c r="A1004" s="26">
        <v>43370</v>
      </c>
      <c r="B1004" s="25" t="s">
        <v>659</v>
      </c>
      <c r="C1004" s="25" t="s">
        <v>17</v>
      </c>
      <c r="D1004" s="25">
        <v>1000</v>
      </c>
      <c r="E1004" s="25">
        <v>208.75</v>
      </c>
      <c r="F1004" s="25">
        <v>208750</v>
      </c>
      <c r="G1004" s="25" t="s">
        <v>764</v>
      </c>
      <c r="H1004" s="25">
        <v>2018184</v>
      </c>
      <c r="I1004" s="25" t="s">
        <v>19</v>
      </c>
      <c r="J1004" s="25" t="s">
        <v>20</v>
      </c>
      <c r="K1004" s="25" t="s">
        <v>25</v>
      </c>
      <c r="L1004" s="25">
        <v>0</v>
      </c>
      <c r="M1004" s="25">
        <v>6.26</v>
      </c>
      <c r="N1004" s="25">
        <v>0</v>
      </c>
      <c r="O1004" s="25">
        <v>124.29</v>
      </c>
      <c r="P1004" s="25">
        <v>130.55250000000001</v>
      </c>
      <c r="Q1004" s="25">
        <f t="shared" si="30"/>
        <v>208880.55249999999</v>
      </c>
      <c r="R1004" s="25">
        <f t="shared" si="31"/>
        <v>0</v>
      </c>
    </row>
    <row r="1005" spans="1:18" hidden="1" x14ac:dyDescent="0.25">
      <c r="A1005" s="26">
        <v>43370</v>
      </c>
      <c r="B1005" s="25" t="s">
        <v>321</v>
      </c>
      <c r="C1005" s="25" t="s">
        <v>23</v>
      </c>
      <c r="D1005" s="25">
        <v>1000</v>
      </c>
      <c r="E1005" s="25">
        <v>249.08</v>
      </c>
      <c r="F1005" s="25">
        <v>249076.75</v>
      </c>
      <c r="G1005" s="25" t="s">
        <v>765</v>
      </c>
      <c r="H1005" s="25">
        <v>2018184</v>
      </c>
      <c r="I1005" s="25" t="s">
        <v>19</v>
      </c>
      <c r="J1005" s="25" t="s">
        <v>20</v>
      </c>
      <c r="K1005" s="25" t="s">
        <v>25</v>
      </c>
      <c r="L1005" s="25">
        <v>62.32</v>
      </c>
      <c r="M1005" s="25">
        <v>7.47</v>
      </c>
      <c r="N1005" s="25">
        <v>0</v>
      </c>
      <c r="O1005" s="25">
        <v>148.30000000000001</v>
      </c>
      <c r="P1005" s="25">
        <v>218.0924</v>
      </c>
      <c r="Q1005" s="25">
        <f t="shared" si="30"/>
        <v>0</v>
      </c>
      <c r="R1005" s="25">
        <f t="shared" si="31"/>
        <v>248858.65760000001</v>
      </c>
    </row>
    <row r="1006" spans="1:18" hidden="1" x14ac:dyDescent="0.25">
      <c r="A1006" s="26">
        <v>43370</v>
      </c>
      <c r="B1006" s="25" t="s">
        <v>321</v>
      </c>
      <c r="C1006" s="25" t="s">
        <v>17</v>
      </c>
      <c r="D1006" s="25">
        <v>1000</v>
      </c>
      <c r="E1006" s="25">
        <v>249.5</v>
      </c>
      <c r="F1006" s="25">
        <v>249500</v>
      </c>
      <c r="G1006" s="25" t="s">
        <v>766</v>
      </c>
      <c r="H1006" s="25">
        <v>2018184</v>
      </c>
      <c r="I1006" s="25" t="s">
        <v>19</v>
      </c>
      <c r="J1006" s="25" t="s">
        <v>20</v>
      </c>
      <c r="K1006" s="25" t="s">
        <v>25</v>
      </c>
      <c r="L1006" s="25">
        <v>0</v>
      </c>
      <c r="M1006" s="25">
        <v>7.49</v>
      </c>
      <c r="N1006" s="25">
        <v>0</v>
      </c>
      <c r="O1006" s="25">
        <v>148.55000000000001</v>
      </c>
      <c r="P1006" s="25">
        <v>156.0352</v>
      </c>
      <c r="Q1006" s="25">
        <f t="shared" si="30"/>
        <v>249656.03520000001</v>
      </c>
      <c r="R1006" s="25">
        <f t="shared" si="31"/>
        <v>0</v>
      </c>
    </row>
    <row r="1007" spans="1:18" hidden="1" x14ac:dyDescent="0.25">
      <c r="A1007" s="26">
        <v>43369</v>
      </c>
      <c r="B1007" s="25" t="s">
        <v>677</v>
      </c>
      <c r="C1007" s="25" t="s">
        <v>17</v>
      </c>
      <c r="D1007" s="25">
        <v>350</v>
      </c>
      <c r="E1007" s="25">
        <v>204.05</v>
      </c>
      <c r="F1007" s="25">
        <v>71417.5</v>
      </c>
      <c r="G1007" s="25" t="s">
        <v>767</v>
      </c>
      <c r="H1007" s="25">
        <v>2018183</v>
      </c>
      <c r="I1007" s="25" t="s">
        <v>19</v>
      </c>
      <c r="J1007" s="25" t="s">
        <v>20</v>
      </c>
      <c r="K1007" s="25" t="s">
        <v>25</v>
      </c>
      <c r="L1007" s="25">
        <v>0</v>
      </c>
      <c r="M1007" s="25">
        <v>2.14</v>
      </c>
      <c r="N1007" s="25">
        <v>0</v>
      </c>
      <c r="O1007" s="25">
        <v>42.52</v>
      </c>
      <c r="P1007" s="25">
        <v>44.662500000000001</v>
      </c>
      <c r="Q1007" s="25">
        <f t="shared" si="30"/>
        <v>71462.162500000006</v>
      </c>
      <c r="R1007" s="25">
        <f t="shared" si="31"/>
        <v>0</v>
      </c>
    </row>
    <row r="1008" spans="1:18" hidden="1" x14ac:dyDescent="0.25">
      <c r="A1008" s="26">
        <v>43369</v>
      </c>
      <c r="B1008" s="25" t="s">
        <v>677</v>
      </c>
      <c r="C1008" s="25" t="s">
        <v>23</v>
      </c>
      <c r="D1008" s="25">
        <v>21</v>
      </c>
      <c r="E1008" s="25">
        <v>206</v>
      </c>
      <c r="F1008" s="25">
        <v>4326</v>
      </c>
      <c r="G1008" s="25" t="s">
        <v>768</v>
      </c>
      <c r="H1008" s="25">
        <v>2018183</v>
      </c>
      <c r="I1008" s="25" t="s">
        <v>19</v>
      </c>
      <c r="J1008" s="25" t="s">
        <v>20</v>
      </c>
      <c r="K1008" s="25" t="s">
        <v>25</v>
      </c>
      <c r="L1008" s="25">
        <v>1.05</v>
      </c>
      <c r="M1008" s="25">
        <v>0.13</v>
      </c>
      <c r="N1008" s="25">
        <v>0</v>
      </c>
      <c r="O1008" s="25">
        <v>29.52</v>
      </c>
      <c r="P1008" s="25">
        <v>30.6998</v>
      </c>
      <c r="Q1008" s="25">
        <f t="shared" si="30"/>
        <v>0</v>
      </c>
      <c r="R1008" s="25">
        <f t="shared" si="31"/>
        <v>4295.3001999999997</v>
      </c>
    </row>
    <row r="1009" spans="1:18" hidden="1" x14ac:dyDescent="0.25">
      <c r="A1009" s="26">
        <v>43369</v>
      </c>
      <c r="B1009" s="25" t="s">
        <v>282</v>
      </c>
      <c r="C1009" s="25" t="s">
        <v>23</v>
      </c>
      <c r="D1009" s="25">
        <v>100</v>
      </c>
      <c r="E1009" s="25">
        <v>705</v>
      </c>
      <c r="F1009" s="25">
        <v>70500</v>
      </c>
      <c r="G1009" s="25" t="s">
        <v>769</v>
      </c>
      <c r="H1009" s="25">
        <v>2018183</v>
      </c>
      <c r="I1009" s="25" t="s">
        <v>19</v>
      </c>
      <c r="J1009" s="25" t="s">
        <v>20</v>
      </c>
      <c r="K1009" s="25" t="s">
        <v>25</v>
      </c>
      <c r="L1009" s="25">
        <v>17.940000000000001</v>
      </c>
      <c r="M1009" s="25">
        <v>2.12</v>
      </c>
      <c r="N1009" s="25">
        <v>9.6</v>
      </c>
      <c r="O1009" s="25">
        <v>41.98</v>
      </c>
      <c r="P1009" s="25">
        <v>71.635099999999994</v>
      </c>
      <c r="Q1009" s="25">
        <f t="shared" si="30"/>
        <v>0</v>
      </c>
      <c r="R1009" s="25">
        <f t="shared" si="31"/>
        <v>70428.3649</v>
      </c>
    </row>
    <row r="1010" spans="1:18" hidden="1" x14ac:dyDescent="0.25">
      <c r="A1010" s="26">
        <v>43369</v>
      </c>
      <c r="B1010" s="25" t="s">
        <v>282</v>
      </c>
      <c r="C1010" s="25" t="s">
        <v>17</v>
      </c>
      <c r="D1010" s="25">
        <v>100</v>
      </c>
      <c r="E1010" s="25">
        <v>705.5</v>
      </c>
      <c r="F1010" s="25">
        <v>70550</v>
      </c>
      <c r="G1010" s="25" t="s">
        <v>770</v>
      </c>
      <c r="H1010" s="25">
        <v>2018183</v>
      </c>
      <c r="I1010" s="25" t="s">
        <v>19</v>
      </c>
      <c r="J1010" s="25" t="s">
        <v>20</v>
      </c>
      <c r="K1010" s="25" t="s">
        <v>25</v>
      </c>
      <c r="L1010" s="25">
        <v>0</v>
      </c>
      <c r="M1010" s="25">
        <v>2.12</v>
      </c>
      <c r="N1010" s="25">
        <v>0</v>
      </c>
      <c r="O1010" s="25">
        <v>42</v>
      </c>
      <c r="P1010" s="25">
        <v>44.116500000000002</v>
      </c>
      <c r="Q1010" s="25">
        <f t="shared" si="30"/>
        <v>70594.116500000004</v>
      </c>
      <c r="R1010" s="25">
        <f t="shared" si="31"/>
        <v>0</v>
      </c>
    </row>
    <row r="1011" spans="1:18" hidden="1" x14ac:dyDescent="0.25">
      <c r="A1011" s="26">
        <v>43369</v>
      </c>
      <c r="B1011" s="25" t="s">
        <v>433</v>
      </c>
      <c r="C1011" s="25" t="s">
        <v>23</v>
      </c>
      <c r="D1011" s="25">
        <v>1500</v>
      </c>
      <c r="E1011" s="25">
        <v>12</v>
      </c>
      <c r="F1011" s="25">
        <v>18000</v>
      </c>
      <c r="G1011" s="25" t="s">
        <v>771</v>
      </c>
      <c r="H1011" s="25">
        <v>2018183</v>
      </c>
      <c r="I1011" s="25" t="s">
        <v>19</v>
      </c>
      <c r="J1011" s="25" t="s">
        <v>20</v>
      </c>
      <c r="K1011" s="25" t="s">
        <v>25</v>
      </c>
      <c r="L1011" s="25">
        <v>4.4800000000000004</v>
      </c>
      <c r="M1011" s="25">
        <v>0.54</v>
      </c>
      <c r="N1011" s="25">
        <v>0</v>
      </c>
      <c r="O1011" s="25">
        <v>29.6</v>
      </c>
      <c r="P1011" s="25">
        <v>34.619999999999997</v>
      </c>
      <c r="Q1011" s="25">
        <f t="shared" si="30"/>
        <v>0</v>
      </c>
      <c r="R1011" s="25">
        <f t="shared" si="31"/>
        <v>17965.38</v>
      </c>
    </row>
    <row r="1012" spans="1:18" hidden="1" x14ac:dyDescent="0.25">
      <c r="A1012" s="26">
        <v>43369</v>
      </c>
      <c r="B1012" s="25" t="s">
        <v>433</v>
      </c>
      <c r="C1012" s="25" t="s">
        <v>17</v>
      </c>
      <c r="D1012" s="25">
        <v>1500</v>
      </c>
      <c r="E1012" s="25">
        <v>11.9</v>
      </c>
      <c r="F1012" s="25">
        <v>17850</v>
      </c>
      <c r="G1012" s="25" t="s">
        <v>772</v>
      </c>
      <c r="H1012" s="25">
        <v>2018183</v>
      </c>
      <c r="I1012" s="25" t="s">
        <v>19</v>
      </c>
      <c r="J1012" s="25" t="s">
        <v>20</v>
      </c>
      <c r="K1012" s="25" t="s">
        <v>25</v>
      </c>
      <c r="L1012" s="25">
        <v>0</v>
      </c>
      <c r="M1012" s="25">
        <v>0.54</v>
      </c>
      <c r="N1012" s="25">
        <v>0</v>
      </c>
      <c r="O1012" s="25">
        <v>29.6</v>
      </c>
      <c r="P1012" s="25">
        <v>30.1355</v>
      </c>
      <c r="Q1012" s="25">
        <f t="shared" si="30"/>
        <v>17880.1355</v>
      </c>
      <c r="R1012" s="25">
        <f t="shared" si="31"/>
        <v>0</v>
      </c>
    </row>
    <row r="1013" spans="1:18" hidden="1" x14ac:dyDescent="0.25">
      <c r="A1013" s="26">
        <v>43369</v>
      </c>
      <c r="B1013" s="25" t="s">
        <v>677</v>
      </c>
      <c r="C1013" s="25" t="s">
        <v>23</v>
      </c>
      <c r="D1013" s="25">
        <v>329</v>
      </c>
      <c r="E1013" s="25">
        <v>197.2</v>
      </c>
      <c r="F1013" s="25">
        <v>64879.9</v>
      </c>
      <c r="G1013" s="25" t="s">
        <v>773</v>
      </c>
      <c r="H1013" s="25">
        <v>2018183</v>
      </c>
      <c r="I1013" s="25" t="s">
        <v>19</v>
      </c>
      <c r="J1013" s="25" t="s">
        <v>20</v>
      </c>
      <c r="K1013" s="25" t="s">
        <v>25</v>
      </c>
      <c r="L1013" s="25">
        <v>16.52</v>
      </c>
      <c r="M1013" s="25">
        <v>1.95</v>
      </c>
      <c r="N1013" s="25">
        <v>0</v>
      </c>
      <c r="O1013" s="25">
        <v>38.630000000000003</v>
      </c>
      <c r="P1013" s="25">
        <v>57.096400000000003</v>
      </c>
      <c r="Q1013" s="25">
        <f t="shared" si="30"/>
        <v>0</v>
      </c>
      <c r="R1013" s="25">
        <f t="shared" si="31"/>
        <v>64822.803599999999</v>
      </c>
    </row>
    <row r="1014" spans="1:18" hidden="1" x14ac:dyDescent="0.25">
      <c r="A1014" s="26">
        <v>43368</v>
      </c>
      <c r="B1014" s="25" t="s">
        <v>279</v>
      </c>
      <c r="C1014" s="25" t="s">
        <v>23</v>
      </c>
      <c r="D1014" s="25">
        <v>500</v>
      </c>
      <c r="E1014" s="25">
        <v>249.12</v>
      </c>
      <c r="F1014" s="25">
        <v>124560.6</v>
      </c>
      <c r="G1014" s="25" t="s">
        <v>655</v>
      </c>
      <c r="H1014" s="25">
        <v>2018182</v>
      </c>
      <c r="I1014" s="25" t="s">
        <v>19</v>
      </c>
      <c r="J1014" s="25" t="s">
        <v>20</v>
      </c>
      <c r="K1014" s="25" t="s">
        <v>25</v>
      </c>
      <c r="L1014" s="25">
        <v>31.48</v>
      </c>
      <c r="M1014" s="25">
        <v>3.74</v>
      </c>
      <c r="N1014" s="25">
        <v>0</v>
      </c>
      <c r="O1014" s="25">
        <v>74.17</v>
      </c>
      <c r="P1014" s="25">
        <v>109.38679999999999</v>
      </c>
      <c r="Q1014" s="25">
        <f t="shared" si="30"/>
        <v>0</v>
      </c>
      <c r="R1014" s="25">
        <f t="shared" si="31"/>
        <v>124451.21320000001</v>
      </c>
    </row>
    <row r="1015" spans="1:18" hidden="1" x14ac:dyDescent="0.25">
      <c r="A1015" s="26">
        <v>43368</v>
      </c>
      <c r="B1015" s="25" t="s">
        <v>279</v>
      </c>
      <c r="C1015" s="25" t="s">
        <v>17</v>
      </c>
      <c r="D1015" s="25">
        <v>500</v>
      </c>
      <c r="E1015" s="25">
        <v>254.51</v>
      </c>
      <c r="F1015" s="25">
        <v>127255.9</v>
      </c>
      <c r="G1015" s="25" t="s">
        <v>656</v>
      </c>
      <c r="H1015" s="25">
        <v>2018182</v>
      </c>
      <c r="I1015" s="25" t="s">
        <v>19</v>
      </c>
      <c r="J1015" s="25" t="s">
        <v>20</v>
      </c>
      <c r="K1015" s="25" t="s">
        <v>25</v>
      </c>
      <c r="L1015" s="25">
        <v>0</v>
      </c>
      <c r="M1015" s="25">
        <v>3.82</v>
      </c>
      <c r="N1015" s="25">
        <v>0</v>
      </c>
      <c r="O1015" s="25">
        <v>75.760000000000005</v>
      </c>
      <c r="P1015" s="25">
        <v>79.5779</v>
      </c>
      <c r="Q1015" s="25">
        <f t="shared" si="30"/>
        <v>127335.4779</v>
      </c>
      <c r="R1015" s="25">
        <f t="shared" si="31"/>
        <v>0</v>
      </c>
    </row>
    <row r="1016" spans="1:18" hidden="1" x14ac:dyDescent="0.25">
      <c r="A1016" s="26">
        <v>43368</v>
      </c>
      <c r="B1016" s="25" t="s">
        <v>321</v>
      </c>
      <c r="C1016" s="25" t="s">
        <v>17</v>
      </c>
      <c r="D1016" s="25">
        <v>700</v>
      </c>
      <c r="E1016" s="25">
        <v>240.5</v>
      </c>
      <c r="F1016" s="25">
        <v>168350</v>
      </c>
      <c r="G1016" s="25" t="s">
        <v>657</v>
      </c>
      <c r="H1016" s="25">
        <v>2018182</v>
      </c>
      <c r="I1016" s="25" t="s">
        <v>19</v>
      </c>
      <c r="J1016" s="25" t="s">
        <v>20</v>
      </c>
      <c r="K1016" s="25" t="s">
        <v>25</v>
      </c>
      <c r="L1016" s="25">
        <v>0</v>
      </c>
      <c r="M1016" s="25">
        <v>5.05</v>
      </c>
      <c r="N1016" s="25">
        <v>30.9</v>
      </c>
      <c r="O1016" s="25">
        <v>100.24</v>
      </c>
      <c r="P1016" s="25">
        <v>136.19049999999999</v>
      </c>
      <c r="Q1016" s="25">
        <f t="shared" si="30"/>
        <v>168486.1905</v>
      </c>
      <c r="R1016" s="25">
        <f t="shared" si="31"/>
        <v>0</v>
      </c>
    </row>
    <row r="1017" spans="1:18" hidden="1" x14ac:dyDescent="0.25">
      <c r="A1017" s="26">
        <v>43368</v>
      </c>
      <c r="B1017" s="25" t="s">
        <v>321</v>
      </c>
      <c r="C1017" s="25" t="s">
        <v>23</v>
      </c>
      <c r="D1017" s="25">
        <v>700</v>
      </c>
      <c r="E1017" s="25">
        <v>241.11</v>
      </c>
      <c r="F1017" s="25">
        <v>168778.25</v>
      </c>
      <c r="G1017" s="25" t="s">
        <v>658</v>
      </c>
      <c r="H1017" s="25">
        <v>2018182</v>
      </c>
      <c r="I1017" s="25" t="s">
        <v>19</v>
      </c>
      <c r="J1017" s="25" t="s">
        <v>20</v>
      </c>
      <c r="K1017" s="25" t="s">
        <v>25</v>
      </c>
      <c r="L1017" s="25">
        <v>42.02</v>
      </c>
      <c r="M1017" s="25">
        <v>5.0599999999999996</v>
      </c>
      <c r="N1017" s="25">
        <v>0</v>
      </c>
      <c r="O1017" s="25">
        <v>100.5</v>
      </c>
      <c r="P1017" s="25">
        <v>147.58340000000001</v>
      </c>
      <c r="Q1017" s="25">
        <f t="shared" si="30"/>
        <v>0</v>
      </c>
      <c r="R1017" s="25">
        <f t="shared" si="31"/>
        <v>168630.6666</v>
      </c>
    </row>
    <row r="1018" spans="1:18" hidden="1" x14ac:dyDescent="0.25">
      <c r="A1018" s="26">
        <v>43368</v>
      </c>
      <c r="B1018" s="25" t="s">
        <v>659</v>
      </c>
      <c r="C1018" s="25" t="s">
        <v>23</v>
      </c>
      <c r="D1018" s="25">
        <v>1000</v>
      </c>
      <c r="E1018" s="25">
        <v>213.1</v>
      </c>
      <c r="F1018" s="25">
        <v>213100</v>
      </c>
      <c r="G1018" s="25" t="s">
        <v>660</v>
      </c>
      <c r="H1018" s="25">
        <v>2018182</v>
      </c>
      <c r="I1018" s="25" t="s">
        <v>19</v>
      </c>
      <c r="J1018" s="25" t="s">
        <v>20</v>
      </c>
      <c r="K1018" s="25" t="s">
        <v>25</v>
      </c>
      <c r="L1018" s="25">
        <v>54.5</v>
      </c>
      <c r="M1018" s="25">
        <v>6.39</v>
      </c>
      <c r="N1018" s="25">
        <v>0</v>
      </c>
      <c r="O1018" s="25">
        <v>126.88</v>
      </c>
      <c r="P1018" s="25">
        <v>187.773</v>
      </c>
      <c r="Q1018" s="25">
        <f t="shared" si="30"/>
        <v>0</v>
      </c>
      <c r="R1018" s="25">
        <f t="shared" si="31"/>
        <v>212912.22700000001</v>
      </c>
    </row>
    <row r="1019" spans="1:18" hidden="1" x14ac:dyDescent="0.25">
      <c r="A1019" s="26">
        <v>43368</v>
      </c>
      <c r="B1019" s="25" t="s">
        <v>659</v>
      </c>
      <c r="C1019" s="25" t="s">
        <v>17</v>
      </c>
      <c r="D1019" s="25">
        <v>1000</v>
      </c>
      <c r="E1019" s="25">
        <v>222.89</v>
      </c>
      <c r="F1019" s="25">
        <v>222893.9</v>
      </c>
      <c r="G1019" s="25" t="s">
        <v>661</v>
      </c>
      <c r="H1019" s="25">
        <v>2018182</v>
      </c>
      <c r="I1019" s="25" t="s">
        <v>19</v>
      </c>
      <c r="J1019" s="25" t="s">
        <v>20</v>
      </c>
      <c r="K1019" s="25" t="s">
        <v>25</v>
      </c>
      <c r="L1019" s="25">
        <v>0</v>
      </c>
      <c r="M1019" s="25">
        <v>6.69</v>
      </c>
      <c r="N1019" s="25">
        <v>0</v>
      </c>
      <c r="O1019" s="25">
        <v>132.69999999999999</v>
      </c>
      <c r="P1019" s="25">
        <v>139.387</v>
      </c>
      <c r="Q1019" s="25">
        <f t="shared" si="30"/>
        <v>223033.28699999998</v>
      </c>
      <c r="R1019" s="25">
        <f t="shared" si="31"/>
        <v>0</v>
      </c>
    </row>
    <row r="1020" spans="1:18" hidden="1" x14ac:dyDescent="0.25">
      <c r="A1020" s="26">
        <v>43367</v>
      </c>
      <c r="B1020" s="25" t="s">
        <v>179</v>
      </c>
      <c r="C1020" s="25" t="s">
        <v>23</v>
      </c>
      <c r="D1020" s="25">
        <v>350</v>
      </c>
      <c r="E1020" s="25">
        <v>40</v>
      </c>
      <c r="F1020" s="25">
        <v>14000</v>
      </c>
      <c r="G1020" s="25" t="s">
        <v>662</v>
      </c>
      <c r="H1020" s="25">
        <v>2018181</v>
      </c>
      <c r="I1020" s="25" t="s">
        <v>19</v>
      </c>
      <c r="J1020" s="25" t="s">
        <v>20</v>
      </c>
      <c r="K1020" s="25" t="s">
        <v>25</v>
      </c>
      <c r="L1020" s="25">
        <v>14</v>
      </c>
      <c r="M1020" s="25">
        <v>0.42</v>
      </c>
      <c r="N1020" s="25">
        <v>0</v>
      </c>
      <c r="O1020" s="25">
        <v>90.94</v>
      </c>
      <c r="P1020" s="25">
        <v>105.36</v>
      </c>
      <c r="Q1020" s="25">
        <f t="shared" si="30"/>
        <v>0</v>
      </c>
      <c r="R1020" s="25">
        <f t="shared" si="31"/>
        <v>13894.64</v>
      </c>
    </row>
    <row r="1021" spans="1:18" hidden="1" x14ac:dyDescent="0.25">
      <c r="A1021" s="26">
        <v>43367</v>
      </c>
      <c r="B1021" s="25" t="s">
        <v>321</v>
      </c>
      <c r="C1021" s="25" t="s">
        <v>23</v>
      </c>
      <c r="D1021" s="25">
        <v>100</v>
      </c>
      <c r="E1021" s="25">
        <v>258</v>
      </c>
      <c r="F1021" s="25">
        <v>25800</v>
      </c>
      <c r="G1021" s="25" t="s">
        <v>663</v>
      </c>
      <c r="H1021" s="25">
        <v>2018181</v>
      </c>
      <c r="I1021" s="25" t="s">
        <v>19</v>
      </c>
      <c r="J1021" s="25" t="s">
        <v>20</v>
      </c>
      <c r="K1021" s="25" t="s">
        <v>25</v>
      </c>
      <c r="L1021" s="25">
        <v>6.41</v>
      </c>
      <c r="M1021" s="25">
        <v>0.77</v>
      </c>
      <c r="N1021" s="25">
        <v>0</v>
      </c>
      <c r="O1021" s="25">
        <v>29.64</v>
      </c>
      <c r="P1021" s="25">
        <v>36.823999999999998</v>
      </c>
      <c r="Q1021" s="25">
        <f t="shared" si="30"/>
        <v>0</v>
      </c>
      <c r="R1021" s="25">
        <f t="shared" si="31"/>
        <v>25763.175999999999</v>
      </c>
    </row>
    <row r="1022" spans="1:18" hidden="1" x14ac:dyDescent="0.25">
      <c r="A1022" s="26">
        <v>43367</v>
      </c>
      <c r="B1022" s="25" t="s">
        <v>321</v>
      </c>
      <c r="C1022" s="25" t="s">
        <v>23</v>
      </c>
      <c r="D1022" s="25">
        <v>150</v>
      </c>
      <c r="E1022" s="25">
        <v>261.05</v>
      </c>
      <c r="F1022" s="25">
        <v>39157.5</v>
      </c>
      <c r="G1022" s="25" t="s">
        <v>664</v>
      </c>
      <c r="H1022" s="25">
        <v>2018181</v>
      </c>
      <c r="I1022" s="25" t="s">
        <v>19</v>
      </c>
      <c r="J1022" s="25" t="s">
        <v>20</v>
      </c>
      <c r="K1022" s="25" t="s">
        <v>25</v>
      </c>
      <c r="L1022" s="25">
        <v>9.6199999999999992</v>
      </c>
      <c r="M1022" s="25">
        <v>1.17</v>
      </c>
      <c r="N1022" s="25">
        <v>0</v>
      </c>
      <c r="O1022" s="25">
        <v>29.71</v>
      </c>
      <c r="P1022" s="25">
        <v>40.5047</v>
      </c>
      <c r="Q1022" s="25">
        <f t="shared" si="30"/>
        <v>0</v>
      </c>
      <c r="R1022" s="25">
        <f t="shared" si="31"/>
        <v>39116.995300000002</v>
      </c>
    </row>
    <row r="1023" spans="1:18" hidden="1" x14ac:dyDescent="0.25">
      <c r="A1023" s="26">
        <v>43367</v>
      </c>
      <c r="B1023" s="25" t="s">
        <v>665</v>
      </c>
      <c r="C1023" s="25" t="s">
        <v>23</v>
      </c>
      <c r="D1023" s="25">
        <v>100</v>
      </c>
      <c r="E1023" s="25">
        <v>394.15</v>
      </c>
      <c r="F1023" s="25">
        <v>39415</v>
      </c>
      <c r="G1023" s="25" t="s">
        <v>666</v>
      </c>
      <c r="H1023" s="25">
        <v>2018181</v>
      </c>
      <c r="I1023" s="25" t="s">
        <v>19</v>
      </c>
      <c r="J1023" s="25" t="s">
        <v>20</v>
      </c>
      <c r="K1023" s="25" t="s">
        <v>25</v>
      </c>
      <c r="L1023" s="25">
        <v>9.7100000000000009</v>
      </c>
      <c r="M1023" s="25">
        <v>1.18</v>
      </c>
      <c r="N1023" s="25">
        <v>0</v>
      </c>
      <c r="O1023" s="25">
        <v>29.71</v>
      </c>
      <c r="P1023" s="25">
        <v>40.602400000000003</v>
      </c>
      <c r="Q1023" s="25">
        <f t="shared" si="30"/>
        <v>0</v>
      </c>
      <c r="R1023" s="25">
        <f t="shared" si="31"/>
        <v>39374.397599999997</v>
      </c>
    </row>
    <row r="1024" spans="1:18" hidden="1" x14ac:dyDescent="0.25">
      <c r="A1024" s="26">
        <v>43367</v>
      </c>
      <c r="B1024" s="25" t="s">
        <v>665</v>
      </c>
      <c r="C1024" s="25" t="s">
        <v>17</v>
      </c>
      <c r="D1024" s="25">
        <v>100</v>
      </c>
      <c r="E1024" s="25">
        <v>375</v>
      </c>
      <c r="F1024" s="25">
        <v>37500</v>
      </c>
      <c r="G1024" s="25" t="s">
        <v>667</v>
      </c>
      <c r="H1024" s="25">
        <v>2018181</v>
      </c>
      <c r="I1024" s="25" t="s">
        <v>19</v>
      </c>
      <c r="J1024" s="25" t="s">
        <v>20</v>
      </c>
      <c r="K1024" s="25" t="s">
        <v>25</v>
      </c>
      <c r="L1024" s="25">
        <v>0</v>
      </c>
      <c r="M1024" s="25">
        <v>1.1299999999999999</v>
      </c>
      <c r="N1024" s="25">
        <v>0</v>
      </c>
      <c r="O1024" s="25">
        <v>29.7</v>
      </c>
      <c r="P1024" s="25">
        <v>30.825099999999999</v>
      </c>
      <c r="Q1024" s="25">
        <f t="shared" si="30"/>
        <v>37530.825100000002</v>
      </c>
      <c r="R1024" s="25">
        <f t="shared" si="31"/>
        <v>0</v>
      </c>
    </row>
    <row r="1025" spans="1:18" hidden="1" x14ac:dyDescent="0.25">
      <c r="A1025" s="26">
        <v>43367</v>
      </c>
      <c r="B1025" s="25" t="s">
        <v>321</v>
      </c>
      <c r="C1025" s="25" t="s">
        <v>23</v>
      </c>
      <c r="D1025" s="25">
        <v>250</v>
      </c>
      <c r="E1025" s="25">
        <v>258.05</v>
      </c>
      <c r="F1025" s="25">
        <v>64512.45</v>
      </c>
      <c r="G1025" s="25" t="s">
        <v>668</v>
      </c>
      <c r="H1025" s="25">
        <v>2018181</v>
      </c>
      <c r="I1025" s="25" t="s">
        <v>19</v>
      </c>
      <c r="J1025" s="25" t="s">
        <v>20</v>
      </c>
      <c r="K1025" s="25" t="s">
        <v>25</v>
      </c>
      <c r="L1025" s="25">
        <v>15.78</v>
      </c>
      <c r="M1025" s="25">
        <v>1.94</v>
      </c>
      <c r="N1025" s="25">
        <v>23.1</v>
      </c>
      <c r="O1025" s="25">
        <v>38.340000000000003</v>
      </c>
      <c r="P1025" s="25">
        <v>79.1571</v>
      </c>
      <c r="Q1025" s="25">
        <f t="shared" si="30"/>
        <v>0</v>
      </c>
      <c r="R1025" s="25">
        <f t="shared" si="31"/>
        <v>64433.2929</v>
      </c>
    </row>
    <row r="1026" spans="1:18" hidden="1" x14ac:dyDescent="0.25">
      <c r="A1026" s="26">
        <v>43367</v>
      </c>
      <c r="B1026" s="25" t="s">
        <v>321</v>
      </c>
      <c r="C1026" s="25" t="s">
        <v>17</v>
      </c>
      <c r="D1026" s="25">
        <v>500</v>
      </c>
      <c r="E1026" s="25">
        <v>254</v>
      </c>
      <c r="F1026" s="25">
        <v>127000</v>
      </c>
      <c r="G1026" s="25" t="s">
        <v>669</v>
      </c>
      <c r="H1026" s="25">
        <v>2018181</v>
      </c>
      <c r="I1026" s="25" t="s">
        <v>19</v>
      </c>
      <c r="J1026" s="25" t="s">
        <v>20</v>
      </c>
      <c r="K1026" s="25" t="s">
        <v>25</v>
      </c>
      <c r="L1026" s="25">
        <v>0</v>
      </c>
      <c r="M1026" s="25">
        <v>3.81</v>
      </c>
      <c r="N1026" s="25">
        <v>0</v>
      </c>
      <c r="O1026" s="25">
        <v>75.62</v>
      </c>
      <c r="P1026" s="25">
        <v>79.430000000000007</v>
      </c>
      <c r="Q1026" s="25">
        <f t="shared" si="30"/>
        <v>127079.43</v>
      </c>
      <c r="R1026" s="25">
        <f t="shared" si="31"/>
        <v>0</v>
      </c>
    </row>
    <row r="1027" spans="1:18" hidden="1" x14ac:dyDescent="0.25">
      <c r="A1027" s="26">
        <v>43367</v>
      </c>
      <c r="B1027" s="25" t="s">
        <v>665</v>
      </c>
      <c r="C1027" s="25" t="s">
        <v>23</v>
      </c>
      <c r="D1027" s="25">
        <v>100</v>
      </c>
      <c r="E1027" s="25">
        <v>391.69</v>
      </c>
      <c r="F1027" s="25">
        <v>39168.5</v>
      </c>
      <c r="G1027" s="25" t="s">
        <v>670</v>
      </c>
      <c r="H1027" s="25">
        <v>2018181</v>
      </c>
      <c r="I1027" s="25" t="s">
        <v>19</v>
      </c>
      <c r="J1027" s="25" t="s">
        <v>20</v>
      </c>
      <c r="K1027" s="25" t="s">
        <v>25</v>
      </c>
      <c r="L1027" s="25">
        <v>9.7100000000000009</v>
      </c>
      <c r="M1027" s="25">
        <v>1.18</v>
      </c>
      <c r="N1027" s="25">
        <v>0</v>
      </c>
      <c r="O1027" s="25">
        <v>29.71</v>
      </c>
      <c r="P1027" s="25">
        <v>40.595100000000002</v>
      </c>
      <c r="Q1027" s="25">
        <f t="shared" ref="Q1027:Q1090" si="32">IF(C1027="Buy",F1027+P1027,0)</f>
        <v>0</v>
      </c>
      <c r="R1027" s="25">
        <f t="shared" ref="R1027:R1090" si="33">IF(C1027="Sell",F1027-P1027,0)</f>
        <v>39127.904900000001</v>
      </c>
    </row>
    <row r="1028" spans="1:18" hidden="1" x14ac:dyDescent="0.25">
      <c r="A1028" s="26">
        <v>43367</v>
      </c>
      <c r="B1028" s="25" t="s">
        <v>665</v>
      </c>
      <c r="C1028" s="25" t="s">
        <v>17</v>
      </c>
      <c r="D1028" s="25">
        <v>100</v>
      </c>
      <c r="E1028" s="25">
        <v>392.22</v>
      </c>
      <c r="F1028" s="25">
        <v>39222.15</v>
      </c>
      <c r="G1028" s="25" t="s">
        <v>671</v>
      </c>
      <c r="H1028" s="25">
        <v>2018181</v>
      </c>
      <c r="I1028" s="25" t="s">
        <v>19</v>
      </c>
      <c r="J1028" s="25" t="s">
        <v>20</v>
      </c>
      <c r="K1028" s="25" t="s">
        <v>25</v>
      </c>
      <c r="L1028" s="25">
        <v>0</v>
      </c>
      <c r="M1028" s="25">
        <v>1.18</v>
      </c>
      <c r="N1028" s="25">
        <v>0</v>
      </c>
      <c r="O1028" s="25">
        <v>29.72</v>
      </c>
      <c r="P1028" s="25">
        <v>30.896599999999999</v>
      </c>
      <c r="Q1028" s="25">
        <f t="shared" si="32"/>
        <v>39253.046600000001</v>
      </c>
      <c r="R1028" s="25">
        <f t="shared" si="33"/>
        <v>0</v>
      </c>
    </row>
    <row r="1029" spans="1:18" hidden="1" x14ac:dyDescent="0.25">
      <c r="A1029" s="26">
        <v>43367</v>
      </c>
      <c r="B1029" s="25" t="s">
        <v>282</v>
      </c>
      <c r="C1029" s="25" t="s">
        <v>23</v>
      </c>
      <c r="D1029" s="25">
        <v>250</v>
      </c>
      <c r="E1029" s="25">
        <v>669</v>
      </c>
      <c r="F1029" s="25">
        <v>167250</v>
      </c>
      <c r="G1029" s="25" t="s">
        <v>672</v>
      </c>
      <c r="H1029" s="25">
        <v>2018181</v>
      </c>
      <c r="I1029" s="25" t="s">
        <v>19</v>
      </c>
      <c r="J1029" s="25" t="s">
        <v>20</v>
      </c>
      <c r="K1029" s="25" t="s">
        <v>25</v>
      </c>
      <c r="L1029" s="25">
        <v>41.78</v>
      </c>
      <c r="M1029" s="25">
        <v>5.0199999999999996</v>
      </c>
      <c r="N1029" s="25">
        <v>0</v>
      </c>
      <c r="O1029" s="25">
        <v>99.58</v>
      </c>
      <c r="P1029" s="25">
        <v>146.3775</v>
      </c>
      <c r="Q1029" s="25">
        <f t="shared" si="32"/>
        <v>0</v>
      </c>
      <c r="R1029" s="25">
        <f t="shared" si="33"/>
        <v>167103.6225</v>
      </c>
    </row>
    <row r="1030" spans="1:18" hidden="1" x14ac:dyDescent="0.25">
      <c r="A1030" s="26">
        <v>43367</v>
      </c>
      <c r="B1030" s="25" t="s">
        <v>282</v>
      </c>
      <c r="C1030" s="25" t="s">
        <v>17</v>
      </c>
      <c r="D1030" s="25">
        <v>250</v>
      </c>
      <c r="E1030" s="25">
        <v>668</v>
      </c>
      <c r="F1030" s="25">
        <v>167000</v>
      </c>
      <c r="G1030" s="25" t="s">
        <v>673</v>
      </c>
      <c r="H1030" s="25">
        <v>2018181</v>
      </c>
      <c r="I1030" s="25" t="s">
        <v>19</v>
      </c>
      <c r="J1030" s="25" t="s">
        <v>20</v>
      </c>
      <c r="K1030" s="25" t="s">
        <v>25</v>
      </c>
      <c r="L1030" s="25">
        <v>0</v>
      </c>
      <c r="M1030" s="25">
        <v>5.01</v>
      </c>
      <c r="N1030" s="25">
        <v>0</v>
      </c>
      <c r="O1030" s="25">
        <v>99.43</v>
      </c>
      <c r="P1030" s="25">
        <v>104.44</v>
      </c>
      <c r="Q1030" s="25">
        <f t="shared" si="32"/>
        <v>167104.44</v>
      </c>
      <c r="R1030" s="25">
        <f t="shared" si="33"/>
        <v>0</v>
      </c>
    </row>
    <row r="1031" spans="1:18" hidden="1" x14ac:dyDescent="0.25">
      <c r="A1031" s="26">
        <v>43364</v>
      </c>
      <c r="B1031" s="25" t="s">
        <v>433</v>
      </c>
      <c r="C1031" s="25" t="s">
        <v>23</v>
      </c>
      <c r="D1031" s="25">
        <v>100</v>
      </c>
      <c r="E1031" s="25">
        <v>14.45</v>
      </c>
      <c r="F1031" s="25">
        <v>1445</v>
      </c>
      <c r="G1031" s="25" t="s">
        <v>674</v>
      </c>
      <c r="H1031" s="25">
        <v>2018180</v>
      </c>
      <c r="I1031" s="25" t="s">
        <v>19</v>
      </c>
      <c r="J1031" s="25" t="s">
        <v>20</v>
      </c>
      <c r="K1031" s="25" t="s">
        <v>25</v>
      </c>
      <c r="L1031" s="25">
        <v>1.49</v>
      </c>
      <c r="M1031" s="25">
        <v>0.04</v>
      </c>
      <c r="N1031" s="25">
        <v>0</v>
      </c>
      <c r="O1031" s="25">
        <v>29.51</v>
      </c>
      <c r="P1031" s="25">
        <v>31.043399999999998</v>
      </c>
      <c r="Q1031" s="25">
        <f t="shared" si="32"/>
        <v>0</v>
      </c>
      <c r="R1031" s="25">
        <f t="shared" si="33"/>
        <v>1413.9566</v>
      </c>
    </row>
    <row r="1032" spans="1:18" hidden="1" x14ac:dyDescent="0.25">
      <c r="A1032" s="26">
        <v>43364</v>
      </c>
      <c r="B1032" s="25" t="s">
        <v>433</v>
      </c>
      <c r="C1032" s="25" t="s">
        <v>23</v>
      </c>
      <c r="D1032" s="25">
        <v>100</v>
      </c>
      <c r="E1032" s="25">
        <v>14.45</v>
      </c>
      <c r="F1032" s="25">
        <v>1445</v>
      </c>
      <c r="G1032" s="25" t="s">
        <v>675</v>
      </c>
      <c r="H1032" s="25">
        <v>2018180</v>
      </c>
      <c r="I1032" s="25" t="s">
        <v>19</v>
      </c>
      <c r="J1032" s="25" t="s">
        <v>20</v>
      </c>
      <c r="K1032" s="25" t="s">
        <v>25</v>
      </c>
      <c r="L1032" s="25">
        <v>1.49</v>
      </c>
      <c r="M1032" s="25">
        <v>0.04</v>
      </c>
      <c r="N1032" s="25">
        <v>0</v>
      </c>
      <c r="O1032" s="25">
        <v>29.51</v>
      </c>
      <c r="P1032" s="25">
        <v>31.043399999999998</v>
      </c>
      <c r="Q1032" s="25">
        <f t="shared" si="32"/>
        <v>0</v>
      </c>
      <c r="R1032" s="25">
        <f t="shared" si="33"/>
        <v>1413.9566</v>
      </c>
    </row>
    <row r="1033" spans="1:18" hidden="1" x14ac:dyDescent="0.25">
      <c r="A1033" s="26">
        <v>43364</v>
      </c>
      <c r="B1033" s="25" t="s">
        <v>433</v>
      </c>
      <c r="C1033" s="25" t="s">
        <v>17</v>
      </c>
      <c r="D1033" s="25">
        <v>200</v>
      </c>
      <c r="E1033" s="25">
        <v>14.15</v>
      </c>
      <c r="F1033" s="25">
        <v>2830</v>
      </c>
      <c r="G1033" s="25" t="s">
        <v>676</v>
      </c>
      <c r="H1033" s="25">
        <v>2018180</v>
      </c>
      <c r="I1033" s="25" t="s">
        <v>19</v>
      </c>
      <c r="J1033" s="25" t="s">
        <v>20</v>
      </c>
      <c r="K1033" s="25" t="s">
        <v>25</v>
      </c>
      <c r="L1033" s="25">
        <v>0</v>
      </c>
      <c r="M1033" s="25">
        <v>0.08</v>
      </c>
      <c r="N1033" s="25">
        <v>0</v>
      </c>
      <c r="O1033" s="25">
        <v>29.52</v>
      </c>
      <c r="P1033" s="25">
        <v>29.604900000000001</v>
      </c>
      <c r="Q1033" s="25">
        <f t="shared" si="32"/>
        <v>2859.6048999999998</v>
      </c>
      <c r="R1033" s="25">
        <f t="shared" si="33"/>
        <v>0</v>
      </c>
    </row>
    <row r="1034" spans="1:18" hidden="1" x14ac:dyDescent="0.25">
      <c r="A1034" s="26">
        <v>43364</v>
      </c>
      <c r="B1034" s="25" t="s">
        <v>677</v>
      </c>
      <c r="C1034" s="25" t="s">
        <v>23</v>
      </c>
      <c r="D1034" s="25">
        <v>250</v>
      </c>
      <c r="E1034" s="25">
        <v>201.17</v>
      </c>
      <c r="F1034" s="25">
        <v>50292.1</v>
      </c>
      <c r="G1034" s="25" t="s">
        <v>678</v>
      </c>
      <c r="H1034" s="25">
        <v>2018180</v>
      </c>
      <c r="I1034" s="25" t="s">
        <v>19</v>
      </c>
      <c r="J1034" s="25" t="s">
        <v>20</v>
      </c>
      <c r="K1034" s="25" t="s">
        <v>25</v>
      </c>
      <c r="L1034" s="25">
        <v>12.41</v>
      </c>
      <c r="M1034" s="25">
        <v>1.51</v>
      </c>
      <c r="N1034" s="25">
        <v>0</v>
      </c>
      <c r="O1034" s="25">
        <v>29.94</v>
      </c>
      <c r="P1034" s="25">
        <v>43.858699999999999</v>
      </c>
      <c r="Q1034" s="25">
        <f t="shared" si="32"/>
        <v>0</v>
      </c>
      <c r="R1034" s="25">
        <f t="shared" si="33"/>
        <v>50248.241300000002</v>
      </c>
    </row>
    <row r="1035" spans="1:18" hidden="1" x14ac:dyDescent="0.25">
      <c r="A1035" s="26">
        <v>43364</v>
      </c>
      <c r="B1035" s="25" t="s">
        <v>677</v>
      </c>
      <c r="C1035" s="25" t="s">
        <v>17</v>
      </c>
      <c r="D1035" s="25">
        <v>250</v>
      </c>
      <c r="E1035" s="25">
        <v>196</v>
      </c>
      <c r="F1035" s="25">
        <v>49000</v>
      </c>
      <c r="G1035" s="25" t="s">
        <v>679</v>
      </c>
      <c r="H1035" s="25">
        <v>2018180</v>
      </c>
      <c r="I1035" s="25" t="s">
        <v>19</v>
      </c>
      <c r="J1035" s="25" t="s">
        <v>20</v>
      </c>
      <c r="K1035" s="25" t="s">
        <v>25</v>
      </c>
      <c r="L1035" s="25">
        <v>0</v>
      </c>
      <c r="M1035" s="25">
        <v>1.47</v>
      </c>
      <c r="N1035" s="25">
        <v>0</v>
      </c>
      <c r="O1035" s="25">
        <v>29.76</v>
      </c>
      <c r="P1035" s="25">
        <v>31.23</v>
      </c>
      <c r="Q1035" s="25">
        <f t="shared" si="32"/>
        <v>49031.23</v>
      </c>
      <c r="R1035" s="25">
        <f t="shared" si="33"/>
        <v>0</v>
      </c>
    </row>
    <row r="1036" spans="1:18" hidden="1" x14ac:dyDescent="0.25">
      <c r="A1036" s="26">
        <v>43364</v>
      </c>
      <c r="B1036" s="25" t="s">
        <v>433</v>
      </c>
      <c r="C1036" s="25" t="s">
        <v>23</v>
      </c>
      <c r="D1036" s="25">
        <v>1750</v>
      </c>
      <c r="E1036" s="25">
        <v>15</v>
      </c>
      <c r="F1036" s="25">
        <v>26250</v>
      </c>
      <c r="G1036" s="25" t="s">
        <v>680</v>
      </c>
      <c r="H1036" s="25">
        <v>2018180</v>
      </c>
      <c r="I1036" s="25" t="s">
        <v>19</v>
      </c>
      <c r="J1036" s="25" t="s">
        <v>20</v>
      </c>
      <c r="K1036" s="25" t="s">
        <v>25</v>
      </c>
      <c r="L1036" s="25">
        <v>23.61</v>
      </c>
      <c r="M1036" s="25">
        <v>0.79</v>
      </c>
      <c r="N1036" s="25">
        <v>4.2</v>
      </c>
      <c r="O1036" s="25">
        <v>170.5</v>
      </c>
      <c r="P1036" s="25">
        <v>199.0975</v>
      </c>
      <c r="Q1036" s="25">
        <f t="shared" si="32"/>
        <v>0</v>
      </c>
      <c r="R1036" s="25">
        <f t="shared" si="33"/>
        <v>26050.9025</v>
      </c>
    </row>
    <row r="1037" spans="1:18" hidden="1" x14ac:dyDescent="0.25">
      <c r="A1037" s="26">
        <v>43362</v>
      </c>
      <c r="B1037" s="25" t="s">
        <v>677</v>
      </c>
      <c r="C1037" s="25" t="s">
        <v>17</v>
      </c>
      <c r="D1037" s="25">
        <v>50</v>
      </c>
      <c r="E1037" s="25">
        <v>196</v>
      </c>
      <c r="F1037" s="25">
        <v>9800</v>
      </c>
      <c r="G1037" s="25" t="s">
        <v>681</v>
      </c>
      <c r="H1037" s="25">
        <v>2018179</v>
      </c>
      <c r="I1037" s="25" t="s">
        <v>19</v>
      </c>
      <c r="J1037" s="25" t="s">
        <v>20</v>
      </c>
      <c r="K1037" s="25" t="s">
        <v>25</v>
      </c>
      <c r="L1037" s="25">
        <v>0</v>
      </c>
      <c r="M1037" s="25">
        <v>0.28999999999999998</v>
      </c>
      <c r="N1037" s="25">
        <v>0</v>
      </c>
      <c r="O1037" s="25">
        <v>29.55</v>
      </c>
      <c r="P1037" s="25">
        <v>29.844000000000001</v>
      </c>
      <c r="Q1037" s="25">
        <f t="shared" si="32"/>
        <v>9829.8439999999991</v>
      </c>
      <c r="R1037" s="25">
        <f t="shared" si="33"/>
        <v>0</v>
      </c>
    </row>
    <row r="1038" spans="1:18" hidden="1" x14ac:dyDescent="0.25">
      <c r="A1038" s="26">
        <v>43362</v>
      </c>
      <c r="B1038" s="25" t="s">
        <v>677</v>
      </c>
      <c r="C1038" s="25" t="s">
        <v>23</v>
      </c>
      <c r="D1038" s="25">
        <v>50</v>
      </c>
      <c r="E1038" s="25">
        <v>194.95</v>
      </c>
      <c r="F1038" s="25">
        <v>9747.5</v>
      </c>
      <c r="G1038" s="25" t="s">
        <v>682</v>
      </c>
      <c r="H1038" s="25">
        <v>2018179</v>
      </c>
      <c r="I1038" s="25" t="s">
        <v>19</v>
      </c>
      <c r="J1038" s="25" t="s">
        <v>20</v>
      </c>
      <c r="K1038" s="25" t="s">
        <v>25</v>
      </c>
      <c r="L1038" s="25">
        <v>2</v>
      </c>
      <c r="M1038" s="25">
        <v>0.28999999999999998</v>
      </c>
      <c r="N1038" s="25">
        <v>0.6</v>
      </c>
      <c r="O1038" s="25">
        <v>29.55</v>
      </c>
      <c r="P1038" s="25">
        <v>32.442399999999999</v>
      </c>
      <c r="Q1038" s="25">
        <f t="shared" si="32"/>
        <v>0</v>
      </c>
      <c r="R1038" s="25">
        <f t="shared" si="33"/>
        <v>9715.0576000000001</v>
      </c>
    </row>
    <row r="1039" spans="1:18" hidden="1" x14ac:dyDescent="0.25">
      <c r="A1039" s="26">
        <v>43357</v>
      </c>
      <c r="B1039" s="25" t="s">
        <v>683</v>
      </c>
      <c r="C1039" s="25" t="s">
        <v>17</v>
      </c>
      <c r="D1039" s="25">
        <v>10</v>
      </c>
      <c r="E1039" s="25">
        <v>111.45</v>
      </c>
      <c r="F1039" s="25">
        <v>1114.5</v>
      </c>
      <c r="G1039" s="25" t="s">
        <v>684</v>
      </c>
      <c r="H1039" s="25">
        <v>2018176</v>
      </c>
      <c r="I1039" s="25" t="s">
        <v>19</v>
      </c>
      <c r="J1039" s="25" t="s">
        <v>20</v>
      </c>
      <c r="K1039" s="25" t="s">
        <v>25</v>
      </c>
      <c r="L1039" s="25">
        <v>1</v>
      </c>
      <c r="M1039" s="25">
        <v>0.03</v>
      </c>
      <c r="N1039" s="25">
        <v>0.3</v>
      </c>
      <c r="O1039" s="25">
        <v>32.880000000000003</v>
      </c>
      <c r="P1039" s="25">
        <v>34.213500000000003</v>
      </c>
      <c r="Q1039" s="25">
        <f t="shared" si="32"/>
        <v>1148.7135000000001</v>
      </c>
      <c r="R1039" s="25">
        <f t="shared" si="33"/>
        <v>0</v>
      </c>
    </row>
    <row r="1040" spans="1:18" hidden="1" x14ac:dyDescent="0.25">
      <c r="A1040" s="26">
        <v>43350</v>
      </c>
      <c r="B1040" s="25" t="s">
        <v>677</v>
      </c>
      <c r="C1040" s="25" t="s">
        <v>17</v>
      </c>
      <c r="D1040" s="25">
        <v>100</v>
      </c>
      <c r="E1040" s="25">
        <v>215.53</v>
      </c>
      <c r="F1040" s="25">
        <v>21552.55</v>
      </c>
      <c r="G1040" s="25" t="s">
        <v>685</v>
      </c>
      <c r="H1040" s="25">
        <v>2018172</v>
      </c>
      <c r="I1040" s="25" t="s">
        <v>19</v>
      </c>
      <c r="J1040" s="25" t="s">
        <v>20</v>
      </c>
      <c r="K1040" s="25" t="s">
        <v>25</v>
      </c>
      <c r="L1040" s="25">
        <v>0</v>
      </c>
      <c r="M1040" s="25">
        <v>0.65</v>
      </c>
      <c r="N1040" s="25">
        <v>0</v>
      </c>
      <c r="O1040" s="25">
        <v>29.61</v>
      </c>
      <c r="P1040" s="25">
        <v>30.256499999999999</v>
      </c>
      <c r="Q1040" s="25">
        <f t="shared" si="32"/>
        <v>21582.806499999999</v>
      </c>
      <c r="R1040" s="25">
        <f t="shared" si="33"/>
        <v>0</v>
      </c>
    </row>
    <row r="1041" spans="1:18" hidden="1" x14ac:dyDescent="0.25">
      <c r="A1041" s="26">
        <v>43350</v>
      </c>
      <c r="B1041" s="25" t="s">
        <v>677</v>
      </c>
      <c r="C1041" s="25" t="s">
        <v>17</v>
      </c>
      <c r="D1041" s="25">
        <v>50</v>
      </c>
      <c r="E1041" s="25">
        <v>215.6</v>
      </c>
      <c r="F1041" s="25">
        <v>10780</v>
      </c>
      <c r="G1041" s="25" t="s">
        <v>686</v>
      </c>
      <c r="H1041" s="25">
        <v>2018172</v>
      </c>
      <c r="I1041" s="25" t="s">
        <v>19</v>
      </c>
      <c r="J1041" s="25" t="s">
        <v>20</v>
      </c>
      <c r="K1041" s="25" t="s">
        <v>25</v>
      </c>
      <c r="L1041" s="25">
        <v>0</v>
      </c>
      <c r="M1041" s="25">
        <v>0.32</v>
      </c>
      <c r="N1041" s="25">
        <v>0</v>
      </c>
      <c r="O1041" s="25">
        <v>29.56</v>
      </c>
      <c r="P1041" s="25">
        <v>29.883400000000002</v>
      </c>
      <c r="Q1041" s="25">
        <f t="shared" si="32"/>
        <v>10809.883400000001</v>
      </c>
      <c r="R1041" s="25">
        <f t="shared" si="33"/>
        <v>0</v>
      </c>
    </row>
    <row r="1042" spans="1:18" hidden="1" x14ac:dyDescent="0.25">
      <c r="A1042" s="26">
        <v>43350</v>
      </c>
      <c r="B1042" s="25" t="s">
        <v>677</v>
      </c>
      <c r="C1042" s="25" t="s">
        <v>23</v>
      </c>
      <c r="D1042" s="25">
        <v>11</v>
      </c>
      <c r="E1042" s="25">
        <v>216.95</v>
      </c>
      <c r="F1042" s="25">
        <v>2386.4499999999998</v>
      </c>
      <c r="G1042" s="25" t="s">
        <v>687</v>
      </c>
      <c r="H1042" s="25">
        <v>2018172</v>
      </c>
      <c r="I1042" s="25" t="s">
        <v>19</v>
      </c>
      <c r="J1042" s="25" t="s">
        <v>20</v>
      </c>
      <c r="K1042" s="25" t="s">
        <v>25</v>
      </c>
      <c r="L1042" s="25">
        <v>0.51</v>
      </c>
      <c r="M1042" s="25">
        <v>7.0000000000000007E-2</v>
      </c>
      <c r="N1042" s="25">
        <v>2.1</v>
      </c>
      <c r="O1042" s="25">
        <v>29.51</v>
      </c>
      <c r="P1042" s="25">
        <v>32.191600000000001</v>
      </c>
      <c r="Q1042" s="25">
        <f t="shared" si="32"/>
        <v>0</v>
      </c>
      <c r="R1042" s="25">
        <f t="shared" si="33"/>
        <v>2354.2583999999997</v>
      </c>
    </row>
    <row r="1043" spans="1:18" hidden="1" x14ac:dyDescent="0.25">
      <c r="A1043" s="26">
        <v>43350</v>
      </c>
      <c r="B1043" s="25" t="s">
        <v>677</v>
      </c>
      <c r="C1043" s="25" t="s">
        <v>23</v>
      </c>
      <c r="D1043" s="25">
        <v>139</v>
      </c>
      <c r="E1043" s="25">
        <v>215.15</v>
      </c>
      <c r="F1043" s="25">
        <v>29905.85</v>
      </c>
      <c r="G1043" s="25" t="s">
        <v>688</v>
      </c>
      <c r="H1043" s="25">
        <v>2018172</v>
      </c>
      <c r="I1043" s="25" t="s">
        <v>19</v>
      </c>
      <c r="J1043" s="25" t="s">
        <v>20</v>
      </c>
      <c r="K1043" s="25" t="s">
        <v>25</v>
      </c>
      <c r="L1043" s="25">
        <v>7.49</v>
      </c>
      <c r="M1043" s="25">
        <v>0.9</v>
      </c>
      <c r="N1043" s="25">
        <v>0</v>
      </c>
      <c r="O1043" s="25">
        <v>29.66</v>
      </c>
      <c r="P1043" s="25">
        <v>38.047199999999997</v>
      </c>
      <c r="Q1043" s="25">
        <f t="shared" si="32"/>
        <v>0</v>
      </c>
      <c r="R1043" s="25">
        <f t="shared" si="33"/>
        <v>29867.802799999998</v>
      </c>
    </row>
    <row r="1044" spans="1:18" hidden="1" x14ac:dyDescent="0.25">
      <c r="A1044" s="26">
        <v>43349</v>
      </c>
      <c r="B1044" s="25" t="s">
        <v>205</v>
      </c>
      <c r="C1044" s="25" t="s">
        <v>17</v>
      </c>
      <c r="D1044" s="25">
        <v>1000</v>
      </c>
      <c r="E1044" s="25">
        <v>36.35</v>
      </c>
      <c r="F1044" s="25">
        <v>36350</v>
      </c>
      <c r="G1044" s="25" t="s">
        <v>689</v>
      </c>
      <c r="H1044" s="25">
        <v>2018171</v>
      </c>
      <c r="I1044" s="25" t="s">
        <v>19</v>
      </c>
      <c r="J1044" s="25" t="s">
        <v>20</v>
      </c>
      <c r="K1044" s="25" t="s">
        <v>25</v>
      </c>
      <c r="L1044" s="25">
        <v>0</v>
      </c>
      <c r="M1044" s="25">
        <v>1.0900000000000001</v>
      </c>
      <c r="N1044" s="25">
        <v>2.4</v>
      </c>
      <c r="O1044" s="25">
        <v>29.7</v>
      </c>
      <c r="P1044" s="25">
        <v>33.1905</v>
      </c>
      <c r="Q1044" s="25">
        <f t="shared" si="32"/>
        <v>36383.190499999997</v>
      </c>
      <c r="R1044" s="25">
        <f t="shared" si="33"/>
        <v>0</v>
      </c>
    </row>
    <row r="1045" spans="1:18" hidden="1" x14ac:dyDescent="0.25">
      <c r="A1045" s="26">
        <v>43349</v>
      </c>
      <c r="B1045" s="25" t="s">
        <v>205</v>
      </c>
      <c r="C1045" s="25" t="s">
        <v>23</v>
      </c>
      <c r="D1045" s="25">
        <v>1000</v>
      </c>
      <c r="E1045" s="25">
        <v>36.4</v>
      </c>
      <c r="F1045" s="25">
        <v>36400</v>
      </c>
      <c r="G1045" s="25" t="s">
        <v>690</v>
      </c>
      <c r="H1045" s="25">
        <v>2018171</v>
      </c>
      <c r="I1045" s="25" t="s">
        <v>19</v>
      </c>
      <c r="J1045" s="25" t="s">
        <v>20</v>
      </c>
      <c r="K1045" s="25" t="s">
        <v>25</v>
      </c>
      <c r="L1045" s="25">
        <v>9</v>
      </c>
      <c r="M1045" s="25">
        <v>1.0900000000000001</v>
      </c>
      <c r="N1045" s="25">
        <v>0</v>
      </c>
      <c r="O1045" s="25">
        <v>29.7</v>
      </c>
      <c r="P1045" s="25">
        <v>39.792000000000002</v>
      </c>
      <c r="Q1045" s="25">
        <f t="shared" si="32"/>
        <v>0</v>
      </c>
      <c r="R1045" s="25">
        <f t="shared" si="33"/>
        <v>36360.207999999999</v>
      </c>
    </row>
    <row r="1046" spans="1:18" hidden="1" x14ac:dyDescent="0.25">
      <c r="A1046" s="26">
        <v>43349</v>
      </c>
      <c r="B1046" s="25" t="s">
        <v>190</v>
      </c>
      <c r="C1046" s="25" t="s">
        <v>17</v>
      </c>
      <c r="D1046" s="25">
        <v>1000</v>
      </c>
      <c r="E1046" s="25">
        <v>5</v>
      </c>
      <c r="F1046" s="25">
        <v>5000</v>
      </c>
      <c r="G1046" s="25" t="s">
        <v>691</v>
      </c>
      <c r="H1046" s="25">
        <v>2018171</v>
      </c>
      <c r="I1046" s="25" t="s">
        <v>140</v>
      </c>
      <c r="J1046" s="25" t="s">
        <v>20</v>
      </c>
      <c r="K1046" s="25" t="s">
        <v>25</v>
      </c>
      <c r="L1046" s="25">
        <v>5</v>
      </c>
      <c r="M1046" s="25">
        <v>0.15</v>
      </c>
      <c r="N1046" s="25">
        <v>0.3</v>
      </c>
      <c r="O1046" s="25">
        <v>59.03</v>
      </c>
      <c r="P1046" s="25">
        <v>64.48</v>
      </c>
      <c r="Q1046" s="25">
        <f t="shared" si="32"/>
        <v>5064.4799999999996</v>
      </c>
      <c r="R1046" s="25">
        <f t="shared" si="33"/>
        <v>0</v>
      </c>
    </row>
    <row r="1047" spans="1:18" hidden="1" x14ac:dyDescent="0.25">
      <c r="A1047" s="26">
        <v>43348</v>
      </c>
      <c r="B1047" s="25" t="s">
        <v>205</v>
      </c>
      <c r="C1047" s="25" t="s">
        <v>17</v>
      </c>
      <c r="D1047" s="25">
        <v>100</v>
      </c>
      <c r="E1047" s="25">
        <v>35.450000000000003</v>
      </c>
      <c r="F1047" s="25">
        <v>3545</v>
      </c>
      <c r="G1047" s="25" t="s">
        <v>692</v>
      </c>
      <c r="H1047" s="25">
        <v>2018170</v>
      </c>
      <c r="I1047" s="25" t="s">
        <v>19</v>
      </c>
      <c r="J1047" s="25" t="s">
        <v>20</v>
      </c>
      <c r="K1047" s="25" t="s">
        <v>25</v>
      </c>
      <c r="L1047" s="25">
        <v>4</v>
      </c>
      <c r="M1047" s="25">
        <v>0.11</v>
      </c>
      <c r="N1047" s="25">
        <v>0.3</v>
      </c>
      <c r="O1047" s="25">
        <v>41.32</v>
      </c>
      <c r="P1047" s="25">
        <v>45.726300000000002</v>
      </c>
      <c r="Q1047" s="25">
        <f t="shared" si="32"/>
        <v>3590.7262999999998</v>
      </c>
      <c r="R1047" s="25">
        <f t="shared" si="33"/>
        <v>0</v>
      </c>
    </row>
    <row r="1048" spans="1:18" hidden="1" x14ac:dyDescent="0.25">
      <c r="A1048" s="26">
        <v>43347</v>
      </c>
      <c r="B1048" s="25" t="s">
        <v>433</v>
      </c>
      <c r="C1048" s="25" t="s">
        <v>17</v>
      </c>
      <c r="D1048" s="25">
        <v>2500</v>
      </c>
      <c r="E1048" s="25">
        <v>18.2</v>
      </c>
      <c r="F1048" s="25">
        <v>45500</v>
      </c>
      <c r="G1048" s="25" t="s">
        <v>509</v>
      </c>
      <c r="H1048" s="25">
        <v>2018169</v>
      </c>
      <c r="I1048" s="25" t="s">
        <v>19</v>
      </c>
      <c r="J1048" s="25" t="s">
        <v>20</v>
      </c>
      <c r="K1048" s="25" t="s">
        <v>25</v>
      </c>
      <c r="L1048" s="25">
        <v>0</v>
      </c>
      <c r="M1048" s="25">
        <v>1.37</v>
      </c>
      <c r="N1048" s="25">
        <v>0</v>
      </c>
      <c r="O1048" s="25">
        <v>29.75</v>
      </c>
      <c r="P1048" s="25">
        <v>31.115100000000002</v>
      </c>
      <c r="Q1048" s="25">
        <f t="shared" si="32"/>
        <v>45531.115100000003</v>
      </c>
      <c r="R1048" s="25">
        <f t="shared" si="33"/>
        <v>0</v>
      </c>
    </row>
    <row r="1049" spans="1:18" hidden="1" x14ac:dyDescent="0.25">
      <c r="A1049" s="26">
        <v>43347</v>
      </c>
      <c r="B1049" s="25" t="s">
        <v>397</v>
      </c>
      <c r="C1049" s="25" t="s">
        <v>17</v>
      </c>
      <c r="D1049" s="25">
        <v>100</v>
      </c>
      <c r="E1049" s="25">
        <v>292.25</v>
      </c>
      <c r="F1049" s="25">
        <v>29225</v>
      </c>
      <c r="G1049" s="25" t="s">
        <v>510</v>
      </c>
      <c r="H1049" s="25">
        <v>2018169</v>
      </c>
      <c r="I1049" s="25" t="s">
        <v>19</v>
      </c>
      <c r="J1049" s="25" t="s">
        <v>20</v>
      </c>
      <c r="K1049" s="25" t="s">
        <v>25</v>
      </c>
      <c r="L1049" s="25">
        <v>0</v>
      </c>
      <c r="M1049" s="25">
        <v>0.88</v>
      </c>
      <c r="N1049" s="25">
        <v>4.5</v>
      </c>
      <c r="O1049" s="25">
        <v>29.66</v>
      </c>
      <c r="P1049" s="25">
        <v>35.036700000000003</v>
      </c>
      <c r="Q1049" s="25">
        <f t="shared" si="32"/>
        <v>29260.036700000001</v>
      </c>
      <c r="R1049" s="25">
        <f t="shared" si="33"/>
        <v>0</v>
      </c>
    </row>
    <row r="1050" spans="1:18" hidden="1" x14ac:dyDescent="0.25">
      <c r="A1050" s="26">
        <v>43347</v>
      </c>
      <c r="B1050" s="25" t="s">
        <v>397</v>
      </c>
      <c r="C1050" s="25" t="s">
        <v>23</v>
      </c>
      <c r="D1050" s="25">
        <v>100</v>
      </c>
      <c r="E1050" s="25">
        <v>289.5</v>
      </c>
      <c r="F1050" s="25">
        <v>28950</v>
      </c>
      <c r="G1050" s="25" t="s">
        <v>511</v>
      </c>
      <c r="H1050" s="25">
        <v>2018169</v>
      </c>
      <c r="I1050" s="25" t="s">
        <v>19</v>
      </c>
      <c r="J1050" s="25" t="s">
        <v>20</v>
      </c>
      <c r="K1050" s="25" t="s">
        <v>25</v>
      </c>
      <c r="L1050" s="25">
        <v>6.88</v>
      </c>
      <c r="M1050" s="25">
        <v>0.87</v>
      </c>
      <c r="N1050" s="25">
        <v>0</v>
      </c>
      <c r="O1050" s="25">
        <v>29.66</v>
      </c>
      <c r="P1050" s="25">
        <v>37.408499999999997</v>
      </c>
      <c r="Q1050" s="25">
        <f t="shared" si="32"/>
        <v>0</v>
      </c>
      <c r="R1050" s="25">
        <f t="shared" si="33"/>
        <v>28912.591499999999</v>
      </c>
    </row>
    <row r="1051" spans="1:18" hidden="1" x14ac:dyDescent="0.25">
      <c r="A1051" s="26">
        <v>43347</v>
      </c>
      <c r="B1051" s="25" t="s">
        <v>433</v>
      </c>
      <c r="C1051" s="25" t="s">
        <v>23</v>
      </c>
      <c r="D1051" s="25">
        <v>2500</v>
      </c>
      <c r="E1051" s="25">
        <v>17.399999999999999</v>
      </c>
      <c r="F1051" s="25">
        <v>43500</v>
      </c>
      <c r="G1051" s="25" t="s">
        <v>512</v>
      </c>
      <c r="H1051" s="25">
        <v>2018169</v>
      </c>
      <c r="I1051" s="25" t="s">
        <v>19</v>
      </c>
      <c r="J1051" s="25" t="s">
        <v>20</v>
      </c>
      <c r="K1051" s="25" t="s">
        <v>25</v>
      </c>
      <c r="L1051" s="25">
        <v>11.13</v>
      </c>
      <c r="M1051" s="25">
        <v>1.31</v>
      </c>
      <c r="N1051" s="25">
        <v>0</v>
      </c>
      <c r="O1051" s="25">
        <v>29.74</v>
      </c>
      <c r="P1051" s="25">
        <v>42.1751</v>
      </c>
      <c r="Q1051" s="25">
        <f t="shared" si="32"/>
        <v>0</v>
      </c>
      <c r="R1051" s="25">
        <f t="shared" si="33"/>
        <v>43457.8249</v>
      </c>
    </row>
    <row r="1052" spans="1:18" hidden="1" x14ac:dyDescent="0.25">
      <c r="A1052" s="26">
        <v>43346</v>
      </c>
      <c r="B1052" s="25" t="s">
        <v>397</v>
      </c>
      <c r="C1052" s="25" t="s">
        <v>17</v>
      </c>
      <c r="D1052" s="25">
        <v>250</v>
      </c>
      <c r="E1052" s="25">
        <v>294.39999999999998</v>
      </c>
      <c r="F1052" s="25">
        <v>73599.25</v>
      </c>
      <c r="G1052" s="25" t="s">
        <v>513</v>
      </c>
      <c r="H1052" s="25">
        <v>2018168</v>
      </c>
      <c r="I1052" s="25" t="s">
        <v>19</v>
      </c>
      <c r="J1052" s="25" t="s">
        <v>1634</v>
      </c>
      <c r="K1052" s="25" t="s">
        <v>25</v>
      </c>
      <c r="L1052" s="25">
        <v>0</v>
      </c>
      <c r="M1052" s="25">
        <v>2.21</v>
      </c>
      <c r="N1052" s="25">
        <v>0</v>
      </c>
      <c r="O1052" s="25">
        <v>43.82</v>
      </c>
      <c r="P1052" s="25">
        <v>46.027900000000002</v>
      </c>
      <c r="Q1052" s="25">
        <f t="shared" si="32"/>
        <v>73645.277900000001</v>
      </c>
      <c r="R1052" s="25">
        <f t="shared" si="33"/>
        <v>0</v>
      </c>
    </row>
    <row r="1053" spans="1:18" hidden="1" x14ac:dyDescent="0.25">
      <c r="A1053" s="26">
        <v>43346</v>
      </c>
      <c r="B1053" s="25" t="s">
        <v>397</v>
      </c>
      <c r="C1053" s="25" t="s">
        <v>23</v>
      </c>
      <c r="D1053" s="25">
        <v>250</v>
      </c>
      <c r="E1053" s="25">
        <v>294.42</v>
      </c>
      <c r="F1053" s="25">
        <v>73606.149999999994</v>
      </c>
      <c r="G1053" s="25" t="s">
        <v>514</v>
      </c>
      <c r="H1053" s="25">
        <v>2018168</v>
      </c>
      <c r="I1053" s="25" t="s">
        <v>19</v>
      </c>
      <c r="J1053" s="25" t="s">
        <v>1634</v>
      </c>
      <c r="K1053" s="25" t="s">
        <v>25</v>
      </c>
      <c r="L1053" s="25">
        <v>17.989999999999998</v>
      </c>
      <c r="M1053" s="25">
        <v>2.21</v>
      </c>
      <c r="N1053" s="25">
        <v>5.0999999999999996</v>
      </c>
      <c r="O1053" s="25">
        <v>43.83</v>
      </c>
      <c r="P1053" s="25">
        <v>69.128100000000003</v>
      </c>
      <c r="Q1053" s="25">
        <f t="shared" si="32"/>
        <v>0</v>
      </c>
      <c r="R1053" s="25">
        <f t="shared" si="33"/>
        <v>73537.021899999992</v>
      </c>
    </row>
    <row r="1054" spans="1:18" hidden="1" x14ac:dyDescent="0.25">
      <c r="A1054" s="26">
        <v>43346</v>
      </c>
      <c r="B1054" s="25" t="s">
        <v>397</v>
      </c>
      <c r="C1054" s="25" t="s">
        <v>17</v>
      </c>
      <c r="D1054" s="25">
        <v>60</v>
      </c>
      <c r="E1054" s="25">
        <v>295</v>
      </c>
      <c r="F1054" s="25">
        <v>17700</v>
      </c>
      <c r="G1054" s="25" t="s">
        <v>515</v>
      </c>
      <c r="H1054" s="25">
        <v>2018168</v>
      </c>
      <c r="I1054" s="25" t="s">
        <v>19</v>
      </c>
      <c r="J1054" s="25" t="s">
        <v>1634</v>
      </c>
      <c r="K1054" s="25" t="s">
        <v>25</v>
      </c>
      <c r="L1054" s="25">
        <v>16.79</v>
      </c>
      <c r="M1054" s="25">
        <v>0.53</v>
      </c>
      <c r="N1054" s="25">
        <v>0</v>
      </c>
      <c r="O1054" s="25">
        <v>135.33000000000001</v>
      </c>
      <c r="P1054" s="25">
        <v>152.65090000000001</v>
      </c>
      <c r="Q1054" s="25">
        <f t="shared" si="32"/>
        <v>17852.650900000001</v>
      </c>
      <c r="R1054" s="25">
        <f t="shared" si="33"/>
        <v>0</v>
      </c>
    </row>
    <row r="1055" spans="1:18" hidden="1" x14ac:dyDescent="0.25">
      <c r="A1055" s="26">
        <v>43346</v>
      </c>
      <c r="B1055" s="25" t="s">
        <v>397</v>
      </c>
      <c r="C1055" s="25" t="s">
        <v>23</v>
      </c>
      <c r="D1055" s="25">
        <v>3</v>
      </c>
      <c r="E1055" s="25">
        <v>299.25</v>
      </c>
      <c r="F1055" s="25">
        <v>897.75</v>
      </c>
      <c r="G1055" s="25" t="s">
        <v>516</v>
      </c>
      <c r="H1055" s="25">
        <v>2018168</v>
      </c>
      <c r="I1055" s="25" t="s">
        <v>19</v>
      </c>
      <c r="J1055" s="25" t="s">
        <v>1634</v>
      </c>
      <c r="K1055" s="25" t="s">
        <v>25</v>
      </c>
      <c r="L1055" s="25">
        <v>0.22</v>
      </c>
      <c r="M1055" s="25">
        <v>0.03</v>
      </c>
      <c r="N1055" s="25">
        <v>0</v>
      </c>
      <c r="O1055" s="25">
        <v>26.49</v>
      </c>
      <c r="P1055" s="25">
        <v>26.736899999999999</v>
      </c>
      <c r="Q1055" s="25">
        <f t="shared" si="32"/>
        <v>0</v>
      </c>
      <c r="R1055" s="25">
        <f t="shared" si="33"/>
        <v>871.01310000000001</v>
      </c>
    </row>
    <row r="1056" spans="1:18" hidden="1" x14ac:dyDescent="0.25">
      <c r="A1056" s="26">
        <v>43343</v>
      </c>
      <c r="B1056" s="25" t="s">
        <v>397</v>
      </c>
      <c r="C1056" s="25" t="s">
        <v>17</v>
      </c>
      <c r="D1056" s="25">
        <v>100</v>
      </c>
      <c r="E1056" s="25">
        <v>296.17</v>
      </c>
      <c r="F1056" s="25">
        <v>29617</v>
      </c>
      <c r="G1056" s="25" t="s">
        <v>517</v>
      </c>
      <c r="H1056" s="25">
        <v>2018167</v>
      </c>
      <c r="I1056" s="25" t="s">
        <v>19</v>
      </c>
      <c r="J1056" s="25" t="s">
        <v>20</v>
      </c>
      <c r="K1056" s="25" t="s">
        <v>25</v>
      </c>
      <c r="L1056" s="25">
        <v>0</v>
      </c>
      <c r="M1056" s="25">
        <v>0.89</v>
      </c>
      <c r="N1056" s="25">
        <v>3.6</v>
      </c>
      <c r="O1056" s="25">
        <v>29.67</v>
      </c>
      <c r="P1056" s="25">
        <v>34.158299999999997</v>
      </c>
      <c r="Q1056" s="25">
        <f t="shared" si="32"/>
        <v>29651.158299999999</v>
      </c>
      <c r="R1056" s="25">
        <f t="shared" si="33"/>
        <v>0</v>
      </c>
    </row>
    <row r="1057" spans="1:18" hidden="1" x14ac:dyDescent="0.25">
      <c r="A1057" s="26">
        <v>43343</v>
      </c>
      <c r="B1057" s="25" t="s">
        <v>397</v>
      </c>
      <c r="C1057" s="25" t="s">
        <v>17</v>
      </c>
      <c r="D1057" s="25">
        <v>100</v>
      </c>
      <c r="E1057" s="25">
        <v>292</v>
      </c>
      <c r="F1057" s="25">
        <v>29200</v>
      </c>
      <c r="G1057" s="25" t="s">
        <v>518</v>
      </c>
      <c r="H1057" s="25">
        <v>2018167</v>
      </c>
      <c r="I1057" s="25" t="s">
        <v>19</v>
      </c>
      <c r="J1057" s="25" t="s">
        <v>20</v>
      </c>
      <c r="K1057" s="25" t="s">
        <v>25</v>
      </c>
      <c r="L1057" s="25">
        <v>0</v>
      </c>
      <c r="M1057" s="25">
        <v>0.88</v>
      </c>
      <c r="N1057" s="25">
        <v>0</v>
      </c>
      <c r="O1057" s="25">
        <v>29.66</v>
      </c>
      <c r="P1057" s="25">
        <v>30.536000000000001</v>
      </c>
      <c r="Q1057" s="25">
        <f t="shared" si="32"/>
        <v>29230.536</v>
      </c>
      <c r="R1057" s="25">
        <f t="shared" si="33"/>
        <v>0</v>
      </c>
    </row>
    <row r="1058" spans="1:18" hidden="1" x14ac:dyDescent="0.25">
      <c r="A1058" s="26">
        <v>43343</v>
      </c>
      <c r="B1058" s="25" t="s">
        <v>397</v>
      </c>
      <c r="C1058" s="25" t="s">
        <v>23</v>
      </c>
      <c r="D1058" s="25">
        <v>200</v>
      </c>
      <c r="E1058" s="25">
        <v>292.52</v>
      </c>
      <c r="F1058" s="25">
        <v>58504.95</v>
      </c>
      <c r="G1058" s="25" t="s">
        <v>519</v>
      </c>
      <c r="H1058" s="25">
        <v>2018167</v>
      </c>
      <c r="I1058" s="25" t="s">
        <v>19</v>
      </c>
      <c r="J1058" s="25" t="s">
        <v>20</v>
      </c>
      <c r="K1058" s="25" t="s">
        <v>25</v>
      </c>
      <c r="L1058" s="25">
        <v>15</v>
      </c>
      <c r="M1058" s="25">
        <v>1.76</v>
      </c>
      <c r="N1058" s="25">
        <v>0</v>
      </c>
      <c r="O1058" s="25">
        <v>34.83</v>
      </c>
      <c r="P1058" s="25">
        <v>51.585099999999997</v>
      </c>
      <c r="Q1058" s="25">
        <f t="shared" si="32"/>
        <v>0</v>
      </c>
      <c r="R1058" s="25">
        <f t="shared" si="33"/>
        <v>58453.3649</v>
      </c>
    </row>
    <row r="1059" spans="1:18" hidden="1" x14ac:dyDescent="0.25">
      <c r="A1059" s="26">
        <v>43341</v>
      </c>
      <c r="B1059" s="25" t="s">
        <v>397</v>
      </c>
      <c r="C1059" s="25" t="s">
        <v>17</v>
      </c>
      <c r="D1059" s="25">
        <v>50</v>
      </c>
      <c r="E1059" s="25">
        <v>295.91000000000003</v>
      </c>
      <c r="F1059" s="25">
        <v>14795.65</v>
      </c>
      <c r="G1059" s="25" t="s">
        <v>520</v>
      </c>
      <c r="H1059" s="25">
        <v>2018165</v>
      </c>
      <c r="I1059" s="25" t="s">
        <v>19</v>
      </c>
      <c r="J1059" s="25" t="s">
        <v>20</v>
      </c>
      <c r="K1059" s="25" t="s">
        <v>25</v>
      </c>
      <c r="L1059" s="25">
        <v>0</v>
      </c>
      <c r="M1059" s="25">
        <v>0.44</v>
      </c>
      <c r="N1059" s="25">
        <v>0.9</v>
      </c>
      <c r="O1059" s="25">
        <v>29.58</v>
      </c>
      <c r="P1059" s="25">
        <v>30.9238</v>
      </c>
      <c r="Q1059" s="25">
        <f t="shared" si="32"/>
        <v>14826.5738</v>
      </c>
      <c r="R1059" s="25">
        <f t="shared" si="33"/>
        <v>0</v>
      </c>
    </row>
    <row r="1060" spans="1:18" hidden="1" x14ac:dyDescent="0.25">
      <c r="A1060" s="26">
        <v>43341</v>
      </c>
      <c r="B1060" s="25" t="s">
        <v>397</v>
      </c>
      <c r="C1060" s="25" t="s">
        <v>23</v>
      </c>
      <c r="D1060" s="25">
        <v>50</v>
      </c>
      <c r="E1060" s="25">
        <v>296.95999999999998</v>
      </c>
      <c r="F1060" s="25">
        <v>14847.85</v>
      </c>
      <c r="G1060" s="25" t="s">
        <v>521</v>
      </c>
      <c r="H1060" s="25">
        <v>2018165</v>
      </c>
      <c r="I1060" s="25" t="s">
        <v>19</v>
      </c>
      <c r="J1060" s="25" t="s">
        <v>20</v>
      </c>
      <c r="K1060" s="25" t="s">
        <v>25</v>
      </c>
      <c r="L1060" s="25">
        <v>4</v>
      </c>
      <c r="M1060" s="25">
        <v>0.45</v>
      </c>
      <c r="N1060" s="25">
        <v>0</v>
      </c>
      <c r="O1060" s="25">
        <v>29.58</v>
      </c>
      <c r="P1060" s="25">
        <v>34.025500000000001</v>
      </c>
      <c r="Q1060" s="25">
        <f t="shared" si="32"/>
        <v>0</v>
      </c>
      <c r="R1060" s="25">
        <f t="shared" si="33"/>
        <v>14813.824500000001</v>
      </c>
    </row>
    <row r="1061" spans="1:18" hidden="1" x14ac:dyDescent="0.25">
      <c r="A1061" s="26">
        <v>43340</v>
      </c>
      <c r="B1061" s="25" t="s">
        <v>433</v>
      </c>
      <c r="C1061" s="25" t="s">
        <v>17</v>
      </c>
      <c r="D1061" s="25">
        <v>1000</v>
      </c>
      <c r="E1061" s="25">
        <v>18.8</v>
      </c>
      <c r="F1061" s="25">
        <v>18800</v>
      </c>
      <c r="G1061" s="25" t="s">
        <v>522</v>
      </c>
      <c r="H1061" s="25">
        <v>2018164</v>
      </c>
      <c r="I1061" s="25" t="s">
        <v>19</v>
      </c>
      <c r="J1061" s="25" t="s">
        <v>1634</v>
      </c>
      <c r="K1061" s="25" t="s">
        <v>25</v>
      </c>
      <c r="L1061" s="25">
        <v>0</v>
      </c>
      <c r="M1061" s="25">
        <v>0.56000000000000005</v>
      </c>
      <c r="N1061" s="25">
        <v>0</v>
      </c>
      <c r="O1061" s="25">
        <v>122.11</v>
      </c>
      <c r="P1061" s="25">
        <v>122.67400000000001</v>
      </c>
      <c r="Q1061" s="25">
        <f t="shared" si="32"/>
        <v>18922.673999999999</v>
      </c>
      <c r="R1061" s="25">
        <f t="shared" si="33"/>
        <v>0</v>
      </c>
    </row>
    <row r="1062" spans="1:18" hidden="1" x14ac:dyDescent="0.25">
      <c r="A1062" s="26">
        <v>43340</v>
      </c>
      <c r="B1062" s="25" t="s">
        <v>321</v>
      </c>
      <c r="C1062" s="25" t="s">
        <v>17</v>
      </c>
      <c r="D1062" s="25">
        <v>15</v>
      </c>
      <c r="E1062" s="25">
        <v>257.55</v>
      </c>
      <c r="F1062" s="25">
        <v>3863.25</v>
      </c>
      <c r="G1062" s="25" t="s">
        <v>523</v>
      </c>
      <c r="H1062" s="25">
        <v>2018164</v>
      </c>
      <c r="I1062" s="25" t="s">
        <v>19</v>
      </c>
      <c r="J1062" s="25" t="s">
        <v>20</v>
      </c>
      <c r="K1062" s="25" t="s">
        <v>25</v>
      </c>
      <c r="L1062" s="25">
        <v>3.86</v>
      </c>
      <c r="M1062" s="25">
        <v>0.12</v>
      </c>
      <c r="N1062" s="25">
        <v>0</v>
      </c>
      <c r="O1062" s="25">
        <v>41.32</v>
      </c>
      <c r="P1062" s="25">
        <v>45.295900000000003</v>
      </c>
      <c r="Q1062" s="25">
        <f t="shared" si="32"/>
        <v>3908.5459000000001</v>
      </c>
      <c r="R1062" s="25">
        <f t="shared" si="33"/>
        <v>0</v>
      </c>
    </row>
    <row r="1063" spans="1:18" hidden="1" x14ac:dyDescent="0.25">
      <c r="A1063" s="26">
        <v>43340</v>
      </c>
      <c r="B1063" s="25" t="s">
        <v>433</v>
      </c>
      <c r="C1063" s="25" t="s">
        <v>23</v>
      </c>
      <c r="D1063" s="25">
        <v>5000</v>
      </c>
      <c r="E1063" s="25">
        <v>18.399999999999999</v>
      </c>
      <c r="F1063" s="25">
        <v>92000</v>
      </c>
      <c r="G1063" s="25" t="s">
        <v>524</v>
      </c>
      <c r="H1063" s="25">
        <v>2018164</v>
      </c>
      <c r="I1063" s="25" t="s">
        <v>19</v>
      </c>
      <c r="J1063" s="25" t="s">
        <v>1634</v>
      </c>
      <c r="K1063" s="25" t="s">
        <v>25</v>
      </c>
      <c r="L1063" s="25">
        <v>78.14</v>
      </c>
      <c r="M1063" s="25">
        <v>2.76</v>
      </c>
      <c r="N1063" s="25">
        <v>3.6</v>
      </c>
      <c r="O1063" s="25">
        <v>478.16</v>
      </c>
      <c r="P1063" s="25">
        <v>562.65989999999999</v>
      </c>
      <c r="Q1063" s="25">
        <f t="shared" si="32"/>
        <v>0</v>
      </c>
      <c r="R1063" s="25">
        <f t="shared" si="33"/>
        <v>91437.340100000001</v>
      </c>
    </row>
    <row r="1064" spans="1:18" hidden="1" x14ac:dyDescent="0.25">
      <c r="A1064" s="26">
        <v>43339</v>
      </c>
      <c r="B1064" s="25" t="s">
        <v>179</v>
      </c>
      <c r="C1064" s="25" t="s">
        <v>17</v>
      </c>
      <c r="D1064" s="25">
        <v>100</v>
      </c>
      <c r="E1064" s="25">
        <v>50</v>
      </c>
      <c r="F1064" s="25">
        <v>5000</v>
      </c>
      <c r="G1064" s="25" t="s">
        <v>525</v>
      </c>
      <c r="H1064" s="25">
        <v>2018163</v>
      </c>
      <c r="I1064" s="25" t="s">
        <v>19</v>
      </c>
      <c r="J1064" s="25" t="s">
        <v>20</v>
      </c>
      <c r="K1064" s="25" t="s">
        <v>25</v>
      </c>
      <c r="L1064" s="25">
        <v>5</v>
      </c>
      <c r="M1064" s="25">
        <v>0.15</v>
      </c>
      <c r="N1064" s="25">
        <v>0</v>
      </c>
      <c r="O1064" s="25">
        <v>41.33</v>
      </c>
      <c r="P1064" s="25">
        <v>46.48</v>
      </c>
      <c r="Q1064" s="25">
        <f t="shared" si="32"/>
        <v>5046.4799999999996</v>
      </c>
      <c r="R1064" s="25">
        <f t="shared" si="33"/>
        <v>0</v>
      </c>
    </row>
    <row r="1065" spans="1:18" hidden="1" x14ac:dyDescent="0.25">
      <c r="A1065" s="26">
        <v>43339</v>
      </c>
      <c r="B1065" s="25" t="s">
        <v>397</v>
      </c>
      <c r="C1065" s="25" t="s">
        <v>17</v>
      </c>
      <c r="D1065" s="25">
        <v>100</v>
      </c>
      <c r="E1065" s="25">
        <v>295</v>
      </c>
      <c r="F1065" s="25">
        <v>29500</v>
      </c>
      <c r="G1065" s="25" t="s">
        <v>526</v>
      </c>
      <c r="H1065" s="25">
        <v>2018163</v>
      </c>
      <c r="I1065" s="25" t="s">
        <v>19</v>
      </c>
      <c r="J1065" s="25" t="s">
        <v>20</v>
      </c>
      <c r="K1065" s="25" t="s">
        <v>25</v>
      </c>
      <c r="L1065" s="25">
        <v>0</v>
      </c>
      <c r="M1065" s="25">
        <v>0.89</v>
      </c>
      <c r="N1065" s="25">
        <v>0</v>
      </c>
      <c r="O1065" s="25">
        <v>29.66</v>
      </c>
      <c r="P1065" s="25">
        <v>30.545100000000001</v>
      </c>
      <c r="Q1065" s="25">
        <f t="shared" si="32"/>
        <v>29530.545099999999</v>
      </c>
      <c r="R1065" s="25">
        <f t="shared" si="33"/>
        <v>0</v>
      </c>
    </row>
    <row r="1066" spans="1:18" hidden="1" x14ac:dyDescent="0.25">
      <c r="A1066" s="26">
        <v>43339</v>
      </c>
      <c r="B1066" s="25" t="s">
        <v>397</v>
      </c>
      <c r="C1066" s="25" t="s">
        <v>17</v>
      </c>
      <c r="D1066" s="25">
        <v>150</v>
      </c>
      <c r="E1066" s="25">
        <v>292.89999999999998</v>
      </c>
      <c r="F1066" s="25">
        <v>43935</v>
      </c>
      <c r="G1066" s="25" t="s">
        <v>527</v>
      </c>
      <c r="H1066" s="25">
        <v>2018163</v>
      </c>
      <c r="I1066" s="25" t="s">
        <v>19</v>
      </c>
      <c r="J1066" s="25" t="s">
        <v>20</v>
      </c>
      <c r="K1066" s="25" t="s">
        <v>25</v>
      </c>
      <c r="L1066" s="25">
        <v>0</v>
      </c>
      <c r="M1066" s="25">
        <v>1.32</v>
      </c>
      <c r="N1066" s="25">
        <v>5.4</v>
      </c>
      <c r="O1066" s="25">
        <v>29.74</v>
      </c>
      <c r="P1066" s="25">
        <v>36.457999999999998</v>
      </c>
      <c r="Q1066" s="25">
        <f t="shared" si="32"/>
        <v>43971.457999999999</v>
      </c>
      <c r="R1066" s="25">
        <f t="shared" si="33"/>
        <v>0</v>
      </c>
    </row>
    <row r="1067" spans="1:18" hidden="1" x14ac:dyDescent="0.25">
      <c r="A1067" s="26">
        <v>43339</v>
      </c>
      <c r="B1067" s="25" t="s">
        <v>397</v>
      </c>
      <c r="C1067" s="25" t="s">
        <v>23</v>
      </c>
      <c r="D1067" s="25">
        <v>250</v>
      </c>
      <c r="E1067" s="25">
        <v>292.33</v>
      </c>
      <c r="F1067" s="25">
        <v>73083.600000000006</v>
      </c>
      <c r="G1067" s="25" t="s">
        <v>528</v>
      </c>
      <c r="H1067" s="25">
        <v>2018163</v>
      </c>
      <c r="I1067" s="25" t="s">
        <v>19</v>
      </c>
      <c r="J1067" s="25" t="s">
        <v>20</v>
      </c>
      <c r="K1067" s="25" t="s">
        <v>25</v>
      </c>
      <c r="L1067" s="25">
        <v>18.46</v>
      </c>
      <c r="M1067" s="25">
        <v>2.19</v>
      </c>
      <c r="N1067" s="25">
        <v>0</v>
      </c>
      <c r="O1067" s="25">
        <v>43.52</v>
      </c>
      <c r="P1067" s="25">
        <v>64.172399999999996</v>
      </c>
      <c r="Q1067" s="25">
        <f t="shared" si="32"/>
        <v>0</v>
      </c>
      <c r="R1067" s="25">
        <f t="shared" si="33"/>
        <v>73019.42760000001</v>
      </c>
    </row>
    <row r="1068" spans="1:18" hidden="1" x14ac:dyDescent="0.25">
      <c r="A1068" s="26">
        <v>43339</v>
      </c>
      <c r="B1068" s="25" t="s">
        <v>26</v>
      </c>
      <c r="C1068" s="25" t="s">
        <v>17</v>
      </c>
      <c r="D1068" s="25">
        <v>100</v>
      </c>
      <c r="E1068" s="25">
        <v>101.8</v>
      </c>
      <c r="F1068" s="25">
        <v>10180</v>
      </c>
      <c r="G1068" s="25" t="s">
        <v>529</v>
      </c>
      <c r="H1068" s="25">
        <v>2018163</v>
      </c>
      <c r="I1068" s="25" t="s">
        <v>19</v>
      </c>
      <c r="J1068" s="25" t="s">
        <v>20</v>
      </c>
      <c r="K1068" s="25" t="s">
        <v>25</v>
      </c>
      <c r="L1068" s="25">
        <v>0</v>
      </c>
      <c r="M1068" s="25">
        <v>0.31</v>
      </c>
      <c r="N1068" s="25">
        <v>0</v>
      </c>
      <c r="O1068" s="25">
        <v>29.56</v>
      </c>
      <c r="P1068" s="25">
        <v>29.865400000000001</v>
      </c>
      <c r="Q1068" s="25">
        <f t="shared" si="32"/>
        <v>10209.865400000001</v>
      </c>
      <c r="R1068" s="25">
        <f t="shared" si="33"/>
        <v>0</v>
      </c>
    </row>
    <row r="1069" spans="1:18" hidden="1" x14ac:dyDescent="0.25">
      <c r="A1069" s="26">
        <v>43339</v>
      </c>
      <c r="B1069" s="25" t="s">
        <v>26</v>
      </c>
      <c r="C1069" s="25" t="s">
        <v>23</v>
      </c>
      <c r="D1069" s="25">
        <v>100</v>
      </c>
      <c r="E1069" s="25">
        <v>101.5</v>
      </c>
      <c r="F1069" s="25">
        <v>10150</v>
      </c>
      <c r="G1069" s="25" t="s">
        <v>530</v>
      </c>
      <c r="H1069" s="25">
        <v>2018163</v>
      </c>
      <c r="I1069" s="25" t="s">
        <v>19</v>
      </c>
      <c r="J1069" s="25" t="s">
        <v>20</v>
      </c>
      <c r="K1069" s="25" t="s">
        <v>25</v>
      </c>
      <c r="L1069" s="25">
        <v>2.54</v>
      </c>
      <c r="M1069" s="25">
        <v>0.3</v>
      </c>
      <c r="N1069" s="25">
        <v>0</v>
      </c>
      <c r="O1069" s="25">
        <v>29.56</v>
      </c>
      <c r="P1069" s="25">
        <v>32.404499999999999</v>
      </c>
      <c r="Q1069" s="25">
        <f t="shared" si="32"/>
        <v>0</v>
      </c>
      <c r="R1069" s="25">
        <f t="shared" si="33"/>
        <v>10117.595499999999</v>
      </c>
    </row>
    <row r="1070" spans="1:18" hidden="1" x14ac:dyDescent="0.25">
      <c r="A1070" s="26">
        <v>43333</v>
      </c>
      <c r="B1070" s="25" t="s">
        <v>433</v>
      </c>
      <c r="C1070" s="25" t="s">
        <v>17</v>
      </c>
      <c r="D1070" s="25">
        <v>5000</v>
      </c>
      <c r="E1070" s="25">
        <v>19.25</v>
      </c>
      <c r="F1070" s="25">
        <v>96250</v>
      </c>
      <c r="G1070" s="25" t="s">
        <v>531</v>
      </c>
      <c r="H1070" s="25">
        <v>2018160</v>
      </c>
      <c r="I1070" s="25" t="s">
        <v>19</v>
      </c>
      <c r="J1070" s="25" t="s">
        <v>1634</v>
      </c>
      <c r="K1070" s="25" t="s">
        <v>25</v>
      </c>
      <c r="L1070" s="25">
        <v>96.25</v>
      </c>
      <c r="M1070" s="25">
        <v>2.89</v>
      </c>
      <c r="N1070" s="25">
        <v>0</v>
      </c>
      <c r="O1070" s="25">
        <v>625.17999999999995</v>
      </c>
      <c r="P1070" s="25">
        <v>724.3175</v>
      </c>
      <c r="Q1070" s="25">
        <f t="shared" si="32"/>
        <v>96974.317500000005</v>
      </c>
      <c r="R1070" s="25">
        <f t="shared" si="33"/>
        <v>0</v>
      </c>
    </row>
    <row r="1071" spans="1:18" hidden="1" x14ac:dyDescent="0.25">
      <c r="A1071" s="26">
        <v>43333</v>
      </c>
      <c r="B1071" s="25" t="s">
        <v>16</v>
      </c>
      <c r="C1071" s="25" t="s">
        <v>17</v>
      </c>
      <c r="D1071" s="25">
        <v>1000</v>
      </c>
      <c r="E1071" s="25">
        <v>57</v>
      </c>
      <c r="F1071" s="25">
        <v>57000</v>
      </c>
      <c r="G1071" s="25" t="s">
        <v>532</v>
      </c>
      <c r="H1071" s="25">
        <v>2018160</v>
      </c>
      <c r="I1071" s="25" t="s">
        <v>19</v>
      </c>
      <c r="J1071" s="25" t="s">
        <v>20</v>
      </c>
      <c r="K1071" s="25" t="s">
        <v>25</v>
      </c>
      <c r="L1071" s="25">
        <v>0</v>
      </c>
      <c r="M1071" s="25">
        <v>1.71</v>
      </c>
      <c r="N1071" s="25">
        <v>0</v>
      </c>
      <c r="O1071" s="25">
        <v>33.950000000000003</v>
      </c>
      <c r="P1071" s="25">
        <v>35.659999999999997</v>
      </c>
      <c r="Q1071" s="25">
        <f t="shared" si="32"/>
        <v>57035.66</v>
      </c>
      <c r="R1071" s="25">
        <f t="shared" si="33"/>
        <v>0</v>
      </c>
    </row>
    <row r="1072" spans="1:18" hidden="1" x14ac:dyDescent="0.25">
      <c r="A1072" s="26">
        <v>43333</v>
      </c>
      <c r="B1072" s="25" t="s">
        <v>16</v>
      </c>
      <c r="C1072" s="25" t="s">
        <v>23</v>
      </c>
      <c r="D1072" s="25">
        <v>1000</v>
      </c>
      <c r="E1072" s="25">
        <v>58.1</v>
      </c>
      <c r="F1072" s="25">
        <v>58100</v>
      </c>
      <c r="G1072" s="25" t="s">
        <v>533</v>
      </c>
      <c r="H1072" s="25">
        <v>2018160</v>
      </c>
      <c r="I1072" s="25" t="s">
        <v>19</v>
      </c>
      <c r="J1072" s="25" t="s">
        <v>20</v>
      </c>
      <c r="K1072" s="25" t="s">
        <v>25</v>
      </c>
      <c r="L1072" s="25">
        <v>14.39</v>
      </c>
      <c r="M1072" s="25">
        <v>1.74</v>
      </c>
      <c r="N1072" s="25">
        <v>0</v>
      </c>
      <c r="O1072" s="25">
        <v>34.590000000000003</v>
      </c>
      <c r="P1072" s="25">
        <v>50.723100000000002</v>
      </c>
      <c r="Q1072" s="25">
        <f t="shared" si="32"/>
        <v>0</v>
      </c>
      <c r="R1072" s="25">
        <f t="shared" si="33"/>
        <v>58049.276899999997</v>
      </c>
    </row>
    <row r="1073" spans="1:18" hidden="1" x14ac:dyDescent="0.25">
      <c r="A1073" s="26">
        <v>43333</v>
      </c>
      <c r="B1073" s="25" t="s">
        <v>397</v>
      </c>
      <c r="C1073" s="25" t="s">
        <v>17</v>
      </c>
      <c r="D1073" s="25">
        <v>100</v>
      </c>
      <c r="E1073" s="25">
        <v>300</v>
      </c>
      <c r="F1073" s="25">
        <v>30000</v>
      </c>
      <c r="G1073" s="25" t="s">
        <v>534</v>
      </c>
      <c r="H1073" s="25">
        <v>2018160</v>
      </c>
      <c r="I1073" s="25" t="s">
        <v>19</v>
      </c>
      <c r="J1073" s="25" t="s">
        <v>20</v>
      </c>
      <c r="K1073" s="25" t="s">
        <v>25</v>
      </c>
      <c r="L1073" s="25">
        <v>0</v>
      </c>
      <c r="M1073" s="25">
        <v>0.9</v>
      </c>
      <c r="N1073" s="25">
        <v>8.4</v>
      </c>
      <c r="O1073" s="25">
        <v>29.66</v>
      </c>
      <c r="P1073" s="25">
        <v>38.96</v>
      </c>
      <c r="Q1073" s="25">
        <f t="shared" si="32"/>
        <v>30038.959999999999</v>
      </c>
      <c r="R1073" s="25">
        <f t="shared" si="33"/>
        <v>0</v>
      </c>
    </row>
    <row r="1074" spans="1:18" hidden="1" x14ac:dyDescent="0.25">
      <c r="A1074" s="26">
        <v>43333</v>
      </c>
      <c r="B1074" s="25" t="s">
        <v>397</v>
      </c>
      <c r="C1074" s="25" t="s">
        <v>23</v>
      </c>
      <c r="D1074" s="25">
        <v>100</v>
      </c>
      <c r="E1074" s="25">
        <v>299</v>
      </c>
      <c r="F1074" s="25">
        <v>29900</v>
      </c>
      <c r="G1074" s="25" t="s">
        <v>535</v>
      </c>
      <c r="H1074" s="25">
        <v>2018160</v>
      </c>
      <c r="I1074" s="25" t="s">
        <v>19</v>
      </c>
      <c r="J1074" s="25" t="s">
        <v>20</v>
      </c>
      <c r="K1074" s="25" t="s">
        <v>25</v>
      </c>
      <c r="L1074" s="25">
        <v>7.36</v>
      </c>
      <c r="M1074" s="25">
        <v>0.9</v>
      </c>
      <c r="N1074" s="25">
        <v>0</v>
      </c>
      <c r="O1074" s="25">
        <v>29.66</v>
      </c>
      <c r="P1074" s="25">
        <v>37.917099999999998</v>
      </c>
      <c r="Q1074" s="25">
        <f t="shared" si="32"/>
        <v>0</v>
      </c>
      <c r="R1074" s="25">
        <f t="shared" si="33"/>
        <v>29862.082900000001</v>
      </c>
    </row>
    <row r="1075" spans="1:18" hidden="1" x14ac:dyDescent="0.25">
      <c r="A1075" s="26">
        <v>43332</v>
      </c>
      <c r="B1075" s="25" t="s">
        <v>433</v>
      </c>
      <c r="C1075" s="25" t="s">
        <v>17</v>
      </c>
      <c r="D1075" s="25">
        <v>1500</v>
      </c>
      <c r="E1075" s="25">
        <v>19.5</v>
      </c>
      <c r="F1075" s="25">
        <v>29250</v>
      </c>
      <c r="G1075" s="25" t="s">
        <v>536</v>
      </c>
      <c r="H1075" s="25">
        <v>2018159</v>
      </c>
      <c r="I1075" s="25" t="s">
        <v>19</v>
      </c>
      <c r="J1075" s="25" t="s">
        <v>20</v>
      </c>
      <c r="K1075" s="25" t="s">
        <v>25</v>
      </c>
      <c r="L1075" s="25">
        <v>0</v>
      </c>
      <c r="M1075" s="25">
        <v>0.88</v>
      </c>
      <c r="N1075" s="25">
        <v>0</v>
      </c>
      <c r="O1075" s="25">
        <v>92.94</v>
      </c>
      <c r="P1075" s="25">
        <v>93.817599999999999</v>
      </c>
      <c r="Q1075" s="25">
        <f t="shared" si="32"/>
        <v>29343.817599999998</v>
      </c>
      <c r="R1075" s="25">
        <f t="shared" si="33"/>
        <v>0</v>
      </c>
    </row>
    <row r="1076" spans="1:18" hidden="1" x14ac:dyDescent="0.25">
      <c r="A1076" s="26">
        <v>43332</v>
      </c>
      <c r="B1076" s="25" t="s">
        <v>433</v>
      </c>
      <c r="C1076" s="25" t="s">
        <v>23</v>
      </c>
      <c r="D1076" s="25">
        <v>1500</v>
      </c>
      <c r="E1076" s="25">
        <v>19.75</v>
      </c>
      <c r="F1076" s="25">
        <v>29625</v>
      </c>
      <c r="G1076" s="25" t="s">
        <v>537</v>
      </c>
      <c r="H1076" s="25">
        <v>2018159</v>
      </c>
      <c r="I1076" s="25" t="s">
        <v>19</v>
      </c>
      <c r="J1076" s="25" t="s">
        <v>20</v>
      </c>
      <c r="K1076" s="25" t="s">
        <v>25</v>
      </c>
      <c r="L1076" s="25">
        <v>6.81</v>
      </c>
      <c r="M1076" s="25">
        <v>0.89</v>
      </c>
      <c r="N1076" s="25">
        <v>12.3</v>
      </c>
      <c r="O1076" s="25">
        <v>29.66</v>
      </c>
      <c r="P1076" s="25">
        <v>49.658700000000003</v>
      </c>
      <c r="Q1076" s="25">
        <f t="shared" si="32"/>
        <v>0</v>
      </c>
      <c r="R1076" s="25">
        <f t="shared" si="33"/>
        <v>29575.3413</v>
      </c>
    </row>
    <row r="1077" spans="1:18" hidden="1" x14ac:dyDescent="0.25">
      <c r="A1077" s="26">
        <v>43332</v>
      </c>
      <c r="B1077" s="25" t="s">
        <v>433</v>
      </c>
      <c r="C1077" s="25" t="s">
        <v>17</v>
      </c>
      <c r="D1077" s="25">
        <v>1000</v>
      </c>
      <c r="E1077" s="25">
        <v>19.45</v>
      </c>
      <c r="F1077" s="25">
        <v>19450</v>
      </c>
      <c r="G1077" s="25" t="s">
        <v>538</v>
      </c>
      <c r="H1077" s="25">
        <v>2018159</v>
      </c>
      <c r="I1077" s="25" t="s">
        <v>19</v>
      </c>
      <c r="J1077" s="25" t="s">
        <v>20</v>
      </c>
      <c r="K1077" s="25" t="s">
        <v>25</v>
      </c>
      <c r="L1077" s="25">
        <v>0</v>
      </c>
      <c r="M1077" s="25">
        <v>0.57999999999999996</v>
      </c>
      <c r="N1077" s="25">
        <v>0</v>
      </c>
      <c r="O1077" s="25">
        <v>29.61</v>
      </c>
      <c r="P1077" s="25">
        <v>30.1935</v>
      </c>
      <c r="Q1077" s="25">
        <f t="shared" si="32"/>
        <v>19480.193500000001</v>
      </c>
      <c r="R1077" s="25">
        <f t="shared" si="33"/>
        <v>0</v>
      </c>
    </row>
    <row r="1078" spans="1:18" hidden="1" x14ac:dyDescent="0.25">
      <c r="A1078" s="26">
        <v>43332</v>
      </c>
      <c r="B1078" s="25" t="s">
        <v>433</v>
      </c>
      <c r="C1078" s="25" t="s">
        <v>17</v>
      </c>
      <c r="D1078" s="25">
        <v>2500</v>
      </c>
      <c r="E1078" s="25">
        <v>19.5</v>
      </c>
      <c r="F1078" s="25">
        <v>48750</v>
      </c>
      <c r="G1078" s="25" t="s">
        <v>539</v>
      </c>
      <c r="H1078" s="25">
        <v>2018159</v>
      </c>
      <c r="I1078" s="25" t="s">
        <v>19</v>
      </c>
      <c r="J1078" s="25" t="s">
        <v>20</v>
      </c>
      <c r="K1078" s="25" t="s">
        <v>25</v>
      </c>
      <c r="L1078" s="25">
        <v>0</v>
      </c>
      <c r="M1078" s="25">
        <v>1.46</v>
      </c>
      <c r="N1078" s="25">
        <v>0</v>
      </c>
      <c r="O1078" s="25">
        <v>29.77</v>
      </c>
      <c r="P1078" s="25">
        <v>31.232399999999998</v>
      </c>
      <c r="Q1078" s="25">
        <f t="shared" si="32"/>
        <v>48781.232400000001</v>
      </c>
      <c r="R1078" s="25">
        <f t="shared" si="33"/>
        <v>0</v>
      </c>
    </row>
    <row r="1079" spans="1:18" hidden="1" x14ac:dyDescent="0.25">
      <c r="A1079" s="26">
        <v>43332</v>
      </c>
      <c r="B1079" s="25" t="s">
        <v>397</v>
      </c>
      <c r="C1079" s="25" t="s">
        <v>23</v>
      </c>
      <c r="D1079" s="25">
        <v>100</v>
      </c>
      <c r="E1079" s="25">
        <v>309.39999999999998</v>
      </c>
      <c r="F1079" s="25">
        <v>30940</v>
      </c>
      <c r="G1079" s="25" t="s">
        <v>540</v>
      </c>
      <c r="H1079" s="25">
        <v>2018159</v>
      </c>
      <c r="I1079" s="25" t="s">
        <v>19</v>
      </c>
      <c r="J1079" s="25" t="s">
        <v>20</v>
      </c>
      <c r="K1079" s="25" t="s">
        <v>25</v>
      </c>
      <c r="L1079" s="25">
        <v>30.94</v>
      </c>
      <c r="M1079" s="25">
        <v>0.93</v>
      </c>
      <c r="N1079" s="25">
        <v>0</v>
      </c>
      <c r="O1079" s="25">
        <v>200.97</v>
      </c>
      <c r="P1079" s="25">
        <v>232.8382</v>
      </c>
      <c r="Q1079" s="25">
        <f t="shared" si="32"/>
        <v>0</v>
      </c>
      <c r="R1079" s="25">
        <f t="shared" si="33"/>
        <v>30707.161800000002</v>
      </c>
    </row>
    <row r="1080" spans="1:18" hidden="1" x14ac:dyDescent="0.25">
      <c r="A1080" s="26">
        <v>43332</v>
      </c>
      <c r="B1080" s="25" t="s">
        <v>433</v>
      </c>
      <c r="C1080" s="25" t="s">
        <v>17</v>
      </c>
      <c r="D1080" s="25">
        <v>5000</v>
      </c>
      <c r="E1080" s="25">
        <v>19.05</v>
      </c>
      <c r="F1080" s="25">
        <v>95250</v>
      </c>
      <c r="G1080" s="25" t="s">
        <v>541</v>
      </c>
      <c r="H1080" s="25">
        <v>2018159</v>
      </c>
      <c r="I1080" s="25" t="s">
        <v>19</v>
      </c>
      <c r="J1080" s="25" t="s">
        <v>20</v>
      </c>
      <c r="K1080" s="25" t="s">
        <v>25</v>
      </c>
      <c r="L1080" s="25">
        <v>9.65</v>
      </c>
      <c r="M1080" s="25">
        <v>2.86</v>
      </c>
      <c r="N1080" s="25">
        <v>0</v>
      </c>
      <c r="O1080" s="25">
        <v>56.71</v>
      </c>
      <c r="P1080" s="25">
        <v>69.217500000000001</v>
      </c>
      <c r="Q1080" s="25">
        <f t="shared" si="32"/>
        <v>95319.217499999999</v>
      </c>
      <c r="R1080" s="25">
        <f t="shared" si="33"/>
        <v>0</v>
      </c>
    </row>
    <row r="1081" spans="1:18" hidden="1" x14ac:dyDescent="0.25">
      <c r="A1081" s="26">
        <v>43332</v>
      </c>
      <c r="B1081" s="25" t="s">
        <v>433</v>
      </c>
      <c r="C1081" s="25" t="s">
        <v>23</v>
      </c>
      <c r="D1081" s="25">
        <v>8000</v>
      </c>
      <c r="E1081" s="25">
        <v>19.25</v>
      </c>
      <c r="F1081" s="25">
        <v>154000</v>
      </c>
      <c r="G1081" s="25" t="s">
        <v>542</v>
      </c>
      <c r="H1081" s="25">
        <v>2018159</v>
      </c>
      <c r="I1081" s="25" t="s">
        <v>19</v>
      </c>
      <c r="J1081" s="25" t="s">
        <v>20</v>
      </c>
      <c r="K1081" s="25" t="s">
        <v>25</v>
      </c>
      <c r="L1081" s="25">
        <v>38.6</v>
      </c>
      <c r="M1081" s="25">
        <v>4.62</v>
      </c>
      <c r="N1081" s="25">
        <v>0</v>
      </c>
      <c r="O1081" s="25">
        <v>91.69</v>
      </c>
      <c r="P1081" s="25">
        <v>134.91</v>
      </c>
      <c r="Q1081" s="25">
        <f t="shared" si="32"/>
        <v>0</v>
      </c>
      <c r="R1081" s="25">
        <f t="shared" si="33"/>
        <v>153865.09</v>
      </c>
    </row>
    <row r="1082" spans="1:18" hidden="1" x14ac:dyDescent="0.25">
      <c r="A1082" s="26">
        <v>43328</v>
      </c>
      <c r="B1082" s="25" t="s">
        <v>433</v>
      </c>
      <c r="C1082" s="25" t="s">
        <v>23</v>
      </c>
      <c r="D1082" s="25">
        <v>2250</v>
      </c>
      <c r="E1082" s="25">
        <v>21</v>
      </c>
      <c r="F1082" s="25">
        <v>47250</v>
      </c>
      <c r="G1082" s="25" t="s">
        <v>543</v>
      </c>
      <c r="H1082" s="25">
        <v>2018157</v>
      </c>
      <c r="I1082" s="25" t="s">
        <v>19</v>
      </c>
      <c r="J1082" s="25" t="s">
        <v>1634</v>
      </c>
      <c r="K1082" s="25" t="s">
        <v>25</v>
      </c>
      <c r="L1082" s="25">
        <v>47.25</v>
      </c>
      <c r="M1082" s="25">
        <v>1.42</v>
      </c>
      <c r="N1082" s="25">
        <v>0</v>
      </c>
      <c r="O1082" s="25">
        <v>306.91000000000003</v>
      </c>
      <c r="P1082" s="25">
        <v>355.57749999999999</v>
      </c>
      <c r="Q1082" s="25">
        <f t="shared" si="32"/>
        <v>0</v>
      </c>
      <c r="R1082" s="25">
        <f t="shared" si="33"/>
        <v>46894.422500000001</v>
      </c>
    </row>
    <row r="1083" spans="1:18" hidden="1" x14ac:dyDescent="0.25">
      <c r="A1083" s="26">
        <v>43328</v>
      </c>
      <c r="B1083" s="25" t="s">
        <v>16</v>
      </c>
      <c r="C1083" s="25" t="s">
        <v>23</v>
      </c>
      <c r="D1083" s="25">
        <v>1900</v>
      </c>
      <c r="E1083" s="25">
        <v>58</v>
      </c>
      <c r="F1083" s="25">
        <v>110200</v>
      </c>
      <c r="G1083" s="25" t="s">
        <v>544</v>
      </c>
      <c r="H1083" s="25">
        <v>2018157</v>
      </c>
      <c r="I1083" s="25" t="s">
        <v>19</v>
      </c>
      <c r="J1083" s="25" t="s">
        <v>1634</v>
      </c>
      <c r="K1083" s="25" t="s">
        <v>25</v>
      </c>
      <c r="L1083" s="25">
        <v>109.75</v>
      </c>
      <c r="M1083" s="25">
        <v>3.31</v>
      </c>
      <c r="N1083" s="25">
        <v>4.8</v>
      </c>
      <c r="O1083" s="25">
        <v>715.79</v>
      </c>
      <c r="P1083" s="25">
        <v>833.64599999999996</v>
      </c>
      <c r="Q1083" s="25">
        <f t="shared" si="32"/>
        <v>0</v>
      </c>
      <c r="R1083" s="25">
        <f t="shared" si="33"/>
        <v>109366.35400000001</v>
      </c>
    </row>
    <row r="1084" spans="1:18" hidden="1" x14ac:dyDescent="0.25">
      <c r="A1084" s="26">
        <v>43326</v>
      </c>
      <c r="B1084" s="25" t="s">
        <v>16</v>
      </c>
      <c r="C1084" s="25" t="s">
        <v>17</v>
      </c>
      <c r="D1084" s="25">
        <v>1500</v>
      </c>
      <c r="E1084" s="25">
        <v>62.3</v>
      </c>
      <c r="F1084" s="25">
        <v>93450</v>
      </c>
      <c r="G1084" s="25" t="s">
        <v>545</v>
      </c>
      <c r="H1084" s="25">
        <v>2018156</v>
      </c>
      <c r="I1084" s="25" t="s">
        <v>19</v>
      </c>
      <c r="J1084" s="25" t="s">
        <v>20</v>
      </c>
      <c r="K1084" s="25" t="s">
        <v>25</v>
      </c>
      <c r="L1084" s="25">
        <v>0</v>
      </c>
      <c r="M1084" s="25">
        <v>2.8</v>
      </c>
      <c r="N1084" s="25">
        <v>0</v>
      </c>
      <c r="O1084" s="25">
        <v>55.64</v>
      </c>
      <c r="P1084" s="25">
        <v>58.4435</v>
      </c>
      <c r="Q1084" s="25">
        <f t="shared" si="32"/>
        <v>93508.443499999994</v>
      </c>
      <c r="R1084" s="25">
        <f t="shared" si="33"/>
        <v>0</v>
      </c>
    </row>
    <row r="1085" spans="1:18" hidden="1" x14ac:dyDescent="0.25">
      <c r="A1085" s="26">
        <v>43326</v>
      </c>
      <c r="B1085" s="25" t="s">
        <v>16</v>
      </c>
      <c r="C1085" s="25" t="s">
        <v>23</v>
      </c>
      <c r="D1085" s="25">
        <v>1500</v>
      </c>
      <c r="E1085" s="25">
        <v>60</v>
      </c>
      <c r="F1085" s="25">
        <v>90000</v>
      </c>
      <c r="G1085" s="25" t="s">
        <v>546</v>
      </c>
      <c r="H1085" s="25">
        <v>2018156</v>
      </c>
      <c r="I1085" s="25" t="s">
        <v>19</v>
      </c>
      <c r="J1085" s="25" t="s">
        <v>20</v>
      </c>
      <c r="K1085" s="25" t="s">
        <v>25</v>
      </c>
      <c r="L1085" s="25">
        <v>23</v>
      </c>
      <c r="M1085" s="25">
        <v>2.7</v>
      </c>
      <c r="N1085" s="25">
        <v>5.7</v>
      </c>
      <c r="O1085" s="25">
        <v>53.62</v>
      </c>
      <c r="P1085" s="25">
        <v>85.020799999999994</v>
      </c>
      <c r="Q1085" s="25">
        <f t="shared" si="32"/>
        <v>0</v>
      </c>
      <c r="R1085" s="25">
        <f t="shared" si="33"/>
        <v>89914.979200000002</v>
      </c>
    </row>
    <row r="1086" spans="1:18" hidden="1" x14ac:dyDescent="0.25">
      <c r="A1086" s="26">
        <v>43322</v>
      </c>
      <c r="B1086" s="25" t="s">
        <v>256</v>
      </c>
      <c r="C1086" s="25" t="s">
        <v>17</v>
      </c>
      <c r="D1086" s="25">
        <v>500</v>
      </c>
      <c r="E1086" s="25">
        <v>108.95</v>
      </c>
      <c r="F1086" s="25">
        <v>54474.6</v>
      </c>
      <c r="G1086" s="25" t="s">
        <v>547</v>
      </c>
      <c r="H1086" s="25">
        <v>2018154</v>
      </c>
      <c r="I1086" s="25" t="s">
        <v>19</v>
      </c>
      <c r="J1086" s="25" t="s">
        <v>20</v>
      </c>
      <c r="K1086" s="25" t="s">
        <v>25</v>
      </c>
      <c r="L1086" s="25">
        <v>0</v>
      </c>
      <c r="M1086" s="25">
        <v>1.63</v>
      </c>
      <c r="N1086" s="25">
        <v>0</v>
      </c>
      <c r="O1086" s="25">
        <v>32.43</v>
      </c>
      <c r="P1086" s="25">
        <v>34.0642</v>
      </c>
      <c r="Q1086" s="25">
        <f t="shared" si="32"/>
        <v>54508.664199999999</v>
      </c>
      <c r="R1086" s="25">
        <f t="shared" si="33"/>
        <v>0</v>
      </c>
    </row>
    <row r="1087" spans="1:18" hidden="1" x14ac:dyDescent="0.25">
      <c r="A1087" s="26">
        <v>43322</v>
      </c>
      <c r="B1087" s="25" t="s">
        <v>256</v>
      </c>
      <c r="C1087" s="25" t="s">
        <v>17</v>
      </c>
      <c r="D1087" s="25">
        <v>1000</v>
      </c>
      <c r="E1087" s="25">
        <v>107.15</v>
      </c>
      <c r="F1087" s="25">
        <v>107150</v>
      </c>
      <c r="G1087" s="25" t="s">
        <v>548</v>
      </c>
      <c r="H1087" s="25">
        <v>2018154</v>
      </c>
      <c r="I1087" s="25" t="s">
        <v>19</v>
      </c>
      <c r="J1087" s="25" t="s">
        <v>20</v>
      </c>
      <c r="K1087" s="25" t="s">
        <v>25</v>
      </c>
      <c r="L1087" s="25">
        <v>0</v>
      </c>
      <c r="M1087" s="25">
        <v>3.21</v>
      </c>
      <c r="N1087" s="25">
        <v>0</v>
      </c>
      <c r="O1087" s="25">
        <v>63.8</v>
      </c>
      <c r="P1087" s="25">
        <v>67.014499999999998</v>
      </c>
      <c r="Q1087" s="25">
        <f t="shared" si="32"/>
        <v>107217.0145</v>
      </c>
      <c r="R1087" s="25">
        <f t="shared" si="33"/>
        <v>0</v>
      </c>
    </row>
    <row r="1088" spans="1:18" hidden="1" x14ac:dyDescent="0.25">
      <c r="A1088" s="26">
        <v>43322</v>
      </c>
      <c r="B1088" s="25" t="s">
        <v>256</v>
      </c>
      <c r="C1088" s="25" t="s">
        <v>23</v>
      </c>
      <c r="D1088" s="25">
        <v>1500</v>
      </c>
      <c r="E1088" s="25">
        <v>107</v>
      </c>
      <c r="F1088" s="25">
        <v>160500</v>
      </c>
      <c r="G1088" s="25" t="s">
        <v>549</v>
      </c>
      <c r="H1088" s="25">
        <v>2018154</v>
      </c>
      <c r="I1088" s="25" t="s">
        <v>19</v>
      </c>
      <c r="J1088" s="25" t="s">
        <v>20</v>
      </c>
      <c r="K1088" s="25" t="s">
        <v>25</v>
      </c>
      <c r="L1088" s="25">
        <v>40</v>
      </c>
      <c r="M1088" s="25">
        <v>4.8099999999999996</v>
      </c>
      <c r="N1088" s="25">
        <v>11.1</v>
      </c>
      <c r="O1088" s="25">
        <v>95.56</v>
      </c>
      <c r="P1088" s="25">
        <v>151.47489999999999</v>
      </c>
      <c r="Q1088" s="25">
        <f t="shared" si="32"/>
        <v>0</v>
      </c>
      <c r="R1088" s="25">
        <f t="shared" si="33"/>
        <v>160348.5251</v>
      </c>
    </row>
    <row r="1089" spans="1:18" hidden="1" x14ac:dyDescent="0.25">
      <c r="A1089" s="26">
        <v>43322</v>
      </c>
      <c r="B1089" s="25" t="s">
        <v>433</v>
      </c>
      <c r="C1089" s="25" t="s">
        <v>17</v>
      </c>
      <c r="D1089" s="25">
        <v>2250</v>
      </c>
      <c r="E1089" s="25">
        <v>20</v>
      </c>
      <c r="F1089" s="25">
        <v>45000</v>
      </c>
      <c r="G1089" s="25" t="s">
        <v>550</v>
      </c>
      <c r="H1089" s="25">
        <v>2018154</v>
      </c>
      <c r="I1089" s="25" t="s">
        <v>19</v>
      </c>
      <c r="J1089" s="25" t="s">
        <v>1634</v>
      </c>
      <c r="K1089" s="25" t="s">
        <v>25</v>
      </c>
      <c r="L1089" s="25">
        <v>45</v>
      </c>
      <c r="M1089" s="25">
        <v>1.35</v>
      </c>
      <c r="N1089" s="25">
        <v>0</v>
      </c>
      <c r="O1089" s="25">
        <v>292.29000000000002</v>
      </c>
      <c r="P1089" s="25">
        <v>338.64</v>
      </c>
      <c r="Q1089" s="25">
        <f t="shared" si="32"/>
        <v>45338.64</v>
      </c>
      <c r="R1089" s="25">
        <f t="shared" si="33"/>
        <v>0</v>
      </c>
    </row>
    <row r="1090" spans="1:18" hidden="1" x14ac:dyDescent="0.25">
      <c r="A1090" s="26">
        <v>43321</v>
      </c>
      <c r="B1090" s="25" t="s">
        <v>16</v>
      </c>
      <c r="C1090" s="25" t="s">
        <v>17</v>
      </c>
      <c r="D1090" s="25">
        <v>1000</v>
      </c>
      <c r="E1090" s="25">
        <v>64.75</v>
      </c>
      <c r="F1090" s="25">
        <v>64750</v>
      </c>
      <c r="G1090" s="25" t="s">
        <v>551</v>
      </c>
      <c r="H1090" s="25">
        <v>2018153</v>
      </c>
      <c r="I1090" s="25" t="s">
        <v>19</v>
      </c>
      <c r="J1090" s="25" t="s">
        <v>1634</v>
      </c>
      <c r="K1090" s="25" t="s">
        <v>25</v>
      </c>
      <c r="L1090" s="25">
        <v>64.19</v>
      </c>
      <c r="M1090" s="25">
        <v>1.94</v>
      </c>
      <c r="N1090" s="25">
        <v>24.9</v>
      </c>
      <c r="O1090" s="25">
        <v>420.6</v>
      </c>
      <c r="P1090" s="25">
        <v>511.63260000000002</v>
      </c>
      <c r="Q1090" s="25">
        <f t="shared" si="32"/>
        <v>65261.632599999997</v>
      </c>
      <c r="R1090" s="25">
        <f t="shared" si="33"/>
        <v>0</v>
      </c>
    </row>
    <row r="1091" spans="1:18" hidden="1" x14ac:dyDescent="0.25">
      <c r="A1091" s="26">
        <v>43321</v>
      </c>
      <c r="B1091" s="25" t="s">
        <v>433</v>
      </c>
      <c r="C1091" s="25" t="s">
        <v>17</v>
      </c>
      <c r="D1091" s="25">
        <v>2250</v>
      </c>
      <c r="E1091" s="25">
        <v>19.8</v>
      </c>
      <c r="F1091" s="25">
        <v>44550</v>
      </c>
      <c r="G1091" s="25" t="s">
        <v>552</v>
      </c>
      <c r="H1091" s="25">
        <v>2018153</v>
      </c>
      <c r="I1091" s="25" t="s">
        <v>19</v>
      </c>
      <c r="J1091" s="25" t="s">
        <v>20</v>
      </c>
      <c r="K1091" s="25" t="s">
        <v>25</v>
      </c>
      <c r="L1091" s="25">
        <v>0</v>
      </c>
      <c r="M1091" s="25">
        <v>1.34</v>
      </c>
      <c r="N1091" s="25">
        <v>0</v>
      </c>
      <c r="O1091" s="25">
        <v>29.74</v>
      </c>
      <c r="P1091" s="25">
        <v>31.076499999999999</v>
      </c>
      <c r="Q1091" s="25">
        <f t="shared" ref="Q1091:Q1154" si="34">IF(C1091="Buy",F1091+P1091,0)</f>
        <v>44581.076500000003</v>
      </c>
      <c r="R1091" s="25">
        <f t="shared" ref="R1091:R1154" si="35">IF(C1091="Sell",F1091-P1091,0)</f>
        <v>0</v>
      </c>
    </row>
    <row r="1092" spans="1:18" hidden="1" x14ac:dyDescent="0.25">
      <c r="A1092" s="26">
        <v>43321</v>
      </c>
      <c r="B1092" s="25" t="s">
        <v>16</v>
      </c>
      <c r="C1092" s="25" t="s">
        <v>17</v>
      </c>
      <c r="D1092" s="25">
        <v>1000</v>
      </c>
      <c r="E1092" s="25">
        <v>63.5</v>
      </c>
      <c r="F1092" s="25">
        <v>63500</v>
      </c>
      <c r="G1092" s="25" t="s">
        <v>553</v>
      </c>
      <c r="H1092" s="25">
        <v>2018153</v>
      </c>
      <c r="I1092" s="25" t="s">
        <v>19</v>
      </c>
      <c r="J1092" s="25" t="s">
        <v>1634</v>
      </c>
      <c r="K1092" s="25" t="s">
        <v>25</v>
      </c>
      <c r="L1092" s="25">
        <v>64.13</v>
      </c>
      <c r="M1092" s="25">
        <v>1.91</v>
      </c>
      <c r="N1092" s="25">
        <v>0</v>
      </c>
      <c r="O1092" s="25">
        <v>412.45</v>
      </c>
      <c r="P1092" s="25">
        <v>478.48509999999999</v>
      </c>
      <c r="Q1092" s="25">
        <f t="shared" si="34"/>
        <v>63978.485099999998</v>
      </c>
      <c r="R1092" s="25">
        <f t="shared" si="35"/>
        <v>0</v>
      </c>
    </row>
    <row r="1093" spans="1:18" hidden="1" x14ac:dyDescent="0.25">
      <c r="A1093" s="26">
        <v>43321</v>
      </c>
      <c r="B1093" s="25" t="s">
        <v>433</v>
      </c>
      <c r="C1093" s="25" t="s">
        <v>17</v>
      </c>
      <c r="D1093" s="25">
        <v>5000</v>
      </c>
      <c r="E1093" s="25">
        <v>19.5</v>
      </c>
      <c r="F1093" s="25">
        <v>97500</v>
      </c>
      <c r="G1093" s="25" t="s">
        <v>554</v>
      </c>
      <c r="H1093" s="25">
        <v>2018153</v>
      </c>
      <c r="I1093" s="25" t="s">
        <v>19</v>
      </c>
      <c r="J1093" s="25" t="s">
        <v>20</v>
      </c>
      <c r="K1093" s="25" t="s">
        <v>25</v>
      </c>
      <c r="L1093" s="25">
        <v>0</v>
      </c>
      <c r="M1093" s="25">
        <v>2.93</v>
      </c>
      <c r="N1093" s="25">
        <v>0</v>
      </c>
      <c r="O1093" s="25">
        <v>58.05</v>
      </c>
      <c r="P1093" s="25">
        <v>60.975000000000001</v>
      </c>
      <c r="Q1093" s="25">
        <f t="shared" si="34"/>
        <v>97560.975000000006</v>
      </c>
      <c r="R1093" s="25">
        <f t="shared" si="35"/>
        <v>0</v>
      </c>
    </row>
    <row r="1094" spans="1:18" hidden="1" x14ac:dyDescent="0.25">
      <c r="A1094" s="26">
        <v>43321</v>
      </c>
      <c r="B1094" s="25" t="s">
        <v>433</v>
      </c>
      <c r="C1094" s="25" t="s">
        <v>23</v>
      </c>
      <c r="D1094" s="25">
        <v>5000</v>
      </c>
      <c r="E1094" s="25">
        <v>19.75</v>
      </c>
      <c r="F1094" s="25">
        <v>98750</v>
      </c>
      <c r="G1094" s="25" t="s">
        <v>555</v>
      </c>
      <c r="H1094" s="25">
        <v>2018153</v>
      </c>
      <c r="I1094" s="25" t="s">
        <v>19</v>
      </c>
      <c r="J1094" s="25" t="s">
        <v>20</v>
      </c>
      <c r="K1094" s="25" t="s">
        <v>25</v>
      </c>
      <c r="L1094" s="25">
        <v>24.85</v>
      </c>
      <c r="M1094" s="25">
        <v>2.96</v>
      </c>
      <c r="N1094" s="25">
        <v>0</v>
      </c>
      <c r="O1094" s="25">
        <v>58.8</v>
      </c>
      <c r="P1094" s="25">
        <v>86.612499999999997</v>
      </c>
      <c r="Q1094" s="25">
        <f t="shared" si="34"/>
        <v>0</v>
      </c>
      <c r="R1094" s="25">
        <f t="shared" si="35"/>
        <v>98663.387499999997</v>
      </c>
    </row>
    <row r="1095" spans="1:18" hidden="1" x14ac:dyDescent="0.25">
      <c r="A1095" s="26">
        <v>43321</v>
      </c>
      <c r="B1095" s="25" t="s">
        <v>26</v>
      </c>
      <c r="C1095" s="25" t="s">
        <v>17</v>
      </c>
      <c r="D1095" s="25">
        <v>500</v>
      </c>
      <c r="E1095" s="25">
        <v>107.05</v>
      </c>
      <c r="F1095" s="25">
        <v>53525</v>
      </c>
      <c r="G1095" s="25" t="s">
        <v>556</v>
      </c>
      <c r="H1095" s="25">
        <v>2018153</v>
      </c>
      <c r="I1095" s="25" t="s">
        <v>19</v>
      </c>
      <c r="J1095" s="25" t="s">
        <v>20</v>
      </c>
      <c r="K1095" s="25" t="s">
        <v>25</v>
      </c>
      <c r="L1095" s="25">
        <v>0</v>
      </c>
      <c r="M1095" s="25">
        <v>1.61</v>
      </c>
      <c r="N1095" s="25">
        <v>0</v>
      </c>
      <c r="O1095" s="25">
        <v>31.87</v>
      </c>
      <c r="P1095" s="25">
        <v>33.4758</v>
      </c>
      <c r="Q1095" s="25">
        <f t="shared" si="34"/>
        <v>53558.4758</v>
      </c>
      <c r="R1095" s="25">
        <f t="shared" si="35"/>
        <v>0</v>
      </c>
    </row>
    <row r="1096" spans="1:18" hidden="1" x14ac:dyDescent="0.25">
      <c r="A1096" s="26">
        <v>43321</v>
      </c>
      <c r="B1096" s="25" t="s">
        <v>26</v>
      </c>
      <c r="C1096" s="25" t="s">
        <v>23</v>
      </c>
      <c r="D1096" s="25">
        <v>500</v>
      </c>
      <c r="E1096" s="25">
        <v>107</v>
      </c>
      <c r="F1096" s="25">
        <v>53500</v>
      </c>
      <c r="G1096" s="25" t="s">
        <v>557</v>
      </c>
      <c r="H1096" s="25">
        <v>2018153</v>
      </c>
      <c r="I1096" s="25" t="s">
        <v>19</v>
      </c>
      <c r="J1096" s="25" t="s">
        <v>20</v>
      </c>
      <c r="K1096" s="25" t="s">
        <v>25</v>
      </c>
      <c r="L1096" s="25">
        <v>13.38</v>
      </c>
      <c r="M1096" s="25">
        <v>1.61</v>
      </c>
      <c r="N1096" s="25">
        <v>0</v>
      </c>
      <c r="O1096" s="25">
        <v>31.85</v>
      </c>
      <c r="P1096" s="25">
        <v>46.835000000000001</v>
      </c>
      <c r="Q1096" s="25">
        <f t="shared" si="34"/>
        <v>0</v>
      </c>
      <c r="R1096" s="25">
        <f t="shared" si="35"/>
        <v>53453.165000000001</v>
      </c>
    </row>
    <row r="1097" spans="1:18" hidden="1" x14ac:dyDescent="0.25">
      <c r="A1097" s="26">
        <v>43321</v>
      </c>
      <c r="B1097" s="25" t="s">
        <v>433</v>
      </c>
      <c r="C1097" s="25" t="s">
        <v>17</v>
      </c>
      <c r="D1097" s="25">
        <v>7500</v>
      </c>
      <c r="E1097" s="25">
        <v>20.149999999999999</v>
      </c>
      <c r="F1097" s="25">
        <v>151125</v>
      </c>
      <c r="G1097" s="25" t="s">
        <v>558</v>
      </c>
      <c r="H1097" s="25">
        <v>2018153</v>
      </c>
      <c r="I1097" s="25" t="s">
        <v>19</v>
      </c>
      <c r="J1097" s="25" t="s">
        <v>20</v>
      </c>
      <c r="K1097" s="25" t="s">
        <v>25</v>
      </c>
      <c r="L1097" s="25">
        <v>0</v>
      </c>
      <c r="M1097" s="25">
        <v>4.53</v>
      </c>
      <c r="N1097" s="25">
        <v>0</v>
      </c>
      <c r="O1097" s="25">
        <v>89.98</v>
      </c>
      <c r="P1097" s="25">
        <v>94.513999999999996</v>
      </c>
      <c r="Q1097" s="25">
        <f t="shared" si="34"/>
        <v>151219.514</v>
      </c>
      <c r="R1097" s="25">
        <f t="shared" si="35"/>
        <v>0</v>
      </c>
    </row>
    <row r="1098" spans="1:18" hidden="1" x14ac:dyDescent="0.25">
      <c r="A1098" s="26">
        <v>43321</v>
      </c>
      <c r="B1098" s="25" t="s">
        <v>433</v>
      </c>
      <c r="C1098" s="25" t="s">
        <v>23</v>
      </c>
      <c r="D1098" s="25">
        <v>9750</v>
      </c>
      <c r="E1098" s="25">
        <v>19.95</v>
      </c>
      <c r="F1098" s="25">
        <v>194512.5</v>
      </c>
      <c r="G1098" s="25" t="s">
        <v>559</v>
      </c>
      <c r="H1098" s="25">
        <v>2018153</v>
      </c>
      <c r="I1098" s="25" t="s">
        <v>19</v>
      </c>
      <c r="J1098" s="25" t="s">
        <v>20</v>
      </c>
      <c r="K1098" s="25" t="s">
        <v>25</v>
      </c>
      <c r="L1098" s="25">
        <v>48.46</v>
      </c>
      <c r="M1098" s="25">
        <v>5.84</v>
      </c>
      <c r="N1098" s="25">
        <v>0</v>
      </c>
      <c r="O1098" s="25">
        <v>115.82</v>
      </c>
      <c r="P1098" s="25">
        <v>170.1155</v>
      </c>
      <c r="Q1098" s="25">
        <f t="shared" si="34"/>
        <v>0</v>
      </c>
      <c r="R1098" s="25">
        <f t="shared" si="35"/>
        <v>194342.38449999999</v>
      </c>
    </row>
    <row r="1099" spans="1:18" hidden="1" x14ac:dyDescent="0.25">
      <c r="A1099" s="26">
        <v>43320</v>
      </c>
      <c r="B1099" s="25" t="s">
        <v>26</v>
      </c>
      <c r="C1099" s="25" t="s">
        <v>17</v>
      </c>
      <c r="D1099" s="25">
        <v>679</v>
      </c>
      <c r="E1099" s="25">
        <v>106</v>
      </c>
      <c r="F1099" s="25">
        <v>71974</v>
      </c>
      <c r="G1099" s="25" t="s">
        <v>560</v>
      </c>
      <c r="H1099" s="25">
        <v>2018152</v>
      </c>
      <c r="I1099" s="25" t="s">
        <v>19</v>
      </c>
      <c r="J1099" s="25" t="s">
        <v>20</v>
      </c>
      <c r="K1099" s="25" t="s">
        <v>25</v>
      </c>
      <c r="L1099" s="25">
        <v>0</v>
      </c>
      <c r="M1099" s="25">
        <v>2.16</v>
      </c>
      <c r="N1099" s="25">
        <v>0</v>
      </c>
      <c r="O1099" s="25">
        <v>42.85</v>
      </c>
      <c r="P1099" s="25">
        <v>45.009300000000003</v>
      </c>
      <c r="Q1099" s="25">
        <f t="shared" si="34"/>
        <v>72019.009300000005</v>
      </c>
      <c r="R1099" s="25">
        <f t="shared" si="35"/>
        <v>0</v>
      </c>
    </row>
    <row r="1100" spans="1:18" hidden="1" x14ac:dyDescent="0.25">
      <c r="A1100" s="26">
        <v>43320</v>
      </c>
      <c r="B1100" s="25" t="s">
        <v>26</v>
      </c>
      <c r="C1100" s="25" t="s">
        <v>23</v>
      </c>
      <c r="D1100" s="25">
        <v>679</v>
      </c>
      <c r="E1100" s="25">
        <v>106.32</v>
      </c>
      <c r="F1100" s="25">
        <v>72192.149999999994</v>
      </c>
      <c r="G1100" s="25" t="s">
        <v>561</v>
      </c>
      <c r="H1100" s="25">
        <v>2018152</v>
      </c>
      <c r="I1100" s="25" t="s">
        <v>19</v>
      </c>
      <c r="J1100" s="25" t="s">
        <v>20</v>
      </c>
      <c r="K1100" s="25" t="s">
        <v>25</v>
      </c>
      <c r="L1100" s="25">
        <v>18.09</v>
      </c>
      <c r="M1100" s="25">
        <v>2.17</v>
      </c>
      <c r="N1100" s="25">
        <v>0</v>
      </c>
      <c r="O1100" s="25">
        <v>43</v>
      </c>
      <c r="P1100" s="25">
        <v>63.255800000000001</v>
      </c>
      <c r="Q1100" s="25">
        <f t="shared" si="34"/>
        <v>0</v>
      </c>
      <c r="R1100" s="25">
        <f t="shared" si="35"/>
        <v>72128.894199999995</v>
      </c>
    </row>
    <row r="1101" spans="1:18" hidden="1" x14ac:dyDescent="0.25">
      <c r="A1101" s="26">
        <v>43320</v>
      </c>
      <c r="B1101" s="25" t="s">
        <v>16</v>
      </c>
      <c r="C1101" s="25" t="s">
        <v>17</v>
      </c>
      <c r="D1101" s="25">
        <v>2500</v>
      </c>
      <c r="E1101" s="25">
        <v>65</v>
      </c>
      <c r="F1101" s="25">
        <v>162500</v>
      </c>
      <c r="G1101" s="25" t="s">
        <v>562</v>
      </c>
      <c r="H1101" s="25">
        <v>2018152</v>
      </c>
      <c r="I1101" s="25" t="s">
        <v>19</v>
      </c>
      <c r="J1101" s="25" t="s">
        <v>20</v>
      </c>
      <c r="K1101" s="25" t="s">
        <v>25</v>
      </c>
      <c r="L1101" s="25">
        <v>0</v>
      </c>
      <c r="M1101" s="25">
        <v>4.88</v>
      </c>
      <c r="N1101" s="25">
        <v>14.4</v>
      </c>
      <c r="O1101" s="25">
        <v>96.72</v>
      </c>
      <c r="P1101" s="25">
        <v>115.9961</v>
      </c>
      <c r="Q1101" s="25">
        <f t="shared" si="34"/>
        <v>162615.99609999999</v>
      </c>
      <c r="R1101" s="25">
        <f t="shared" si="35"/>
        <v>0</v>
      </c>
    </row>
    <row r="1102" spans="1:18" hidden="1" x14ac:dyDescent="0.25">
      <c r="A1102" s="26">
        <v>43320</v>
      </c>
      <c r="B1102" s="25" t="s">
        <v>16</v>
      </c>
      <c r="C1102" s="25" t="s">
        <v>23</v>
      </c>
      <c r="D1102" s="25">
        <v>2500</v>
      </c>
      <c r="E1102" s="25">
        <v>65.900000000000006</v>
      </c>
      <c r="F1102" s="25">
        <v>164750</v>
      </c>
      <c r="G1102" s="25" t="s">
        <v>563</v>
      </c>
      <c r="H1102" s="25">
        <v>2018152</v>
      </c>
      <c r="I1102" s="25" t="s">
        <v>19</v>
      </c>
      <c r="J1102" s="25" t="s">
        <v>20</v>
      </c>
      <c r="K1102" s="25" t="s">
        <v>25</v>
      </c>
      <c r="L1102" s="25">
        <v>40.909999999999997</v>
      </c>
      <c r="M1102" s="25">
        <v>4.9400000000000004</v>
      </c>
      <c r="N1102" s="25">
        <v>0</v>
      </c>
      <c r="O1102" s="25">
        <v>98.09</v>
      </c>
      <c r="P1102" s="25">
        <v>143.9425</v>
      </c>
      <c r="Q1102" s="25">
        <f t="shared" si="34"/>
        <v>0</v>
      </c>
      <c r="R1102" s="25">
        <f t="shared" si="35"/>
        <v>164606.0575</v>
      </c>
    </row>
    <row r="1103" spans="1:18" hidden="1" x14ac:dyDescent="0.25">
      <c r="A1103" s="26">
        <v>43319</v>
      </c>
      <c r="B1103" s="25" t="s">
        <v>433</v>
      </c>
      <c r="C1103" s="25" t="s">
        <v>17</v>
      </c>
      <c r="D1103" s="25">
        <v>2750</v>
      </c>
      <c r="E1103" s="25">
        <v>16.5</v>
      </c>
      <c r="F1103" s="25">
        <v>45375</v>
      </c>
      <c r="G1103" s="25" t="s">
        <v>564</v>
      </c>
      <c r="H1103" s="25">
        <v>2018151</v>
      </c>
      <c r="I1103" s="25" t="s">
        <v>19</v>
      </c>
      <c r="J1103" s="25" t="s">
        <v>20</v>
      </c>
      <c r="K1103" s="25" t="s">
        <v>25</v>
      </c>
      <c r="L1103" s="25">
        <v>0</v>
      </c>
      <c r="M1103" s="25">
        <v>1.36</v>
      </c>
      <c r="N1103" s="25">
        <v>0</v>
      </c>
      <c r="O1103" s="25">
        <v>29.75</v>
      </c>
      <c r="P1103" s="25">
        <v>31.1113</v>
      </c>
      <c r="Q1103" s="25">
        <f t="shared" si="34"/>
        <v>45406.111299999997</v>
      </c>
      <c r="R1103" s="25">
        <f t="shared" si="35"/>
        <v>0</v>
      </c>
    </row>
    <row r="1104" spans="1:18" hidden="1" x14ac:dyDescent="0.25">
      <c r="A1104" s="26">
        <v>43319</v>
      </c>
      <c r="B1104" s="25" t="s">
        <v>433</v>
      </c>
      <c r="C1104" s="25" t="s">
        <v>17</v>
      </c>
      <c r="D1104" s="25">
        <v>2500</v>
      </c>
      <c r="E1104" s="25">
        <v>16.7</v>
      </c>
      <c r="F1104" s="25">
        <v>41750</v>
      </c>
      <c r="G1104" s="25" t="s">
        <v>565</v>
      </c>
      <c r="H1104" s="25">
        <v>2018151</v>
      </c>
      <c r="I1104" s="25" t="s">
        <v>19</v>
      </c>
      <c r="J1104" s="25" t="s">
        <v>20</v>
      </c>
      <c r="K1104" s="25" t="s">
        <v>25</v>
      </c>
      <c r="L1104" s="25">
        <v>0</v>
      </c>
      <c r="M1104" s="25">
        <v>1.25</v>
      </c>
      <c r="N1104" s="25">
        <v>0</v>
      </c>
      <c r="O1104" s="25">
        <v>29.73</v>
      </c>
      <c r="P1104" s="25">
        <v>30.982500000000002</v>
      </c>
      <c r="Q1104" s="25">
        <f t="shared" si="34"/>
        <v>41780.982499999998</v>
      </c>
      <c r="R1104" s="25">
        <f t="shared" si="35"/>
        <v>0</v>
      </c>
    </row>
    <row r="1105" spans="1:18" hidden="1" x14ac:dyDescent="0.25">
      <c r="A1105" s="26">
        <v>43319</v>
      </c>
      <c r="B1105" s="25" t="s">
        <v>282</v>
      </c>
      <c r="C1105" s="25" t="s">
        <v>17</v>
      </c>
      <c r="D1105" s="25">
        <v>250</v>
      </c>
      <c r="E1105" s="25">
        <v>575.45000000000005</v>
      </c>
      <c r="F1105" s="25">
        <v>143862.5</v>
      </c>
      <c r="G1105" s="25" t="s">
        <v>566</v>
      </c>
      <c r="H1105" s="25">
        <v>2018151</v>
      </c>
      <c r="I1105" s="25" t="s">
        <v>19</v>
      </c>
      <c r="J1105" s="25" t="s">
        <v>20</v>
      </c>
      <c r="K1105" s="25" t="s">
        <v>25</v>
      </c>
      <c r="L1105" s="25">
        <v>0</v>
      </c>
      <c r="M1105" s="25">
        <v>4.32</v>
      </c>
      <c r="N1105" s="25">
        <v>0</v>
      </c>
      <c r="O1105" s="25">
        <v>85.66</v>
      </c>
      <c r="P1105" s="25">
        <v>89.975899999999996</v>
      </c>
      <c r="Q1105" s="25">
        <f t="shared" si="34"/>
        <v>143952.47589999999</v>
      </c>
      <c r="R1105" s="25">
        <f t="shared" si="35"/>
        <v>0</v>
      </c>
    </row>
    <row r="1106" spans="1:18" hidden="1" x14ac:dyDescent="0.25">
      <c r="A1106" s="26">
        <v>43319</v>
      </c>
      <c r="B1106" s="25" t="s">
        <v>282</v>
      </c>
      <c r="C1106" s="25" t="s">
        <v>23</v>
      </c>
      <c r="D1106" s="25">
        <v>250</v>
      </c>
      <c r="E1106" s="25">
        <v>573.45000000000005</v>
      </c>
      <c r="F1106" s="25">
        <v>143362.5</v>
      </c>
      <c r="G1106" s="25" t="s">
        <v>567</v>
      </c>
      <c r="H1106" s="25">
        <v>2018151</v>
      </c>
      <c r="I1106" s="25" t="s">
        <v>19</v>
      </c>
      <c r="J1106" s="25" t="s">
        <v>20</v>
      </c>
      <c r="K1106" s="25" t="s">
        <v>25</v>
      </c>
      <c r="L1106" s="25">
        <v>36.29</v>
      </c>
      <c r="M1106" s="25">
        <v>4.3</v>
      </c>
      <c r="N1106" s="25">
        <v>15</v>
      </c>
      <c r="O1106" s="25">
        <v>85.36</v>
      </c>
      <c r="P1106" s="25">
        <v>140.95079999999999</v>
      </c>
      <c r="Q1106" s="25">
        <f t="shared" si="34"/>
        <v>0</v>
      </c>
      <c r="R1106" s="25">
        <f t="shared" si="35"/>
        <v>143221.54920000001</v>
      </c>
    </row>
    <row r="1107" spans="1:18" hidden="1" x14ac:dyDescent="0.25">
      <c r="A1107" s="26">
        <v>43319</v>
      </c>
      <c r="B1107" s="25" t="s">
        <v>433</v>
      </c>
      <c r="C1107" s="25" t="s">
        <v>23</v>
      </c>
      <c r="D1107" s="25">
        <v>5250</v>
      </c>
      <c r="E1107" s="25">
        <v>17.05</v>
      </c>
      <c r="F1107" s="25">
        <v>89512.5</v>
      </c>
      <c r="G1107" s="25" t="s">
        <v>568</v>
      </c>
      <c r="H1107" s="25">
        <v>2018151</v>
      </c>
      <c r="I1107" s="25" t="s">
        <v>19</v>
      </c>
      <c r="J1107" s="25" t="s">
        <v>20</v>
      </c>
      <c r="K1107" s="25" t="s">
        <v>25</v>
      </c>
      <c r="L1107" s="25">
        <v>22.07</v>
      </c>
      <c r="M1107" s="25">
        <v>2.69</v>
      </c>
      <c r="N1107" s="25">
        <v>0</v>
      </c>
      <c r="O1107" s="25">
        <v>53.3</v>
      </c>
      <c r="P1107" s="25">
        <v>78.055400000000006</v>
      </c>
      <c r="Q1107" s="25">
        <f t="shared" si="34"/>
        <v>0</v>
      </c>
      <c r="R1107" s="25">
        <f t="shared" si="35"/>
        <v>89434.444600000003</v>
      </c>
    </row>
    <row r="1108" spans="1:18" hidden="1" x14ac:dyDescent="0.25">
      <c r="A1108" s="26">
        <v>43319</v>
      </c>
      <c r="B1108" s="25" t="s">
        <v>433</v>
      </c>
      <c r="C1108" s="25" t="s">
        <v>23</v>
      </c>
      <c r="D1108" s="25">
        <v>2000</v>
      </c>
      <c r="E1108" s="25">
        <v>16.8</v>
      </c>
      <c r="F1108" s="25">
        <v>33600</v>
      </c>
      <c r="G1108" s="25" t="s">
        <v>569</v>
      </c>
      <c r="H1108" s="25">
        <v>2018151</v>
      </c>
      <c r="I1108" s="25" t="s">
        <v>19</v>
      </c>
      <c r="J1108" s="25" t="s">
        <v>1634</v>
      </c>
      <c r="K1108" s="25" t="s">
        <v>25</v>
      </c>
      <c r="L1108" s="25">
        <v>33.64</v>
      </c>
      <c r="M1108" s="25">
        <v>1.01</v>
      </c>
      <c r="N1108" s="25">
        <v>0</v>
      </c>
      <c r="O1108" s="25">
        <v>218.25</v>
      </c>
      <c r="P1108" s="25">
        <v>252.898</v>
      </c>
      <c r="Q1108" s="25">
        <f t="shared" si="34"/>
        <v>0</v>
      </c>
      <c r="R1108" s="25">
        <f t="shared" si="35"/>
        <v>33347.101999999999</v>
      </c>
    </row>
    <row r="1109" spans="1:18" hidden="1" x14ac:dyDescent="0.25">
      <c r="A1109" s="26">
        <v>43318</v>
      </c>
      <c r="B1109" s="25" t="s">
        <v>26</v>
      </c>
      <c r="C1109" s="25" t="s">
        <v>17</v>
      </c>
      <c r="D1109" s="25">
        <v>100</v>
      </c>
      <c r="E1109" s="25">
        <v>109.75</v>
      </c>
      <c r="F1109" s="25">
        <v>10974.55</v>
      </c>
      <c r="G1109" s="25" t="s">
        <v>570</v>
      </c>
      <c r="H1109" s="25">
        <v>2018150</v>
      </c>
      <c r="I1109" s="25" t="s">
        <v>19</v>
      </c>
      <c r="J1109" s="25" t="s">
        <v>1634</v>
      </c>
      <c r="K1109" s="25" t="s">
        <v>25</v>
      </c>
      <c r="L1109" s="25">
        <v>10.68</v>
      </c>
      <c r="M1109" s="25">
        <v>0.33</v>
      </c>
      <c r="N1109" s="25">
        <v>4.5</v>
      </c>
      <c r="O1109" s="25">
        <v>71.28</v>
      </c>
      <c r="P1109" s="25">
        <v>86.789199999999994</v>
      </c>
      <c r="Q1109" s="25">
        <f t="shared" si="34"/>
        <v>11061.339199999999</v>
      </c>
      <c r="R1109" s="25">
        <f t="shared" si="35"/>
        <v>0</v>
      </c>
    </row>
    <row r="1110" spans="1:18" hidden="1" x14ac:dyDescent="0.25">
      <c r="A1110" s="26">
        <v>43318</v>
      </c>
      <c r="B1110" s="25" t="s">
        <v>433</v>
      </c>
      <c r="C1110" s="25" t="s">
        <v>17</v>
      </c>
      <c r="D1110" s="25">
        <v>2500</v>
      </c>
      <c r="E1110" s="25">
        <v>16.149999999999999</v>
      </c>
      <c r="F1110" s="25">
        <v>40375</v>
      </c>
      <c r="G1110" s="25" t="s">
        <v>571</v>
      </c>
      <c r="H1110" s="25">
        <v>2018150</v>
      </c>
      <c r="I1110" s="25" t="s">
        <v>19</v>
      </c>
      <c r="J1110" s="25" t="s">
        <v>1634</v>
      </c>
      <c r="K1110" s="25" t="s">
        <v>25</v>
      </c>
      <c r="L1110" s="25">
        <v>0</v>
      </c>
      <c r="M1110" s="25">
        <v>1.21</v>
      </c>
      <c r="N1110" s="25">
        <v>0</v>
      </c>
      <c r="O1110" s="25">
        <v>29.72</v>
      </c>
      <c r="P1110" s="25">
        <v>30.9313</v>
      </c>
      <c r="Q1110" s="25">
        <f t="shared" si="34"/>
        <v>40405.931299999997</v>
      </c>
      <c r="R1110" s="25">
        <f t="shared" si="35"/>
        <v>0</v>
      </c>
    </row>
    <row r="1111" spans="1:18" hidden="1" x14ac:dyDescent="0.25">
      <c r="A1111" s="26">
        <v>43318</v>
      </c>
      <c r="B1111" s="25" t="s">
        <v>26</v>
      </c>
      <c r="C1111" s="25" t="s">
        <v>17</v>
      </c>
      <c r="D1111" s="25">
        <v>150</v>
      </c>
      <c r="E1111" s="25">
        <v>109</v>
      </c>
      <c r="F1111" s="25">
        <v>16350</v>
      </c>
      <c r="G1111" s="25" t="s">
        <v>572</v>
      </c>
      <c r="H1111" s="25">
        <v>2018150</v>
      </c>
      <c r="I1111" s="25" t="s">
        <v>19</v>
      </c>
      <c r="J1111" s="25" t="s">
        <v>1634</v>
      </c>
      <c r="K1111" s="25" t="s">
        <v>25</v>
      </c>
      <c r="L1111" s="25">
        <v>16.39</v>
      </c>
      <c r="M1111" s="25">
        <v>0.49</v>
      </c>
      <c r="N1111" s="25">
        <v>0</v>
      </c>
      <c r="O1111" s="25">
        <v>106.2</v>
      </c>
      <c r="P1111" s="25">
        <v>123.0805</v>
      </c>
      <c r="Q1111" s="25">
        <f t="shared" si="34"/>
        <v>16473.0805</v>
      </c>
      <c r="R1111" s="25">
        <f t="shared" si="35"/>
        <v>0</v>
      </c>
    </row>
    <row r="1112" spans="1:18" hidden="1" x14ac:dyDescent="0.25">
      <c r="A1112" s="26">
        <v>43318</v>
      </c>
      <c r="B1112" s="25" t="s">
        <v>433</v>
      </c>
      <c r="C1112" s="25" t="s">
        <v>23</v>
      </c>
      <c r="D1112" s="25">
        <v>2500</v>
      </c>
      <c r="E1112" s="25">
        <v>16.399999999999999</v>
      </c>
      <c r="F1112" s="25">
        <v>41000</v>
      </c>
      <c r="G1112" s="25" t="s">
        <v>573</v>
      </c>
      <c r="H1112" s="25">
        <v>2018150</v>
      </c>
      <c r="I1112" s="25" t="s">
        <v>19</v>
      </c>
      <c r="J1112" s="25" t="s">
        <v>1634</v>
      </c>
      <c r="K1112" s="25" t="s">
        <v>25</v>
      </c>
      <c r="L1112" s="25">
        <v>10.220000000000001</v>
      </c>
      <c r="M1112" s="25">
        <v>1.23</v>
      </c>
      <c r="N1112" s="25">
        <v>0</v>
      </c>
      <c r="O1112" s="25">
        <v>29.72</v>
      </c>
      <c r="P1112" s="25">
        <v>41.17</v>
      </c>
      <c r="Q1112" s="25">
        <f t="shared" si="34"/>
        <v>0</v>
      </c>
      <c r="R1112" s="25">
        <f t="shared" si="35"/>
        <v>40958.83</v>
      </c>
    </row>
    <row r="1113" spans="1:18" hidden="1" x14ac:dyDescent="0.25">
      <c r="A1113" s="26">
        <v>43318</v>
      </c>
      <c r="B1113" s="25" t="s">
        <v>433</v>
      </c>
      <c r="C1113" s="25" t="s">
        <v>17</v>
      </c>
      <c r="D1113" s="25">
        <v>2000</v>
      </c>
      <c r="E1113" s="25">
        <v>16.55</v>
      </c>
      <c r="F1113" s="25">
        <v>33100</v>
      </c>
      <c r="G1113" s="25" t="s">
        <v>574</v>
      </c>
      <c r="H1113" s="25">
        <v>2018150</v>
      </c>
      <c r="I1113" s="25" t="s">
        <v>19</v>
      </c>
      <c r="J1113" s="25" t="s">
        <v>1634</v>
      </c>
      <c r="K1113" s="25" t="s">
        <v>25</v>
      </c>
      <c r="L1113" s="25">
        <v>32.71</v>
      </c>
      <c r="M1113" s="25">
        <v>0.99</v>
      </c>
      <c r="N1113" s="25">
        <v>0</v>
      </c>
      <c r="O1113" s="25">
        <v>215</v>
      </c>
      <c r="P1113" s="25">
        <v>248.70310000000001</v>
      </c>
      <c r="Q1113" s="25">
        <f t="shared" si="34"/>
        <v>33348.703099999999</v>
      </c>
      <c r="R1113" s="25">
        <f t="shared" si="35"/>
        <v>0</v>
      </c>
    </row>
    <row r="1114" spans="1:18" hidden="1" x14ac:dyDescent="0.25">
      <c r="A1114" s="26">
        <v>43315</v>
      </c>
      <c r="B1114" s="25" t="s">
        <v>575</v>
      </c>
      <c r="C1114" s="25" t="s">
        <v>17</v>
      </c>
      <c r="D1114" s="25">
        <v>1100</v>
      </c>
      <c r="E1114" s="25">
        <v>62.25</v>
      </c>
      <c r="F1114" s="25">
        <v>68475</v>
      </c>
      <c r="G1114" s="25" t="s">
        <v>576</v>
      </c>
      <c r="H1114" s="25">
        <v>2018149</v>
      </c>
      <c r="I1114" s="25" t="s">
        <v>19</v>
      </c>
      <c r="J1114" s="25" t="s">
        <v>20</v>
      </c>
      <c r="K1114" s="25" t="s">
        <v>25</v>
      </c>
      <c r="L1114" s="25">
        <v>0</v>
      </c>
      <c r="M1114" s="25">
        <v>2.0499999999999998</v>
      </c>
      <c r="N1114" s="25">
        <v>7.8</v>
      </c>
      <c r="O1114" s="25">
        <v>40.78</v>
      </c>
      <c r="P1114" s="25">
        <v>50.6342</v>
      </c>
      <c r="Q1114" s="25">
        <f t="shared" si="34"/>
        <v>68525.6342</v>
      </c>
      <c r="R1114" s="25">
        <f t="shared" si="35"/>
        <v>0</v>
      </c>
    </row>
    <row r="1115" spans="1:18" hidden="1" x14ac:dyDescent="0.25">
      <c r="A1115" s="26">
        <v>43315</v>
      </c>
      <c r="B1115" s="25" t="s">
        <v>575</v>
      </c>
      <c r="C1115" s="25" t="s">
        <v>23</v>
      </c>
      <c r="D1115" s="25">
        <v>1100</v>
      </c>
      <c r="E1115" s="25">
        <v>62.4</v>
      </c>
      <c r="F1115" s="25">
        <v>68640</v>
      </c>
      <c r="G1115" s="25" t="s">
        <v>577</v>
      </c>
      <c r="H1115" s="25">
        <v>2018149</v>
      </c>
      <c r="I1115" s="25" t="s">
        <v>19</v>
      </c>
      <c r="J1115" s="25" t="s">
        <v>20</v>
      </c>
      <c r="K1115" s="25" t="s">
        <v>25</v>
      </c>
      <c r="L1115" s="25">
        <v>17.14</v>
      </c>
      <c r="M1115" s="25">
        <v>2.06</v>
      </c>
      <c r="N1115" s="25">
        <v>0</v>
      </c>
      <c r="O1115" s="25">
        <v>40.869999999999997</v>
      </c>
      <c r="P1115" s="25">
        <v>60.069200000000002</v>
      </c>
      <c r="Q1115" s="25">
        <f t="shared" si="34"/>
        <v>0</v>
      </c>
      <c r="R1115" s="25">
        <f t="shared" si="35"/>
        <v>68579.930800000002</v>
      </c>
    </row>
    <row r="1116" spans="1:18" hidden="1" x14ac:dyDescent="0.25">
      <c r="A1116" s="26">
        <v>43315</v>
      </c>
      <c r="B1116" s="25" t="s">
        <v>433</v>
      </c>
      <c r="C1116" s="25" t="s">
        <v>23</v>
      </c>
      <c r="D1116" s="25">
        <v>6000</v>
      </c>
      <c r="E1116" s="25">
        <v>16</v>
      </c>
      <c r="F1116" s="25">
        <v>96000</v>
      </c>
      <c r="G1116" s="25" t="s">
        <v>578</v>
      </c>
      <c r="H1116" s="25">
        <v>2018149</v>
      </c>
      <c r="I1116" s="25" t="s">
        <v>19</v>
      </c>
      <c r="J1116" s="25" t="s">
        <v>20</v>
      </c>
      <c r="K1116" s="25" t="s">
        <v>25</v>
      </c>
      <c r="L1116" s="25">
        <v>92.95</v>
      </c>
      <c r="M1116" s="25">
        <v>2.88</v>
      </c>
      <c r="N1116" s="25">
        <v>0</v>
      </c>
      <c r="O1116" s="25">
        <v>623.54999999999995</v>
      </c>
      <c r="P1116" s="25">
        <v>719.38</v>
      </c>
      <c r="Q1116" s="25">
        <f t="shared" si="34"/>
        <v>0</v>
      </c>
      <c r="R1116" s="25">
        <f t="shared" si="35"/>
        <v>95280.62</v>
      </c>
    </row>
    <row r="1117" spans="1:18" hidden="1" x14ac:dyDescent="0.25">
      <c r="A1117" s="26">
        <v>43315</v>
      </c>
      <c r="B1117" s="25" t="s">
        <v>179</v>
      </c>
      <c r="C1117" s="25" t="s">
        <v>17</v>
      </c>
      <c r="D1117" s="25">
        <v>150</v>
      </c>
      <c r="E1117" s="25">
        <v>60.19</v>
      </c>
      <c r="F1117" s="25">
        <v>9029.0499999999993</v>
      </c>
      <c r="G1117" s="25" t="s">
        <v>579</v>
      </c>
      <c r="H1117" s="25">
        <v>2018149</v>
      </c>
      <c r="I1117" s="25" t="s">
        <v>19</v>
      </c>
      <c r="J1117" s="25" t="s">
        <v>20</v>
      </c>
      <c r="K1117" s="25" t="s">
        <v>25</v>
      </c>
      <c r="L1117" s="25">
        <v>9.0299999999999994</v>
      </c>
      <c r="M1117" s="25">
        <v>0.27</v>
      </c>
      <c r="N1117" s="25">
        <v>0</v>
      </c>
      <c r="O1117" s="25">
        <v>58.64</v>
      </c>
      <c r="P1117" s="25">
        <v>67.940899999999999</v>
      </c>
      <c r="Q1117" s="25">
        <f t="shared" si="34"/>
        <v>9096.9908999999989</v>
      </c>
      <c r="R1117" s="25">
        <f t="shared" si="35"/>
        <v>0</v>
      </c>
    </row>
    <row r="1118" spans="1:18" hidden="1" x14ac:dyDescent="0.25">
      <c r="A1118" s="26">
        <v>43315</v>
      </c>
      <c r="B1118" s="25" t="s">
        <v>190</v>
      </c>
      <c r="C1118" s="25" t="s">
        <v>17</v>
      </c>
      <c r="D1118" s="25">
        <v>1000</v>
      </c>
      <c r="E1118" s="25">
        <v>6</v>
      </c>
      <c r="F1118" s="25">
        <v>6000</v>
      </c>
      <c r="G1118" s="25" t="s">
        <v>580</v>
      </c>
      <c r="H1118" s="25">
        <v>2018149</v>
      </c>
      <c r="I1118" s="25" t="s">
        <v>19</v>
      </c>
      <c r="J1118" s="25" t="s">
        <v>20</v>
      </c>
      <c r="K1118" s="25" t="s">
        <v>25</v>
      </c>
      <c r="L1118" s="25">
        <v>5.88</v>
      </c>
      <c r="M1118" s="25">
        <v>0.18</v>
      </c>
      <c r="N1118" s="25">
        <v>0</v>
      </c>
      <c r="O1118" s="25">
        <v>59.03</v>
      </c>
      <c r="P1118" s="25">
        <v>65.09</v>
      </c>
      <c r="Q1118" s="25">
        <f t="shared" si="34"/>
        <v>6065.09</v>
      </c>
      <c r="R1118" s="25">
        <f t="shared" si="35"/>
        <v>0</v>
      </c>
    </row>
    <row r="1119" spans="1:18" hidden="1" x14ac:dyDescent="0.25">
      <c r="A1119" s="26">
        <v>43315</v>
      </c>
      <c r="B1119" s="25" t="s">
        <v>433</v>
      </c>
      <c r="C1119" s="25" t="s">
        <v>17</v>
      </c>
      <c r="D1119" s="25">
        <v>250</v>
      </c>
      <c r="E1119" s="25">
        <v>15.8</v>
      </c>
      <c r="F1119" s="25">
        <v>3950</v>
      </c>
      <c r="G1119" s="25" t="s">
        <v>581</v>
      </c>
      <c r="H1119" s="25">
        <v>2018149</v>
      </c>
      <c r="I1119" s="25" t="s">
        <v>19</v>
      </c>
      <c r="J1119" s="25" t="s">
        <v>20</v>
      </c>
      <c r="K1119" s="25" t="s">
        <v>25</v>
      </c>
      <c r="L1119" s="25">
        <v>0</v>
      </c>
      <c r="M1119" s="25">
        <v>0.12</v>
      </c>
      <c r="N1119" s="25">
        <v>0</v>
      </c>
      <c r="O1119" s="25">
        <v>0.02</v>
      </c>
      <c r="P1119" s="25">
        <v>0.13850000000000001</v>
      </c>
      <c r="Q1119" s="25">
        <f t="shared" si="34"/>
        <v>3950.1385</v>
      </c>
      <c r="R1119" s="25">
        <f t="shared" si="35"/>
        <v>0</v>
      </c>
    </row>
    <row r="1120" spans="1:18" hidden="1" x14ac:dyDescent="0.25">
      <c r="A1120" s="26">
        <v>43314</v>
      </c>
      <c r="B1120" s="25" t="s">
        <v>433</v>
      </c>
      <c r="C1120" s="25" t="s">
        <v>17</v>
      </c>
      <c r="D1120" s="25">
        <v>5000</v>
      </c>
      <c r="E1120" s="25">
        <v>14.7</v>
      </c>
      <c r="F1120" s="25">
        <v>73500</v>
      </c>
      <c r="G1120" s="25" t="s">
        <v>582</v>
      </c>
      <c r="H1120" s="25">
        <v>2018148</v>
      </c>
      <c r="I1120" s="25" t="s">
        <v>19</v>
      </c>
      <c r="J1120" s="25" t="s">
        <v>20</v>
      </c>
      <c r="K1120" s="25" t="s">
        <v>25</v>
      </c>
      <c r="L1120" s="25">
        <v>0</v>
      </c>
      <c r="M1120" s="25">
        <v>2.21</v>
      </c>
      <c r="N1120" s="25">
        <v>0</v>
      </c>
      <c r="O1120" s="25">
        <v>43.77</v>
      </c>
      <c r="P1120" s="25">
        <v>45.975099999999998</v>
      </c>
      <c r="Q1120" s="25">
        <f t="shared" si="34"/>
        <v>73545.975099999996</v>
      </c>
      <c r="R1120" s="25">
        <f t="shared" si="35"/>
        <v>0</v>
      </c>
    </row>
    <row r="1121" spans="1:18" hidden="1" x14ac:dyDescent="0.25">
      <c r="A1121" s="26">
        <v>43314</v>
      </c>
      <c r="B1121" s="25" t="s">
        <v>433</v>
      </c>
      <c r="C1121" s="25" t="s">
        <v>23</v>
      </c>
      <c r="D1121" s="25">
        <v>5000</v>
      </c>
      <c r="E1121" s="25">
        <v>14.75</v>
      </c>
      <c r="F1121" s="25">
        <v>73750</v>
      </c>
      <c r="G1121" s="25" t="s">
        <v>583</v>
      </c>
      <c r="H1121" s="25">
        <v>2018148</v>
      </c>
      <c r="I1121" s="25" t="s">
        <v>19</v>
      </c>
      <c r="J1121" s="25" t="s">
        <v>20</v>
      </c>
      <c r="K1121" s="25" t="s">
        <v>25</v>
      </c>
      <c r="L1121" s="25">
        <v>18</v>
      </c>
      <c r="M1121" s="25">
        <v>2.21</v>
      </c>
      <c r="N1121" s="25">
        <v>4.5</v>
      </c>
      <c r="O1121" s="25">
        <v>43.91</v>
      </c>
      <c r="P1121" s="25">
        <v>68.622500000000002</v>
      </c>
      <c r="Q1121" s="25">
        <f t="shared" si="34"/>
        <v>0</v>
      </c>
      <c r="R1121" s="25">
        <f t="shared" si="35"/>
        <v>73681.377500000002</v>
      </c>
    </row>
    <row r="1122" spans="1:18" hidden="1" x14ac:dyDescent="0.25">
      <c r="A1122" s="26">
        <v>43313</v>
      </c>
      <c r="B1122" s="25" t="s">
        <v>26</v>
      </c>
      <c r="C1122" s="25" t="s">
        <v>17</v>
      </c>
      <c r="D1122" s="25">
        <v>1100</v>
      </c>
      <c r="E1122" s="25">
        <v>117</v>
      </c>
      <c r="F1122" s="25">
        <v>128700</v>
      </c>
      <c r="G1122" s="25" t="s">
        <v>584</v>
      </c>
      <c r="H1122" s="25">
        <v>2018147</v>
      </c>
      <c r="I1122" s="25" t="s">
        <v>19</v>
      </c>
      <c r="J1122" s="25" t="s">
        <v>20</v>
      </c>
      <c r="K1122" s="25" t="s">
        <v>25</v>
      </c>
      <c r="L1122" s="25">
        <v>0</v>
      </c>
      <c r="M1122" s="25">
        <v>3.86</v>
      </c>
      <c r="N1122" s="25">
        <v>15.6</v>
      </c>
      <c r="O1122" s="25">
        <v>76.63</v>
      </c>
      <c r="P1122" s="25">
        <v>96.090999999999994</v>
      </c>
      <c r="Q1122" s="25">
        <f t="shared" si="34"/>
        <v>128796.091</v>
      </c>
      <c r="R1122" s="25">
        <f t="shared" si="35"/>
        <v>0</v>
      </c>
    </row>
    <row r="1123" spans="1:18" hidden="1" x14ac:dyDescent="0.25">
      <c r="A1123" s="26">
        <v>43313</v>
      </c>
      <c r="B1123" s="25" t="s">
        <v>26</v>
      </c>
      <c r="C1123" s="25" t="s">
        <v>23</v>
      </c>
      <c r="D1123" s="25">
        <v>1100</v>
      </c>
      <c r="E1123" s="25">
        <v>113.39</v>
      </c>
      <c r="F1123" s="25">
        <v>124734.45</v>
      </c>
      <c r="G1123" s="25" t="s">
        <v>585</v>
      </c>
      <c r="H1123" s="25">
        <v>2018147</v>
      </c>
      <c r="I1123" s="25" t="s">
        <v>19</v>
      </c>
      <c r="J1123" s="25" t="s">
        <v>20</v>
      </c>
      <c r="K1123" s="25" t="s">
        <v>25</v>
      </c>
      <c r="L1123" s="25">
        <v>31.9</v>
      </c>
      <c r="M1123" s="25">
        <v>3.74</v>
      </c>
      <c r="N1123" s="25">
        <v>0</v>
      </c>
      <c r="O1123" s="25">
        <v>74.27</v>
      </c>
      <c r="P1123" s="25">
        <v>109.9121</v>
      </c>
      <c r="Q1123" s="25">
        <f t="shared" si="34"/>
        <v>0</v>
      </c>
      <c r="R1123" s="25">
        <f t="shared" si="35"/>
        <v>124624.5379</v>
      </c>
    </row>
    <row r="1124" spans="1:18" hidden="1" x14ac:dyDescent="0.25">
      <c r="A1124" s="26">
        <v>43313</v>
      </c>
      <c r="B1124" s="25" t="s">
        <v>26</v>
      </c>
      <c r="C1124" s="25" t="s">
        <v>17</v>
      </c>
      <c r="D1124" s="25">
        <v>1100</v>
      </c>
      <c r="E1124" s="25">
        <v>114</v>
      </c>
      <c r="F1124" s="25">
        <v>125400</v>
      </c>
      <c r="G1124" s="25" t="s">
        <v>586</v>
      </c>
      <c r="H1124" s="25">
        <v>2018147</v>
      </c>
      <c r="I1124" s="25" t="s">
        <v>19</v>
      </c>
      <c r="J1124" s="25" t="s">
        <v>20</v>
      </c>
      <c r="K1124" s="25" t="s">
        <v>25</v>
      </c>
      <c r="L1124" s="25">
        <v>0</v>
      </c>
      <c r="M1124" s="25">
        <v>3.76</v>
      </c>
      <c r="N1124" s="25">
        <v>0</v>
      </c>
      <c r="O1124" s="25">
        <v>74.66</v>
      </c>
      <c r="P1124" s="25">
        <v>78.4221</v>
      </c>
      <c r="Q1124" s="25">
        <f t="shared" si="34"/>
        <v>125478.4221</v>
      </c>
      <c r="R1124" s="25">
        <f t="shared" si="35"/>
        <v>0</v>
      </c>
    </row>
    <row r="1125" spans="1:18" hidden="1" x14ac:dyDescent="0.25">
      <c r="A1125" s="26">
        <v>43313</v>
      </c>
      <c r="B1125" s="25" t="s">
        <v>26</v>
      </c>
      <c r="C1125" s="25" t="s">
        <v>23</v>
      </c>
      <c r="D1125" s="25">
        <v>1100</v>
      </c>
      <c r="E1125" s="25">
        <v>114</v>
      </c>
      <c r="F1125" s="25">
        <v>125400</v>
      </c>
      <c r="G1125" s="25" t="s">
        <v>587</v>
      </c>
      <c r="H1125" s="25">
        <v>2018147</v>
      </c>
      <c r="I1125" s="25" t="s">
        <v>19</v>
      </c>
      <c r="J1125" s="25" t="s">
        <v>20</v>
      </c>
      <c r="K1125" s="25" t="s">
        <v>25</v>
      </c>
      <c r="L1125" s="25">
        <v>40.950000000000003</v>
      </c>
      <c r="M1125" s="25">
        <v>3.76</v>
      </c>
      <c r="N1125" s="25">
        <v>0</v>
      </c>
      <c r="O1125" s="25">
        <v>74.67</v>
      </c>
      <c r="P1125" s="25">
        <v>119.38209999999999</v>
      </c>
      <c r="Q1125" s="25">
        <f t="shared" si="34"/>
        <v>0</v>
      </c>
      <c r="R1125" s="25">
        <f t="shared" si="35"/>
        <v>125280.6179</v>
      </c>
    </row>
    <row r="1126" spans="1:18" hidden="1" x14ac:dyDescent="0.25">
      <c r="A1126" s="26">
        <v>43313</v>
      </c>
      <c r="B1126" s="25" t="s">
        <v>26</v>
      </c>
      <c r="C1126" s="25" t="s">
        <v>23</v>
      </c>
      <c r="D1126" s="25">
        <v>110</v>
      </c>
      <c r="E1126" s="25">
        <v>112</v>
      </c>
      <c r="F1126" s="25">
        <v>12320</v>
      </c>
      <c r="G1126" s="25" t="s">
        <v>588</v>
      </c>
      <c r="H1126" s="25">
        <v>2018147</v>
      </c>
      <c r="I1126" s="25" t="s">
        <v>19</v>
      </c>
      <c r="J1126" s="25" t="s">
        <v>1634</v>
      </c>
      <c r="K1126" s="25" t="s">
        <v>25</v>
      </c>
      <c r="L1126" s="25">
        <v>3.15</v>
      </c>
      <c r="M1126" s="25">
        <v>0.37</v>
      </c>
      <c r="N1126" s="25">
        <v>0</v>
      </c>
      <c r="O1126" s="25">
        <v>80.02</v>
      </c>
      <c r="P1126" s="25">
        <v>83.539599999999993</v>
      </c>
      <c r="Q1126" s="25">
        <f t="shared" si="34"/>
        <v>0</v>
      </c>
      <c r="R1126" s="25">
        <f t="shared" si="35"/>
        <v>12236.4604</v>
      </c>
    </row>
    <row r="1127" spans="1:18" hidden="1" x14ac:dyDescent="0.25">
      <c r="A1127" s="26">
        <v>43312</v>
      </c>
      <c r="B1127" s="25" t="s">
        <v>433</v>
      </c>
      <c r="C1127" s="25" t="s">
        <v>17</v>
      </c>
      <c r="D1127" s="25">
        <v>1000</v>
      </c>
      <c r="E1127" s="25">
        <v>14.1</v>
      </c>
      <c r="F1127" s="25">
        <v>14100</v>
      </c>
      <c r="G1127" s="25" t="s">
        <v>589</v>
      </c>
      <c r="H1127" s="25">
        <v>2018146</v>
      </c>
      <c r="I1127" s="25" t="s">
        <v>19</v>
      </c>
      <c r="J1127" s="25" t="s">
        <v>20</v>
      </c>
      <c r="K1127" s="25" t="s">
        <v>25</v>
      </c>
      <c r="L1127" s="25">
        <v>0</v>
      </c>
      <c r="M1127" s="25">
        <v>0.42</v>
      </c>
      <c r="N1127" s="25">
        <v>0</v>
      </c>
      <c r="O1127" s="25">
        <v>29.58</v>
      </c>
      <c r="P1127" s="25">
        <v>30.0029</v>
      </c>
      <c r="Q1127" s="25">
        <f t="shared" si="34"/>
        <v>14130.002899999999</v>
      </c>
      <c r="R1127" s="25">
        <f t="shared" si="35"/>
        <v>0</v>
      </c>
    </row>
    <row r="1128" spans="1:18" hidden="1" x14ac:dyDescent="0.25">
      <c r="A1128" s="26">
        <v>43312</v>
      </c>
      <c r="B1128" s="25" t="s">
        <v>433</v>
      </c>
      <c r="C1128" s="25" t="s">
        <v>17</v>
      </c>
      <c r="D1128" s="25">
        <v>5000</v>
      </c>
      <c r="E1128" s="25">
        <v>14</v>
      </c>
      <c r="F1128" s="25">
        <v>70000</v>
      </c>
      <c r="G1128" s="25" t="s">
        <v>590</v>
      </c>
      <c r="H1128" s="25">
        <v>2018146</v>
      </c>
      <c r="I1128" s="25" t="s">
        <v>19</v>
      </c>
      <c r="J1128" s="25" t="s">
        <v>20</v>
      </c>
      <c r="K1128" s="25" t="s">
        <v>25</v>
      </c>
      <c r="L1128" s="25">
        <v>0</v>
      </c>
      <c r="M1128" s="25">
        <v>2.1</v>
      </c>
      <c r="N1128" s="25">
        <v>0</v>
      </c>
      <c r="O1128" s="25">
        <v>41.68</v>
      </c>
      <c r="P1128" s="25">
        <v>43.78</v>
      </c>
      <c r="Q1128" s="25">
        <f t="shared" si="34"/>
        <v>70043.78</v>
      </c>
      <c r="R1128" s="25">
        <f t="shared" si="35"/>
        <v>0</v>
      </c>
    </row>
    <row r="1129" spans="1:18" hidden="1" x14ac:dyDescent="0.25">
      <c r="A1129" s="26">
        <v>43312</v>
      </c>
      <c r="B1129" s="25" t="s">
        <v>433</v>
      </c>
      <c r="C1129" s="25" t="s">
        <v>23</v>
      </c>
      <c r="D1129" s="25">
        <v>6000</v>
      </c>
      <c r="E1129" s="25">
        <v>14.1</v>
      </c>
      <c r="F1129" s="25">
        <v>84600</v>
      </c>
      <c r="G1129" s="25" t="s">
        <v>591</v>
      </c>
      <c r="H1129" s="25">
        <v>2018146</v>
      </c>
      <c r="I1129" s="25" t="s">
        <v>19</v>
      </c>
      <c r="J1129" s="25" t="s">
        <v>20</v>
      </c>
      <c r="K1129" s="25" t="s">
        <v>25</v>
      </c>
      <c r="L1129" s="25">
        <v>21</v>
      </c>
      <c r="M1129" s="25">
        <v>2.54</v>
      </c>
      <c r="N1129" s="25">
        <v>5.0999999999999996</v>
      </c>
      <c r="O1129" s="25">
        <v>50.37</v>
      </c>
      <c r="P1129" s="25">
        <v>79.007999999999996</v>
      </c>
      <c r="Q1129" s="25">
        <f t="shared" si="34"/>
        <v>0</v>
      </c>
      <c r="R1129" s="25">
        <f t="shared" si="35"/>
        <v>84520.991999999998</v>
      </c>
    </row>
    <row r="1130" spans="1:18" hidden="1" x14ac:dyDescent="0.25">
      <c r="A1130" s="26">
        <v>43311</v>
      </c>
      <c r="B1130" s="25" t="s">
        <v>26</v>
      </c>
      <c r="C1130" s="25" t="s">
        <v>17</v>
      </c>
      <c r="D1130" s="25">
        <v>100</v>
      </c>
      <c r="E1130" s="25">
        <v>110</v>
      </c>
      <c r="F1130" s="25">
        <v>11000</v>
      </c>
      <c r="G1130" s="25" t="s">
        <v>592</v>
      </c>
      <c r="H1130" s="25">
        <v>2018145</v>
      </c>
      <c r="I1130" s="25" t="s">
        <v>19</v>
      </c>
      <c r="J1130" s="25" t="s">
        <v>1634</v>
      </c>
      <c r="K1130" s="25" t="s">
        <v>25</v>
      </c>
      <c r="L1130" s="25">
        <v>10.98</v>
      </c>
      <c r="M1130" s="25">
        <v>0.33</v>
      </c>
      <c r="N1130" s="25">
        <v>0</v>
      </c>
      <c r="O1130" s="25">
        <v>71.45</v>
      </c>
      <c r="P1130" s="25">
        <v>82.76</v>
      </c>
      <c r="Q1130" s="25">
        <f t="shared" si="34"/>
        <v>11082.76</v>
      </c>
      <c r="R1130" s="25">
        <f t="shared" si="35"/>
        <v>0</v>
      </c>
    </row>
    <row r="1131" spans="1:18" hidden="1" x14ac:dyDescent="0.25">
      <c r="A1131" s="26">
        <v>43311</v>
      </c>
      <c r="B1131" s="25" t="s">
        <v>26</v>
      </c>
      <c r="C1131" s="25" t="s">
        <v>17</v>
      </c>
      <c r="D1131" s="25">
        <v>10</v>
      </c>
      <c r="E1131" s="25">
        <v>107.66</v>
      </c>
      <c r="F1131" s="25">
        <v>1076.55</v>
      </c>
      <c r="G1131" s="25" t="s">
        <v>593</v>
      </c>
      <c r="H1131" s="25">
        <v>2018145</v>
      </c>
      <c r="I1131" s="25" t="s">
        <v>19</v>
      </c>
      <c r="J1131" s="25" t="s">
        <v>1634</v>
      </c>
      <c r="K1131" s="25" t="s">
        <v>25</v>
      </c>
      <c r="L1131" s="25">
        <v>1.02</v>
      </c>
      <c r="M1131" s="25">
        <v>0.03</v>
      </c>
      <c r="N1131" s="25">
        <v>0.6</v>
      </c>
      <c r="O1131" s="25">
        <v>31.77</v>
      </c>
      <c r="P1131" s="25">
        <v>33.422400000000003</v>
      </c>
      <c r="Q1131" s="25">
        <f t="shared" si="34"/>
        <v>1109.9723999999999</v>
      </c>
      <c r="R1131" s="25">
        <f t="shared" si="35"/>
        <v>0</v>
      </c>
    </row>
    <row r="1132" spans="1:18" hidden="1" x14ac:dyDescent="0.25">
      <c r="A1132" s="26">
        <v>43300</v>
      </c>
      <c r="B1132" s="25" t="s">
        <v>594</v>
      </c>
      <c r="C1132" s="25" t="s">
        <v>23</v>
      </c>
      <c r="D1132" s="25">
        <v>10</v>
      </c>
      <c r="E1132" s="25">
        <v>130.9</v>
      </c>
      <c r="F1132" s="25">
        <v>1309</v>
      </c>
      <c r="G1132" s="25" t="s">
        <v>595</v>
      </c>
      <c r="H1132" s="25">
        <v>2018138</v>
      </c>
      <c r="I1132" s="25" t="s">
        <v>19</v>
      </c>
      <c r="J1132" s="25" t="s">
        <v>20</v>
      </c>
      <c r="K1132" s="25" t="s">
        <v>25</v>
      </c>
      <c r="L1132" s="25">
        <v>1</v>
      </c>
      <c r="M1132" s="25">
        <v>0.04</v>
      </c>
      <c r="N1132" s="25">
        <v>0.3</v>
      </c>
      <c r="O1132" s="25">
        <v>38.619999999999997</v>
      </c>
      <c r="P1132" s="25">
        <v>39.959299999999999</v>
      </c>
      <c r="Q1132" s="25">
        <f t="shared" si="34"/>
        <v>0</v>
      </c>
      <c r="R1132" s="25">
        <f t="shared" si="35"/>
        <v>1269.0407</v>
      </c>
    </row>
    <row r="1133" spans="1:18" hidden="1" x14ac:dyDescent="0.25">
      <c r="A1133" s="26">
        <v>43299</v>
      </c>
      <c r="B1133" s="25" t="s">
        <v>65</v>
      </c>
      <c r="C1133" s="25" t="s">
        <v>17</v>
      </c>
      <c r="D1133" s="25">
        <v>500</v>
      </c>
      <c r="E1133" s="25">
        <v>80.099999999999994</v>
      </c>
      <c r="F1133" s="25">
        <v>40050</v>
      </c>
      <c r="G1133" s="25" t="s">
        <v>596</v>
      </c>
      <c r="H1133" s="25">
        <v>2018137</v>
      </c>
      <c r="I1133" s="25" t="s">
        <v>19</v>
      </c>
      <c r="J1133" s="25" t="s">
        <v>20</v>
      </c>
      <c r="K1133" s="25" t="s">
        <v>25</v>
      </c>
      <c r="L1133" s="25">
        <v>0</v>
      </c>
      <c r="M1133" s="25">
        <v>1.2</v>
      </c>
      <c r="N1133" s="25">
        <v>0</v>
      </c>
      <c r="O1133" s="25">
        <v>29.72</v>
      </c>
      <c r="P1133" s="25">
        <v>30.921399999999998</v>
      </c>
      <c r="Q1133" s="25">
        <f t="shared" si="34"/>
        <v>40080.921399999999</v>
      </c>
      <c r="R1133" s="25">
        <f t="shared" si="35"/>
        <v>0</v>
      </c>
    </row>
    <row r="1134" spans="1:18" hidden="1" x14ac:dyDescent="0.25">
      <c r="A1134" s="26">
        <v>43299</v>
      </c>
      <c r="B1134" s="25" t="s">
        <v>65</v>
      </c>
      <c r="C1134" s="25" t="s">
        <v>23</v>
      </c>
      <c r="D1134" s="25">
        <v>106</v>
      </c>
      <c r="E1134" s="25">
        <v>75.8</v>
      </c>
      <c r="F1134" s="25">
        <v>8034.8</v>
      </c>
      <c r="G1134" s="25" t="s">
        <v>597</v>
      </c>
      <c r="H1134" s="25">
        <v>2018137</v>
      </c>
      <c r="I1134" s="25" t="s">
        <v>19</v>
      </c>
      <c r="J1134" s="25" t="s">
        <v>20</v>
      </c>
      <c r="K1134" s="25" t="s">
        <v>25</v>
      </c>
      <c r="L1134" s="25">
        <v>2.4</v>
      </c>
      <c r="M1134" s="25">
        <v>0.24</v>
      </c>
      <c r="N1134" s="25">
        <v>6.9</v>
      </c>
      <c r="O1134" s="25">
        <v>29.54</v>
      </c>
      <c r="P1134" s="25">
        <v>39.081000000000003</v>
      </c>
      <c r="Q1134" s="25">
        <f t="shared" si="34"/>
        <v>0</v>
      </c>
      <c r="R1134" s="25">
        <f t="shared" si="35"/>
        <v>7995.7190000000001</v>
      </c>
    </row>
    <row r="1135" spans="1:18" hidden="1" x14ac:dyDescent="0.25">
      <c r="A1135" s="26">
        <v>43299</v>
      </c>
      <c r="B1135" s="25" t="s">
        <v>65</v>
      </c>
      <c r="C1135" s="25" t="s">
        <v>17</v>
      </c>
      <c r="D1135" s="25">
        <v>1000</v>
      </c>
      <c r="E1135" s="25">
        <v>76.099999999999994</v>
      </c>
      <c r="F1135" s="25">
        <v>76100</v>
      </c>
      <c r="G1135" s="25" t="s">
        <v>598</v>
      </c>
      <c r="H1135" s="25">
        <v>2018137</v>
      </c>
      <c r="I1135" s="25" t="s">
        <v>19</v>
      </c>
      <c r="J1135" s="25" t="s">
        <v>20</v>
      </c>
      <c r="K1135" s="25" t="s">
        <v>25</v>
      </c>
      <c r="L1135" s="25">
        <v>0</v>
      </c>
      <c r="M1135" s="25">
        <v>2.2799999999999998</v>
      </c>
      <c r="N1135" s="25">
        <v>0</v>
      </c>
      <c r="O1135" s="25">
        <v>45.31</v>
      </c>
      <c r="P1135" s="25">
        <v>47.5931</v>
      </c>
      <c r="Q1135" s="25">
        <f t="shared" si="34"/>
        <v>76147.593099999998</v>
      </c>
      <c r="R1135" s="25">
        <f t="shared" si="35"/>
        <v>0</v>
      </c>
    </row>
    <row r="1136" spans="1:18" hidden="1" x14ac:dyDescent="0.25">
      <c r="A1136" s="26">
        <v>43299</v>
      </c>
      <c r="B1136" s="25" t="s">
        <v>65</v>
      </c>
      <c r="C1136" s="25" t="s">
        <v>23</v>
      </c>
      <c r="D1136" s="25">
        <v>1394</v>
      </c>
      <c r="E1136" s="25">
        <v>75.150000000000006</v>
      </c>
      <c r="F1136" s="25">
        <v>104759.1</v>
      </c>
      <c r="G1136" s="25" t="s">
        <v>599</v>
      </c>
      <c r="H1136" s="25">
        <v>2018137</v>
      </c>
      <c r="I1136" s="25" t="s">
        <v>19</v>
      </c>
      <c r="J1136" s="25" t="s">
        <v>20</v>
      </c>
      <c r="K1136" s="25" t="s">
        <v>25</v>
      </c>
      <c r="L1136" s="25">
        <v>26.6</v>
      </c>
      <c r="M1136" s="25">
        <v>3.14</v>
      </c>
      <c r="N1136" s="25">
        <v>0</v>
      </c>
      <c r="O1136" s="25">
        <v>62.37</v>
      </c>
      <c r="P1136" s="25">
        <v>92.112700000000004</v>
      </c>
      <c r="Q1136" s="25">
        <f t="shared" si="34"/>
        <v>0</v>
      </c>
      <c r="R1136" s="25">
        <f t="shared" si="35"/>
        <v>104666.98730000001</v>
      </c>
    </row>
    <row r="1137" spans="1:18" hidden="1" x14ac:dyDescent="0.25">
      <c r="A1137" s="26">
        <v>43287</v>
      </c>
      <c r="B1137" s="25" t="s">
        <v>594</v>
      </c>
      <c r="C1137" s="25" t="s">
        <v>17</v>
      </c>
      <c r="D1137" s="25">
        <v>10</v>
      </c>
      <c r="E1137" s="25">
        <v>81</v>
      </c>
      <c r="F1137" s="25">
        <v>810</v>
      </c>
      <c r="G1137" s="25" t="s">
        <v>600</v>
      </c>
      <c r="H1137" s="25">
        <v>2018129</v>
      </c>
      <c r="I1137" s="25" t="s">
        <v>19</v>
      </c>
      <c r="J1137" s="25" t="s">
        <v>20</v>
      </c>
      <c r="K1137" s="25" t="s">
        <v>25</v>
      </c>
      <c r="L1137" s="25">
        <v>1</v>
      </c>
      <c r="M1137" s="25">
        <v>0.02</v>
      </c>
      <c r="N1137" s="25">
        <v>0.3</v>
      </c>
      <c r="O1137" s="25">
        <v>23.9</v>
      </c>
      <c r="P1137" s="25">
        <v>25.224299999999999</v>
      </c>
      <c r="Q1137" s="25">
        <f t="shared" si="34"/>
        <v>835.22429999999997</v>
      </c>
      <c r="R1137" s="25">
        <f t="shared" si="35"/>
        <v>0</v>
      </c>
    </row>
    <row r="1138" spans="1:18" hidden="1" x14ac:dyDescent="0.25">
      <c r="A1138" s="26">
        <v>43277</v>
      </c>
      <c r="B1138" s="25" t="s">
        <v>321</v>
      </c>
      <c r="C1138" s="25" t="s">
        <v>17</v>
      </c>
      <c r="D1138" s="25">
        <v>500</v>
      </c>
      <c r="E1138" s="25">
        <v>303.45</v>
      </c>
      <c r="F1138" s="25">
        <v>151725.9</v>
      </c>
      <c r="G1138" s="25" t="s">
        <v>601</v>
      </c>
      <c r="H1138" s="25">
        <v>2018121</v>
      </c>
      <c r="I1138" s="25" t="s">
        <v>19</v>
      </c>
      <c r="J1138" s="25" t="s">
        <v>20</v>
      </c>
      <c r="K1138" s="25" t="s">
        <v>25</v>
      </c>
      <c r="L1138" s="25">
        <v>0</v>
      </c>
      <c r="M1138" s="25">
        <v>4.55</v>
      </c>
      <c r="N1138" s="25">
        <v>0</v>
      </c>
      <c r="O1138" s="25">
        <v>90.33</v>
      </c>
      <c r="P1138" s="25">
        <v>94.881699999999995</v>
      </c>
      <c r="Q1138" s="25">
        <f t="shared" si="34"/>
        <v>151820.78169999999</v>
      </c>
      <c r="R1138" s="25">
        <f t="shared" si="35"/>
        <v>0</v>
      </c>
    </row>
    <row r="1139" spans="1:18" hidden="1" x14ac:dyDescent="0.25">
      <c r="A1139" s="26">
        <v>43277</v>
      </c>
      <c r="B1139" s="25" t="s">
        <v>321</v>
      </c>
      <c r="C1139" s="25" t="s">
        <v>17</v>
      </c>
      <c r="D1139" s="25">
        <v>1000</v>
      </c>
      <c r="E1139" s="25">
        <v>300</v>
      </c>
      <c r="F1139" s="25">
        <v>300000</v>
      </c>
      <c r="G1139" s="25" t="s">
        <v>602</v>
      </c>
      <c r="H1139" s="25">
        <v>2018121</v>
      </c>
      <c r="I1139" s="25" t="s">
        <v>19</v>
      </c>
      <c r="J1139" s="25" t="s">
        <v>20</v>
      </c>
      <c r="K1139" s="25" t="s">
        <v>25</v>
      </c>
      <c r="L1139" s="25">
        <v>0</v>
      </c>
      <c r="M1139" s="25">
        <v>9</v>
      </c>
      <c r="N1139" s="25">
        <v>0</v>
      </c>
      <c r="O1139" s="25">
        <v>178.62</v>
      </c>
      <c r="P1139" s="25">
        <v>187.62</v>
      </c>
      <c r="Q1139" s="25">
        <f t="shared" si="34"/>
        <v>300187.62</v>
      </c>
      <c r="R1139" s="25">
        <f t="shared" si="35"/>
        <v>0</v>
      </c>
    </row>
    <row r="1140" spans="1:18" hidden="1" x14ac:dyDescent="0.25">
      <c r="A1140" s="26">
        <v>43277</v>
      </c>
      <c r="B1140" s="25" t="s">
        <v>321</v>
      </c>
      <c r="C1140" s="25" t="s">
        <v>23</v>
      </c>
      <c r="D1140" s="25">
        <v>1500</v>
      </c>
      <c r="E1140" s="25">
        <v>298.91000000000003</v>
      </c>
      <c r="F1140" s="25">
        <v>448366.65</v>
      </c>
      <c r="G1140" s="25" t="s">
        <v>603</v>
      </c>
      <c r="H1140" s="25">
        <v>2018121</v>
      </c>
      <c r="I1140" s="25" t="s">
        <v>19</v>
      </c>
      <c r="J1140" s="25" t="s">
        <v>20</v>
      </c>
      <c r="K1140" s="25" t="s">
        <v>25</v>
      </c>
      <c r="L1140" s="25">
        <v>113</v>
      </c>
      <c r="M1140" s="25">
        <v>13.45</v>
      </c>
      <c r="N1140" s="25">
        <v>27.3</v>
      </c>
      <c r="O1140" s="25">
        <v>266.99</v>
      </c>
      <c r="P1140" s="25">
        <v>420.74029999999999</v>
      </c>
      <c r="Q1140" s="25">
        <f t="shared" si="34"/>
        <v>0</v>
      </c>
      <c r="R1140" s="25">
        <f t="shared" si="35"/>
        <v>447945.90970000002</v>
      </c>
    </row>
    <row r="1141" spans="1:18" hidden="1" x14ac:dyDescent="0.25">
      <c r="A1141" s="26">
        <v>43273</v>
      </c>
      <c r="B1141" s="25" t="s">
        <v>321</v>
      </c>
      <c r="C1141" s="25" t="s">
        <v>17</v>
      </c>
      <c r="D1141" s="25">
        <v>100</v>
      </c>
      <c r="E1141" s="25">
        <v>313.60000000000002</v>
      </c>
      <c r="F1141" s="25">
        <v>31359.75</v>
      </c>
      <c r="G1141" s="25" t="s">
        <v>604</v>
      </c>
      <c r="H1141" s="25">
        <v>2018119</v>
      </c>
      <c r="I1141" s="25" t="s">
        <v>19</v>
      </c>
      <c r="J1141" s="25" t="s">
        <v>20</v>
      </c>
      <c r="K1141" s="25" t="s">
        <v>25</v>
      </c>
      <c r="L1141" s="25">
        <v>0</v>
      </c>
      <c r="M1141" s="25">
        <v>0.94</v>
      </c>
      <c r="N1141" s="25">
        <v>23.4</v>
      </c>
      <c r="O1141" s="25">
        <v>29.67</v>
      </c>
      <c r="P1141" s="25">
        <v>54.0107</v>
      </c>
      <c r="Q1141" s="25">
        <f t="shared" si="34"/>
        <v>31413.760699999999</v>
      </c>
      <c r="R1141" s="25">
        <f t="shared" si="35"/>
        <v>0</v>
      </c>
    </row>
    <row r="1142" spans="1:18" hidden="1" x14ac:dyDescent="0.25">
      <c r="A1142" s="26">
        <v>43273</v>
      </c>
      <c r="B1142" s="25" t="s">
        <v>321</v>
      </c>
      <c r="C1142" s="25" t="s">
        <v>17</v>
      </c>
      <c r="D1142" s="25">
        <v>500</v>
      </c>
      <c r="E1142" s="25">
        <v>313</v>
      </c>
      <c r="F1142" s="25">
        <v>156500</v>
      </c>
      <c r="G1142" s="25" t="s">
        <v>605</v>
      </c>
      <c r="H1142" s="25">
        <v>2018119</v>
      </c>
      <c r="I1142" s="25" t="s">
        <v>19</v>
      </c>
      <c r="J1142" s="25" t="s">
        <v>20</v>
      </c>
      <c r="K1142" s="25" t="s">
        <v>25</v>
      </c>
      <c r="L1142" s="25">
        <v>0</v>
      </c>
      <c r="M1142" s="25">
        <v>4.7</v>
      </c>
      <c r="N1142" s="25">
        <v>0</v>
      </c>
      <c r="O1142" s="25">
        <v>93.18</v>
      </c>
      <c r="P1142" s="25">
        <v>97.875100000000003</v>
      </c>
      <c r="Q1142" s="25">
        <f t="shared" si="34"/>
        <v>156597.8751</v>
      </c>
      <c r="R1142" s="25">
        <f t="shared" si="35"/>
        <v>0</v>
      </c>
    </row>
    <row r="1143" spans="1:18" hidden="1" x14ac:dyDescent="0.25">
      <c r="A1143" s="26">
        <v>43273</v>
      </c>
      <c r="B1143" s="25" t="s">
        <v>321</v>
      </c>
      <c r="C1143" s="25" t="s">
        <v>17</v>
      </c>
      <c r="D1143" s="25">
        <v>500</v>
      </c>
      <c r="E1143" s="25">
        <v>309.25</v>
      </c>
      <c r="F1143" s="25">
        <v>154625</v>
      </c>
      <c r="G1143" s="25" t="s">
        <v>606</v>
      </c>
      <c r="H1143" s="25">
        <v>2018119</v>
      </c>
      <c r="I1143" s="25" t="s">
        <v>19</v>
      </c>
      <c r="J1143" s="25" t="s">
        <v>20</v>
      </c>
      <c r="K1143" s="25" t="s">
        <v>25</v>
      </c>
      <c r="L1143" s="25">
        <v>0</v>
      </c>
      <c r="M1143" s="25">
        <v>4.6399999999999997</v>
      </c>
      <c r="N1143" s="25">
        <v>0</v>
      </c>
      <c r="O1143" s="25">
        <v>92.06</v>
      </c>
      <c r="P1143" s="25">
        <v>96.698700000000002</v>
      </c>
      <c r="Q1143" s="25">
        <f t="shared" si="34"/>
        <v>154721.69870000001</v>
      </c>
      <c r="R1143" s="25">
        <f t="shared" si="35"/>
        <v>0</v>
      </c>
    </row>
    <row r="1144" spans="1:18" hidden="1" x14ac:dyDescent="0.25">
      <c r="A1144" s="26">
        <v>43273</v>
      </c>
      <c r="B1144" s="25" t="s">
        <v>321</v>
      </c>
      <c r="C1144" s="25" t="s">
        <v>17</v>
      </c>
      <c r="D1144" s="25">
        <v>150</v>
      </c>
      <c r="E1144" s="25">
        <v>311.25</v>
      </c>
      <c r="F1144" s="25">
        <v>46687.5</v>
      </c>
      <c r="G1144" s="25" t="s">
        <v>607</v>
      </c>
      <c r="H1144" s="25">
        <v>2018119</v>
      </c>
      <c r="I1144" s="25" t="s">
        <v>19</v>
      </c>
      <c r="J1144" s="25" t="s">
        <v>20</v>
      </c>
      <c r="K1144" s="25" t="s">
        <v>25</v>
      </c>
      <c r="L1144" s="25">
        <v>0</v>
      </c>
      <c r="M1144" s="25">
        <v>1.4</v>
      </c>
      <c r="N1144" s="25">
        <v>0</v>
      </c>
      <c r="O1144" s="25">
        <v>29.75</v>
      </c>
      <c r="P1144" s="25">
        <v>31.150600000000001</v>
      </c>
      <c r="Q1144" s="25">
        <f t="shared" si="34"/>
        <v>46718.650600000001</v>
      </c>
      <c r="R1144" s="25">
        <f t="shared" si="35"/>
        <v>0</v>
      </c>
    </row>
    <row r="1145" spans="1:18" hidden="1" x14ac:dyDescent="0.25">
      <c r="A1145" s="26">
        <v>43273</v>
      </c>
      <c r="B1145" s="25" t="s">
        <v>321</v>
      </c>
      <c r="C1145" s="25" t="s">
        <v>23</v>
      </c>
      <c r="D1145" s="25">
        <v>1250</v>
      </c>
      <c r="E1145" s="25">
        <v>310.25</v>
      </c>
      <c r="F1145" s="25">
        <v>387812.5</v>
      </c>
      <c r="G1145" s="25" t="s">
        <v>608</v>
      </c>
      <c r="H1145" s="25">
        <v>2018119</v>
      </c>
      <c r="I1145" s="25" t="s">
        <v>19</v>
      </c>
      <c r="J1145" s="25" t="s">
        <v>20</v>
      </c>
      <c r="K1145" s="25" t="s">
        <v>25</v>
      </c>
      <c r="L1145" s="25">
        <v>97</v>
      </c>
      <c r="M1145" s="25">
        <v>11.63</v>
      </c>
      <c r="N1145" s="25">
        <v>0</v>
      </c>
      <c r="O1145" s="25">
        <v>230.91</v>
      </c>
      <c r="P1145" s="25">
        <v>339.54450000000003</v>
      </c>
      <c r="Q1145" s="25">
        <f t="shared" si="34"/>
        <v>0</v>
      </c>
      <c r="R1145" s="25">
        <f t="shared" si="35"/>
        <v>387472.95549999998</v>
      </c>
    </row>
    <row r="1146" spans="1:18" hidden="1" x14ac:dyDescent="0.25">
      <c r="A1146" s="26">
        <v>43271</v>
      </c>
      <c r="B1146" s="25" t="s">
        <v>321</v>
      </c>
      <c r="C1146" s="25" t="s">
        <v>17</v>
      </c>
      <c r="D1146" s="25">
        <v>250</v>
      </c>
      <c r="E1146" s="25">
        <v>309</v>
      </c>
      <c r="F1146" s="25">
        <v>77250</v>
      </c>
      <c r="G1146" s="25" t="s">
        <v>609</v>
      </c>
      <c r="H1146" s="25">
        <v>2018117</v>
      </c>
      <c r="I1146" s="25" t="s">
        <v>19</v>
      </c>
      <c r="J1146" s="25" t="s">
        <v>20</v>
      </c>
      <c r="K1146" s="25" t="s">
        <v>25</v>
      </c>
      <c r="L1146" s="25">
        <v>0</v>
      </c>
      <c r="M1146" s="25">
        <v>2.3199999999999998</v>
      </c>
      <c r="N1146" s="25">
        <v>0</v>
      </c>
      <c r="O1146" s="25">
        <v>45.99</v>
      </c>
      <c r="P1146" s="25">
        <v>48.307499999999997</v>
      </c>
      <c r="Q1146" s="25">
        <f t="shared" si="34"/>
        <v>77298.307499999995</v>
      </c>
      <c r="R1146" s="25">
        <f t="shared" si="35"/>
        <v>0</v>
      </c>
    </row>
    <row r="1147" spans="1:18" hidden="1" x14ac:dyDescent="0.25">
      <c r="A1147" s="26">
        <v>43271</v>
      </c>
      <c r="B1147" s="25" t="s">
        <v>321</v>
      </c>
      <c r="C1147" s="25" t="s">
        <v>23</v>
      </c>
      <c r="D1147" s="25">
        <v>250</v>
      </c>
      <c r="E1147" s="25">
        <v>308.25</v>
      </c>
      <c r="F1147" s="25">
        <v>77062.5</v>
      </c>
      <c r="G1147" s="25" t="s">
        <v>610</v>
      </c>
      <c r="H1147" s="25">
        <v>2018117</v>
      </c>
      <c r="I1147" s="25" t="s">
        <v>19</v>
      </c>
      <c r="J1147" s="25" t="s">
        <v>20</v>
      </c>
      <c r="K1147" s="25" t="s">
        <v>25</v>
      </c>
      <c r="L1147" s="25">
        <v>19.45</v>
      </c>
      <c r="M1147" s="25">
        <v>2.31</v>
      </c>
      <c r="N1147" s="25">
        <v>6.3</v>
      </c>
      <c r="O1147" s="25">
        <v>45.87</v>
      </c>
      <c r="P1147" s="25">
        <v>73.931899999999999</v>
      </c>
      <c r="Q1147" s="25">
        <f t="shared" si="34"/>
        <v>0</v>
      </c>
      <c r="R1147" s="25">
        <f t="shared" si="35"/>
        <v>76988.568100000004</v>
      </c>
    </row>
    <row r="1148" spans="1:18" hidden="1" x14ac:dyDescent="0.25">
      <c r="A1148" s="26">
        <v>43271</v>
      </c>
      <c r="B1148" s="25" t="s">
        <v>179</v>
      </c>
      <c r="C1148" s="25" t="s">
        <v>23</v>
      </c>
      <c r="D1148" s="25">
        <v>900</v>
      </c>
      <c r="E1148" s="25">
        <v>59.5</v>
      </c>
      <c r="F1148" s="25">
        <v>53550</v>
      </c>
      <c r="G1148" s="25" t="s">
        <v>611</v>
      </c>
      <c r="H1148" s="25">
        <v>2018117</v>
      </c>
      <c r="I1148" s="25" t="s">
        <v>19</v>
      </c>
      <c r="J1148" s="25" t="s">
        <v>20</v>
      </c>
      <c r="K1148" s="25" t="s">
        <v>25</v>
      </c>
      <c r="L1148" s="25">
        <v>53.55</v>
      </c>
      <c r="M1148" s="25">
        <v>1.61</v>
      </c>
      <c r="N1148" s="25">
        <v>0</v>
      </c>
      <c r="O1148" s="25">
        <v>347.82</v>
      </c>
      <c r="P1148" s="25">
        <v>402.97660000000002</v>
      </c>
      <c r="Q1148" s="25">
        <f t="shared" si="34"/>
        <v>0</v>
      </c>
      <c r="R1148" s="25">
        <f t="shared" si="35"/>
        <v>53147.023399999998</v>
      </c>
    </row>
    <row r="1149" spans="1:18" hidden="1" x14ac:dyDescent="0.25">
      <c r="A1149" s="26">
        <v>43270</v>
      </c>
      <c r="B1149" s="25" t="s">
        <v>321</v>
      </c>
      <c r="C1149" s="25" t="s">
        <v>23</v>
      </c>
      <c r="D1149" s="25">
        <v>1000</v>
      </c>
      <c r="E1149" s="25">
        <v>315</v>
      </c>
      <c r="F1149" s="25">
        <v>315000</v>
      </c>
      <c r="G1149" s="25" t="s">
        <v>612</v>
      </c>
      <c r="H1149" s="25">
        <v>2018116</v>
      </c>
      <c r="I1149" s="25" t="s">
        <v>19</v>
      </c>
      <c r="J1149" s="25" t="s">
        <v>1634</v>
      </c>
      <c r="K1149" s="25" t="s">
        <v>25</v>
      </c>
      <c r="L1149" s="25">
        <v>315</v>
      </c>
      <c r="M1149" s="25">
        <v>9.4499999999999993</v>
      </c>
      <c r="N1149" s="25">
        <v>9.6</v>
      </c>
      <c r="O1149" s="25">
        <v>2046.11</v>
      </c>
      <c r="P1149" s="25">
        <v>2380.1606999999999</v>
      </c>
      <c r="Q1149" s="25">
        <f t="shared" si="34"/>
        <v>0</v>
      </c>
      <c r="R1149" s="25">
        <f t="shared" si="35"/>
        <v>312619.83929999999</v>
      </c>
    </row>
    <row r="1150" spans="1:18" hidden="1" x14ac:dyDescent="0.25">
      <c r="A1150" s="26">
        <v>43269</v>
      </c>
      <c r="B1150" s="25" t="s">
        <v>321</v>
      </c>
      <c r="C1150" s="25" t="s">
        <v>17</v>
      </c>
      <c r="D1150" s="25">
        <v>250</v>
      </c>
      <c r="E1150" s="25">
        <v>322.10000000000002</v>
      </c>
      <c r="F1150" s="25">
        <v>80525</v>
      </c>
      <c r="G1150" s="25" t="s">
        <v>613</v>
      </c>
      <c r="H1150" s="25">
        <v>2018115</v>
      </c>
      <c r="I1150" s="25" t="s">
        <v>19</v>
      </c>
      <c r="J1150" s="25" t="s">
        <v>1634</v>
      </c>
      <c r="K1150" s="25" t="s">
        <v>25</v>
      </c>
      <c r="L1150" s="25">
        <v>0</v>
      </c>
      <c r="M1150" s="25">
        <v>2.42</v>
      </c>
      <c r="N1150" s="25">
        <v>0</v>
      </c>
      <c r="O1150" s="25">
        <v>47.94</v>
      </c>
      <c r="P1150" s="25">
        <v>50.355800000000002</v>
      </c>
      <c r="Q1150" s="25">
        <f t="shared" si="34"/>
        <v>80575.355800000005</v>
      </c>
      <c r="R1150" s="25">
        <f t="shared" si="35"/>
        <v>0</v>
      </c>
    </row>
    <row r="1151" spans="1:18" hidden="1" x14ac:dyDescent="0.25">
      <c r="A1151" s="26">
        <v>43269</v>
      </c>
      <c r="B1151" s="25" t="s">
        <v>321</v>
      </c>
      <c r="C1151" s="25" t="s">
        <v>23</v>
      </c>
      <c r="D1151" s="25">
        <v>250</v>
      </c>
      <c r="E1151" s="25">
        <v>323.85000000000002</v>
      </c>
      <c r="F1151" s="25">
        <v>80962.5</v>
      </c>
      <c r="G1151" s="25" t="s">
        <v>614</v>
      </c>
      <c r="H1151" s="25">
        <v>2018115</v>
      </c>
      <c r="I1151" s="25" t="s">
        <v>19</v>
      </c>
      <c r="J1151" s="25" t="s">
        <v>1634</v>
      </c>
      <c r="K1151" s="25" t="s">
        <v>25</v>
      </c>
      <c r="L1151" s="25">
        <v>19.97</v>
      </c>
      <c r="M1151" s="25">
        <v>2.4300000000000002</v>
      </c>
      <c r="N1151" s="25">
        <v>33.9</v>
      </c>
      <c r="O1151" s="25">
        <v>48.2</v>
      </c>
      <c r="P1151" s="25">
        <v>104.49930000000001</v>
      </c>
      <c r="Q1151" s="25">
        <f t="shared" si="34"/>
        <v>0</v>
      </c>
      <c r="R1151" s="25">
        <f t="shared" si="35"/>
        <v>80858.000700000004</v>
      </c>
    </row>
    <row r="1152" spans="1:18" hidden="1" x14ac:dyDescent="0.25">
      <c r="A1152" s="26">
        <v>43269</v>
      </c>
      <c r="B1152" s="25" t="s">
        <v>321</v>
      </c>
      <c r="C1152" s="25" t="s">
        <v>17</v>
      </c>
      <c r="D1152" s="25">
        <v>1000</v>
      </c>
      <c r="E1152" s="25">
        <v>323.5</v>
      </c>
      <c r="F1152" s="25">
        <v>323500</v>
      </c>
      <c r="G1152" s="25" t="s">
        <v>615</v>
      </c>
      <c r="H1152" s="25">
        <v>2018115</v>
      </c>
      <c r="I1152" s="25" t="s">
        <v>19</v>
      </c>
      <c r="J1152" s="25" t="s">
        <v>1634</v>
      </c>
      <c r="K1152" s="25" t="s">
        <v>25</v>
      </c>
      <c r="L1152" s="25">
        <v>0</v>
      </c>
      <c r="M1152" s="25">
        <v>9.6999999999999993</v>
      </c>
      <c r="N1152" s="25">
        <v>0</v>
      </c>
      <c r="O1152" s="25">
        <v>192.62</v>
      </c>
      <c r="P1152" s="25">
        <v>202.32490000000001</v>
      </c>
      <c r="Q1152" s="25">
        <f t="shared" si="34"/>
        <v>323702.32490000001</v>
      </c>
      <c r="R1152" s="25">
        <f t="shared" si="35"/>
        <v>0</v>
      </c>
    </row>
    <row r="1153" spans="1:18" hidden="1" x14ac:dyDescent="0.25">
      <c r="A1153" s="26">
        <v>43269</v>
      </c>
      <c r="B1153" s="25" t="s">
        <v>321</v>
      </c>
      <c r="C1153" s="25" t="s">
        <v>23</v>
      </c>
      <c r="D1153" s="25">
        <v>1000</v>
      </c>
      <c r="E1153" s="25">
        <v>322.25</v>
      </c>
      <c r="F1153" s="25">
        <v>322250</v>
      </c>
      <c r="G1153" s="25" t="s">
        <v>616</v>
      </c>
      <c r="H1153" s="25">
        <v>2018115</v>
      </c>
      <c r="I1153" s="25" t="s">
        <v>19</v>
      </c>
      <c r="J1153" s="25" t="s">
        <v>1634</v>
      </c>
      <c r="K1153" s="25" t="s">
        <v>25</v>
      </c>
      <c r="L1153" s="25">
        <v>80.61</v>
      </c>
      <c r="M1153" s="25">
        <v>9.67</v>
      </c>
      <c r="N1153" s="25">
        <v>0</v>
      </c>
      <c r="O1153" s="25">
        <v>191.87</v>
      </c>
      <c r="P1153" s="25">
        <v>282.14749999999998</v>
      </c>
      <c r="Q1153" s="25">
        <f t="shared" si="34"/>
        <v>0</v>
      </c>
      <c r="R1153" s="25">
        <f t="shared" si="35"/>
        <v>321967.85249999998</v>
      </c>
    </row>
    <row r="1154" spans="1:18" hidden="1" x14ac:dyDescent="0.25">
      <c r="A1154" s="26">
        <v>43269</v>
      </c>
      <c r="B1154" s="25" t="s">
        <v>321</v>
      </c>
      <c r="C1154" s="25" t="s">
        <v>17</v>
      </c>
      <c r="D1154" s="25">
        <v>1000</v>
      </c>
      <c r="E1154" s="25">
        <v>321.25</v>
      </c>
      <c r="F1154" s="25">
        <v>321250</v>
      </c>
      <c r="G1154" s="25" t="s">
        <v>617</v>
      </c>
      <c r="H1154" s="25">
        <v>2018115</v>
      </c>
      <c r="I1154" s="25" t="s">
        <v>19</v>
      </c>
      <c r="J1154" s="25" t="s">
        <v>1634</v>
      </c>
      <c r="K1154" s="25" t="s">
        <v>25</v>
      </c>
      <c r="L1154" s="25">
        <v>322.43</v>
      </c>
      <c r="M1154" s="25">
        <v>9.64</v>
      </c>
      <c r="N1154" s="25">
        <v>0</v>
      </c>
      <c r="O1154" s="25">
        <v>2086.64</v>
      </c>
      <c r="P1154" s="25">
        <v>2418.7078000000001</v>
      </c>
      <c r="Q1154" s="25">
        <f t="shared" si="34"/>
        <v>323668.70779999997</v>
      </c>
      <c r="R1154" s="25">
        <f t="shared" si="35"/>
        <v>0</v>
      </c>
    </row>
    <row r="1155" spans="1:18" hidden="1" x14ac:dyDescent="0.25">
      <c r="A1155" s="26">
        <v>43266</v>
      </c>
      <c r="B1155" s="25" t="s">
        <v>51</v>
      </c>
      <c r="C1155" s="25" t="s">
        <v>17</v>
      </c>
      <c r="D1155" s="25">
        <v>60</v>
      </c>
      <c r="E1155" s="25">
        <v>280</v>
      </c>
      <c r="F1155" s="25">
        <v>16800</v>
      </c>
      <c r="G1155" s="25" t="s">
        <v>618</v>
      </c>
      <c r="H1155" s="25">
        <v>2018114</v>
      </c>
      <c r="I1155" s="25" t="s">
        <v>19</v>
      </c>
      <c r="J1155" s="25" t="s">
        <v>20</v>
      </c>
      <c r="K1155" s="25" t="s">
        <v>25</v>
      </c>
      <c r="L1155" s="25">
        <v>0</v>
      </c>
      <c r="M1155" s="25">
        <v>0.5</v>
      </c>
      <c r="N1155" s="25">
        <v>34.200000000000003</v>
      </c>
      <c r="O1155" s="25">
        <v>29.59</v>
      </c>
      <c r="P1155" s="25">
        <v>64.293999999999997</v>
      </c>
      <c r="Q1155" s="25">
        <f t="shared" ref="Q1155:Q1218" si="36">IF(C1155="Buy",F1155+P1155,0)</f>
        <v>16864.294000000002</v>
      </c>
      <c r="R1155" s="25">
        <f t="shared" ref="R1155:R1218" si="37">IF(C1155="Sell",F1155-P1155,0)</f>
        <v>0</v>
      </c>
    </row>
    <row r="1156" spans="1:18" hidden="1" x14ac:dyDescent="0.25">
      <c r="A1156" s="26">
        <v>43266</v>
      </c>
      <c r="B1156" s="25" t="s">
        <v>51</v>
      </c>
      <c r="C1156" s="25" t="s">
        <v>23</v>
      </c>
      <c r="D1156" s="25">
        <v>60</v>
      </c>
      <c r="E1156" s="25">
        <v>281.85000000000002</v>
      </c>
      <c r="F1156" s="25">
        <v>16910.75</v>
      </c>
      <c r="G1156" s="25" t="s">
        <v>619</v>
      </c>
      <c r="H1156" s="25">
        <v>2018114</v>
      </c>
      <c r="I1156" s="25" t="s">
        <v>19</v>
      </c>
      <c r="J1156" s="25" t="s">
        <v>20</v>
      </c>
      <c r="K1156" s="25" t="s">
        <v>25</v>
      </c>
      <c r="L1156" s="25">
        <v>3.98</v>
      </c>
      <c r="M1156" s="25">
        <v>0.51</v>
      </c>
      <c r="N1156" s="25">
        <v>0</v>
      </c>
      <c r="O1156" s="25">
        <v>29.59</v>
      </c>
      <c r="P1156" s="25">
        <v>34.077300000000001</v>
      </c>
      <c r="Q1156" s="25">
        <f t="shared" si="36"/>
        <v>0</v>
      </c>
      <c r="R1156" s="25">
        <f t="shared" si="37"/>
        <v>16876.672699999999</v>
      </c>
    </row>
    <row r="1157" spans="1:18" hidden="1" x14ac:dyDescent="0.25">
      <c r="A1157" s="26">
        <v>43266</v>
      </c>
      <c r="B1157" s="25" t="s">
        <v>65</v>
      </c>
      <c r="C1157" s="25" t="s">
        <v>17</v>
      </c>
      <c r="D1157" s="25">
        <v>1000</v>
      </c>
      <c r="E1157" s="25">
        <v>92.8</v>
      </c>
      <c r="F1157" s="25">
        <v>92800</v>
      </c>
      <c r="G1157" s="25" t="s">
        <v>620</v>
      </c>
      <c r="H1157" s="25">
        <v>2018114</v>
      </c>
      <c r="I1157" s="25" t="s">
        <v>19</v>
      </c>
      <c r="J1157" s="25" t="s">
        <v>20</v>
      </c>
      <c r="K1157" s="25" t="s">
        <v>25</v>
      </c>
      <c r="L1157" s="25">
        <v>0</v>
      </c>
      <c r="M1157" s="25">
        <v>2.78</v>
      </c>
      <c r="N1157" s="25">
        <v>0</v>
      </c>
      <c r="O1157" s="25">
        <v>55.26</v>
      </c>
      <c r="P1157" s="25">
        <v>58.043900000000001</v>
      </c>
      <c r="Q1157" s="25">
        <f t="shared" si="36"/>
        <v>92858.043900000004</v>
      </c>
      <c r="R1157" s="25">
        <f t="shared" si="37"/>
        <v>0</v>
      </c>
    </row>
    <row r="1158" spans="1:18" hidden="1" x14ac:dyDescent="0.25">
      <c r="A1158" s="26">
        <v>43266</v>
      </c>
      <c r="B1158" s="25" t="s">
        <v>65</v>
      </c>
      <c r="C1158" s="25" t="s">
        <v>23</v>
      </c>
      <c r="D1158" s="25">
        <v>1000</v>
      </c>
      <c r="E1158" s="25">
        <v>92.7</v>
      </c>
      <c r="F1158" s="25">
        <v>92700</v>
      </c>
      <c r="G1158" s="25" t="s">
        <v>621</v>
      </c>
      <c r="H1158" s="25">
        <v>2018114</v>
      </c>
      <c r="I1158" s="25" t="s">
        <v>19</v>
      </c>
      <c r="J1158" s="25" t="s">
        <v>20</v>
      </c>
      <c r="K1158" s="25" t="s">
        <v>25</v>
      </c>
      <c r="L1158" s="25">
        <v>23.19</v>
      </c>
      <c r="M1158" s="25">
        <v>2.78</v>
      </c>
      <c r="N1158" s="25">
        <v>0</v>
      </c>
      <c r="O1158" s="25">
        <v>55.19</v>
      </c>
      <c r="P1158" s="25">
        <v>81.161100000000005</v>
      </c>
      <c r="Q1158" s="25">
        <f t="shared" si="36"/>
        <v>0</v>
      </c>
      <c r="R1158" s="25">
        <f t="shared" si="37"/>
        <v>92618.838900000002</v>
      </c>
    </row>
    <row r="1159" spans="1:18" hidden="1" x14ac:dyDescent="0.25">
      <c r="A1159" s="26">
        <v>43266</v>
      </c>
      <c r="B1159" s="25" t="s">
        <v>321</v>
      </c>
      <c r="C1159" s="25" t="s">
        <v>17</v>
      </c>
      <c r="D1159" s="25">
        <v>1000</v>
      </c>
      <c r="E1159" s="25">
        <v>306.64999999999998</v>
      </c>
      <c r="F1159" s="25">
        <v>306650</v>
      </c>
      <c r="G1159" s="25" t="s">
        <v>622</v>
      </c>
      <c r="H1159" s="25">
        <v>2018114</v>
      </c>
      <c r="I1159" s="25" t="s">
        <v>19</v>
      </c>
      <c r="J1159" s="25" t="s">
        <v>20</v>
      </c>
      <c r="K1159" s="25" t="s">
        <v>25</v>
      </c>
      <c r="L1159" s="25">
        <v>0</v>
      </c>
      <c r="M1159" s="25">
        <v>9.1999999999999993</v>
      </c>
      <c r="N1159" s="25">
        <v>0</v>
      </c>
      <c r="O1159" s="25">
        <v>182.56</v>
      </c>
      <c r="P1159" s="25">
        <v>191.7595</v>
      </c>
      <c r="Q1159" s="25">
        <f t="shared" si="36"/>
        <v>306841.75949999999</v>
      </c>
      <c r="R1159" s="25">
        <f t="shared" si="37"/>
        <v>0</v>
      </c>
    </row>
    <row r="1160" spans="1:18" hidden="1" x14ac:dyDescent="0.25">
      <c r="A1160" s="26">
        <v>43266</v>
      </c>
      <c r="B1160" s="25" t="s">
        <v>321</v>
      </c>
      <c r="C1160" s="25" t="s">
        <v>17</v>
      </c>
      <c r="D1160" s="25">
        <v>500</v>
      </c>
      <c r="E1160" s="25">
        <v>304.3</v>
      </c>
      <c r="F1160" s="25">
        <v>152150</v>
      </c>
      <c r="G1160" s="25" t="s">
        <v>623</v>
      </c>
      <c r="H1160" s="25">
        <v>2018114</v>
      </c>
      <c r="I1160" s="25" t="s">
        <v>19</v>
      </c>
      <c r="J1160" s="25" t="s">
        <v>20</v>
      </c>
      <c r="K1160" s="25" t="s">
        <v>25</v>
      </c>
      <c r="L1160" s="25">
        <v>0</v>
      </c>
      <c r="M1160" s="25">
        <v>4.5599999999999996</v>
      </c>
      <c r="N1160" s="25">
        <v>0</v>
      </c>
      <c r="O1160" s="25">
        <v>90.59</v>
      </c>
      <c r="P1160" s="25">
        <v>95.154499999999999</v>
      </c>
      <c r="Q1160" s="25">
        <f t="shared" si="36"/>
        <v>152245.1545</v>
      </c>
      <c r="R1160" s="25">
        <f t="shared" si="37"/>
        <v>0</v>
      </c>
    </row>
    <row r="1161" spans="1:18" hidden="1" x14ac:dyDescent="0.25">
      <c r="A1161" s="26">
        <v>43266</v>
      </c>
      <c r="B1161" s="25" t="s">
        <v>321</v>
      </c>
      <c r="C1161" s="25" t="s">
        <v>23</v>
      </c>
      <c r="D1161" s="25">
        <v>1500</v>
      </c>
      <c r="E1161" s="25">
        <v>306.55</v>
      </c>
      <c r="F1161" s="25">
        <v>459825</v>
      </c>
      <c r="G1161" s="25" t="s">
        <v>624</v>
      </c>
      <c r="H1161" s="25">
        <v>2018114</v>
      </c>
      <c r="I1161" s="25" t="s">
        <v>19</v>
      </c>
      <c r="J1161" s="25" t="s">
        <v>20</v>
      </c>
      <c r="K1161" s="25" t="s">
        <v>25</v>
      </c>
      <c r="L1161" s="25">
        <v>114.83</v>
      </c>
      <c r="M1161" s="25">
        <v>13.79</v>
      </c>
      <c r="N1161" s="25">
        <v>0</v>
      </c>
      <c r="O1161" s="25">
        <v>273.77999999999997</v>
      </c>
      <c r="P1161" s="25">
        <v>402.40469999999999</v>
      </c>
      <c r="Q1161" s="25">
        <f t="shared" si="36"/>
        <v>0</v>
      </c>
      <c r="R1161" s="25">
        <f t="shared" si="37"/>
        <v>459422.59529999999</v>
      </c>
    </row>
    <row r="1162" spans="1:18" hidden="1" x14ac:dyDescent="0.25">
      <c r="A1162" s="26">
        <v>43265</v>
      </c>
      <c r="B1162" s="25" t="s">
        <v>397</v>
      </c>
      <c r="C1162" s="25" t="s">
        <v>17</v>
      </c>
      <c r="D1162" s="25">
        <v>500</v>
      </c>
      <c r="E1162" s="25">
        <v>269.42</v>
      </c>
      <c r="F1162" s="25">
        <v>134711.45000000001</v>
      </c>
      <c r="G1162" s="25" t="s">
        <v>625</v>
      </c>
      <c r="H1162" s="25">
        <v>2018113</v>
      </c>
      <c r="I1162" s="25" t="s">
        <v>19</v>
      </c>
      <c r="J1162" s="25" t="s">
        <v>20</v>
      </c>
      <c r="K1162" s="25" t="s">
        <v>25</v>
      </c>
      <c r="L1162" s="25">
        <v>0</v>
      </c>
      <c r="M1162" s="25">
        <v>4.04</v>
      </c>
      <c r="N1162" s="25">
        <v>8.1</v>
      </c>
      <c r="O1162" s="25">
        <v>80.209999999999994</v>
      </c>
      <c r="P1162" s="25">
        <v>92.351399999999998</v>
      </c>
      <c r="Q1162" s="25">
        <f t="shared" si="36"/>
        <v>134803.80140000003</v>
      </c>
      <c r="R1162" s="25">
        <f t="shared" si="37"/>
        <v>0</v>
      </c>
    </row>
    <row r="1163" spans="1:18" hidden="1" x14ac:dyDescent="0.25">
      <c r="A1163" s="26">
        <v>43265</v>
      </c>
      <c r="B1163" s="25" t="s">
        <v>397</v>
      </c>
      <c r="C1163" s="25" t="s">
        <v>23</v>
      </c>
      <c r="D1163" s="25">
        <v>500</v>
      </c>
      <c r="E1163" s="25">
        <v>268.61</v>
      </c>
      <c r="F1163" s="25">
        <v>134304.5</v>
      </c>
      <c r="G1163" s="25" t="s">
        <v>626</v>
      </c>
      <c r="H1163" s="25">
        <v>2018113</v>
      </c>
      <c r="I1163" s="25" t="s">
        <v>19</v>
      </c>
      <c r="J1163" s="25" t="s">
        <v>20</v>
      </c>
      <c r="K1163" s="25" t="s">
        <v>25</v>
      </c>
      <c r="L1163" s="25">
        <v>34</v>
      </c>
      <c r="M1163" s="25">
        <v>4.03</v>
      </c>
      <c r="N1163" s="25">
        <v>0</v>
      </c>
      <c r="O1163" s="25">
        <v>79.94</v>
      </c>
      <c r="P1163" s="25">
        <v>117.96899999999999</v>
      </c>
      <c r="Q1163" s="25">
        <f t="shared" si="36"/>
        <v>0</v>
      </c>
      <c r="R1163" s="25">
        <f t="shared" si="37"/>
        <v>134186.53099999999</v>
      </c>
    </row>
    <row r="1164" spans="1:18" hidden="1" x14ac:dyDescent="0.25">
      <c r="A1164" s="26">
        <v>43264</v>
      </c>
      <c r="B1164" s="25" t="s">
        <v>65</v>
      </c>
      <c r="C1164" s="25" t="s">
        <v>17</v>
      </c>
      <c r="D1164" s="25">
        <v>500</v>
      </c>
      <c r="E1164" s="25">
        <v>92.5</v>
      </c>
      <c r="F1164" s="25">
        <v>46250</v>
      </c>
      <c r="G1164" s="25" t="s">
        <v>627</v>
      </c>
      <c r="H1164" s="25">
        <v>2018112</v>
      </c>
      <c r="I1164" s="25" t="s">
        <v>19</v>
      </c>
      <c r="J1164" s="25" t="s">
        <v>20</v>
      </c>
      <c r="K1164" s="25" t="s">
        <v>25</v>
      </c>
      <c r="L1164" s="25">
        <v>0</v>
      </c>
      <c r="M1164" s="25">
        <v>1.39</v>
      </c>
      <c r="N1164" s="25">
        <v>21.9</v>
      </c>
      <c r="O1164" s="25">
        <v>29.75</v>
      </c>
      <c r="P1164" s="25">
        <v>53.037500000000001</v>
      </c>
      <c r="Q1164" s="25">
        <f t="shared" si="36"/>
        <v>46303.037499999999</v>
      </c>
      <c r="R1164" s="25">
        <f t="shared" si="37"/>
        <v>0</v>
      </c>
    </row>
    <row r="1165" spans="1:18" hidden="1" x14ac:dyDescent="0.25">
      <c r="A1165" s="26">
        <v>43264</v>
      </c>
      <c r="B1165" s="25" t="s">
        <v>65</v>
      </c>
      <c r="C1165" s="25" t="s">
        <v>23</v>
      </c>
      <c r="D1165" s="25">
        <v>500</v>
      </c>
      <c r="E1165" s="25">
        <v>92.85</v>
      </c>
      <c r="F1165" s="25">
        <v>46425</v>
      </c>
      <c r="G1165" s="25" t="s">
        <v>628</v>
      </c>
      <c r="H1165" s="25">
        <v>2018112</v>
      </c>
      <c r="I1165" s="25" t="s">
        <v>19</v>
      </c>
      <c r="J1165" s="25" t="s">
        <v>20</v>
      </c>
      <c r="K1165" s="25" t="s">
        <v>25</v>
      </c>
      <c r="L1165" s="25">
        <v>11.43</v>
      </c>
      <c r="M1165" s="25">
        <v>1.39</v>
      </c>
      <c r="N1165" s="25">
        <v>0</v>
      </c>
      <c r="O1165" s="25">
        <v>29.75</v>
      </c>
      <c r="P1165" s="25">
        <v>42.572699999999998</v>
      </c>
      <c r="Q1165" s="25">
        <f t="shared" si="36"/>
        <v>0</v>
      </c>
      <c r="R1165" s="25">
        <f t="shared" si="37"/>
        <v>46382.427300000003</v>
      </c>
    </row>
    <row r="1166" spans="1:18" hidden="1" x14ac:dyDescent="0.25">
      <c r="A1166" s="26">
        <v>43264</v>
      </c>
      <c r="B1166" s="25" t="s">
        <v>321</v>
      </c>
      <c r="C1166" s="25" t="s">
        <v>17</v>
      </c>
      <c r="D1166" s="25">
        <v>1000</v>
      </c>
      <c r="E1166" s="25">
        <v>313.10000000000002</v>
      </c>
      <c r="F1166" s="25">
        <v>313100</v>
      </c>
      <c r="G1166" s="25" t="s">
        <v>629</v>
      </c>
      <c r="H1166" s="25">
        <v>2018112</v>
      </c>
      <c r="I1166" s="25" t="s">
        <v>19</v>
      </c>
      <c r="J1166" s="25" t="s">
        <v>20</v>
      </c>
      <c r="K1166" s="25" t="s">
        <v>25</v>
      </c>
      <c r="L1166" s="25">
        <v>0</v>
      </c>
      <c r="M1166" s="25">
        <v>9.39</v>
      </c>
      <c r="N1166" s="25">
        <v>0</v>
      </c>
      <c r="O1166" s="25">
        <v>186.42</v>
      </c>
      <c r="P1166" s="25">
        <v>195.81290000000001</v>
      </c>
      <c r="Q1166" s="25">
        <f t="shared" si="36"/>
        <v>313295.81290000002</v>
      </c>
      <c r="R1166" s="25">
        <f t="shared" si="37"/>
        <v>0</v>
      </c>
    </row>
    <row r="1167" spans="1:18" hidden="1" x14ac:dyDescent="0.25">
      <c r="A1167" s="26">
        <v>43264</v>
      </c>
      <c r="B1167" s="25" t="s">
        <v>321</v>
      </c>
      <c r="C1167" s="25" t="s">
        <v>23</v>
      </c>
      <c r="D1167" s="25">
        <v>1000</v>
      </c>
      <c r="E1167" s="25">
        <v>315.5</v>
      </c>
      <c r="F1167" s="25">
        <v>315500</v>
      </c>
      <c r="G1167" s="25" t="s">
        <v>630</v>
      </c>
      <c r="H1167" s="25">
        <v>2018112</v>
      </c>
      <c r="I1167" s="25" t="s">
        <v>19</v>
      </c>
      <c r="J1167" s="25" t="s">
        <v>20</v>
      </c>
      <c r="K1167" s="25" t="s">
        <v>25</v>
      </c>
      <c r="L1167" s="25">
        <v>78.58</v>
      </c>
      <c r="M1167" s="25">
        <v>9.4700000000000006</v>
      </c>
      <c r="N1167" s="25">
        <v>0</v>
      </c>
      <c r="O1167" s="25">
        <v>187.85</v>
      </c>
      <c r="P1167" s="25">
        <v>275.89510000000001</v>
      </c>
      <c r="Q1167" s="25">
        <f t="shared" si="36"/>
        <v>0</v>
      </c>
      <c r="R1167" s="25">
        <f t="shared" si="37"/>
        <v>315224.10489999998</v>
      </c>
    </row>
    <row r="1168" spans="1:18" hidden="1" x14ac:dyDescent="0.25">
      <c r="A1168" s="26">
        <v>43263</v>
      </c>
      <c r="B1168" s="25" t="s">
        <v>282</v>
      </c>
      <c r="C1168" s="25" t="s">
        <v>17</v>
      </c>
      <c r="D1168" s="25">
        <v>250</v>
      </c>
      <c r="E1168" s="25">
        <v>608</v>
      </c>
      <c r="F1168" s="25">
        <v>152000</v>
      </c>
      <c r="G1168" s="25" t="s">
        <v>631</v>
      </c>
      <c r="H1168" s="25">
        <v>2018111</v>
      </c>
      <c r="I1168" s="25" t="s">
        <v>19</v>
      </c>
      <c r="J1168" s="25" t="s">
        <v>20</v>
      </c>
      <c r="K1168" s="25" t="s">
        <v>25</v>
      </c>
      <c r="L1168" s="25">
        <v>0</v>
      </c>
      <c r="M1168" s="25">
        <v>4.5599999999999996</v>
      </c>
      <c r="N1168" s="25">
        <v>0</v>
      </c>
      <c r="O1168" s="25">
        <v>90.5</v>
      </c>
      <c r="P1168" s="25">
        <v>95.06</v>
      </c>
      <c r="Q1168" s="25">
        <f t="shared" si="36"/>
        <v>152095.06</v>
      </c>
      <c r="R1168" s="25">
        <f t="shared" si="37"/>
        <v>0</v>
      </c>
    </row>
    <row r="1169" spans="1:18" hidden="1" x14ac:dyDescent="0.25">
      <c r="A1169" s="26">
        <v>43263</v>
      </c>
      <c r="B1169" s="25" t="s">
        <v>282</v>
      </c>
      <c r="C1169" s="25" t="s">
        <v>23</v>
      </c>
      <c r="D1169" s="25">
        <v>250</v>
      </c>
      <c r="E1169" s="25">
        <v>611</v>
      </c>
      <c r="F1169" s="25">
        <v>152750</v>
      </c>
      <c r="G1169" s="25" t="s">
        <v>632</v>
      </c>
      <c r="H1169" s="25">
        <v>2018111</v>
      </c>
      <c r="I1169" s="25" t="s">
        <v>19</v>
      </c>
      <c r="J1169" s="25" t="s">
        <v>20</v>
      </c>
      <c r="K1169" s="25" t="s">
        <v>25</v>
      </c>
      <c r="L1169" s="25">
        <v>38.11</v>
      </c>
      <c r="M1169" s="25">
        <v>4.58</v>
      </c>
      <c r="N1169" s="25">
        <v>0</v>
      </c>
      <c r="O1169" s="25">
        <v>90.95</v>
      </c>
      <c r="P1169" s="25">
        <v>133.64250000000001</v>
      </c>
      <c r="Q1169" s="25">
        <f t="shared" si="36"/>
        <v>0</v>
      </c>
      <c r="R1169" s="25">
        <f t="shared" si="37"/>
        <v>152616.35750000001</v>
      </c>
    </row>
    <row r="1170" spans="1:18" hidden="1" x14ac:dyDescent="0.25">
      <c r="A1170" s="26">
        <v>43263</v>
      </c>
      <c r="B1170" s="25" t="s">
        <v>321</v>
      </c>
      <c r="C1170" s="25" t="s">
        <v>17</v>
      </c>
      <c r="D1170" s="25">
        <v>500</v>
      </c>
      <c r="E1170" s="25">
        <v>316</v>
      </c>
      <c r="F1170" s="25">
        <v>158000</v>
      </c>
      <c r="G1170" s="25" t="s">
        <v>633</v>
      </c>
      <c r="H1170" s="25">
        <v>2018111</v>
      </c>
      <c r="I1170" s="25" t="s">
        <v>19</v>
      </c>
      <c r="J1170" s="25" t="s">
        <v>20</v>
      </c>
      <c r="K1170" s="25" t="s">
        <v>25</v>
      </c>
      <c r="L1170" s="25">
        <v>0</v>
      </c>
      <c r="M1170" s="25">
        <v>4.74</v>
      </c>
      <c r="N1170" s="25">
        <v>30</v>
      </c>
      <c r="O1170" s="25">
        <v>94.06</v>
      </c>
      <c r="P1170" s="25">
        <v>128.80000000000001</v>
      </c>
      <c r="Q1170" s="25">
        <f t="shared" si="36"/>
        <v>158128.79999999999</v>
      </c>
      <c r="R1170" s="25">
        <f t="shared" si="37"/>
        <v>0</v>
      </c>
    </row>
    <row r="1171" spans="1:18" hidden="1" x14ac:dyDescent="0.25">
      <c r="A1171" s="26">
        <v>43263</v>
      </c>
      <c r="B1171" s="25" t="s">
        <v>321</v>
      </c>
      <c r="C1171" s="25" t="s">
        <v>17</v>
      </c>
      <c r="D1171" s="25">
        <v>250</v>
      </c>
      <c r="E1171" s="25">
        <v>316.39</v>
      </c>
      <c r="F1171" s="25">
        <v>79096.649999999994</v>
      </c>
      <c r="G1171" s="25" t="s">
        <v>634</v>
      </c>
      <c r="H1171" s="25">
        <v>2018111</v>
      </c>
      <c r="I1171" s="25" t="s">
        <v>19</v>
      </c>
      <c r="J1171" s="25" t="s">
        <v>20</v>
      </c>
      <c r="K1171" s="25" t="s">
        <v>25</v>
      </c>
      <c r="L1171" s="25">
        <v>0</v>
      </c>
      <c r="M1171" s="25">
        <v>2.37</v>
      </c>
      <c r="N1171" s="25">
        <v>0</v>
      </c>
      <c r="O1171" s="25">
        <v>47.13</v>
      </c>
      <c r="P1171" s="25">
        <v>49.502299999999998</v>
      </c>
      <c r="Q1171" s="25">
        <f t="shared" si="36"/>
        <v>79146.152299999987</v>
      </c>
      <c r="R1171" s="25">
        <f t="shared" si="37"/>
        <v>0</v>
      </c>
    </row>
    <row r="1172" spans="1:18" hidden="1" x14ac:dyDescent="0.25">
      <c r="A1172" s="26">
        <v>43263</v>
      </c>
      <c r="B1172" s="25" t="s">
        <v>321</v>
      </c>
      <c r="C1172" s="25" t="s">
        <v>17</v>
      </c>
      <c r="D1172" s="25">
        <v>250</v>
      </c>
      <c r="E1172" s="25">
        <v>315.25</v>
      </c>
      <c r="F1172" s="25">
        <v>78812.5</v>
      </c>
      <c r="G1172" s="25" t="s">
        <v>635</v>
      </c>
      <c r="H1172" s="25">
        <v>2018111</v>
      </c>
      <c r="I1172" s="25" t="s">
        <v>19</v>
      </c>
      <c r="J1172" s="25" t="s">
        <v>20</v>
      </c>
      <c r="K1172" s="25" t="s">
        <v>25</v>
      </c>
      <c r="L1172" s="25">
        <v>0</v>
      </c>
      <c r="M1172" s="25">
        <v>2.36</v>
      </c>
      <c r="N1172" s="25">
        <v>0</v>
      </c>
      <c r="O1172" s="25">
        <v>46.93</v>
      </c>
      <c r="P1172" s="25">
        <v>49.294400000000003</v>
      </c>
      <c r="Q1172" s="25">
        <f t="shared" si="36"/>
        <v>78861.794399999999</v>
      </c>
      <c r="R1172" s="25">
        <f t="shared" si="37"/>
        <v>0</v>
      </c>
    </row>
    <row r="1173" spans="1:18" hidden="1" x14ac:dyDescent="0.25">
      <c r="A1173" s="26">
        <v>43263</v>
      </c>
      <c r="B1173" s="25" t="s">
        <v>321</v>
      </c>
      <c r="C1173" s="25" t="s">
        <v>23</v>
      </c>
      <c r="D1173" s="25">
        <v>1000</v>
      </c>
      <c r="E1173" s="25">
        <v>316.7</v>
      </c>
      <c r="F1173" s="25">
        <v>316700</v>
      </c>
      <c r="G1173" s="25" t="s">
        <v>636</v>
      </c>
      <c r="H1173" s="25">
        <v>2018111</v>
      </c>
      <c r="I1173" s="25" t="s">
        <v>19</v>
      </c>
      <c r="J1173" s="25" t="s">
        <v>20</v>
      </c>
      <c r="K1173" s="25" t="s">
        <v>25</v>
      </c>
      <c r="L1173" s="25">
        <v>78.92</v>
      </c>
      <c r="M1173" s="25">
        <v>9.5</v>
      </c>
      <c r="N1173" s="25">
        <v>0</v>
      </c>
      <c r="O1173" s="25">
        <v>188.56</v>
      </c>
      <c r="P1173" s="25">
        <v>276.98099999999999</v>
      </c>
      <c r="Q1173" s="25">
        <f t="shared" si="36"/>
        <v>0</v>
      </c>
      <c r="R1173" s="25">
        <f t="shared" si="37"/>
        <v>316423.01899999997</v>
      </c>
    </row>
    <row r="1174" spans="1:18" hidden="1" x14ac:dyDescent="0.25">
      <c r="A1174" s="26">
        <v>43263</v>
      </c>
      <c r="B1174" s="25" t="s">
        <v>282</v>
      </c>
      <c r="C1174" s="25" t="s">
        <v>23</v>
      </c>
      <c r="D1174" s="25">
        <v>100</v>
      </c>
      <c r="E1174" s="25">
        <v>611</v>
      </c>
      <c r="F1174" s="25">
        <v>61100</v>
      </c>
      <c r="G1174" s="25" t="s">
        <v>637</v>
      </c>
      <c r="H1174" s="25">
        <v>2018111</v>
      </c>
      <c r="I1174" s="25" t="s">
        <v>19</v>
      </c>
      <c r="J1174" s="25" t="s">
        <v>1634</v>
      </c>
      <c r="K1174" s="25" t="s">
        <v>25</v>
      </c>
      <c r="L1174" s="25">
        <v>60.98</v>
      </c>
      <c r="M1174" s="25">
        <v>1.83</v>
      </c>
      <c r="N1174" s="25">
        <v>0</v>
      </c>
      <c r="O1174" s="25">
        <v>396.87</v>
      </c>
      <c r="P1174" s="25">
        <v>459.68310000000002</v>
      </c>
      <c r="Q1174" s="25">
        <f t="shared" si="36"/>
        <v>0</v>
      </c>
      <c r="R1174" s="25">
        <f t="shared" si="37"/>
        <v>60640.316899999998</v>
      </c>
    </row>
    <row r="1175" spans="1:18" hidden="1" x14ac:dyDescent="0.25">
      <c r="A1175" s="26">
        <v>43262</v>
      </c>
      <c r="B1175" s="25" t="s">
        <v>321</v>
      </c>
      <c r="C1175" s="25" t="s">
        <v>17</v>
      </c>
      <c r="D1175" s="25">
        <v>500</v>
      </c>
      <c r="E1175" s="25">
        <v>311.43</v>
      </c>
      <c r="F1175" s="25">
        <v>155713.15</v>
      </c>
      <c r="G1175" s="25" t="s">
        <v>638</v>
      </c>
      <c r="H1175" s="25">
        <v>2018110</v>
      </c>
      <c r="I1175" s="25" t="s">
        <v>19</v>
      </c>
      <c r="J1175" s="25" t="s">
        <v>20</v>
      </c>
      <c r="K1175" s="25" t="s">
        <v>25</v>
      </c>
      <c r="L1175" s="25">
        <v>0</v>
      </c>
      <c r="M1175" s="25">
        <v>4.67</v>
      </c>
      <c r="N1175" s="25">
        <v>11.7</v>
      </c>
      <c r="O1175" s="25">
        <v>92.74</v>
      </c>
      <c r="P1175" s="25">
        <v>109.11150000000001</v>
      </c>
      <c r="Q1175" s="25">
        <f t="shared" si="36"/>
        <v>155822.26149999999</v>
      </c>
      <c r="R1175" s="25">
        <f t="shared" si="37"/>
        <v>0</v>
      </c>
    </row>
    <row r="1176" spans="1:18" hidden="1" x14ac:dyDescent="0.25">
      <c r="A1176" s="26">
        <v>43262</v>
      </c>
      <c r="B1176" s="25" t="s">
        <v>256</v>
      </c>
      <c r="C1176" s="25" t="s">
        <v>17</v>
      </c>
      <c r="D1176" s="25">
        <v>250</v>
      </c>
      <c r="E1176" s="25">
        <v>147.25</v>
      </c>
      <c r="F1176" s="25">
        <v>36812.5</v>
      </c>
      <c r="G1176" s="25" t="s">
        <v>639</v>
      </c>
      <c r="H1176" s="25">
        <v>2018110</v>
      </c>
      <c r="I1176" s="25" t="s">
        <v>19</v>
      </c>
      <c r="J1176" s="25" t="s">
        <v>20</v>
      </c>
      <c r="K1176" s="25" t="s">
        <v>25</v>
      </c>
      <c r="L1176" s="25">
        <v>0</v>
      </c>
      <c r="M1176" s="25">
        <v>1.1000000000000001</v>
      </c>
      <c r="N1176" s="25">
        <v>0</v>
      </c>
      <c r="O1176" s="25">
        <v>29.7</v>
      </c>
      <c r="P1176" s="25">
        <v>30.804400000000001</v>
      </c>
      <c r="Q1176" s="25">
        <f t="shared" si="36"/>
        <v>36843.304400000001</v>
      </c>
      <c r="R1176" s="25">
        <f t="shared" si="37"/>
        <v>0</v>
      </c>
    </row>
    <row r="1177" spans="1:18" hidden="1" x14ac:dyDescent="0.25">
      <c r="A1177" s="26">
        <v>43262</v>
      </c>
      <c r="B1177" s="25" t="s">
        <v>321</v>
      </c>
      <c r="C1177" s="25" t="s">
        <v>23</v>
      </c>
      <c r="D1177" s="25">
        <v>500</v>
      </c>
      <c r="E1177" s="25">
        <v>313.25</v>
      </c>
      <c r="F1177" s="25">
        <v>156625</v>
      </c>
      <c r="G1177" s="25" t="s">
        <v>640</v>
      </c>
      <c r="H1177" s="25">
        <v>2018110</v>
      </c>
      <c r="I1177" s="25" t="s">
        <v>19</v>
      </c>
      <c r="J1177" s="25" t="s">
        <v>20</v>
      </c>
      <c r="K1177" s="25" t="s">
        <v>25</v>
      </c>
      <c r="L1177" s="25">
        <v>38.869999999999997</v>
      </c>
      <c r="M1177" s="25">
        <v>4.7</v>
      </c>
      <c r="N1177" s="25">
        <v>0</v>
      </c>
      <c r="O1177" s="25">
        <v>93.25</v>
      </c>
      <c r="P1177" s="25">
        <v>136.81870000000001</v>
      </c>
      <c r="Q1177" s="25">
        <f t="shared" si="36"/>
        <v>0</v>
      </c>
      <c r="R1177" s="25">
        <f t="shared" si="37"/>
        <v>156488.1813</v>
      </c>
    </row>
    <row r="1178" spans="1:18" hidden="1" x14ac:dyDescent="0.25">
      <c r="A1178" s="26">
        <v>43262</v>
      </c>
      <c r="B1178" s="25" t="s">
        <v>256</v>
      </c>
      <c r="C1178" s="25" t="s">
        <v>23</v>
      </c>
      <c r="D1178" s="25">
        <v>250</v>
      </c>
      <c r="E1178" s="25">
        <v>144.80000000000001</v>
      </c>
      <c r="F1178" s="25">
        <v>36200</v>
      </c>
      <c r="G1178" s="25" t="s">
        <v>641</v>
      </c>
      <c r="H1178" s="25">
        <v>2018110</v>
      </c>
      <c r="I1178" s="25" t="s">
        <v>19</v>
      </c>
      <c r="J1178" s="25" t="s">
        <v>20</v>
      </c>
      <c r="K1178" s="25" t="s">
        <v>25</v>
      </c>
      <c r="L1178" s="25">
        <v>9.1300000000000008</v>
      </c>
      <c r="M1178" s="25">
        <v>1.0900000000000001</v>
      </c>
      <c r="N1178" s="25">
        <v>0</v>
      </c>
      <c r="O1178" s="25">
        <v>29.69</v>
      </c>
      <c r="P1178" s="25">
        <v>39.905999999999999</v>
      </c>
      <c r="Q1178" s="25">
        <f t="shared" si="36"/>
        <v>0</v>
      </c>
      <c r="R1178" s="25">
        <f t="shared" si="37"/>
        <v>36160.093999999997</v>
      </c>
    </row>
    <row r="1179" spans="1:18" hidden="1" x14ac:dyDescent="0.25">
      <c r="A1179" s="26">
        <v>43259</v>
      </c>
      <c r="B1179" s="25" t="s">
        <v>282</v>
      </c>
      <c r="C1179" s="25" t="s">
        <v>17</v>
      </c>
      <c r="D1179" s="25">
        <v>100</v>
      </c>
      <c r="E1179" s="25">
        <v>610</v>
      </c>
      <c r="F1179" s="25">
        <v>61000</v>
      </c>
      <c r="G1179" s="25" t="s">
        <v>642</v>
      </c>
      <c r="H1179" s="25">
        <v>2018109</v>
      </c>
      <c r="I1179" s="25" t="s">
        <v>19</v>
      </c>
      <c r="J1179" s="25" t="s">
        <v>20</v>
      </c>
      <c r="K1179" s="25" t="s">
        <v>25</v>
      </c>
      <c r="L1179" s="25">
        <v>0</v>
      </c>
      <c r="M1179" s="25">
        <v>1.83</v>
      </c>
      <c r="N1179" s="25">
        <v>0</v>
      </c>
      <c r="O1179" s="25">
        <v>36.32</v>
      </c>
      <c r="P1179" s="25">
        <v>38.15</v>
      </c>
      <c r="Q1179" s="25">
        <f t="shared" si="36"/>
        <v>61038.15</v>
      </c>
      <c r="R1179" s="25">
        <f t="shared" si="37"/>
        <v>0</v>
      </c>
    </row>
    <row r="1180" spans="1:18" hidden="1" x14ac:dyDescent="0.25">
      <c r="A1180" s="26">
        <v>43259</v>
      </c>
      <c r="B1180" s="25" t="s">
        <v>282</v>
      </c>
      <c r="C1180" s="25" t="s">
        <v>23</v>
      </c>
      <c r="D1180" s="25">
        <v>100</v>
      </c>
      <c r="E1180" s="25">
        <v>612</v>
      </c>
      <c r="F1180" s="25">
        <v>61200</v>
      </c>
      <c r="G1180" s="25" t="s">
        <v>643</v>
      </c>
      <c r="H1180" s="25">
        <v>2018109</v>
      </c>
      <c r="I1180" s="25" t="s">
        <v>19</v>
      </c>
      <c r="J1180" s="25" t="s">
        <v>20</v>
      </c>
      <c r="K1180" s="25" t="s">
        <v>25</v>
      </c>
      <c r="L1180" s="25">
        <v>15</v>
      </c>
      <c r="M1180" s="25">
        <v>1.84</v>
      </c>
      <c r="N1180" s="25">
        <v>3.9</v>
      </c>
      <c r="O1180" s="25">
        <v>36.44</v>
      </c>
      <c r="P1180" s="25">
        <v>57.176000000000002</v>
      </c>
      <c r="Q1180" s="25">
        <f t="shared" si="36"/>
        <v>0</v>
      </c>
      <c r="R1180" s="25">
        <f t="shared" si="37"/>
        <v>61142.824000000001</v>
      </c>
    </row>
    <row r="1181" spans="1:18" hidden="1" x14ac:dyDescent="0.25">
      <c r="A1181" s="26">
        <v>43258</v>
      </c>
      <c r="B1181" s="25" t="s">
        <v>644</v>
      </c>
      <c r="C1181" s="25" t="s">
        <v>17</v>
      </c>
      <c r="D1181" s="25">
        <v>1000</v>
      </c>
      <c r="E1181" s="25">
        <v>57.9</v>
      </c>
      <c r="F1181" s="25">
        <v>57900</v>
      </c>
      <c r="G1181" s="25" t="s">
        <v>645</v>
      </c>
      <c r="H1181" s="25">
        <v>2018108</v>
      </c>
      <c r="I1181" s="25" t="s">
        <v>19</v>
      </c>
      <c r="J1181" s="25" t="s">
        <v>20</v>
      </c>
      <c r="K1181" s="25" t="s">
        <v>25</v>
      </c>
      <c r="L1181" s="25">
        <v>0</v>
      </c>
      <c r="M1181" s="25">
        <v>1.74</v>
      </c>
      <c r="N1181" s="25">
        <v>0</v>
      </c>
      <c r="O1181" s="25">
        <v>34.46</v>
      </c>
      <c r="P1181" s="25">
        <v>36.197099999999999</v>
      </c>
      <c r="Q1181" s="25">
        <f t="shared" si="36"/>
        <v>57936.197099999998</v>
      </c>
      <c r="R1181" s="25">
        <f t="shared" si="37"/>
        <v>0</v>
      </c>
    </row>
    <row r="1182" spans="1:18" hidden="1" x14ac:dyDescent="0.25">
      <c r="A1182" s="26">
        <v>43258</v>
      </c>
      <c r="B1182" s="25" t="s">
        <v>644</v>
      </c>
      <c r="C1182" s="25" t="s">
        <v>17</v>
      </c>
      <c r="D1182" s="25">
        <v>500</v>
      </c>
      <c r="E1182" s="25">
        <v>57.45</v>
      </c>
      <c r="F1182" s="25">
        <v>28725</v>
      </c>
      <c r="G1182" s="25" t="s">
        <v>646</v>
      </c>
      <c r="H1182" s="25">
        <v>2018108</v>
      </c>
      <c r="I1182" s="25" t="s">
        <v>19</v>
      </c>
      <c r="J1182" s="25" t="s">
        <v>20</v>
      </c>
      <c r="K1182" s="25" t="s">
        <v>25</v>
      </c>
      <c r="L1182" s="25">
        <v>0</v>
      </c>
      <c r="M1182" s="25">
        <v>0.86</v>
      </c>
      <c r="N1182" s="25">
        <v>5.4</v>
      </c>
      <c r="O1182" s="25">
        <v>29.66</v>
      </c>
      <c r="P1182" s="25">
        <v>35.921799999999998</v>
      </c>
      <c r="Q1182" s="25">
        <f t="shared" si="36"/>
        <v>28760.9218</v>
      </c>
      <c r="R1182" s="25">
        <f t="shared" si="37"/>
        <v>0</v>
      </c>
    </row>
    <row r="1183" spans="1:18" hidden="1" x14ac:dyDescent="0.25">
      <c r="A1183" s="26">
        <v>43258</v>
      </c>
      <c r="B1183" s="25" t="s">
        <v>644</v>
      </c>
      <c r="C1183" s="25" t="s">
        <v>23</v>
      </c>
      <c r="D1183" s="25">
        <v>1500</v>
      </c>
      <c r="E1183" s="25">
        <v>57.85</v>
      </c>
      <c r="F1183" s="25">
        <v>86775</v>
      </c>
      <c r="G1183" s="25" t="s">
        <v>647</v>
      </c>
      <c r="H1183" s="25">
        <v>2018108</v>
      </c>
      <c r="I1183" s="25" t="s">
        <v>19</v>
      </c>
      <c r="J1183" s="25" t="s">
        <v>20</v>
      </c>
      <c r="K1183" s="25" t="s">
        <v>25</v>
      </c>
      <c r="L1183" s="25">
        <v>22</v>
      </c>
      <c r="M1183" s="25">
        <v>2.6</v>
      </c>
      <c r="N1183" s="25">
        <v>0</v>
      </c>
      <c r="O1183" s="25">
        <v>51.67</v>
      </c>
      <c r="P1183" s="25">
        <v>76.273300000000006</v>
      </c>
      <c r="Q1183" s="25">
        <f t="shared" si="36"/>
        <v>0</v>
      </c>
      <c r="R1183" s="25">
        <f t="shared" si="37"/>
        <v>86698.726699999999</v>
      </c>
    </row>
    <row r="1184" spans="1:18" hidden="1" x14ac:dyDescent="0.25">
      <c r="A1184" s="26">
        <v>43257</v>
      </c>
      <c r="B1184" s="25" t="s">
        <v>282</v>
      </c>
      <c r="C1184" s="25" t="s">
        <v>17</v>
      </c>
      <c r="D1184" s="25">
        <v>100</v>
      </c>
      <c r="E1184" s="25">
        <v>600</v>
      </c>
      <c r="F1184" s="25">
        <v>60000</v>
      </c>
      <c r="G1184" s="25" t="s">
        <v>648</v>
      </c>
      <c r="H1184" s="25">
        <v>2018107</v>
      </c>
      <c r="I1184" s="25" t="s">
        <v>19</v>
      </c>
      <c r="J1184" s="25" t="s">
        <v>20</v>
      </c>
      <c r="K1184" s="25" t="s">
        <v>25</v>
      </c>
      <c r="L1184" s="25">
        <v>0</v>
      </c>
      <c r="M1184" s="25">
        <v>1.8</v>
      </c>
      <c r="N1184" s="25">
        <v>0</v>
      </c>
      <c r="O1184" s="25">
        <v>35.72</v>
      </c>
      <c r="P1184" s="25">
        <v>37.520000000000003</v>
      </c>
      <c r="Q1184" s="25">
        <f t="shared" si="36"/>
        <v>60037.52</v>
      </c>
      <c r="R1184" s="25">
        <f t="shared" si="37"/>
        <v>0</v>
      </c>
    </row>
    <row r="1185" spans="1:18" hidden="1" x14ac:dyDescent="0.25">
      <c r="A1185" s="26">
        <v>43257</v>
      </c>
      <c r="B1185" s="25" t="s">
        <v>282</v>
      </c>
      <c r="C1185" s="25" t="s">
        <v>17</v>
      </c>
      <c r="D1185" s="25">
        <v>150</v>
      </c>
      <c r="E1185" s="25">
        <v>603</v>
      </c>
      <c r="F1185" s="25">
        <v>90450</v>
      </c>
      <c r="G1185" s="25" t="s">
        <v>649</v>
      </c>
      <c r="H1185" s="25">
        <v>2018107</v>
      </c>
      <c r="I1185" s="25" t="s">
        <v>19</v>
      </c>
      <c r="J1185" s="25" t="s">
        <v>20</v>
      </c>
      <c r="K1185" s="25" t="s">
        <v>25</v>
      </c>
      <c r="L1185" s="25">
        <v>0</v>
      </c>
      <c r="M1185" s="25">
        <v>2.71</v>
      </c>
      <c r="N1185" s="25">
        <v>0</v>
      </c>
      <c r="O1185" s="25">
        <v>53.85</v>
      </c>
      <c r="P1185" s="25">
        <v>56.563499999999998</v>
      </c>
      <c r="Q1185" s="25">
        <f t="shared" si="36"/>
        <v>90506.563500000004</v>
      </c>
      <c r="R1185" s="25">
        <f t="shared" si="37"/>
        <v>0</v>
      </c>
    </row>
    <row r="1186" spans="1:18" hidden="1" x14ac:dyDescent="0.25">
      <c r="A1186" s="26">
        <v>43257</v>
      </c>
      <c r="B1186" s="25" t="s">
        <v>282</v>
      </c>
      <c r="C1186" s="25" t="s">
        <v>23</v>
      </c>
      <c r="D1186" s="25">
        <v>250</v>
      </c>
      <c r="E1186" s="25">
        <v>612</v>
      </c>
      <c r="F1186" s="25">
        <v>153000</v>
      </c>
      <c r="G1186" s="25" t="s">
        <v>650</v>
      </c>
      <c r="H1186" s="25">
        <v>2018107</v>
      </c>
      <c r="I1186" s="25" t="s">
        <v>19</v>
      </c>
      <c r="J1186" s="25" t="s">
        <v>20</v>
      </c>
      <c r="K1186" s="25" t="s">
        <v>25</v>
      </c>
      <c r="L1186" s="25">
        <v>37.93</v>
      </c>
      <c r="M1186" s="25">
        <v>4.59</v>
      </c>
      <c r="N1186" s="25">
        <v>0</v>
      </c>
      <c r="O1186" s="25">
        <v>91.1</v>
      </c>
      <c r="P1186" s="25">
        <v>133.62</v>
      </c>
      <c r="Q1186" s="25">
        <f t="shared" si="36"/>
        <v>0</v>
      </c>
      <c r="R1186" s="25">
        <f t="shared" si="37"/>
        <v>152866.38</v>
      </c>
    </row>
    <row r="1187" spans="1:18" hidden="1" x14ac:dyDescent="0.25">
      <c r="A1187" s="26">
        <v>43257</v>
      </c>
      <c r="B1187" s="25" t="s">
        <v>16</v>
      </c>
      <c r="C1187" s="25" t="s">
        <v>17</v>
      </c>
      <c r="D1187" s="25">
        <v>1500</v>
      </c>
      <c r="E1187" s="25">
        <v>68.150000000000006</v>
      </c>
      <c r="F1187" s="25">
        <v>102225</v>
      </c>
      <c r="G1187" s="25" t="s">
        <v>651</v>
      </c>
      <c r="H1187" s="25">
        <v>2018107</v>
      </c>
      <c r="I1187" s="25" t="s">
        <v>19</v>
      </c>
      <c r="J1187" s="25" t="s">
        <v>20</v>
      </c>
      <c r="K1187" s="25" t="s">
        <v>25</v>
      </c>
      <c r="L1187" s="25">
        <v>0</v>
      </c>
      <c r="M1187" s="25">
        <v>3.07</v>
      </c>
      <c r="N1187" s="25">
        <v>0</v>
      </c>
      <c r="O1187" s="25">
        <v>60.86</v>
      </c>
      <c r="P1187" s="25">
        <v>63.926699999999997</v>
      </c>
      <c r="Q1187" s="25">
        <f t="shared" si="36"/>
        <v>102288.9267</v>
      </c>
      <c r="R1187" s="25">
        <f t="shared" si="37"/>
        <v>0</v>
      </c>
    </row>
    <row r="1188" spans="1:18" hidden="1" x14ac:dyDescent="0.25">
      <c r="A1188" s="26">
        <v>43257</v>
      </c>
      <c r="B1188" s="25" t="s">
        <v>16</v>
      </c>
      <c r="C1188" s="25" t="s">
        <v>23</v>
      </c>
      <c r="D1188" s="25">
        <v>1500</v>
      </c>
      <c r="E1188" s="25">
        <v>66.67</v>
      </c>
      <c r="F1188" s="25">
        <v>99997.9</v>
      </c>
      <c r="G1188" s="25" t="s">
        <v>652</v>
      </c>
      <c r="H1188" s="25">
        <v>2018107</v>
      </c>
      <c r="I1188" s="25" t="s">
        <v>19</v>
      </c>
      <c r="J1188" s="25" t="s">
        <v>20</v>
      </c>
      <c r="K1188" s="25" t="s">
        <v>25</v>
      </c>
      <c r="L1188" s="25">
        <v>25.1</v>
      </c>
      <c r="M1188" s="25">
        <v>3</v>
      </c>
      <c r="N1188" s="25">
        <v>20.100000000000001</v>
      </c>
      <c r="O1188" s="25">
        <v>59.54</v>
      </c>
      <c r="P1188" s="25">
        <v>107.73990000000001</v>
      </c>
      <c r="Q1188" s="25">
        <f t="shared" si="36"/>
        <v>0</v>
      </c>
      <c r="R1188" s="25">
        <f t="shared" si="37"/>
        <v>99890.160099999994</v>
      </c>
    </row>
    <row r="1189" spans="1:18" hidden="1" x14ac:dyDescent="0.25">
      <c r="A1189" s="26">
        <v>43257</v>
      </c>
      <c r="B1189" s="25" t="s">
        <v>433</v>
      </c>
      <c r="C1189" s="25" t="s">
        <v>17</v>
      </c>
      <c r="D1189" s="25">
        <v>5000</v>
      </c>
      <c r="E1189" s="25">
        <v>15.85</v>
      </c>
      <c r="F1189" s="25">
        <v>79250</v>
      </c>
      <c r="G1189" s="25" t="s">
        <v>653</v>
      </c>
      <c r="H1189" s="25">
        <v>2018107</v>
      </c>
      <c r="I1189" s="25" t="s">
        <v>19</v>
      </c>
      <c r="J1189" s="25" t="s">
        <v>20</v>
      </c>
      <c r="K1189" s="25" t="s">
        <v>25</v>
      </c>
      <c r="L1189" s="25">
        <v>0</v>
      </c>
      <c r="M1189" s="25">
        <v>2.38</v>
      </c>
      <c r="N1189" s="25">
        <v>0</v>
      </c>
      <c r="O1189" s="25">
        <v>47.19</v>
      </c>
      <c r="P1189" s="25">
        <v>49.567500000000003</v>
      </c>
      <c r="Q1189" s="25">
        <f t="shared" si="36"/>
        <v>79299.567500000005</v>
      </c>
      <c r="R1189" s="25">
        <f t="shared" si="37"/>
        <v>0</v>
      </c>
    </row>
    <row r="1190" spans="1:18" hidden="1" x14ac:dyDescent="0.25">
      <c r="A1190" s="26">
        <v>43257</v>
      </c>
      <c r="B1190" s="25" t="s">
        <v>433</v>
      </c>
      <c r="C1190" s="25" t="s">
        <v>23</v>
      </c>
      <c r="D1190" s="25">
        <v>5000</v>
      </c>
      <c r="E1190" s="25">
        <v>16.100000000000001</v>
      </c>
      <c r="F1190" s="25">
        <v>80500</v>
      </c>
      <c r="G1190" s="25" t="s">
        <v>654</v>
      </c>
      <c r="H1190" s="25">
        <v>2018107</v>
      </c>
      <c r="I1190" s="25" t="s">
        <v>19</v>
      </c>
      <c r="J1190" s="25" t="s">
        <v>20</v>
      </c>
      <c r="K1190" s="25" t="s">
        <v>25</v>
      </c>
      <c r="L1190" s="25">
        <v>19.97</v>
      </c>
      <c r="M1190" s="25">
        <v>2.42</v>
      </c>
      <c r="N1190" s="25">
        <v>0</v>
      </c>
      <c r="O1190" s="25">
        <v>47.93</v>
      </c>
      <c r="P1190" s="25">
        <v>70.315100000000001</v>
      </c>
      <c r="Q1190" s="25">
        <f t="shared" si="36"/>
        <v>0</v>
      </c>
      <c r="R1190" s="25">
        <f t="shared" si="37"/>
        <v>80429.684899999993</v>
      </c>
    </row>
    <row r="1191" spans="1:18" hidden="1" x14ac:dyDescent="0.25">
      <c r="A1191" s="26">
        <v>43256</v>
      </c>
      <c r="B1191" s="25" t="s">
        <v>256</v>
      </c>
      <c r="C1191" s="25" t="s">
        <v>17</v>
      </c>
      <c r="D1191" s="25">
        <v>100</v>
      </c>
      <c r="E1191" s="25">
        <v>130</v>
      </c>
      <c r="F1191" s="25">
        <v>13000</v>
      </c>
      <c r="G1191" s="25" t="s">
        <v>490</v>
      </c>
      <c r="H1191" s="25">
        <v>2018106</v>
      </c>
      <c r="I1191" s="25" t="s">
        <v>19</v>
      </c>
      <c r="J1191" s="25" t="s">
        <v>20</v>
      </c>
      <c r="K1191" s="25" t="s">
        <v>25</v>
      </c>
      <c r="L1191" s="25">
        <v>0</v>
      </c>
      <c r="M1191" s="25">
        <v>0.39</v>
      </c>
      <c r="N1191" s="25">
        <v>0</v>
      </c>
      <c r="O1191" s="25">
        <v>29.57</v>
      </c>
      <c r="P1191" s="25">
        <v>29.96</v>
      </c>
      <c r="Q1191" s="25">
        <f t="shared" si="36"/>
        <v>13029.96</v>
      </c>
      <c r="R1191" s="25">
        <f t="shared" si="37"/>
        <v>0</v>
      </c>
    </row>
    <row r="1192" spans="1:18" hidden="1" x14ac:dyDescent="0.25">
      <c r="A1192" s="26">
        <v>43256</v>
      </c>
      <c r="B1192" s="25" t="s">
        <v>256</v>
      </c>
      <c r="C1192" s="25" t="s">
        <v>17</v>
      </c>
      <c r="D1192" s="25">
        <v>150</v>
      </c>
      <c r="E1192" s="25">
        <v>130.5</v>
      </c>
      <c r="F1192" s="25">
        <v>19575</v>
      </c>
      <c r="G1192" s="25" t="s">
        <v>491</v>
      </c>
      <c r="H1192" s="25">
        <v>2018106</v>
      </c>
      <c r="I1192" s="25" t="s">
        <v>19</v>
      </c>
      <c r="J1192" s="25" t="s">
        <v>20</v>
      </c>
      <c r="K1192" s="25" t="s">
        <v>25</v>
      </c>
      <c r="L1192" s="25">
        <v>0</v>
      </c>
      <c r="M1192" s="25">
        <v>0.59</v>
      </c>
      <c r="N1192" s="25">
        <v>0</v>
      </c>
      <c r="O1192" s="25">
        <v>29.61</v>
      </c>
      <c r="P1192" s="25">
        <v>30.197299999999998</v>
      </c>
      <c r="Q1192" s="25">
        <f t="shared" si="36"/>
        <v>19605.1973</v>
      </c>
      <c r="R1192" s="25">
        <f t="shared" si="37"/>
        <v>0</v>
      </c>
    </row>
    <row r="1193" spans="1:18" hidden="1" x14ac:dyDescent="0.25">
      <c r="A1193" s="26">
        <v>43256</v>
      </c>
      <c r="B1193" s="25" t="s">
        <v>256</v>
      </c>
      <c r="C1193" s="25" t="s">
        <v>17</v>
      </c>
      <c r="D1193" s="25">
        <v>250</v>
      </c>
      <c r="E1193" s="25">
        <v>133</v>
      </c>
      <c r="F1193" s="25">
        <v>33250</v>
      </c>
      <c r="G1193" s="25" t="s">
        <v>492</v>
      </c>
      <c r="H1193" s="25">
        <v>2018106</v>
      </c>
      <c r="I1193" s="25" t="s">
        <v>19</v>
      </c>
      <c r="J1193" s="25" t="s">
        <v>20</v>
      </c>
      <c r="K1193" s="25" t="s">
        <v>25</v>
      </c>
      <c r="L1193" s="25">
        <v>0</v>
      </c>
      <c r="M1193" s="25">
        <v>1</v>
      </c>
      <c r="N1193" s="25">
        <v>0</v>
      </c>
      <c r="O1193" s="25">
        <v>29.68</v>
      </c>
      <c r="P1193" s="25">
        <v>30.677600000000002</v>
      </c>
      <c r="Q1193" s="25">
        <f t="shared" si="36"/>
        <v>33280.677600000003</v>
      </c>
      <c r="R1193" s="25">
        <f t="shared" si="37"/>
        <v>0</v>
      </c>
    </row>
    <row r="1194" spans="1:18" hidden="1" x14ac:dyDescent="0.25">
      <c r="A1194" s="26">
        <v>43256</v>
      </c>
      <c r="B1194" s="25" t="s">
        <v>256</v>
      </c>
      <c r="C1194" s="25" t="s">
        <v>23</v>
      </c>
      <c r="D1194" s="25">
        <v>500</v>
      </c>
      <c r="E1194" s="25">
        <v>133</v>
      </c>
      <c r="F1194" s="25">
        <v>66500</v>
      </c>
      <c r="G1194" s="25" t="s">
        <v>493</v>
      </c>
      <c r="H1194" s="25">
        <v>2018106</v>
      </c>
      <c r="I1194" s="25" t="s">
        <v>19</v>
      </c>
      <c r="J1194" s="25" t="s">
        <v>20</v>
      </c>
      <c r="K1194" s="25" t="s">
        <v>25</v>
      </c>
      <c r="L1194" s="25">
        <v>16.5</v>
      </c>
      <c r="M1194" s="25">
        <v>2</v>
      </c>
      <c r="N1194" s="25">
        <v>0</v>
      </c>
      <c r="O1194" s="25">
        <v>39.590000000000003</v>
      </c>
      <c r="P1194" s="25">
        <v>58.085099999999997</v>
      </c>
      <c r="Q1194" s="25">
        <f t="shared" si="36"/>
        <v>0</v>
      </c>
      <c r="R1194" s="25">
        <f t="shared" si="37"/>
        <v>66441.914900000003</v>
      </c>
    </row>
    <row r="1195" spans="1:18" hidden="1" x14ac:dyDescent="0.25">
      <c r="A1195" s="26">
        <v>43256</v>
      </c>
      <c r="B1195" s="25" t="s">
        <v>256</v>
      </c>
      <c r="C1195" s="25" t="s">
        <v>17</v>
      </c>
      <c r="D1195" s="25">
        <v>500</v>
      </c>
      <c r="E1195" s="25">
        <v>132</v>
      </c>
      <c r="F1195" s="25">
        <v>66000</v>
      </c>
      <c r="G1195" s="25" t="s">
        <v>494</v>
      </c>
      <c r="H1195" s="25">
        <v>2018106</v>
      </c>
      <c r="I1195" s="25" t="s">
        <v>19</v>
      </c>
      <c r="J1195" s="25" t="s">
        <v>20</v>
      </c>
      <c r="K1195" s="25" t="s">
        <v>25</v>
      </c>
      <c r="L1195" s="25">
        <v>0</v>
      </c>
      <c r="M1195" s="25">
        <v>1.98</v>
      </c>
      <c r="N1195" s="25">
        <v>0</v>
      </c>
      <c r="O1195" s="25">
        <v>39.299999999999997</v>
      </c>
      <c r="P1195" s="25">
        <v>41.28</v>
      </c>
      <c r="Q1195" s="25">
        <f t="shared" si="36"/>
        <v>66041.279999999999</v>
      </c>
      <c r="R1195" s="25">
        <f t="shared" si="37"/>
        <v>0</v>
      </c>
    </row>
    <row r="1196" spans="1:18" hidden="1" x14ac:dyDescent="0.25">
      <c r="A1196" s="26">
        <v>43256</v>
      </c>
      <c r="B1196" s="25" t="s">
        <v>256</v>
      </c>
      <c r="C1196" s="25" t="s">
        <v>23</v>
      </c>
      <c r="D1196" s="25">
        <v>500</v>
      </c>
      <c r="E1196" s="25">
        <v>131.5</v>
      </c>
      <c r="F1196" s="25">
        <v>65750</v>
      </c>
      <c r="G1196" s="25" t="s">
        <v>495</v>
      </c>
      <c r="H1196" s="25">
        <v>2018106</v>
      </c>
      <c r="I1196" s="25" t="s">
        <v>19</v>
      </c>
      <c r="J1196" s="25" t="s">
        <v>20</v>
      </c>
      <c r="K1196" s="25" t="s">
        <v>25</v>
      </c>
      <c r="L1196" s="25">
        <v>16.5</v>
      </c>
      <c r="M1196" s="25">
        <v>1.97</v>
      </c>
      <c r="N1196" s="25">
        <v>0</v>
      </c>
      <c r="O1196" s="25">
        <v>39.15</v>
      </c>
      <c r="P1196" s="25">
        <v>57.622500000000002</v>
      </c>
      <c r="Q1196" s="25">
        <f t="shared" si="36"/>
        <v>0</v>
      </c>
      <c r="R1196" s="25">
        <f t="shared" si="37"/>
        <v>65692.377500000002</v>
      </c>
    </row>
    <row r="1197" spans="1:18" hidden="1" x14ac:dyDescent="0.25">
      <c r="A1197" s="26">
        <v>43256</v>
      </c>
      <c r="B1197" s="25" t="s">
        <v>16</v>
      </c>
      <c r="C1197" s="25" t="s">
        <v>17</v>
      </c>
      <c r="D1197" s="25">
        <v>1000</v>
      </c>
      <c r="E1197" s="25">
        <v>67.28</v>
      </c>
      <c r="F1197" s="25">
        <v>67284.899999999994</v>
      </c>
      <c r="G1197" s="25" t="s">
        <v>496</v>
      </c>
      <c r="H1197" s="25">
        <v>2018106</v>
      </c>
      <c r="I1197" s="25" t="s">
        <v>19</v>
      </c>
      <c r="J1197" s="25" t="s">
        <v>20</v>
      </c>
      <c r="K1197" s="25" t="s">
        <v>25</v>
      </c>
      <c r="L1197" s="25">
        <v>0</v>
      </c>
      <c r="M1197" s="25">
        <v>2.02</v>
      </c>
      <c r="N1197" s="25">
        <v>0</v>
      </c>
      <c r="O1197" s="25">
        <v>40.06</v>
      </c>
      <c r="P1197" s="25">
        <v>42.078600000000002</v>
      </c>
      <c r="Q1197" s="25">
        <f t="shared" si="36"/>
        <v>67326.978599999988</v>
      </c>
      <c r="R1197" s="25">
        <f t="shared" si="37"/>
        <v>0</v>
      </c>
    </row>
    <row r="1198" spans="1:18" hidden="1" x14ac:dyDescent="0.25">
      <c r="A1198" s="26">
        <v>43256</v>
      </c>
      <c r="B1198" s="25" t="s">
        <v>16</v>
      </c>
      <c r="C1198" s="25" t="s">
        <v>17</v>
      </c>
      <c r="D1198" s="25">
        <v>1000</v>
      </c>
      <c r="E1198" s="25">
        <v>66.5</v>
      </c>
      <c r="F1198" s="25">
        <v>66500</v>
      </c>
      <c r="G1198" s="25" t="s">
        <v>497</v>
      </c>
      <c r="H1198" s="25">
        <v>2018106</v>
      </c>
      <c r="I1198" s="25" t="s">
        <v>19</v>
      </c>
      <c r="J1198" s="25" t="s">
        <v>20</v>
      </c>
      <c r="K1198" s="25" t="s">
        <v>25</v>
      </c>
      <c r="L1198" s="25">
        <v>0</v>
      </c>
      <c r="M1198" s="25">
        <v>2</v>
      </c>
      <c r="N1198" s="25">
        <v>0</v>
      </c>
      <c r="O1198" s="25">
        <v>39.590000000000003</v>
      </c>
      <c r="P1198" s="25">
        <v>41.585099999999997</v>
      </c>
      <c r="Q1198" s="25">
        <f t="shared" si="36"/>
        <v>66541.585099999997</v>
      </c>
      <c r="R1198" s="25">
        <f t="shared" si="37"/>
        <v>0</v>
      </c>
    </row>
    <row r="1199" spans="1:18" hidden="1" x14ac:dyDescent="0.25">
      <c r="A1199" s="26">
        <v>43256</v>
      </c>
      <c r="B1199" s="25" t="s">
        <v>282</v>
      </c>
      <c r="C1199" s="25" t="s">
        <v>17</v>
      </c>
      <c r="D1199" s="25">
        <v>100</v>
      </c>
      <c r="E1199" s="25">
        <v>591.64</v>
      </c>
      <c r="F1199" s="25">
        <v>59164.1</v>
      </c>
      <c r="G1199" s="25" t="s">
        <v>498</v>
      </c>
      <c r="H1199" s="25">
        <v>2018106</v>
      </c>
      <c r="I1199" s="25" t="s">
        <v>19</v>
      </c>
      <c r="J1199" s="25" t="s">
        <v>1634</v>
      </c>
      <c r="K1199" s="25" t="s">
        <v>25</v>
      </c>
      <c r="L1199" s="25">
        <v>0</v>
      </c>
      <c r="M1199" s="25">
        <v>1.78</v>
      </c>
      <c r="N1199" s="25">
        <v>34.200000000000003</v>
      </c>
      <c r="O1199" s="25">
        <v>35.229999999999997</v>
      </c>
      <c r="P1199" s="25">
        <v>71.204999999999998</v>
      </c>
      <c r="Q1199" s="25">
        <f t="shared" si="36"/>
        <v>59235.305</v>
      </c>
      <c r="R1199" s="25">
        <f t="shared" si="37"/>
        <v>0</v>
      </c>
    </row>
    <row r="1200" spans="1:18" hidden="1" x14ac:dyDescent="0.25">
      <c r="A1200" s="26">
        <v>43256</v>
      </c>
      <c r="B1200" s="25" t="s">
        <v>282</v>
      </c>
      <c r="C1200" s="25" t="s">
        <v>23</v>
      </c>
      <c r="D1200" s="25">
        <v>100</v>
      </c>
      <c r="E1200" s="25">
        <v>605</v>
      </c>
      <c r="F1200" s="25">
        <v>60500</v>
      </c>
      <c r="G1200" s="25" t="s">
        <v>499</v>
      </c>
      <c r="H1200" s="25">
        <v>2018106</v>
      </c>
      <c r="I1200" s="25" t="s">
        <v>19</v>
      </c>
      <c r="J1200" s="25" t="s">
        <v>1634</v>
      </c>
      <c r="K1200" s="25" t="s">
        <v>25</v>
      </c>
      <c r="L1200" s="25">
        <v>15.15</v>
      </c>
      <c r="M1200" s="25">
        <v>1.82</v>
      </c>
      <c r="N1200" s="25">
        <v>0</v>
      </c>
      <c r="O1200" s="25">
        <v>36.020000000000003</v>
      </c>
      <c r="P1200" s="25">
        <v>52.985100000000003</v>
      </c>
      <c r="Q1200" s="25">
        <f t="shared" si="36"/>
        <v>0</v>
      </c>
      <c r="R1200" s="25">
        <f t="shared" si="37"/>
        <v>60447.014900000002</v>
      </c>
    </row>
    <row r="1201" spans="1:18" hidden="1" x14ac:dyDescent="0.25">
      <c r="A1201" s="26">
        <v>43256</v>
      </c>
      <c r="B1201" s="25" t="s">
        <v>16</v>
      </c>
      <c r="C1201" s="25" t="s">
        <v>23</v>
      </c>
      <c r="D1201" s="25">
        <v>2000</v>
      </c>
      <c r="E1201" s="25">
        <v>67.099999999999994</v>
      </c>
      <c r="F1201" s="25">
        <v>134200</v>
      </c>
      <c r="G1201" s="25" t="s">
        <v>500</v>
      </c>
      <c r="H1201" s="25">
        <v>2018106</v>
      </c>
      <c r="I1201" s="25" t="s">
        <v>19</v>
      </c>
      <c r="J1201" s="25" t="s">
        <v>20</v>
      </c>
      <c r="K1201" s="25" t="s">
        <v>25</v>
      </c>
      <c r="L1201" s="25">
        <v>33.5</v>
      </c>
      <c r="M1201" s="25">
        <v>4.03</v>
      </c>
      <c r="N1201" s="25">
        <v>0</v>
      </c>
      <c r="O1201" s="25">
        <v>79.91</v>
      </c>
      <c r="P1201" s="25">
        <v>117.4362</v>
      </c>
      <c r="Q1201" s="25">
        <f t="shared" si="36"/>
        <v>0</v>
      </c>
      <c r="R1201" s="25">
        <f t="shared" si="37"/>
        <v>134082.5638</v>
      </c>
    </row>
    <row r="1202" spans="1:18" hidden="1" x14ac:dyDescent="0.25">
      <c r="A1202" s="26">
        <v>43256</v>
      </c>
      <c r="B1202" s="25" t="s">
        <v>282</v>
      </c>
      <c r="C1202" s="25" t="s">
        <v>17</v>
      </c>
      <c r="D1202" s="25">
        <v>150</v>
      </c>
      <c r="E1202" s="25">
        <v>602.95000000000005</v>
      </c>
      <c r="F1202" s="25">
        <v>90442.5</v>
      </c>
      <c r="G1202" s="25" t="s">
        <v>501</v>
      </c>
      <c r="H1202" s="25">
        <v>2018106</v>
      </c>
      <c r="I1202" s="25" t="s">
        <v>19</v>
      </c>
      <c r="J1202" s="25" t="s">
        <v>1634</v>
      </c>
      <c r="K1202" s="25" t="s">
        <v>25</v>
      </c>
      <c r="L1202" s="25">
        <v>0</v>
      </c>
      <c r="M1202" s="25">
        <v>2.71</v>
      </c>
      <c r="N1202" s="25">
        <v>0</v>
      </c>
      <c r="O1202" s="25">
        <v>53.85</v>
      </c>
      <c r="P1202" s="25">
        <v>56.563299999999998</v>
      </c>
      <c r="Q1202" s="25">
        <f t="shared" si="36"/>
        <v>90499.063299999994</v>
      </c>
      <c r="R1202" s="25">
        <f t="shared" si="37"/>
        <v>0</v>
      </c>
    </row>
    <row r="1203" spans="1:18" hidden="1" x14ac:dyDescent="0.25">
      <c r="A1203" s="26">
        <v>43256</v>
      </c>
      <c r="B1203" s="25" t="s">
        <v>282</v>
      </c>
      <c r="C1203" s="25" t="s">
        <v>17</v>
      </c>
      <c r="D1203" s="25">
        <v>100</v>
      </c>
      <c r="E1203" s="25">
        <v>605</v>
      </c>
      <c r="F1203" s="25">
        <v>60500</v>
      </c>
      <c r="G1203" s="25" t="s">
        <v>502</v>
      </c>
      <c r="H1203" s="25">
        <v>2018106</v>
      </c>
      <c r="I1203" s="25" t="s">
        <v>19</v>
      </c>
      <c r="J1203" s="25" t="s">
        <v>1634</v>
      </c>
      <c r="K1203" s="25" t="s">
        <v>25</v>
      </c>
      <c r="L1203" s="25">
        <v>0</v>
      </c>
      <c r="M1203" s="25">
        <v>1.82</v>
      </c>
      <c r="N1203" s="25">
        <v>0</v>
      </c>
      <c r="O1203" s="25">
        <v>36.020000000000003</v>
      </c>
      <c r="P1203" s="25">
        <v>37.835099999999997</v>
      </c>
      <c r="Q1203" s="25">
        <f t="shared" si="36"/>
        <v>60537.835099999997</v>
      </c>
      <c r="R1203" s="25">
        <f t="shared" si="37"/>
        <v>0</v>
      </c>
    </row>
    <row r="1204" spans="1:18" hidden="1" x14ac:dyDescent="0.25">
      <c r="A1204" s="26">
        <v>43256</v>
      </c>
      <c r="B1204" s="25" t="s">
        <v>282</v>
      </c>
      <c r="C1204" s="25" t="s">
        <v>17</v>
      </c>
      <c r="D1204" s="25">
        <v>100</v>
      </c>
      <c r="E1204" s="25">
        <v>602</v>
      </c>
      <c r="F1204" s="25">
        <v>60200</v>
      </c>
      <c r="G1204" s="25" t="s">
        <v>503</v>
      </c>
      <c r="H1204" s="25">
        <v>2018106</v>
      </c>
      <c r="I1204" s="25" t="s">
        <v>19</v>
      </c>
      <c r="J1204" s="25" t="s">
        <v>1634</v>
      </c>
      <c r="K1204" s="25" t="s">
        <v>25</v>
      </c>
      <c r="L1204" s="25">
        <v>0</v>
      </c>
      <c r="M1204" s="25">
        <v>1.81</v>
      </c>
      <c r="N1204" s="25">
        <v>0</v>
      </c>
      <c r="O1204" s="25">
        <v>35.840000000000003</v>
      </c>
      <c r="P1204" s="25">
        <v>37.646000000000001</v>
      </c>
      <c r="Q1204" s="25">
        <f t="shared" si="36"/>
        <v>60237.646000000001</v>
      </c>
      <c r="R1204" s="25">
        <f t="shared" si="37"/>
        <v>0</v>
      </c>
    </row>
    <row r="1205" spans="1:18" hidden="1" x14ac:dyDescent="0.25">
      <c r="A1205" s="26">
        <v>43256</v>
      </c>
      <c r="B1205" s="25" t="s">
        <v>282</v>
      </c>
      <c r="C1205" s="25" t="s">
        <v>23</v>
      </c>
      <c r="D1205" s="25">
        <v>350</v>
      </c>
      <c r="E1205" s="25">
        <v>612</v>
      </c>
      <c r="F1205" s="25">
        <v>214200</v>
      </c>
      <c r="G1205" s="25" t="s">
        <v>504</v>
      </c>
      <c r="H1205" s="25">
        <v>2018106</v>
      </c>
      <c r="I1205" s="25" t="s">
        <v>19</v>
      </c>
      <c r="J1205" s="25" t="s">
        <v>1634</v>
      </c>
      <c r="K1205" s="25" t="s">
        <v>25</v>
      </c>
      <c r="L1205" s="25">
        <v>53.03</v>
      </c>
      <c r="M1205" s="25">
        <v>6.43</v>
      </c>
      <c r="N1205" s="25">
        <v>0</v>
      </c>
      <c r="O1205" s="25">
        <v>127.53</v>
      </c>
      <c r="P1205" s="25">
        <v>186.98599999999999</v>
      </c>
      <c r="Q1205" s="25">
        <f t="shared" si="36"/>
        <v>0</v>
      </c>
      <c r="R1205" s="25">
        <f t="shared" si="37"/>
        <v>214013.014</v>
      </c>
    </row>
    <row r="1206" spans="1:18" hidden="1" x14ac:dyDescent="0.25">
      <c r="A1206" s="26">
        <v>43256</v>
      </c>
      <c r="B1206" s="25" t="s">
        <v>282</v>
      </c>
      <c r="C1206" s="25" t="s">
        <v>17</v>
      </c>
      <c r="D1206" s="25">
        <v>100</v>
      </c>
      <c r="E1206" s="25">
        <v>611</v>
      </c>
      <c r="F1206" s="25">
        <v>61100</v>
      </c>
      <c r="G1206" s="25" t="s">
        <v>505</v>
      </c>
      <c r="H1206" s="25">
        <v>2018106</v>
      </c>
      <c r="I1206" s="25" t="s">
        <v>19</v>
      </c>
      <c r="J1206" s="25" t="s">
        <v>1634</v>
      </c>
      <c r="K1206" s="25" t="s">
        <v>25</v>
      </c>
      <c r="L1206" s="25">
        <v>60.31</v>
      </c>
      <c r="M1206" s="25">
        <v>1.83</v>
      </c>
      <c r="N1206" s="25">
        <v>0</v>
      </c>
      <c r="O1206" s="25">
        <v>396.87</v>
      </c>
      <c r="P1206" s="25">
        <v>459.01310000000001</v>
      </c>
      <c r="Q1206" s="25">
        <f t="shared" si="36"/>
        <v>61559.013099999996</v>
      </c>
      <c r="R1206" s="25">
        <f t="shared" si="37"/>
        <v>0</v>
      </c>
    </row>
    <row r="1207" spans="1:18" hidden="1" x14ac:dyDescent="0.25">
      <c r="A1207" s="26">
        <v>43255</v>
      </c>
      <c r="B1207" s="25" t="s">
        <v>29</v>
      </c>
      <c r="C1207" s="25" t="s">
        <v>17</v>
      </c>
      <c r="D1207" s="25">
        <v>2500</v>
      </c>
      <c r="E1207" s="25">
        <v>16.75</v>
      </c>
      <c r="F1207" s="25">
        <v>41875</v>
      </c>
      <c r="G1207" s="25" t="s">
        <v>506</v>
      </c>
      <c r="H1207" s="25">
        <v>2018105</v>
      </c>
      <c r="I1207" s="25" t="s">
        <v>19</v>
      </c>
      <c r="J1207" s="25" t="s">
        <v>20</v>
      </c>
      <c r="K1207" s="25" t="s">
        <v>25</v>
      </c>
      <c r="L1207" s="25">
        <v>0</v>
      </c>
      <c r="M1207" s="25">
        <v>1.26</v>
      </c>
      <c r="N1207" s="25">
        <v>5.0999999999999996</v>
      </c>
      <c r="O1207" s="25">
        <v>29.73</v>
      </c>
      <c r="P1207" s="25">
        <v>36.086199999999998</v>
      </c>
      <c r="Q1207" s="25">
        <f t="shared" si="36"/>
        <v>41911.086199999998</v>
      </c>
      <c r="R1207" s="25">
        <f t="shared" si="37"/>
        <v>0</v>
      </c>
    </row>
    <row r="1208" spans="1:18" hidden="1" x14ac:dyDescent="0.25">
      <c r="A1208" s="26">
        <v>43255</v>
      </c>
      <c r="B1208" s="25" t="s">
        <v>29</v>
      </c>
      <c r="C1208" s="25" t="s">
        <v>17</v>
      </c>
      <c r="D1208" s="25">
        <v>2500</v>
      </c>
      <c r="E1208" s="25">
        <v>16.899999999999999</v>
      </c>
      <c r="F1208" s="25">
        <v>42250</v>
      </c>
      <c r="G1208" s="25" t="s">
        <v>507</v>
      </c>
      <c r="H1208" s="25">
        <v>2018105</v>
      </c>
      <c r="I1208" s="25" t="s">
        <v>19</v>
      </c>
      <c r="J1208" s="25" t="s">
        <v>20</v>
      </c>
      <c r="K1208" s="25" t="s">
        <v>25</v>
      </c>
      <c r="L1208" s="25">
        <v>0</v>
      </c>
      <c r="M1208" s="25">
        <v>1.27</v>
      </c>
      <c r="N1208" s="25">
        <v>0</v>
      </c>
      <c r="O1208" s="25">
        <v>29.72</v>
      </c>
      <c r="P1208" s="25">
        <v>30.987500000000001</v>
      </c>
      <c r="Q1208" s="25">
        <f t="shared" si="36"/>
        <v>42280.987500000003</v>
      </c>
      <c r="R1208" s="25">
        <f t="shared" si="37"/>
        <v>0</v>
      </c>
    </row>
    <row r="1209" spans="1:18" hidden="1" x14ac:dyDescent="0.25">
      <c r="A1209" s="26">
        <v>43255</v>
      </c>
      <c r="B1209" s="25" t="s">
        <v>29</v>
      </c>
      <c r="C1209" s="25" t="s">
        <v>23</v>
      </c>
      <c r="D1209" s="25">
        <v>5000</v>
      </c>
      <c r="E1209" s="25">
        <v>16.399999999999999</v>
      </c>
      <c r="F1209" s="25">
        <v>82000</v>
      </c>
      <c r="G1209" s="25" t="s">
        <v>508</v>
      </c>
      <c r="H1209" s="25">
        <v>2018105</v>
      </c>
      <c r="I1209" s="25" t="s">
        <v>19</v>
      </c>
      <c r="J1209" s="25" t="s">
        <v>20</v>
      </c>
      <c r="K1209" s="25" t="s">
        <v>25</v>
      </c>
      <c r="L1209" s="25">
        <v>21</v>
      </c>
      <c r="M1209" s="25">
        <v>2.46</v>
      </c>
      <c r="N1209" s="25">
        <v>0</v>
      </c>
      <c r="O1209" s="25">
        <v>48.83</v>
      </c>
      <c r="P1209" s="25">
        <v>72.290000000000006</v>
      </c>
      <c r="Q1209" s="25">
        <f t="shared" si="36"/>
        <v>0</v>
      </c>
      <c r="R1209" s="25">
        <f t="shared" si="37"/>
        <v>81927.710000000006</v>
      </c>
    </row>
    <row r="1210" spans="1:18" hidden="1" x14ac:dyDescent="0.25">
      <c r="A1210" s="26">
        <v>43252</v>
      </c>
      <c r="B1210" s="25" t="s">
        <v>29</v>
      </c>
      <c r="C1210" s="25" t="s">
        <v>17</v>
      </c>
      <c r="D1210" s="25">
        <v>5000</v>
      </c>
      <c r="E1210" s="25">
        <v>16</v>
      </c>
      <c r="F1210" s="25">
        <v>80000</v>
      </c>
      <c r="G1210" s="25" t="s">
        <v>425</v>
      </c>
      <c r="H1210" s="25">
        <v>2018104</v>
      </c>
      <c r="I1210" s="25" t="s">
        <v>19</v>
      </c>
      <c r="J1210" s="25" t="s">
        <v>20</v>
      </c>
      <c r="K1210" s="25" t="s">
        <v>25</v>
      </c>
      <c r="L1210" s="25">
        <v>0</v>
      </c>
      <c r="M1210" s="25">
        <v>2.4</v>
      </c>
      <c r="N1210" s="25">
        <v>0</v>
      </c>
      <c r="O1210" s="25">
        <v>47.63</v>
      </c>
      <c r="P1210" s="25">
        <v>50.03</v>
      </c>
      <c r="Q1210" s="25">
        <f t="shared" si="36"/>
        <v>80050.03</v>
      </c>
      <c r="R1210" s="25">
        <f t="shared" si="37"/>
        <v>0</v>
      </c>
    </row>
    <row r="1211" spans="1:18" hidden="1" x14ac:dyDescent="0.25">
      <c r="A1211" s="26">
        <v>43252</v>
      </c>
      <c r="B1211" s="25" t="s">
        <v>29</v>
      </c>
      <c r="C1211" s="25" t="s">
        <v>23</v>
      </c>
      <c r="D1211" s="25">
        <v>5000</v>
      </c>
      <c r="E1211" s="25">
        <v>16.25</v>
      </c>
      <c r="F1211" s="25">
        <v>81250</v>
      </c>
      <c r="G1211" s="25" t="s">
        <v>426</v>
      </c>
      <c r="H1211" s="25">
        <v>2018104</v>
      </c>
      <c r="I1211" s="25" t="s">
        <v>19</v>
      </c>
      <c r="J1211" s="25" t="s">
        <v>20</v>
      </c>
      <c r="K1211" s="25" t="s">
        <v>25</v>
      </c>
      <c r="L1211" s="25">
        <v>20</v>
      </c>
      <c r="M1211" s="25">
        <v>2.44</v>
      </c>
      <c r="N1211" s="25">
        <v>5.0999999999999996</v>
      </c>
      <c r="O1211" s="25">
        <v>48.38</v>
      </c>
      <c r="P1211" s="25">
        <v>75.917500000000004</v>
      </c>
      <c r="Q1211" s="25">
        <f t="shared" si="36"/>
        <v>0</v>
      </c>
      <c r="R1211" s="25">
        <f t="shared" si="37"/>
        <v>81174.082500000004</v>
      </c>
    </row>
    <row r="1212" spans="1:18" hidden="1" x14ac:dyDescent="0.25">
      <c r="A1212" s="26">
        <v>43251</v>
      </c>
      <c r="B1212" s="25" t="s">
        <v>179</v>
      </c>
      <c r="C1212" s="25" t="s">
        <v>17</v>
      </c>
      <c r="D1212" s="25">
        <v>1000</v>
      </c>
      <c r="E1212" s="25">
        <v>64.599999999999994</v>
      </c>
      <c r="F1212" s="25">
        <v>64600</v>
      </c>
      <c r="G1212" s="25" t="s">
        <v>427</v>
      </c>
      <c r="H1212" s="25">
        <v>2018103</v>
      </c>
      <c r="I1212" s="25" t="s">
        <v>19</v>
      </c>
      <c r="J1212" s="25" t="s">
        <v>20</v>
      </c>
      <c r="K1212" s="25" t="s">
        <v>25</v>
      </c>
      <c r="L1212" s="25">
        <v>0</v>
      </c>
      <c r="M1212" s="25">
        <v>1.94</v>
      </c>
      <c r="N1212" s="25">
        <v>0</v>
      </c>
      <c r="O1212" s="25">
        <v>38.46</v>
      </c>
      <c r="P1212" s="25">
        <v>40.398000000000003</v>
      </c>
      <c r="Q1212" s="25">
        <f t="shared" si="36"/>
        <v>64640.398000000001</v>
      </c>
      <c r="R1212" s="25">
        <f t="shared" si="37"/>
        <v>0</v>
      </c>
    </row>
    <row r="1213" spans="1:18" hidden="1" x14ac:dyDescent="0.25">
      <c r="A1213" s="26">
        <v>43251</v>
      </c>
      <c r="B1213" s="25" t="s">
        <v>179</v>
      </c>
      <c r="C1213" s="25" t="s">
        <v>17</v>
      </c>
      <c r="D1213" s="25">
        <v>1000</v>
      </c>
      <c r="E1213" s="25">
        <v>65.25</v>
      </c>
      <c r="F1213" s="25">
        <v>65250</v>
      </c>
      <c r="G1213" s="25" t="s">
        <v>428</v>
      </c>
      <c r="H1213" s="25">
        <v>2018103</v>
      </c>
      <c r="I1213" s="25" t="s">
        <v>19</v>
      </c>
      <c r="J1213" s="25" t="s">
        <v>20</v>
      </c>
      <c r="K1213" s="25" t="s">
        <v>25</v>
      </c>
      <c r="L1213" s="25">
        <v>0</v>
      </c>
      <c r="M1213" s="25">
        <v>1.96</v>
      </c>
      <c r="N1213" s="25">
        <v>0</v>
      </c>
      <c r="O1213" s="25">
        <v>38.840000000000003</v>
      </c>
      <c r="P1213" s="25">
        <v>40.797499999999999</v>
      </c>
      <c r="Q1213" s="25">
        <f t="shared" si="36"/>
        <v>65290.797500000001</v>
      </c>
      <c r="R1213" s="25">
        <f t="shared" si="37"/>
        <v>0</v>
      </c>
    </row>
    <row r="1214" spans="1:18" hidden="1" x14ac:dyDescent="0.25">
      <c r="A1214" s="26">
        <v>43251</v>
      </c>
      <c r="B1214" s="25" t="s">
        <v>179</v>
      </c>
      <c r="C1214" s="25" t="s">
        <v>23</v>
      </c>
      <c r="D1214" s="25">
        <v>2000</v>
      </c>
      <c r="E1214" s="25">
        <v>65.25</v>
      </c>
      <c r="F1214" s="25">
        <v>130500</v>
      </c>
      <c r="G1214" s="25" t="s">
        <v>429</v>
      </c>
      <c r="H1214" s="25">
        <v>2018103</v>
      </c>
      <c r="I1214" s="25" t="s">
        <v>19</v>
      </c>
      <c r="J1214" s="25" t="s">
        <v>20</v>
      </c>
      <c r="K1214" s="25" t="s">
        <v>25</v>
      </c>
      <c r="L1214" s="25">
        <v>33</v>
      </c>
      <c r="M1214" s="25">
        <v>3.92</v>
      </c>
      <c r="N1214" s="25">
        <v>8.4</v>
      </c>
      <c r="O1214" s="25">
        <v>77.680000000000007</v>
      </c>
      <c r="P1214" s="25">
        <v>122.9953</v>
      </c>
      <c r="Q1214" s="25">
        <f t="shared" si="36"/>
        <v>0</v>
      </c>
      <c r="R1214" s="25">
        <f t="shared" si="37"/>
        <v>130377.0047</v>
      </c>
    </row>
    <row r="1215" spans="1:18" hidden="1" x14ac:dyDescent="0.25">
      <c r="A1215" s="26">
        <v>43251</v>
      </c>
      <c r="B1215" s="25" t="s">
        <v>35</v>
      </c>
      <c r="C1215" s="25" t="s">
        <v>17</v>
      </c>
      <c r="D1215" s="25">
        <v>500</v>
      </c>
      <c r="E1215" s="25">
        <v>15.65</v>
      </c>
      <c r="F1215" s="25">
        <v>7825</v>
      </c>
      <c r="G1215" s="25" t="s">
        <v>430</v>
      </c>
      <c r="H1215" s="25">
        <v>2018103</v>
      </c>
      <c r="I1215" s="25" t="s">
        <v>19</v>
      </c>
      <c r="J1215" s="25" t="s">
        <v>20</v>
      </c>
      <c r="K1215" s="25" t="s">
        <v>25</v>
      </c>
      <c r="L1215" s="25">
        <v>0</v>
      </c>
      <c r="M1215" s="25">
        <v>0.23</v>
      </c>
      <c r="N1215" s="25">
        <v>0</v>
      </c>
      <c r="O1215" s="25">
        <v>29.54</v>
      </c>
      <c r="P1215" s="25">
        <v>29.774699999999999</v>
      </c>
      <c r="Q1215" s="25">
        <f t="shared" si="36"/>
        <v>7854.7746999999999</v>
      </c>
      <c r="R1215" s="25">
        <f t="shared" si="37"/>
        <v>0</v>
      </c>
    </row>
    <row r="1216" spans="1:18" hidden="1" x14ac:dyDescent="0.25">
      <c r="A1216" s="26">
        <v>43251</v>
      </c>
      <c r="B1216" s="25" t="s">
        <v>35</v>
      </c>
      <c r="C1216" s="25" t="s">
        <v>23</v>
      </c>
      <c r="D1216" s="25">
        <v>500</v>
      </c>
      <c r="E1216" s="25">
        <v>16.3</v>
      </c>
      <c r="F1216" s="25">
        <v>8150</v>
      </c>
      <c r="G1216" s="25" t="s">
        <v>431</v>
      </c>
      <c r="H1216" s="25">
        <v>2018103</v>
      </c>
      <c r="I1216" s="25" t="s">
        <v>19</v>
      </c>
      <c r="J1216" s="25" t="s">
        <v>20</v>
      </c>
      <c r="K1216" s="25" t="s">
        <v>25</v>
      </c>
      <c r="L1216" s="25">
        <v>2</v>
      </c>
      <c r="M1216" s="25">
        <v>0.24</v>
      </c>
      <c r="N1216" s="25">
        <v>0</v>
      </c>
      <c r="O1216" s="25">
        <v>29.54</v>
      </c>
      <c r="P1216" s="25">
        <v>31.784500000000001</v>
      </c>
      <c r="Q1216" s="25">
        <f t="shared" si="36"/>
        <v>0</v>
      </c>
      <c r="R1216" s="25">
        <f t="shared" si="37"/>
        <v>8118.2155000000002</v>
      </c>
    </row>
    <row r="1217" spans="1:18" hidden="1" x14ac:dyDescent="0.25">
      <c r="A1217" s="26">
        <v>43250</v>
      </c>
      <c r="B1217" s="25" t="s">
        <v>256</v>
      </c>
      <c r="C1217" s="25" t="s">
        <v>17</v>
      </c>
      <c r="D1217" s="25">
        <v>100</v>
      </c>
      <c r="E1217" s="25">
        <v>178.9</v>
      </c>
      <c r="F1217" s="25">
        <v>17890</v>
      </c>
      <c r="G1217" s="25" t="s">
        <v>432</v>
      </c>
      <c r="H1217" s="25">
        <v>2018102</v>
      </c>
      <c r="I1217" s="25" t="s">
        <v>19</v>
      </c>
      <c r="J1217" s="25" t="s">
        <v>20</v>
      </c>
      <c r="K1217" s="25" t="s">
        <v>25</v>
      </c>
      <c r="L1217" s="25">
        <v>0</v>
      </c>
      <c r="M1217" s="25">
        <v>0.54</v>
      </c>
      <c r="N1217" s="25">
        <v>0</v>
      </c>
      <c r="O1217" s="25">
        <v>29.59</v>
      </c>
      <c r="P1217" s="25">
        <v>30.126799999999999</v>
      </c>
      <c r="Q1217" s="25">
        <f t="shared" si="36"/>
        <v>17920.126799999998</v>
      </c>
      <c r="R1217" s="25">
        <f t="shared" si="37"/>
        <v>0</v>
      </c>
    </row>
    <row r="1218" spans="1:18" hidden="1" x14ac:dyDescent="0.25">
      <c r="A1218" s="26">
        <v>43250</v>
      </c>
      <c r="B1218" s="25" t="s">
        <v>433</v>
      </c>
      <c r="C1218" s="25" t="s">
        <v>17</v>
      </c>
      <c r="D1218" s="25">
        <v>1000</v>
      </c>
      <c r="E1218" s="25">
        <v>17.649999999999999</v>
      </c>
      <c r="F1218" s="25">
        <v>17650</v>
      </c>
      <c r="G1218" s="25" t="s">
        <v>434</v>
      </c>
      <c r="H1218" s="25">
        <v>2018102</v>
      </c>
      <c r="I1218" s="25" t="s">
        <v>19</v>
      </c>
      <c r="J1218" s="25" t="s">
        <v>1634</v>
      </c>
      <c r="K1218" s="25" t="s">
        <v>25</v>
      </c>
      <c r="L1218" s="25">
        <v>0</v>
      </c>
      <c r="M1218" s="25">
        <v>0.53</v>
      </c>
      <c r="N1218" s="25">
        <v>0</v>
      </c>
      <c r="O1218" s="25">
        <v>114.64</v>
      </c>
      <c r="P1218" s="25">
        <v>115.1695</v>
      </c>
      <c r="Q1218" s="25">
        <f t="shared" si="36"/>
        <v>17765.1695</v>
      </c>
      <c r="R1218" s="25">
        <f t="shared" si="37"/>
        <v>0</v>
      </c>
    </row>
    <row r="1219" spans="1:18" hidden="1" x14ac:dyDescent="0.25">
      <c r="A1219" s="26">
        <v>43250</v>
      </c>
      <c r="B1219" s="25" t="s">
        <v>433</v>
      </c>
      <c r="C1219" s="25" t="s">
        <v>23</v>
      </c>
      <c r="D1219" s="25">
        <v>2000</v>
      </c>
      <c r="E1219" s="25">
        <v>17.600000000000001</v>
      </c>
      <c r="F1219" s="25">
        <v>35200</v>
      </c>
      <c r="G1219" s="25" t="s">
        <v>435</v>
      </c>
      <c r="H1219" s="25">
        <v>2018102</v>
      </c>
      <c r="I1219" s="25" t="s">
        <v>19</v>
      </c>
      <c r="J1219" s="25" t="s">
        <v>1634</v>
      </c>
      <c r="K1219" s="25" t="s">
        <v>25</v>
      </c>
      <c r="L1219" s="25">
        <v>22.02</v>
      </c>
      <c r="M1219" s="25">
        <v>1.06</v>
      </c>
      <c r="N1219" s="25">
        <v>2.7</v>
      </c>
      <c r="O1219" s="25">
        <v>114.41</v>
      </c>
      <c r="P1219" s="25">
        <v>140.1859</v>
      </c>
      <c r="Q1219" s="25">
        <f t="shared" ref="Q1219:Q1282" si="38">IF(C1219="Buy",F1219+P1219,0)</f>
        <v>0</v>
      </c>
      <c r="R1219" s="25">
        <f t="shared" ref="R1219:R1282" si="39">IF(C1219="Sell",F1219-P1219,0)</f>
        <v>35059.814100000003</v>
      </c>
    </row>
    <row r="1220" spans="1:18" hidden="1" x14ac:dyDescent="0.25">
      <c r="A1220" s="26">
        <v>43250</v>
      </c>
      <c r="B1220" s="25" t="s">
        <v>256</v>
      </c>
      <c r="C1220" s="25" t="s">
        <v>23</v>
      </c>
      <c r="D1220" s="25">
        <v>100</v>
      </c>
      <c r="E1220" s="25">
        <v>174.5</v>
      </c>
      <c r="F1220" s="25">
        <v>17450</v>
      </c>
      <c r="G1220" s="25" t="s">
        <v>436</v>
      </c>
      <c r="H1220" s="25">
        <v>2018102</v>
      </c>
      <c r="I1220" s="25" t="s">
        <v>19</v>
      </c>
      <c r="J1220" s="25" t="s">
        <v>20</v>
      </c>
      <c r="K1220" s="25" t="s">
        <v>25</v>
      </c>
      <c r="L1220" s="25">
        <v>3.98</v>
      </c>
      <c r="M1220" s="25">
        <v>0.52</v>
      </c>
      <c r="N1220" s="25">
        <v>0</v>
      </c>
      <c r="O1220" s="25">
        <v>29.59</v>
      </c>
      <c r="P1220" s="25">
        <v>34.093499999999999</v>
      </c>
      <c r="Q1220" s="25">
        <f t="shared" si="38"/>
        <v>0</v>
      </c>
      <c r="R1220" s="25">
        <f t="shared" si="39"/>
        <v>17415.906500000001</v>
      </c>
    </row>
    <row r="1221" spans="1:18" hidden="1" x14ac:dyDescent="0.25">
      <c r="A1221" s="26">
        <v>43249</v>
      </c>
      <c r="B1221" s="25" t="s">
        <v>433</v>
      </c>
      <c r="C1221" s="25" t="s">
        <v>17</v>
      </c>
      <c r="D1221" s="25">
        <v>1000</v>
      </c>
      <c r="E1221" s="25">
        <v>16</v>
      </c>
      <c r="F1221" s="25">
        <v>16000</v>
      </c>
      <c r="G1221" s="25" t="s">
        <v>437</v>
      </c>
      <c r="H1221" s="25">
        <v>2018101</v>
      </c>
      <c r="I1221" s="25" t="s">
        <v>19</v>
      </c>
      <c r="J1221" s="25" t="s">
        <v>1634</v>
      </c>
      <c r="K1221" s="25" t="s">
        <v>25</v>
      </c>
      <c r="L1221" s="25">
        <v>0</v>
      </c>
      <c r="M1221" s="25">
        <v>0.48</v>
      </c>
      <c r="N1221" s="25">
        <v>0</v>
      </c>
      <c r="O1221" s="25">
        <v>29.59</v>
      </c>
      <c r="P1221" s="25">
        <v>30.07</v>
      </c>
      <c r="Q1221" s="25">
        <f t="shared" si="38"/>
        <v>16030.07</v>
      </c>
      <c r="R1221" s="25">
        <f t="shared" si="39"/>
        <v>0</v>
      </c>
    </row>
    <row r="1222" spans="1:18" hidden="1" x14ac:dyDescent="0.25">
      <c r="A1222" s="26">
        <v>43249</v>
      </c>
      <c r="B1222" s="25" t="s">
        <v>433</v>
      </c>
      <c r="C1222" s="25" t="s">
        <v>23</v>
      </c>
      <c r="D1222" s="25">
        <v>1000</v>
      </c>
      <c r="E1222" s="25">
        <v>16.8</v>
      </c>
      <c r="F1222" s="25">
        <v>16800</v>
      </c>
      <c r="G1222" s="25" t="s">
        <v>438</v>
      </c>
      <c r="H1222" s="25">
        <v>2018101</v>
      </c>
      <c r="I1222" s="25" t="s">
        <v>19</v>
      </c>
      <c r="J1222" s="25" t="s">
        <v>1634</v>
      </c>
      <c r="K1222" s="25" t="s">
        <v>25</v>
      </c>
      <c r="L1222" s="25">
        <v>4.0599999999999996</v>
      </c>
      <c r="M1222" s="25">
        <v>0.5</v>
      </c>
      <c r="N1222" s="25">
        <v>0</v>
      </c>
      <c r="O1222" s="25">
        <v>29.59</v>
      </c>
      <c r="P1222" s="25">
        <v>34.154000000000003</v>
      </c>
      <c r="Q1222" s="25">
        <f t="shared" si="38"/>
        <v>0</v>
      </c>
      <c r="R1222" s="25">
        <f t="shared" si="39"/>
        <v>16765.846000000001</v>
      </c>
    </row>
    <row r="1223" spans="1:18" hidden="1" x14ac:dyDescent="0.25">
      <c r="A1223" s="26">
        <v>43249</v>
      </c>
      <c r="B1223" s="25" t="s">
        <v>433</v>
      </c>
      <c r="C1223" s="25" t="s">
        <v>17</v>
      </c>
      <c r="D1223" s="25">
        <v>1000</v>
      </c>
      <c r="E1223" s="25">
        <v>16</v>
      </c>
      <c r="F1223" s="25">
        <v>16000</v>
      </c>
      <c r="G1223" s="25" t="s">
        <v>439</v>
      </c>
      <c r="H1223" s="25">
        <v>2018101</v>
      </c>
      <c r="I1223" s="25" t="s">
        <v>19</v>
      </c>
      <c r="J1223" s="25" t="s">
        <v>1634</v>
      </c>
      <c r="K1223" s="25" t="s">
        <v>25</v>
      </c>
      <c r="L1223" s="25">
        <v>16.239999999999998</v>
      </c>
      <c r="M1223" s="25">
        <v>0.48</v>
      </c>
      <c r="N1223" s="25">
        <v>0</v>
      </c>
      <c r="O1223" s="25">
        <v>103.93</v>
      </c>
      <c r="P1223" s="25">
        <v>120.65</v>
      </c>
      <c r="Q1223" s="25">
        <f t="shared" si="38"/>
        <v>16120.65</v>
      </c>
      <c r="R1223" s="25">
        <f t="shared" si="39"/>
        <v>0</v>
      </c>
    </row>
    <row r="1224" spans="1:18" hidden="1" x14ac:dyDescent="0.25">
      <c r="A1224" s="26">
        <v>43249</v>
      </c>
      <c r="B1224" s="25" t="s">
        <v>433</v>
      </c>
      <c r="C1224" s="25" t="s">
        <v>17</v>
      </c>
      <c r="D1224" s="25">
        <v>1000</v>
      </c>
      <c r="E1224" s="25">
        <v>16.149999999999999</v>
      </c>
      <c r="F1224" s="25">
        <v>16150</v>
      </c>
      <c r="G1224" s="25" t="s">
        <v>440</v>
      </c>
      <c r="H1224" s="25">
        <v>2018101</v>
      </c>
      <c r="I1224" s="25" t="s">
        <v>19</v>
      </c>
      <c r="J1224" s="25" t="s">
        <v>1634</v>
      </c>
      <c r="K1224" s="25" t="s">
        <v>25</v>
      </c>
      <c r="L1224" s="25">
        <v>16.239999999999998</v>
      </c>
      <c r="M1224" s="25">
        <v>0.48</v>
      </c>
      <c r="N1224" s="25">
        <v>0</v>
      </c>
      <c r="O1224" s="25">
        <v>104.9</v>
      </c>
      <c r="P1224" s="25">
        <v>121.6245</v>
      </c>
      <c r="Q1224" s="25">
        <f t="shared" si="38"/>
        <v>16271.6245</v>
      </c>
      <c r="R1224" s="25">
        <f t="shared" si="39"/>
        <v>0</v>
      </c>
    </row>
    <row r="1225" spans="1:18" hidden="1" x14ac:dyDescent="0.25">
      <c r="A1225" s="26">
        <v>43249</v>
      </c>
      <c r="B1225" s="25" t="s">
        <v>26</v>
      </c>
      <c r="C1225" s="25" t="s">
        <v>17</v>
      </c>
      <c r="D1225" s="25">
        <v>100</v>
      </c>
      <c r="E1225" s="25">
        <v>101.08</v>
      </c>
      <c r="F1225" s="25">
        <v>10107.5</v>
      </c>
      <c r="G1225" s="25" t="s">
        <v>441</v>
      </c>
      <c r="H1225" s="25">
        <v>2018101</v>
      </c>
      <c r="I1225" s="25" t="s">
        <v>19</v>
      </c>
      <c r="J1225" s="25" t="s">
        <v>20</v>
      </c>
      <c r="K1225" s="25" t="s">
        <v>25</v>
      </c>
      <c r="L1225" s="25">
        <v>0</v>
      </c>
      <c r="M1225" s="25">
        <v>0.3</v>
      </c>
      <c r="N1225" s="25">
        <v>0</v>
      </c>
      <c r="O1225" s="25">
        <v>29.55</v>
      </c>
      <c r="P1225" s="25">
        <v>29.853300000000001</v>
      </c>
      <c r="Q1225" s="25">
        <f t="shared" si="38"/>
        <v>10137.353300000001</v>
      </c>
      <c r="R1225" s="25">
        <f t="shared" si="39"/>
        <v>0</v>
      </c>
    </row>
    <row r="1226" spans="1:18" hidden="1" x14ac:dyDescent="0.25">
      <c r="A1226" s="26">
        <v>43249</v>
      </c>
      <c r="B1226" s="25" t="s">
        <v>26</v>
      </c>
      <c r="C1226" s="25" t="s">
        <v>17</v>
      </c>
      <c r="D1226" s="25">
        <v>100</v>
      </c>
      <c r="E1226" s="25">
        <v>98.5</v>
      </c>
      <c r="F1226" s="25">
        <v>9850</v>
      </c>
      <c r="G1226" s="25" t="s">
        <v>442</v>
      </c>
      <c r="H1226" s="25">
        <v>2018101</v>
      </c>
      <c r="I1226" s="25" t="s">
        <v>19</v>
      </c>
      <c r="J1226" s="25" t="s">
        <v>20</v>
      </c>
      <c r="K1226" s="25" t="s">
        <v>25</v>
      </c>
      <c r="L1226" s="25">
        <v>0</v>
      </c>
      <c r="M1226" s="25">
        <v>0.3</v>
      </c>
      <c r="N1226" s="25">
        <v>0</v>
      </c>
      <c r="O1226" s="25">
        <v>29.55</v>
      </c>
      <c r="P1226" s="25">
        <v>29.845500000000001</v>
      </c>
      <c r="Q1226" s="25">
        <f t="shared" si="38"/>
        <v>9879.8454999999994</v>
      </c>
      <c r="R1226" s="25">
        <f t="shared" si="39"/>
        <v>0</v>
      </c>
    </row>
    <row r="1227" spans="1:18" hidden="1" x14ac:dyDescent="0.25">
      <c r="A1227" s="26">
        <v>43249</v>
      </c>
      <c r="B1227" s="25" t="s">
        <v>26</v>
      </c>
      <c r="C1227" s="25" t="s">
        <v>23</v>
      </c>
      <c r="D1227" s="25">
        <v>200</v>
      </c>
      <c r="E1227" s="25">
        <v>98.25</v>
      </c>
      <c r="F1227" s="25">
        <v>19650</v>
      </c>
      <c r="G1227" s="25" t="s">
        <v>443</v>
      </c>
      <c r="H1227" s="25">
        <v>2018101</v>
      </c>
      <c r="I1227" s="25" t="s">
        <v>19</v>
      </c>
      <c r="J1227" s="25" t="s">
        <v>20</v>
      </c>
      <c r="K1227" s="25" t="s">
        <v>25</v>
      </c>
      <c r="L1227" s="25">
        <v>4.95</v>
      </c>
      <c r="M1227" s="25">
        <v>0.59</v>
      </c>
      <c r="N1227" s="25">
        <v>0</v>
      </c>
      <c r="O1227" s="25">
        <v>29.61</v>
      </c>
      <c r="P1227" s="25">
        <v>35.149500000000003</v>
      </c>
      <c r="Q1227" s="25">
        <f t="shared" si="38"/>
        <v>0</v>
      </c>
      <c r="R1227" s="25">
        <f t="shared" si="39"/>
        <v>19614.8505</v>
      </c>
    </row>
    <row r="1228" spans="1:18" hidden="1" x14ac:dyDescent="0.25">
      <c r="A1228" s="26">
        <v>43249</v>
      </c>
      <c r="B1228" s="25" t="s">
        <v>179</v>
      </c>
      <c r="C1228" s="25" t="s">
        <v>23</v>
      </c>
      <c r="D1228" s="25">
        <v>2000</v>
      </c>
      <c r="E1228" s="25">
        <v>76</v>
      </c>
      <c r="F1228" s="25">
        <v>152000</v>
      </c>
      <c r="G1228" s="25" t="s">
        <v>444</v>
      </c>
      <c r="H1228" s="25">
        <v>2018101</v>
      </c>
      <c r="I1228" s="25" t="s">
        <v>19</v>
      </c>
      <c r="J1228" s="25" t="s">
        <v>1634</v>
      </c>
      <c r="K1228" s="25" t="s">
        <v>25</v>
      </c>
      <c r="L1228" s="25">
        <v>151.51</v>
      </c>
      <c r="M1228" s="25">
        <v>4.5599999999999996</v>
      </c>
      <c r="N1228" s="25">
        <v>7.8</v>
      </c>
      <c r="O1228" s="25">
        <v>987.3</v>
      </c>
      <c r="P1228" s="25">
        <v>1151.17</v>
      </c>
      <c r="Q1228" s="25">
        <f t="shared" si="38"/>
        <v>0</v>
      </c>
      <c r="R1228" s="25">
        <f t="shared" si="39"/>
        <v>150848.82999999999</v>
      </c>
    </row>
    <row r="1229" spans="1:18" hidden="1" x14ac:dyDescent="0.25">
      <c r="A1229" s="26">
        <v>43245</v>
      </c>
      <c r="B1229" s="25" t="s">
        <v>179</v>
      </c>
      <c r="C1229" s="25" t="s">
        <v>17</v>
      </c>
      <c r="D1229" s="25">
        <v>1000</v>
      </c>
      <c r="E1229" s="25">
        <v>72</v>
      </c>
      <c r="F1229" s="25">
        <v>72000</v>
      </c>
      <c r="G1229" s="25" t="s">
        <v>445</v>
      </c>
      <c r="H1229" s="25">
        <v>2018099</v>
      </c>
      <c r="I1229" s="25" t="s">
        <v>19</v>
      </c>
      <c r="J1229" s="25" t="s">
        <v>1634</v>
      </c>
      <c r="K1229" s="25" t="s">
        <v>25</v>
      </c>
      <c r="L1229" s="25">
        <v>72.349999999999994</v>
      </c>
      <c r="M1229" s="25">
        <v>2.16</v>
      </c>
      <c r="N1229" s="25">
        <v>0</v>
      </c>
      <c r="O1229" s="25">
        <v>467.67</v>
      </c>
      <c r="P1229" s="25">
        <v>542.17999999999995</v>
      </c>
      <c r="Q1229" s="25">
        <f t="shared" si="38"/>
        <v>72542.179999999993</v>
      </c>
      <c r="R1229" s="25">
        <f t="shared" si="39"/>
        <v>0</v>
      </c>
    </row>
    <row r="1230" spans="1:18" hidden="1" x14ac:dyDescent="0.25">
      <c r="A1230" s="26">
        <v>43245</v>
      </c>
      <c r="B1230" s="25" t="s">
        <v>179</v>
      </c>
      <c r="C1230" s="25" t="s">
        <v>17</v>
      </c>
      <c r="D1230" s="25">
        <v>1000</v>
      </c>
      <c r="E1230" s="25">
        <v>72.7</v>
      </c>
      <c r="F1230" s="25">
        <v>72700</v>
      </c>
      <c r="G1230" s="25" t="s">
        <v>446</v>
      </c>
      <c r="H1230" s="25">
        <v>2018099</v>
      </c>
      <c r="I1230" s="25" t="s">
        <v>19</v>
      </c>
      <c r="J1230" s="25" t="s">
        <v>1634</v>
      </c>
      <c r="K1230" s="25" t="s">
        <v>25</v>
      </c>
      <c r="L1230" s="25">
        <v>72.349999999999994</v>
      </c>
      <c r="M1230" s="25">
        <v>2.1800000000000002</v>
      </c>
      <c r="N1230" s="25">
        <v>0</v>
      </c>
      <c r="O1230" s="25">
        <v>472.22</v>
      </c>
      <c r="P1230" s="25">
        <v>546.75109999999995</v>
      </c>
      <c r="Q1230" s="25">
        <f t="shared" si="38"/>
        <v>73246.751099999994</v>
      </c>
      <c r="R1230" s="25">
        <f t="shared" si="39"/>
        <v>0</v>
      </c>
    </row>
    <row r="1231" spans="1:18" hidden="1" x14ac:dyDescent="0.25">
      <c r="A1231" s="26">
        <v>43245</v>
      </c>
      <c r="B1231" s="25" t="s">
        <v>433</v>
      </c>
      <c r="C1231" s="25" t="s">
        <v>23</v>
      </c>
      <c r="D1231" s="25">
        <v>5000</v>
      </c>
      <c r="E1231" s="25">
        <v>14.3</v>
      </c>
      <c r="F1231" s="25">
        <v>71500</v>
      </c>
      <c r="G1231" s="25" t="s">
        <v>447</v>
      </c>
      <c r="H1231" s="25">
        <v>2018099</v>
      </c>
      <c r="I1231" s="25" t="s">
        <v>19</v>
      </c>
      <c r="J1231" s="25" t="s">
        <v>1634</v>
      </c>
      <c r="K1231" s="25" t="s">
        <v>25</v>
      </c>
      <c r="L1231" s="25">
        <v>71.3</v>
      </c>
      <c r="M1231" s="25">
        <v>2.15</v>
      </c>
      <c r="N1231" s="25">
        <v>6.6</v>
      </c>
      <c r="O1231" s="25">
        <v>464.42</v>
      </c>
      <c r="P1231" s="25">
        <v>544.46500000000003</v>
      </c>
      <c r="Q1231" s="25">
        <f t="shared" si="38"/>
        <v>0</v>
      </c>
      <c r="R1231" s="25">
        <f t="shared" si="39"/>
        <v>70955.535000000003</v>
      </c>
    </row>
    <row r="1232" spans="1:18" hidden="1" x14ac:dyDescent="0.25">
      <c r="A1232" s="26">
        <v>43244</v>
      </c>
      <c r="B1232" s="25" t="s">
        <v>179</v>
      </c>
      <c r="C1232" s="25" t="s">
        <v>17</v>
      </c>
      <c r="D1232" s="25">
        <v>1000</v>
      </c>
      <c r="E1232" s="25">
        <v>70.349999999999994</v>
      </c>
      <c r="F1232" s="25">
        <v>70350</v>
      </c>
      <c r="G1232" s="25" t="s">
        <v>448</v>
      </c>
      <c r="H1232" s="25">
        <v>2018098</v>
      </c>
      <c r="I1232" s="25" t="s">
        <v>19</v>
      </c>
      <c r="J1232" s="25" t="s">
        <v>20</v>
      </c>
      <c r="K1232" s="25" t="s">
        <v>25</v>
      </c>
      <c r="L1232" s="25">
        <v>0</v>
      </c>
      <c r="M1232" s="25">
        <v>2.11</v>
      </c>
      <c r="N1232" s="25">
        <v>0</v>
      </c>
      <c r="O1232" s="25">
        <v>41.89</v>
      </c>
      <c r="P1232" s="25">
        <v>44.000500000000002</v>
      </c>
      <c r="Q1232" s="25">
        <f t="shared" si="38"/>
        <v>70394.000499999995</v>
      </c>
      <c r="R1232" s="25">
        <f t="shared" si="39"/>
        <v>0</v>
      </c>
    </row>
    <row r="1233" spans="1:18" hidden="1" x14ac:dyDescent="0.25">
      <c r="A1233" s="26">
        <v>43244</v>
      </c>
      <c r="B1233" s="25" t="s">
        <v>179</v>
      </c>
      <c r="C1233" s="25" t="s">
        <v>23</v>
      </c>
      <c r="D1233" s="25">
        <v>1000</v>
      </c>
      <c r="E1233" s="25">
        <v>71.349999999999994</v>
      </c>
      <c r="F1233" s="25">
        <v>71350</v>
      </c>
      <c r="G1233" s="25" t="s">
        <v>449</v>
      </c>
      <c r="H1233" s="25">
        <v>2018098</v>
      </c>
      <c r="I1233" s="25" t="s">
        <v>19</v>
      </c>
      <c r="J1233" s="25" t="s">
        <v>20</v>
      </c>
      <c r="K1233" s="25" t="s">
        <v>25</v>
      </c>
      <c r="L1233" s="25">
        <v>17.670000000000002</v>
      </c>
      <c r="M1233" s="25">
        <v>2.14</v>
      </c>
      <c r="N1233" s="25">
        <v>0</v>
      </c>
      <c r="O1233" s="25">
        <v>42.47</v>
      </c>
      <c r="P1233" s="25">
        <v>62.2804</v>
      </c>
      <c r="Q1233" s="25">
        <f t="shared" si="38"/>
        <v>0</v>
      </c>
      <c r="R1233" s="25">
        <f t="shared" si="39"/>
        <v>71287.719599999997</v>
      </c>
    </row>
    <row r="1234" spans="1:18" hidden="1" x14ac:dyDescent="0.25">
      <c r="A1234" s="26">
        <v>43244</v>
      </c>
      <c r="B1234" s="25" t="s">
        <v>179</v>
      </c>
      <c r="C1234" s="25" t="s">
        <v>23</v>
      </c>
      <c r="D1234" s="25">
        <v>2000</v>
      </c>
      <c r="E1234" s="25">
        <v>70.5</v>
      </c>
      <c r="F1234" s="25">
        <v>141000</v>
      </c>
      <c r="G1234" s="25" t="s">
        <v>450</v>
      </c>
      <c r="H1234" s="25">
        <v>2018098</v>
      </c>
      <c r="I1234" s="25" t="s">
        <v>19</v>
      </c>
      <c r="J1234" s="25" t="s">
        <v>1634</v>
      </c>
      <c r="K1234" s="25" t="s">
        <v>25</v>
      </c>
      <c r="L1234" s="25">
        <v>141.33000000000001</v>
      </c>
      <c r="M1234" s="25">
        <v>4.2300000000000004</v>
      </c>
      <c r="N1234" s="25">
        <v>8.6999999999999993</v>
      </c>
      <c r="O1234" s="25">
        <v>915.85</v>
      </c>
      <c r="P1234" s="25">
        <v>1070.1099999999999</v>
      </c>
      <c r="Q1234" s="25">
        <f t="shared" si="38"/>
        <v>0</v>
      </c>
      <c r="R1234" s="25">
        <f t="shared" si="39"/>
        <v>139929.89000000001</v>
      </c>
    </row>
    <row r="1235" spans="1:18" hidden="1" x14ac:dyDescent="0.25">
      <c r="A1235" s="26">
        <v>43243</v>
      </c>
      <c r="B1235" s="25" t="s">
        <v>321</v>
      </c>
      <c r="C1235" s="25" t="s">
        <v>17</v>
      </c>
      <c r="D1235" s="25">
        <v>250</v>
      </c>
      <c r="E1235" s="25">
        <v>295.14999999999998</v>
      </c>
      <c r="F1235" s="25">
        <v>73787.5</v>
      </c>
      <c r="G1235" s="25" t="s">
        <v>451</v>
      </c>
      <c r="H1235" s="25">
        <v>2018097</v>
      </c>
      <c r="I1235" s="25" t="s">
        <v>19</v>
      </c>
      <c r="J1235" s="25" t="s">
        <v>20</v>
      </c>
      <c r="K1235" s="25" t="s">
        <v>25</v>
      </c>
      <c r="L1235" s="25">
        <v>0</v>
      </c>
      <c r="M1235" s="25">
        <v>2.21</v>
      </c>
      <c r="N1235" s="25">
        <v>0</v>
      </c>
      <c r="O1235" s="25">
        <v>43.94</v>
      </c>
      <c r="P1235" s="25">
        <v>46.153599999999997</v>
      </c>
      <c r="Q1235" s="25">
        <f t="shared" si="38"/>
        <v>73833.653600000005</v>
      </c>
      <c r="R1235" s="25">
        <f t="shared" si="39"/>
        <v>0</v>
      </c>
    </row>
    <row r="1236" spans="1:18" hidden="1" x14ac:dyDescent="0.25">
      <c r="A1236" s="26">
        <v>43243</v>
      </c>
      <c r="B1236" s="25" t="s">
        <v>321</v>
      </c>
      <c r="C1236" s="25" t="s">
        <v>17</v>
      </c>
      <c r="D1236" s="25">
        <v>250</v>
      </c>
      <c r="E1236" s="25">
        <v>294.64999999999998</v>
      </c>
      <c r="F1236" s="25">
        <v>73662.5</v>
      </c>
      <c r="G1236" s="25" t="s">
        <v>452</v>
      </c>
      <c r="H1236" s="25">
        <v>2018097</v>
      </c>
      <c r="I1236" s="25" t="s">
        <v>19</v>
      </c>
      <c r="J1236" s="25" t="s">
        <v>20</v>
      </c>
      <c r="K1236" s="25" t="s">
        <v>25</v>
      </c>
      <c r="L1236" s="25">
        <v>0</v>
      </c>
      <c r="M1236" s="25">
        <v>2.21</v>
      </c>
      <c r="N1236" s="25">
        <v>0</v>
      </c>
      <c r="O1236" s="25">
        <v>43.86</v>
      </c>
      <c r="P1236" s="25">
        <v>46.069899999999997</v>
      </c>
      <c r="Q1236" s="25">
        <f t="shared" si="38"/>
        <v>73708.569900000002</v>
      </c>
      <c r="R1236" s="25">
        <f t="shared" si="39"/>
        <v>0</v>
      </c>
    </row>
    <row r="1237" spans="1:18" hidden="1" x14ac:dyDescent="0.25">
      <c r="A1237" s="26">
        <v>43243</v>
      </c>
      <c r="B1237" s="25" t="s">
        <v>321</v>
      </c>
      <c r="C1237" s="25" t="s">
        <v>17</v>
      </c>
      <c r="D1237" s="25">
        <v>250</v>
      </c>
      <c r="E1237" s="25">
        <v>292</v>
      </c>
      <c r="F1237" s="25">
        <v>73000</v>
      </c>
      <c r="G1237" s="25" t="s">
        <v>453</v>
      </c>
      <c r="H1237" s="25">
        <v>2018097</v>
      </c>
      <c r="I1237" s="25" t="s">
        <v>19</v>
      </c>
      <c r="J1237" s="25" t="s">
        <v>20</v>
      </c>
      <c r="K1237" s="25" t="s">
        <v>25</v>
      </c>
      <c r="L1237" s="25">
        <v>0</v>
      </c>
      <c r="M1237" s="25">
        <v>2.19</v>
      </c>
      <c r="N1237" s="25">
        <v>0</v>
      </c>
      <c r="O1237" s="25">
        <v>43.46</v>
      </c>
      <c r="P1237" s="25">
        <v>45.65</v>
      </c>
      <c r="Q1237" s="25">
        <f t="shared" si="38"/>
        <v>73045.649999999994</v>
      </c>
      <c r="R1237" s="25">
        <f t="shared" si="39"/>
        <v>0</v>
      </c>
    </row>
    <row r="1238" spans="1:18" hidden="1" x14ac:dyDescent="0.25">
      <c r="A1238" s="26">
        <v>43243</v>
      </c>
      <c r="B1238" s="25" t="s">
        <v>321</v>
      </c>
      <c r="C1238" s="25" t="s">
        <v>17</v>
      </c>
      <c r="D1238" s="25">
        <v>250</v>
      </c>
      <c r="E1238" s="25">
        <v>286</v>
      </c>
      <c r="F1238" s="25">
        <v>71500</v>
      </c>
      <c r="G1238" s="25" t="s">
        <v>454</v>
      </c>
      <c r="H1238" s="25">
        <v>2018097</v>
      </c>
      <c r="I1238" s="25" t="s">
        <v>19</v>
      </c>
      <c r="J1238" s="25" t="s">
        <v>20</v>
      </c>
      <c r="K1238" s="25" t="s">
        <v>25</v>
      </c>
      <c r="L1238" s="25">
        <v>0</v>
      </c>
      <c r="M1238" s="25">
        <v>2.15</v>
      </c>
      <c r="N1238" s="25">
        <v>17.399999999999999</v>
      </c>
      <c r="O1238" s="25">
        <v>42.57</v>
      </c>
      <c r="P1238" s="25">
        <v>62.115099999999998</v>
      </c>
      <c r="Q1238" s="25">
        <f t="shared" si="38"/>
        <v>71562.115099999995</v>
      </c>
      <c r="R1238" s="25">
        <f t="shared" si="39"/>
        <v>0</v>
      </c>
    </row>
    <row r="1239" spans="1:18" hidden="1" x14ac:dyDescent="0.25">
      <c r="A1239" s="26">
        <v>43243</v>
      </c>
      <c r="B1239" s="25" t="s">
        <v>321</v>
      </c>
      <c r="C1239" s="25" t="s">
        <v>23</v>
      </c>
      <c r="D1239" s="25">
        <v>1000</v>
      </c>
      <c r="E1239" s="25">
        <v>286</v>
      </c>
      <c r="F1239" s="25">
        <v>286000</v>
      </c>
      <c r="G1239" s="25" t="s">
        <v>455</v>
      </c>
      <c r="H1239" s="25">
        <v>2018097</v>
      </c>
      <c r="I1239" s="25" t="s">
        <v>19</v>
      </c>
      <c r="J1239" s="25" t="s">
        <v>20</v>
      </c>
      <c r="K1239" s="25" t="s">
        <v>25</v>
      </c>
      <c r="L1239" s="25">
        <v>72</v>
      </c>
      <c r="M1239" s="25">
        <v>8.58</v>
      </c>
      <c r="N1239" s="25">
        <v>0</v>
      </c>
      <c r="O1239" s="25">
        <v>170.28</v>
      </c>
      <c r="P1239" s="25">
        <v>250.86009999999999</v>
      </c>
      <c r="Q1239" s="25">
        <f t="shared" si="38"/>
        <v>0</v>
      </c>
      <c r="R1239" s="25">
        <f t="shared" si="39"/>
        <v>285749.13990000001</v>
      </c>
    </row>
    <row r="1240" spans="1:18" hidden="1" x14ac:dyDescent="0.25">
      <c r="A1240" s="26">
        <v>43242</v>
      </c>
      <c r="B1240" s="25" t="s">
        <v>179</v>
      </c>
      <c r="C1240" s="25" t="s">
        <v>17</v>
      </c>
      <c r="D1240" s="25">
        <v>2000</v>
      </c>
      <c r="E1240" s="25">
        <v>67.5</v>
      </c>
      <c r="F1240" s="25">
        <v>135000</v>
      </c>
      <c r="G1240" s="25" t="s">
        <v>456</v>
      </c>
      <c r="H1240" s="25">
        <v>2018096</v>
      </c>
      <c r="I1240" s="25" t="s">
        <v>19</v>
      </c>
      <c r="J1240" s="25" t="s">
        <v>1634</v>
      </c>
      <c r="K1240" s="25" t="s">
        <v>25</v>
      </c>
      <c r="L1240" s="25">
        <v>135</v>
      </c>
      <c r="M1240" s="25">
        <v>4.05</v>
      </c>
      <c r="N1240" s="25">
        <v>4.2</v>
      </c>
      <c r="O1240" s="25">
        <v>876.88</v>
      </c>
      <c r="P1240" s="25">
        <v>1020.13</v>
      </c>
      <c r="Q1240" s="25">
        <f t="shared" si="38"/>
        <v>136020.13</v>
      </c>
      <c r="R1240" s="25">
        <f t="shared" si="39"/>
        <v>0</v>
      </c>
    </row>
    <row r="1241" spans="1:18" hidden="1" x14ac:dyDescent="0.25">
      <c r="A1241" s="26">
        <v>43241</v>
      </c>
      <c r="B1241" s="25" t="s">
        <v>433</v>
      </c>
      <c r="C1241" s="25" t="s">
        <v>17</v>
      </c>
      <c r="D1241" s="25">
        <v>2500</v>
      </c>
      <c r="E1241" s="25">
        <v>14</v>
      </c>
      <c r="F1241" s="25">
        <v>35000</v>
      </c>
      <c r="G1241" s="25" t="s">
        <v>457</v>
      </c>
      <c r="H1241" s="25">
        <v>2018095</v>
      </c>
      <c r="I1241" s="25" t="s">
        <v>19</v>
      </c>
      <c r="J1241" s="25" t="s">
        <v>1634</v>
      </c>
      <c r="K1241" s="25" t="s">
        <v>25</v>
      </c>
      <c r="L1241" s="25">
        <v>35</v>
      </c>
      <c r="M1241" s="25">
        <v>1.05</v>
      </c>
      <c r="N1241" s="25">
        <v>0</v>
      </c>
      <c r="O1241" s="25">
        <v>227.34</v>
      </c>
      <c r="P1241" s="25">
        <v>263.39</v>
      </c>
      <c r="Q1241" s="25">
        <f t="shared" si="38"/>
        <v>35263.39</v>
      </c>
      <c r="R1241" s="25">
        <f t="shared" si="39"/>
        <v>0</v>
      </c>
    </row>
    <row r="1242" spans="1:18" x14ac:dyDescent="0.25">
      <c r="A1242" s="26">
        <v>43241</v>
      </c>
      <c r="B1242" s="25" t="s">
        <v>100</v>
      </c>
      <c r="C1242" s="25" t="s">
        <v>17</v>
      </c>
      <c r="D1242" s="25">
        <v>2000</v>
      </c>
      <c r="E1242" s="25">
        <v>140.9</v>
      </c>
      <c r="F1242" s="25">
        <v>281800</v>
      </c>
      <c r="G1242" s="25" t="s">
        <v>458</v>
      </c>
      <c r="H1242" s="25">
        <v>2018095</v>
      </c>
      <c r="I1242" s="25" t="s">
        <v>19</v>
      </c>
      <c r="J1242" s="25" t="s">
        <v>20</v>
      </c>
      <c r="K1242" s="25" t="s">
        <v>25</v>
      </c>
      <c r="L1242" s="25">
        <v>0</v>
      </c>
      <c r="M1242" s="25">
        <v>8.4499999999999993</v>
      </c>
      <c r="N1242" s="25">
        <v>0</v>
      </c>
      <c r="O1242" s="25">
        <v>167.78</v>
      </c>
      <c r="P1242" s="25">
        <v>176.23400000000001</v>
      </c>
      <c r="Q1242" s="25">
        <f t="shared" si="38"/>
        <v>281976.234</v>
      </c>
      <c r="R1242" s="25">
        <f t="shared" si="39"/>
        <v>0</v>
      </c>
    </row>
    <row r="1243" spans="1:18" x14ac:dyDescent="0.25">
      <c r="A1243" s="26">
        <v>43241</v>
      </c>
      <c r="B1243" s="25" t="s">
        <v>100</v>
      </c>
      <c r="C1243" s="25" t="s">
        <v>23</v>
      </c>
      <c r="D1243" s="25">
        <v>2000</v>
      </c>
      <c r="E1243" s="25">
        <v>139</v>
      </c>
      <c r="F1243" s="25">
        <v>278000</v>
      </c>
      <c r="G1243" s="25" t="s">
        <v>459</v>
      </c>
      <c r="H1243" s="25">
        <v>2018095</v>
      </c>
      <c r="I1243" s="25" t="s">
        <v>19</v>
      </c>
      <c r="J1243" s="25" t="s">
        <v>20</v>
      </c>
      <c r="K1243" s="25" t="s">
        <v>25</v>
      </c>
      <c r="L1243" s="25">
        <v>68.260000000000005</v>
      </c>
      <c r="M1243" s="25">
        <v>8.34</v>
      </c>
      <c r="N1243" s="25">
        <v>0</v>
      </c>
      <c r="O1243" s="25">
        <v>165.52</v>
      </c>
      <c r="P1243" s="25">
        <v>242.12010000000001</v>
      </c>
      <c r="Q1243" s="25">
        <f t="shared" si="38"/>
        <v>0</v>
      </c>
      <c r="R1243" s="25">
        <f t="shared" si="39"/>
        <v>277757.8799</v>
      </c>
    </row>
    <row r="1244" spans="1:18" x14ac:dyDescent="0.25">
      <c r="A1244" s="26">
        <v>43241</v>
      </c>
      <c r="B1244" s="25" t="s">
        <v>100</v>
      </c>
      <c r="C1244" s="25" t="s">
        <v>17</v>
      </c>
      <c r="D1244" s="25">
        <v>2000</v>
      </c>
      <c r="E1244" s="25">
        <v>136</v>
      </c>
      <c r="F1244" s="25">
        <v>272000</v>
      </c>
      <c r="G1244" s="25" t="s">
        <v>460</v>
      </c>
      <c r="H1244" s="25">
        <v>2018095</v>
      </c>
      <c r="I1244" s="25" t="s">
        <v>19</v>
      </c>
      <c r="J1244" s="25" t="s">
        <v>20</v>
      </c>
      <c r="K1244" s="25" t="s">
        <v>25</v>
      </c>
      <c r="L1244" s="25">
        <v>0</v>
      </c>
      <c r="M1244" s="25">
        <v>8.16</v>
      </c>
      <c r="N1244" s="25">
        <v>34.200000000000003</v>
      </c>
      <c r="O1244" s="25">
        <v>161.94999999999999</v>
      </c>
      <c r="P1244" s="25">
        <v>204.31</v>
      </c>
      <c r="Q1244" s="25">
        <f t="shared" si="38"/>
        <v>272204.31</v>
      </c>
      <c r="R1244" s="25">
        <f t="shared" si="39"/>
        <v>0</v>
      </c>
    </row>
    <row r="1245" spans="1:18" x14ac:dyDescent="0.25">
      <c r="A1245" s="26">
        <v>43241</v>
      </c>
      <c r="B1245" s="25" t="s">
        <v>100</v>
      </c>
      <c r="C1245" s="25" t="s">
        <v>23</v>
      </c>
      <c r="D1245" s="25">
        <v>2000</v>
      </c>
      <c r="E1245" s="25">
        <v>134</v>
      </c>
      <c r="F1245" s="25">
        <v>268000</v>
      </c>
      <c r="G1245" s="25" t="s">
        <v>461</v>
      </c>
      <c r="H1245" s="25">
        <v>2018095</v>
      </c>
      <c r="I1245" s="25" t="s">
        <v>19</v>
      </c>
      <c r="J1245" s="25" t="s">
        <v>20</v>
      </c>
      <c r="K1245" s="25" t="s">
        <v>25</v>
      </c>
      <c r="L1245" s="25">
        <v>68.739999999999995</v>
      </c>
      <c r="M1245" s="25">
        <v>8.0399999999999991</v>
      </c>
      <c r="N1245" s="25">
        <v>0</v>
      </c>
      <c r="O1245" s="25">
        <v>159.57</v>
      </c>
      <c r="P1245" s="25">
        <v>236.35</v>
      </c>
      <c r="Q1245" s="25">
        <f t="shared" si="38"/>
        <v>0</v>
      </c>
      <c r="R1245" s="25">
        <f t="shared" si="39"/>
        <v>267763.65000000002</v>
      </c>
    </row>
    <row r="1246" spans="1:18" hidden="1" x14ac:dyDescent="0.25">
      <c r="A1246" s="26">
        <v>43238</v>
      </c>
      <c r="B1246" s="25" t="s">
        <v>282</v>
      </c>
      <c r="C1246" s="25" t="s">
        <v>23</v>
      </c>
      <c r="D1246" s="25">
        <v>100</v>
      </c>
      <c r="E1246" s="25">
        <v>635.35</v>
      </c>
      <c r="F1246" s="25">
        <v>63535</v>
      </c>
      <c r="G1246" s="25" t="s">
        <v>462</v>
      </c>
      <c r="H1246" s="25">
        <v>2018094</v>
      </c>
      <c r="I1246" s="25" t="s">
        <v>19</v>
      </c>
      <c r="J1246" s="25" t="s">
        <v>20</v>
      </c>
      <c r="K1246" s="25" t="s">
        <v>25</v>
      </c>
      <c r="L1246" s="25">
        <v>63.54</v>
      </c>
      <c r="M1246" s="25">
        <v>1.91</v>
      </c>
      <c r="N1246" s="25">
        <v>0</v>
      </c>
      <c r="O1246" s="25">
        <v>412.68</v>
      </c>
      <c r="P1246" s="25">
        <v>478.12610000000001</v>
      </c>
      <c r="Q1246" s="25">
        <f t="shared" si="38"/>
        <v>0</v>
      </c>
      <c r="R1246" s="25">
        <f t="shared" si="39"/>
        <v>63056.873899999999</v>
      </c>
    </row>
    <row r="1247" spans="1:18" hidden="1" x14ac:dyDescent="0.25">
      <c r="A1247" s="26">
        <v>43238</v>
      </c>
      <c r="B1247" s="25" t="s">
        <v>433</v>
      </c>
      <c r="C1247" s="25" t="s">
        <v>17</v>
      </c>
      <c r="D1247" s="25">
        <v>2500</v>
      </c>
      <c r="E1247" s="25">
        <v>19.350000000000001</v>
      </c>
      <c r="F1247" s="25">
        <v>48375</v>
      </c>
      <c r="G1247" s="25" t="s">
        <v>463</v>
      </c>
      <c r="H1247" s="25">
        <v>2018094</v>
      </c>
      <c r="I1247" s="25" t="s">
        <v>19</v>
      </c>
      <c r="J1247" s="25" t="s">
        <v>1634</v>
      </c>
      <c r="K1247" s="25" t="s">
        <v>25</v>
      </c>
      <c r="L1247" s="25">
        <v>41.63</v>
      </c>
      <c r="M1247" s="25">
        <v>1.45</v>
      </c>
      <c r="N1247" s="25">
        <v>0</v>
      </c>
      <c r="O1247" s="25">
        <v>314.20999999999998</v>
      </c>
      <c r="P1247" s="25">
        <v>357.29129999999998</v>
      </c>
      <c r="Q1247" s="25">
        <f t="shared" si="38"/>
        <v>48732.291299999997</v>
      </c>
      <c r="R1247" s="25">
        <f t="shared" si="39"/>
        <v>0</v>
      </c>
    </row>
    <row r="1248" spans="1:18" x14ac:dyDescent="0.25">
      <c r="A1248" s="26">
        <v>43238</v>
      </c>
      <c r="B1248" s="25" t="s">
        <v>100</v>
      </c>
      <c r="C1248" s="25" t="s">
        <v>17</v>
      </c>
      <c r="D1248" s="25">
        <v>1000</v>
      </c>
      <c r="E1248" s="25">
        <v>152</v>
      </c>
      <c r="F1248" s="25">
        <v>152000</v>
      </c>
      <c r="G1248" s="25" t="s">
        <v>464</v>
      </c>
      <c r="H1248" s="25">
        <v>2018094</v>
      </c>
      <c r="I1248" s="25" t="s">
        <v>19</v>
      </c>
      <c r="J1248" s="25" t="s">
        <v>20</v>
      </c>
      <c r="K1248" s="25" t="s">
        <v>25</v>
      </c>
      <c r="L1248" s="25">
        <v>0</v>
      </c>
      <c r="M1248" s="25">
        <v>4.5599999999999996</v>
      </c>
      <c r="N1248" s="25">
        <v>13.5</v>
      </c>
      <c r="O1248" s="25">
        <v>90.5</v>
      </c>
      <c r="P1248" s="25">
        <v>108.56</v>
      </c>
      <c r="Q1248" s="25">
        <f t="shared" si="38"/>
        <v>152108.56</v>
      </c>
      <c r="R1248" s="25">
        <f t="shared" si="39"/>
        <v>0</v>
      </c>
    </row>
    <row r="1249" spans="1:18" x14ac:dyDescent="0.25">
      <c r="A1249" s="26">
        <v>43238</v>
      </c>
      <c r="B1249" s="25" t="s">
        <v>100</v>
      </c>
      <c r="C1249" s="25" t="s">
        <v>23</v>
      </c>
      <c r="D1249" s="25">
        <v>1000</v>
      </c>
      <c r="E1249" s="25">
        <v>149</v>
      </c>
      <c r="F1249" s="25">
        <v>149000</v>
      </c>
      <c r="G1249" s="25" t="s">
        <v>465</v>
      </c>
      <c r="H1249" s="25">
        <v>2018094</v>
      </c>
      <c r="I1249" s="25" t="s">
        <v>19</v>
      </c>
      <c r="J1249" s="25" t="s">
        <v>20</v>
      </c>
      <c r="K1249" s="25" t="s">
        <v>25</v>
      </c>
      <c r="L1249" s="25">
        <v>37.22</v>
      </c>
      <c r="M1249" s="25">
        <v>4.47</v>
      </c>
      <c r="N1249" s="25">
        <v>0</v>
      </c>
      <c r="O1249" s="25">
        <v>88.71</v>
      </c>
      <c r="P1249" s="25">
        <v>130.4</v>
      </c>
      <c r="Q1249" s="25">
        <f t="shared" si="38"/>
        <v>0</v>
      </c>
      <c r="R1249" s="25">
        <f t="shared" si="39"/>
        <v>148869.6</v>
      </c>
    </row>
    <row r="1250" spans="1:18" hidden="1" x14ac:dyDescent="0.25">
      <c r="A1250" s="26">
        <v>43238</v>
      </c>
      <c r="B1250" s="25" t="s">
        <v>433</v>
      </c>
      <c r="C1250" s="25" t="s">
        <v>17</v>
      </c>
      <c r="D1250" s="25">
        <v>2500</v>
      </c>
      <c r="E1250" s="25">
        <v>13.95</v>
      </c>
      <c r="F1250" s="25">
        <v>34875</v>
      </c>
      <c r="G1250" s="25" t="s">
        <v>466</v>
      </c>
      <c r="H1250" s="25">
        <v>2018094</v>
      </c>
      <c r="I1250" s="25" t="s">
        <v>19</v>
      </c>
      <c r="J1250" s="25" t="s">
        <v>1634</v>
      </c>
      <c r="K1250" s="25" t="s">
        <v>25</v>
      </c>
      <c r="L1250" s="25">
        <v>41.63</v>
      </c>
      <c r="M1250" s="25">
        <v>1.05</v>
      </c>
      <c r="N1250" s="25">
        <v>0</v>
      </c>
      <c r="O1250" s="25">
        <v>226.53</v>
      </c>
      <c r="P1250" s="25">
        <v>269.20620000000002</v>
      </c>
      <c r="Q1250" s="25">
        <f t="shared" si="38"/>
        <v>35144.206200000001</v>
      </c>
      <c r="R1250" s="25">
        <f t="shared" si="39"/>
        <v>0</v>
      </c>
    </row>
    <row r="1251" spans="1:18" hidden="1" x14ac:dyDescent="0.25">
      <c r="A1251" s="26">
        <v>43237</v>
      </c>
      <c r="B1251" s="25" t="s">
        <v>282</v>
      </c>
      <c r="C1251" s="25" t="s">
        <v>17</v>
      </c>
      <c r="D1251" s="25">
        <v>100</v>
      </c>
      <c r="E1251" s="25">
        <v>638</v>
      </c>
      <c r="F1251" s="25">
        <v>63800</v>
      </c>
      <c r="G1251" s="25" t="s">
        <v>467</v>
      </c>
      <c r="H1251" s="25">
        <v>2018093</v>
      </c>
      <c r="I1251" s="25" t="s">
        <v>19</v>
      </c>
      <c r="J1251" s="25" t="s">
        <v>20</v>
      </c>
      <c r="K1251" s="25" t="s">
        <v>25</v>
      </c>
      <c r="L1251" s="25">
        <v>0</v>
      </c>
      <c r="M1251" s="25">
        <v>1.91</v>
      </c>
      <c r="N1251" s="25">
        <v>0</v>
      </c>
      <c r="O1251" s="25">
        <v>37.99</v>
      </c>
      <c r="P1251" s="25">
        <v>39.904000000000003</v>
      </c>
      <c r="Q1251" s="25">
        <f t="shared" si="38"/>
        <v>63839.904000000002</v>
      </c>
      <c r="R1251" s="25">
        <f t="shared" si="39"/>
        <v>0</v>
      </c>
    </row>
    <row r="1252" spans="1:18" hidden="1" x14ac:dyDescent="0.25">
      <c r="A1252" s="26">
        <v>43237</v>
      </c>
      <c r="B1252" s="25" t="s">
        <v>282</v>
      </c>
      <c r="C1252" s="25" t="s">
        <v>23</v>
      </c>
      <c r="D1252" s="25">
        <v>100</v>
      </c>
      <c r="E1252" s="25">
        <v>641.25</v>
      </c>
      <c r="F1252" s="25">
        <v>64125</v>
      </c>
      <c r="G1252" s="25" t="s">
        <v>468</v>
      </c>
      <c r="H1252" s="25">
        <v>2018093</v>
      </c>
      <c r="I1252" s="25" t="s">
        <v>19</v>
      </c>
      <c r="J1252" s="25" t="s">
        <v>20</v>
      </c>
      <c r="K1252" s="25" t="s">
        <v>25</v>
      </c>
      <c r="L1252" s="25">
        <v>16.350000000000001</v>
      </c>
      <c r="M1252" s="25">
        <v>1.92</v>
      </c>
      <c r="N1252" s="25">
        <v>5.0999999999999996</v>
      </c>
      <c r="O1252" s="25">
        <v>38.17</v>
      </c>
      <c r="P1252" s="25">
        <v>61.543799999999997</v>
      </c>
      <c r="Q1252" s="25">
        <f t="shared" si="38"/>
        <v>0</v>
      </c>
      <c r="R1252" s="25">
        <f t="shared" si="39"/>
        <v>64063.456200000001</v>
      </c>
    </row>
    <row r="1253" spans="1:18" hidden="1" x14ac:dyDescent="0.25">
      <c r="A1253" s="26">
        <v>43237</v>
      </c>
      <c r="B1253" s="25" t="s">
        <v>433</v>
      </c>
      <c r="C1253" s="25" t="s">
        <v>17</v>
      </c>
      <c r="D1253" s="25">
        <v>1000</v>
      </c>
      <c r="E1253" s="25">
        <v>14.7</v>
      </c>
      <c r="F1253" s="25">
        <v>14700</v>
      </c>
      <c r="G1253" s="25" t="s">
        <v>469</v>
      </c>
      <c r="H1253" s="25">
        <v>2018093</v>
      </c>
      <c r="I1253" s="25" t="s">
        <v>19</v>
      </c>
      <c r="J1253" s="25" t="s">
        <v>1634</v>
      </c>
      <c r="K1253" s="25" t="s">
        <v>25</v>
      </c>
      <c r="L1253" s="25">
        <v>16.260000000000002</v>
      </c>
      <c r="M1253" s="25">
        <v>0.44</v>
      </c>
      <c r="N1253" s="25">
        <v>0</v>
      </c>
      <c r="O1253" s="25">
        <v>95.48</v>
      </c>
      <c r="P1253" s="25">
        <v>112.1811</v>
      </c>
      <c r="Q1253" s="25">
        <f t="shared" si="38"/>
        <v>14812.1811</v>
      </c>
      <c r="R1253" s="25">
        <f t="shared" si="39"/>
        <v>0</v>
      </c>
    </row>
    <row r="1254" spans="1:18" hidden="1" x14ac:dyDescent="0.25">
      <c r="A1254" s="26">
        <v>43237</v>
      </c>
      <c r="B1254" s="25" t="s">
        <v>433</v>
      </c>
      <c r="C1254" s="25" t="s">
        <v>17</v>
      </c>
      <c r="D1254" s="25">
        <v>1500</v>
      </c>
      <c r="E1254" s="25">
        <v>17.3</v>
      </c>
      <c r="F1254" s="25">
        <v>25950</v>
      </c>
      <c r="G1254" s="25" t="s">
        <v>470</v>
      </c>
      <c r="H1254" s="25">
        <v>2018093</v>
      </c>
      <c r="I1254" s="25" t="s">
        <v>19</v>
      </c>
      <c r="J1254" s="25" t="s">
        <v>1634</v>
      </c>
      <c r="K1254" s="25" t="s">
        <v>25</v>
      </c>
      <c r="L1254" s="25">
        <v>24.39</v>
      </c>
      <c r="M1254" s="25">
        <v>0.78</v>
      </c>
      <c r="N1254" s="25">
        <v>0</v>
      </c>
      <c r="O1254" s="25">
        <v>168.56</v>
      </c>
      <c r="P1254" s="25">
        <v>193.7285</v>
      </c>
      <c r="Q1254" s="25">
        <f t="shared" si="38"/>
        <v>26143.728500000001</v>
      </c>
      <c r="R1254" s="25">
        <f t="shared" si="39"/>
        <v>0</v>
      </c>
    </row>
    <row r="1255" spans="1:18" hidden="1" x14ac:dyDescent="0.25">
      <c r="A1255" s="26">
        <v>43236</v>
      </c>
      <c r="B1255" s="25" t="s">
        <v>471</v>
      </c>
      <c r="C1255" s="25" t="s">
        <v>17</v>
      </c>
      <c r="D1255" s="25">
        <v>1500</v>
      </c>
      <c r="E1255" s="25">
        <v>92</v>
      </c>
      <c r="F1255" s="25">
        <v>138000</v>
      </c>
      <c r="G1255" s="25" t="s">
        <v>472</v>
      </c>
      <c r="H1255" s="25">
        <v>2018092</v>
      </c>
      <c r="I1255" s="25" t="s">
        <v>19</v>
      </c>
      <c r="J1255" s="25" t="s">
        <v>20</v>
      </c>
      <c r="K1255" s="25" t="s">
        <v>25</v>
      </c>
      <c r="L1255" s="25">
        <v>0</v>
      </c>
      <c r="M1255" s="25">
        <v>4.1399999999999997</v>
      </c>
      <c r="N1255" s="25">
        <v>0</v>
      </c>
      <c r="O1255" s="25">
        <v>82.17</v>
      </c>
      <c r="P1255" s="25">
        <v>86.31</v>
      </c>
      <c r="Q1255" s="25">
        <f t="shared" si="38"/>
        <v>138086.31</v>
      </c>
      <c r="R1255" s="25">
        <f t="shared" si="39"/>
        <v>0</v>
      </c>
    </row>
    <row r="1256" spans="1:18" hidden="1" x14ac:dyDescent="0.25">
      <c r="A1256" s="26">
        <v>43236</v>
      </c>
      <c r="B1256" s="25" t="s">
        <v>471</v>
      </c>
      <c r="C1256" s="25" t="s">
        <v>17</v>
      </c>
      <c r="D1256" s="25">
        <v>1000</v>
      </c>
      <c r="E1256" s="25">
        <v>91.25</v>
      </c>
      <c r="F1256" s="25">
        <v>91250</v>
      </c>
      <c r="G1256" s="25" t="s">
        <v>473</v>
      </c>
      <c r="H1256" s="25">
        <v>2018092</v>
      </c>
      <c r="I1256" s="25" t="s">
        <v>19</v>
      </c>
      <c r="J1256" s="25" t="s">
        <v>20</v>
      </c>
      <c r="K1256" s="25" t="s">
        <v>25</v>
      </c>
      <c r="L1256" s="25">
        <v>0</v>
      </c>
      <c r="M1256" s="25">
        <v>2.74</v>
      </c>
      <c r="N1256" s="25">
        <v>0</v>
      </c>
      <c r="O1256" s="25">
        <v>54.33</v>
      </c>
      <c r="P1256" s="25">
        <v>57.067500000000003</v>
      </c>
      <c r="Q1256" s="25">
        <f t="shared" si="38"/>
        <v>91307.067500000005</v>
      </c>
      <c r="R1256" s="25">
        <f t="shared" si="39"/>
        <v>0</v>
      </c>
    </row>
    <row r="1257" spans="1:18" hidden="1" x14ac:dyDescent="0.25">
      <c r="A1257" s="26">
        <v>43236</v>
      </c>
      <c r="B1257" s="25" t="s">
        <v>471</v>
      </c>
      <c r="C1257" s="25" t="s">
        <v>23</v>
      </c>
      <c r="D1257" s="25">
        <v>2500</v>
      </c>
      <c r="E1257" s="25">
        <v>91.85</v>
      </c>
      <c r="F1257" s="25">
        <v>229625</v>
      </c>
      <c r="G1257" s="25" t="s">
        <v>474</v>
      </c>
      <c r="H1257" s="25">
        <v>2018092</v>
      </c>
      <c r="I1257" s="25" t="s">
        <v>19</v>
      </c>
      <c r="J1257" s="25" t="s">
        <v>20</v>
      </c>
      <c r="K1257" s="25" t="s">
        <v>25</v>
      </c>
      <c r="L1257" s="25">
        <v>57</v>
      </c>
      <c r="M1257" s="25">
        <v>6.89</v>
      </c>
      <c r="N1257" s="25">
        <v>13.8</v>
      </c>
      <c r="O1257" s="25">
        <v>136.76</v>
      </c>
      <c r="P1257" s="25">
        <v>214.44800000000001</v>
      </c>
      <c r="Q1257" s="25">
        <f t="shared" si="38"/>
        <v>0</v>
      </c>
      <c r="R1257" s="25">
        <f t="shared" si="39"/>
        <v>229410.552</v>
      </c>
    </row>
    <row r="1258" spans="1:18" hidden="1" x14ac:dyDescent="0.25">
      <c r="A1258" s="26">
        <v>43234</v>
      </c>
      <c r="B1258" s="25" t="s">
        <v>471</v>
      </c>
      <c r="C1258" s="25" t="s">
        <v>17</v>
      </c>
      <c r="D1258" s="25">
        <v>1000</v>
      </c>
      <c r="E1258" s="25">
        <v>95.75</v>
      </c>
      <c r="F1258" s="25">
        <v>95750</v>
      </c>
      <c r="G1258" s="25" t="s">
        <v>475</v>
      </c>
      <c r="H1258" s="25">
        <v>2018090</v>
      </c>
      <c r="I1258" s="25" t="s">
        <v>19</v>
      </c>
      <c r="J1258" s="25" t="s">
        <v>20</v>
      </c>
      <c r="K1258" s="25" t="s">
        <v>25</v>
      </c>
      <c r="L1258" s="25">
        <v>0</v>
      </c>
      <c r="M1258" s="25">
        <v>2.87</v>
      </c>
      <c r="N1258" s="25">
        <v>8.6999999999999993</v>
      </c>
      <c r="O1258" s="25">
        <v>57</v>
      </c>
      <c r="P1258" s="25">
        <v>68.572599999999994</v>
      </c>
      <c r="Q1258" s="25">
        <f t="shared" si="38"/>
        <v>95818.5726</v>
      </c>
      <c r="R1258" s="25">
        <f t="shared" si="39"/>
        <v>0</v>
      </c>
    </row>
    <row r="1259" spans="1:18" hidden="1" x14ac:dyDescent="0.25">
      <c r="A1259" s="26">
        <v>43234</v>
      </c>
      <c r="B1259" s="25" t="s">
        <v>471</v>
      </c>
      <c r="C1259" s="25" t="s">
        <v>17</v>
      </c>
      <c r="D1259" s="25">
        <v>500</v>
      </c>
      <c r="E1259" s="25">
        <v>94.5</v>
      </c>
      <c r="F1259" s="25">
        <v>47250</v>
      </c>
      <c r="G1259" s="25" t="s">
        <v>476</v>
      </c>
      <c r="H1259" s="25">
        <v>2018090</v>
      </c>
      <c r="I1259" s="25" t="s">
        <v>19</v>
      </c>
      <c r="J1259" s="25" t="s">
        <v>20</v>
      </c>
      <c r="K1259" s="25" t="s">
        <v>25</v>
      </c>
      <c r="L1259" s="25">
        <v>0</v>
      </c>
      <c r="M1259" s="25">
        <v>1.42</v>
      </c>
      <c r="N1259" s="25">
        <v>0</v>
      </c>
      <c r="O1259" s="25">
        <v>29.76</v>
      </c>
      <c r="P1259" s="25">
        <v>31.177499999999998</v>
      </c>
      <c r="Q1259" s="25">
        <f t="shared" si="38"/>
        <v>47281.177499999998</v>
      </c>
      <c r="R1259" s="25">
        <f t="shared" si="39"/>
        <v>0</v>
      </c>
    </row>
    <row r="1260" spans="1:18" hidden="1" x14ac:dyDescent="0.25">
      <c r="A1260" s="26">
        <v>43234</v>
      </c>
      <c r="B1260" s="25" t="s">
        <v>471</v>
      </c>
      <c r="C1260" s="25" t="s">
        <v>23</v>
      </c>
      <c r="D1260" s="25">
        <v>1500</v>
      </c>
      <c r="E1260" s="25">
        <v>92</v>
      </c>
      <c r="F1260" s="25">
        <v>138000</v>
      </c>
      <c r="G1260" s="25" t="s">
        <v>477</v>
      </c>
      <c r="H1260" s="25">
        <v>2018090</v>
      </c>
      <c r="I1260" s="25" t="s">
        <v>19</v>
      </c>
      <c r="J1260" s="25" t="s">
        <v>20</v>
      </c>
      <c r="K1260" s="25" t="s">
        <v>25</v>
      </c>
      <c r="L1260" s="25">
        <v>35</v>
      </c>
      <c r="M1260" s="25">
        <v>4.1399999999999997</v>
      </c>
      <c r="N1260" s="25">
        <v>0</v>
      </c>
      <c r="O1260" s="25">
        <v>82.17</v>
      </c>
      <c r="P1260" s="25">
        <v>121.31</v>
      </c>
      <c r="Q1260" s="25">
        <f t="shared" si="38"/>
        <v>0</v>
      </c>
      <c r="R1260" s="25">
        <f t="shared" si="39"/>
        <v>137878.69</v>
      </c>
    </row>
    <row r="1261" spans="1:18" hidden="1" x14ac:dyDescent="0.25">
      <c r="A1261" s="26">
        <v>43231</v>
      </c>
      <c r="B1261" s="25" t="s">
        <v>179</v>
      </c>
      <c r="C1261" s="25" t="s">
        <v>17</v>
      </c>
      <c r="D1261" s="25">
        <v>1100</v>
      </c>
      <c r="E1261" s="25">
        <v>79.099999999999994</v>
      </c>
      <c r="F1261" s="25">
        <v>87010</v>
      </c>
      <c r="G1261" s="25" t="s">
        <v>478</v>
      </c>
      <c r="H1261" s="25">
        <v>2018089</v>
      </c>
      <c r="I1261" s="25" t="s">
        <v>19</v>
      </c>
      <c r="J1261" s="25" t="s">
        <v>20</v>
      </c>
      <c r="K1261" s="25" t="s">
        <v>25</v>
      </c>
      <c r="L1261" s="25">
        <v>0</v>
      </c>
      <c r="M1261" s="25">
        <v>2.61</v>
      </c>
      <c r="N1261" s="25">
        <v>0</v>
      </c>
      <c r="O1261" s="25">
        <v>51.81</v>
      </c>
      <c r="P1261" s="25">
        <v>54.420299999999997</v>
      </c>
      <c r="Q1261" s="25">
        <f t="shared" si="38"/>
        <v>87064.420299999998</v>
      </c>
      <c r="R1261" s="25">
        <f t="shared" si="39"/>
        <v>0</v>
      </c>
    </row>
    <row r="1262" spans="1:18" hidden="1" x14ac:dyDescent="0.25">
      <c r="A1262" s="26">
        <v>43231</v>
      </c>
      <c r="B1262" s="25" t="s">
        <v>179</v>
      </c>
      <c r="C1262" s="25" t="s">
        <v>23</v>
      </c>
      <c r="D1262" s="25">
        <v>1100</v>
      </c>
      <c r="E1262" s="25">
        <v>76.8</v>
      </c>
      <c r="F1262" s="25">
        <v>84480</v>
      </c>
      <c r="G1262" s="25" t="s">
        <v>479</v>
      </c>
      <c r="H1262" s="25">
        <v>2018089</v>
      </c>
      <c r="I1262" s="25" t="s">
        <v>19</v>
      </c>
      <c r="J1262" s="25" t="s">
        <v>20</v>
      </c>
      <c r="K1262" s="25" t="s">
        <v>25</v>
      </c>
      <c r="L1262" s="25">
        <v>21</v>
      </c>
      <c r="M1262" s="25">
        <v>2.5299999999999998</v>
      </c>
      <c r="N1262" s="25">
        <v>5.4</v>
      </c>
      <c r="O1262" s="25">
        <v>50.3</v>
      </c>
      <c r="P1262" s="25">
        <v>79.234399999999994</v>
      </c>
      <c r="Q1262" s="25">
        <f t="shared" si="38"/>
        <v>0</v>
      </c>
      <c r="R1262" s="25">
        <f t="shared" si="39"/>
        <v>84400.765599999999</v>
      </c>
    </row>
    <row r="1263" spans="1:18" hidden="1" x14ac:dyDescent="0.25">
      <c r="A1263" s="26">
        <v>43230</v>
      </c>
      <c r="B1263" s="25" t="s">
        <v>480</v>
      </c>
      <c r="C1263" s="25" t="s">
        <v>17</v>
      </c>
      <c r="D1263" s="25">
        <v>1000</v>
      </c>
      <c r="E1263" s="25">
        <v>91</v>
      </c>
      <c r="F1263" s="25">
        <v>91000</v>
      </c>
      <c r="G1263" s="25" t="s">
        <v>481</v>
      </c>
      <c r="H1263" s="25">
        <v>2018088</v>
      </c>
      <c r="I1263" s="25" t="s">
        <v>19</v>
      </c>
      <c r="J1263" s="25" t="s">
        <v>20</v>
      </c>
      <c r="K1263" s="25" t="s">
        <v>25</v>
      </c>
      <c r="L1263" s="25">
        <v>0</v>
      </c>
      <c r="M1263" s="25">
        <v>2.73</v>
      </c>
      <c r="N1263" s="25">
        <v>12.3</v>
      </c>
      <c r="O1263" s="25">
        <v>54.18</v>
      </c>
      <c r="P1263" s="25">
        <v>69.209999999999994</v>
      </c>
      <c r="Q1263" s="25">
        <f t="shared" si="38"/>
        <v>91069.21</v>
      </c>
      <c r="R1263" s="25">
        <f t="shared" si="39"/>
        <v>0</v>
      </c>
    </row>
    <row r="1264" spans="1:18" hidden="1" x14ac:dyDescent="0.25">
      <c r="A1264" s="26">
        <v>43230</v>
      </c>
      <c r="B1264" s="25" t="s">
        <v>205</v>
      </c>
      <c r="C1264" s="25" t="s">
        <v>23</v>
      </c>
      <c r="D1264" s="25">
        <v>900</v>
      </c>
      <c r="E1264" s="25">
        <v>51.17</v>
      </c>
      <c r="F1264" s="25">
        <v>46052.05</v>
      </c>
      <c r="G1264" s="25" t="s">
        <v>482</v>
      </c>
      <c r="H1264" s="25">
        <v>2018088</v>
      </c>
      <c r="I1264" s="25" t="s">
        <v>19</v>
      </c>
      <c r="J1264" s="25" t="s">
        <v>20</v>
      </c>
      <c r="K1264" s="25" t="s">
        <v>25</v>
      </c>
      <c r="L1264" s="25">
        <v>46.14</v>
      </c>
      <c r="M1264" s="25">
        <v>1.38</v>
      </c>
      <c r="N1264" s="25">
        <v>0</v>
      </c>
      <c r="O1264" s="25">
        <v>299.12</v>
      </c>
      <c r="P1264" s="25">
        <v>346.64159999999998</v>
      </c>
      <c r="Q1264" s="25">
        <f t="shared" si="38"/>
        <v>0</v>
      </c>
      <c r="R1264" s="25">
        <f t="shared" si="39"/>
        <v>45705.4084</v>
      </c>
    </row>
    <row r="1265" spans="1:18" hidden="1" x14ac:dyDescent="0.25">
      <c r="A1265" s="26">
        <v>43230</v>
      </c>
      <c r="B1265" s="25" t="s">
        <v>480</v>
      </c>
      <c r="C1265" s="25" t="s">
        <v>17</v>
      </c>
      <c r="D1265" s="25">
        <v>1000</v>
      </c>
      <c r="E1265" s="25">
        <v>90.75</v>
      </c>
      <c r="F1265" s="25">
        <v>90750</v>
      </c>
      <c r="G1265" s="25" t="s">
        <v>483</v>
      </c>
      <c r="H1265" s="25">
        <v>2018088</v>
      </c>
      <c r="I1265" s="25" t="s">
        <v>19</v>
      </c>
      <c r="J1265" s="25" t="s">
        <v>20</v>
      </c>
      <c r="K1265" s="25" t="s">
        <v>25</v>
      </c>
      <c r="L1265" s="25">
        <v>0</v>
      </c>
      <c r="M1265" s="25">
        <v>2.72</v>
      </c>
      <c r="N1265" s="25">
        <v>0</v>
      </c>
      <c r="O1265" s="25">
        <v>54.03</v>
      </c>
      <c r="P1265" s="25">
        <v>56.752499999999998</v>
      </c>
      <c r="Q1265" s="25">
        <f t="shared" si="38"/>
        <v>90806.752500000002</v>
      </c>
      <c r="R1265" s="25">
        <f t="shared" si="39"/>
        <v>0</v>
      </c>
    </row>
    <row r="1266" spans="1:18" hidden="1" x14ac:dyDescent="0.25">
      <c r="A1266" s="26">
        <v>43230</v>
      </c>
      <c r="B1266" s="25" t="s">
        <v>480</v>
      </c>
      <c r="C1266" s="25" t="s">
        <v>23</v>
      </c>
      <c r="D1266" s="25">
        <v>2000</v>
      </c>
      <c r="E1266" s="25">
        <v>88.55</v>
      </c>
      <c r="F1266" s="25">
        <v>177100</v>
      </c>
      <c r="G1266" s="25" t="s">
        <v>484</v>
      </c>
      <c r="H1266" s="25">
        <v>2018088</v>
      </c>
      <c r="I1266" s="25" t="s">
        <v>19</v>
      </c>
      <c r="J1266" s="25" t="s">
        <v>20</v>
      </c>
      <c r="K1266" s="25" t="s">
        <v>25</v>
      </c>
      <c r="L1266" s="25">
        <v>44.86</v>
      </c>
      <c r="M1266" s="25">
        <v>5.31</v>
      </c>
      <c r="N1266" s="25">
        <v>0</v>
      </c>
      <c r="O1266" s="25">
        <v>105.45</v>
      </c>
      <c r="P1266" s="25">
        <v>155.62309999999999</v>
      </c>
      <c r="Q1266" s="25">
        <f t="shared" si="38"/>
        <v>0</v>
      </c>
      <c r="R1266" s="25">
        <f t="shared" si="39"/>
        <v>176944.3769</v>
      </c>
    </row>
    <row r="1267" spans="1:18" hidden="1" x14ac:dyDescent="0.25">
      <c r="A1267" s="26">
        <v>43230</v>
      </c>
      <c r="B1267" s="25" t="s">
        <v>190</v>
      </c>
      <c r="C1267" s="25" t="s">
        <v>17</v>
      </c>
      <c r="D1267" s="25">
        <v>1000</v>
      </c>
      <c r="E1267" s="25">
        <v>7</v>
      </c>
      <c r="F1267" s="25">
        <v>7000</v>
      </c>
      <c r="G1267" s="25" t="s">
        <v>485</v>
      </c>
      <c r="H1267" s="25">
        <v>2018088</v>
      </c>
      <c r="I1267" s="25" t="s">
        <v>140</v>
      </c>
      <c r="J1267" s="25" t="s">
        <v>20</v>
      </c>
      <c r="K1267" s="25" t="s">
        <v>25</v>
      </c>
      <c r="L1267" s="25">
        <v>7</v>
      </c>
      <c r="M1267" s="25">
        <v>0.21</v>
      </c>
      <c r="N1267" s="25">
        <v>0.3</v>
      </c>
      <c r="O1267" s="25">
        <v>59.04</v>
      </c>
      <c r="P1267" s="25">
        <v>66.55</v>
      </c>
      <c r="Q1267" s="25">
        <f t="shared" si="38"/>
        <v>7066.55</v>
      </c>
      <c r="R1267" s="25">
        <f t="shared" si="39"/>
        <v>0</v>
      </c>
    </row>
    <row r="1268" spans="1:18" hidden="1" x14ac:dyDescent="0.25">
      <c r="A1268" s="26">
        <v>43229</v>
      </c>
      <c r="B1268" s="25" t="s">
        <v>480</v>
      </c>
      <c r="C1268" s="25" t="s">
        <v>17</v>
      </c>
      <c r="D1268" s="25">
        <v>1000</v>
      </c>
      <c r="E1268" s="25">
        <v>100.5</v>
      </c>
      <c r="F1268" s="25">
        <v>100500</v>
      </c>
      <c r="G1268" s="25" t="s">
        <v>486</v>
      </c>
      <c r="H1268" s="25">
        <v>2018087</v>
      </c>
      <c r="I1268" s="25" t="s">
        <v>19</v>
      </c>
      <c r="J1268" s="25" t="s">
        <v>20</v>
      </c>
      <c r="K1268" s="25" t="s">
        <v>25</v>
      </c>
      <c r="L1268" s="25">
        <v>0</v>
      </c>
      <c r="M1268" s="25">
        <v>3.02</v>
      </c>
      <c r="N1268" s="25">
        <v>6.3</v>
      </c>
      <c r="O1268" s="25">
        <v>59.83</v>
      </c>
      <c r="P1268" s="25">
        <v>69.144999999999996</v>
      </c>
      <c r="Q1268" s="25">
        <f t="shared" si="38"/>
        <v>100569.145</v>
      </c>
      <c r="R1268" s="25">
        <f t="shared" si="39"/>
        <v>0</v>
      </c>
    </row>
    <row r="1269" spans="1:18" hidden="1" x14ac:dyDescent="0.25">
      <c r="A1269" s="26">
        <v>43229</v>
      </c>
      <c r="B1269" s="25" t="s">
        <v>480</v>
      </c>
      <c r="C1269" s="25" t="s">
        <v>23</v>
      </c>
      <c r="D1269" s="25">
        <v>1000</v>
      </c>
      <c r="E1269" s="25">
        <v>101</v>
      </c>
      <c r="F1269" s="25">
        <v>101000</v>
      </c>
      <c r="G1269" s="25" t="s">
        <v>487</v>
      </c>
      <c r="H1269" s="25">
        <v>2018087</v>
      </c>
      <c r="I1269" s="25" t="s">
        <v>19</v>
      </c>
      <c r="J1269" s="25" t="s">
        <v>20</v>
      </c>
      <c r="K1269" s="25" t="s">
        <v>25</v>
      </c>
      <c r="L1269" s="25">
        <v>25</v>
      </c>
      <c r="M1269" s="25">
        <v>3.03</v>
      </c>
      <c r="N1269" s="25">
        <v>0</v>
      </c>
      <c r="O1269" s="25">
        <v>60.14</v>
      </c>
      <c r="P1269" s="25">
        <v>88.17</v>
      </c>
      <c r="Q1269" s="25">
        <f t="shared" si="38"/>
        <v>0</v>
      </c>
      <c r="R1269" s="25">
        <f t="shared" si="39"/>
        <v>100911.83</v>
      </c>
    </row>
    <row r="1270" spans="1:18" hidden="1" x14ac:dyDescent="0.25">
      <c r="A1270" s="26">
        <v>43224</v>
      </c>
      <c r="B1270" s="25" t="s">
        <v>321</v>
      </c>
      <c r="C1270" s="25" t="s">
        <v>17</v>
      </c>
      <c r="D1270" s="25">
        <v>1000</v>
      </c>
      <c r="E1270" s="25">
        <v>293</v>
      </c>
      <c r="F1270" s="25">
        <v>293000</v>
      </c>
      <c r="G1270" s="25" t="s">
        <v>488</v>
      </c>
      <c r="H1270" s="25">
        <v>2018084</v>
      </c>
      <c r="I1270" s="25" t="s">
        <v>19</v>
      </c>
      <c r="J1270" s="25" t="s">
        <v>20</v>
      </c>
      <c r="K1270" s="25" t="s">
        <v>25</v>
      </c>
      <c r="L1270" s="25">
        <v>0</v>
      </c>
      <c r="M1270" s="25">
        <v>8.7899999999999991</v>
      </c>
      <c r="N1270" s="25">
        <v>17.7</v>
      </c>
      <c r="O1270" s="25">
        <v>174.45</v>
      </c>
      <c r="P1270" s="25">
        <v>200.9401</v>
      </c>
      <c r="Q1270" s="25">
        <f t="shared" si="38"/>
        <v>293200.94010000001</v>
      </c>
      <c r="R1270" s="25">
        <f t="shared" si="39"/>
        <v>0</v>
      </c>
    </row>
    <row r="1271" spans="1:18" hidden="1" x14ac:dyDescent="0.25">
      <c r="A1271" s="26">
        <v>43224</v>
      </c>
      <c r="B1271" s="25" t="s">
        <v>321</v>
      </c>
      <c r="C1271" s="25" t="s">
        <v>23</v>
      </c>
      <c r="D1271" s="25">
        <v>1000</v>
      </c>
      <c r="E1271" s="25">
        <v>291</v>
      </c>
      <c r="F1271" s="25">
        <v>291000</v>
      </c>
      <c r="G1271" s="25" t="s">
        <v>489</v>
      </c>
      <c r="H1271" s="25">
        <v>2018084</v>
      </c>
      <c r="I1271" s="25" t="s">
        <v>19</v>
      </c>
      <c r="J1271" s="25" t="s">
        <v>20</v>
      </c>
      <c r="K1271" s="25" t="s">
        <v>25</v>
      </c>
      <c r="L1271" s="25">
        <v>73</v>
      </c>
      <c r="M1271" s="25">
        <v>8.73</v>
      </c>
      <c r="N1271" s="25">
        <v>0</v>
      </c>
      <c r="O1271" s="25">
        <v>173.26</v>
      </c>
      <c r="P1271" s="25">
        <v>254.99</v>
      </c>
      <c r="Q1271" s="25">
        <f t="shared" si="38"/>
        <v>0</v>
      </c>
      <c r="R1271" s="25">
        <f t="shared" si="39"/>
        <v>290745.01</v>
      </c>
    </row>
    <row r="1272" spans="1:18" hidden="1" x14ac:dyDescent="0.25">
      <c r="A1272" s="26">
        <v>43223</v>
      </c>
      <c r="B1272" s="25" t="s">
        <v>282</v>
      </c>
      <c r="C1272" s="25" t="s">
        <v>23</v>
      </c>
      <c r="D1272" s="25">
        <v>290</v>
      </c>
      <c r="E1272" s="25">
        <v>626.88</v>
      </c>
      <c r="F1272" s="25">
        <v>181796.1</v>
      </c>
      <c r="G1272" s="25" t="s">
        <v>412</v>
      </c>
      <c r="H1272" s="25">
        <v>2018083</v>
      </c>
      <c r="I1272" s="25" t="s">
        <v>19</v>
      </c>
      <c r="J1272" s="25" t="s">
        <v>1634</v>
      </c>
      <c r="K1272" s="25" t="s">
        <v>25</v>
      </c>
      <c r="L1272" s="25">
        <v>181.82</v>
      </c>
      <c r="M1272" s="25">
        <v>5.45</v>
      </c>
      <c r="N1272" s="25">
        <v>0</v>
      </c>
      <c r="O1272" s="25">
        <v>1180.8399999999999</v>
      </c>
      <c r="P1272" s="25">
        <v>1368.114</v>
      </c>
      <c r="Q1272" s="25">
        <f t="shared" si="38"/>
        <v>0</v>
      </c>
      <c r="R1272" s="25">
        <f t="shared" si="39"/>
        <v>180427.986</v>
      </c>
    </row>
    <row r="1273" spans="1:18" hidden="1" x14ac:dyDescent="0.25">
      <c r="A1273" s="26">
        <v>43223</v>
      </c>
      <c r="B1273" s="25" t="s">
        <v>282</v>
      </c>
      <c r="C1273" s="25" t="s">
        <v>23</v>
      </c>
      <c r="D1273" s="25">
        <v>710</v>
      </c>
      <c r="E1273" s="25">
        <v>627</v>
      </c>
      <c r="F1273" s="25">
        <v>445170</v>
      </c>
      <c r="G1273" s="25" t="s">
        <v>413</v>
      </c>
      <c r="H1273" s="25">
        <v>2018083</v>
      </c>
      <c r="I1273" s="25" t="s">
        <v>19</v>
      </c>
      <c r="J1273" s="25" t="s">
        <v>1634</v>
      </c>
      <c r="K1273" s="25" t="s">
        <v>25</v>
      </c>
      <c r="L1273" s="25">
        <v>445.18</v>
      </c>
      <c r="M1273" s="25">
        <v>13.36</v>
      </c>
      <c r="N1273" s="25">
        <v>18.899999999999999</v>
      </c>
      <c r="O1273" s="25">
        <v>2891.56</v>
      </c>
      <c r="P1273" s="25">
        <v>3368.9951000000001</v>
      </c>
      <c r="Q1273" s="25">
        <f t="shared" si="38"/>
        <v>0</v>
      </c>
      <c r="R1273" s="25">
        <f t="shared" si="39"/>
        <v>441801.0049</v>
      </c>
    </row>
    <row r="1274" spans="1:18" hidden="1" x14ac:dyDescent="0.25">
      <c r="A1274" s="26">
        <v>43220</v>
      </c>
      <c r="B1274" s="25" t="s">
        <v>282</v>
      </c>
      <c r="C1274" s="25" t="s">
        <v>17</v>
      </c>
      <c r="D1274" s="25">
        <v>100</v>
      </c>
      <c r="E1274" s="25">
        <v>662</v>
      </c>
      <c r="F1274" s="25">
        <v>66200</v>
      </c>
      <c r="G1274" s="25" t="s">
        <v>414</v>
      </c>
      <c r="H1274" s="25">
        <v>2018081</v>
      </c>
      <c r="I1274" s="25" t="s">
        <v>19</v>
      </c>
      <c r="J1274" s="25" t="s">
        <v>1634</v>
      </c>
      <c r="K1274" s="25" t="s">
        <v>25</v>
      </c>
      <c r="L1274" s="25">
        <v>0</v>
      </c>
      <c r="M1274" s="25">
        <v>1.99</v>
      </c>
      <c r="N1274" s="25">
        <v>0</v>
      </c>
      <c r="O1274" s="25">
        <v>39.409999999999997</v>
      </c>
      <c r="P1274" s="25">
        <v>41.396099999999997</v>
      </c>
      <c r="Q1274" s="25">
        <f t="shared" si="38"/>
        <v>66241.396099999998</v>
      </c>
      <c r="R1274" s="25">
        <f t="shared" si="39"/>
        <v>0</v>
      </c>
    </row>
    <row r="1275" spans="1:18" hidden="1" x14ac:dyDescent="0.25">
      <c r="A1275" s="26">
        <v>43220</v>
      </c>
      <c r="B1275" s="25" t="s">
        <v>282</v>
      </c>
      <c r="C1275" s="25" t="s">
        <v>17</v>
      </c>
      <c r="D1275" s="25">
        <v>150</v>
      </c>
      <c r="E1275" s="25">
        <v>661</v>
      </c>
      <c r="F1275" s="25">
        <v>99150</v>
      </c>
      <c r="G1275" s="25" t="s">
        <v>415</v>
      </c>
      <c r="H1275" s="25">
        <v>2018081</v>
      </c>
      <c r="I1275" s="25" t="s">
        <v>19</v>
      </c>
      <c r="J1275" s="25" t="s">
        <v>1634</v>
      </c>
      <c r="K1275" s="25" t="s">
        <v>25</v>
      </c>
      <c r="L1275" s="25">
        <v>0</v>
      </c>
      <c r="M1275" s="25">
        <v>2.97</v>
      </c>
      <c r="N1275" s="25">
        <v>0</v>
      </c>
      <c r="O1275" s="25">
        <v>59.03</v>
      </c>
      <c r="P1275" s="25">
        <v>62.0045</v>
      </c>
      <c r="Q1275" s="25">
        <f t="shared" si="38"/>
        <v>99212.004499999995</v>
      </c>
      <c r="R1275" s="25">
        <f t="shared" si="39"/>
        <v>0</v>
      </c>
    </row>
    <row r="1276" spans="1:18" hidden="1" x14ac:dyDescent="0.25">
      <c r="A1276" s="26">
        <v>43220</v>
      </c>
      <c r="B1276" s="25" t="s">
        <v>282</v>
      </c>
      <c r="C1276" s="25" t="s">
        <v>17</v>
      </c>
      <c r="D1276" s="25">
        <v>250</v>
      </c>
      <c r="E1276" s="25">
        <v>663</v>
      </c>
      <c r="F1276" s="25">
        <v>165750</v>
      </c>
      <c r="G1276" s="25" t="s">
        <v>416</v>
      </c>
      <c r="H1276" s="25">
        <v>2018081</v>
      </c>
      <c r="I1276" s="25" t="s">
        <v>19</v>
      </c>
      <c r="J1276" s="25" t="s">
        <v>1634</v>
      </c>
      <c r="K1276" s="25" t="s">
        <v>25</v>
      </c>
      <c r="L1276" s="25">
        <v>0</v>
      </c>
      <c r="M1276" s="25">
        <v>4.97</v>
      </c>
      <c r="N1276" s="25">
        <v>40.200000000000003</v>
      </c>
      <c r="O1276" s="25">
        <v>98.69</v>
      </c>
      <c r="P1276" s="25">
        <v>143.86259999999999</v>
      </c>
      <c r="Q1276" s="25">
        <f t="shared" si="38"/>
        <v>165893.86259999999</v>
      </c>
      <c r="R1276" s="25">
        <f t="shared" si="39"/>
        <v>0</v>
      </c>
    </row>
    <row r="1277" spans="1:18" hidden="1" x14ac:dyDescent="0.25">
      <c r="A1277" s="26">
        <v>43220</v>
      </c>
      <c r="B1277" s="25" t="s">
        <v>282</v>
      </c>
      <c r="C1277" s="25" t="s">
        <v>23</v>
      </c>
      <c r="D1277" s="25">
        <v>500</v>
      </c>
      <c r="E1277" s="25">
        <v>670</v>
      </c>
      <c r="F1277" s="25">
        <v>335000</v>
      </c>
      <c r="G1277" s="25" t="s">
        <v>417</v>
      </c>
      <c r="H1277" s="25">
        <v>2018081</v>
      </c>
      <c r="I1277" s="25" t="s">
        <v>19</v>
      </c>
      <c r="J1277" s="25" t="s">
        <v>1634</v>
      </c>
      <c r="K1277" s="25" t="s">
        <v>25</v>
      </c>
      <c r="L1277" s="25">
        <v>83.32</v>
      </c>
      <c r="M1277" s="25">
        <v>10.050000000000001</v>
      </c>
      <c r="N1277" s="25">
        <v>0</v>
      </c>
      <c r="O1277" s="25">
        <v>199.46</v>
      </c>
      <c r="P1277" s="25">
        <v>292.83</v>
      </c>
      <c r="Q1277" s="25">
        <f t="shared" si="38"/>
        <v>0</v>
      </c>
      <c r="R1277" s="25">
        <f t="shared" si="39"/>
        <v>334707.17</v>
      </c>
    </row>
    <row r="1278" spans="1:18" hidden="1" x14ac:dyDescent="0.25">
      <c r="A1278" s="26">
        <v>43220</v>
      </c>
      <c r="B1278" s="25" t="s">
        <v>282</v>
      </c>
      <c r="C1278" s="25" t="s">
        <v>17</v>
      </c>
      <c r="D1278" s="25">
        <v>1000</v>
      </c>
      <c r="E1278" s="25">
        <v>667</v>
      </c>
      <c r="F1278" s="25">
        <v>667000</v>
      </c>
      <c r="G1278" s="25" t="s">
        <v>418</v>
      </c>
      <c r="H1278" s="25">
        <v>2018081</v>
      </c>
      <c r="I1278" s="25" t="s">
        <v>19</v>
      </c>
      <c r="J1278" s="25" t="s">
        <v>1634</v>
      </c>
      <c r="K1278" s="25" t="s">
        <v>25</v>
      </c>
      <c r="L1278" s="25">
        <v>666.68</v>
      </c>
      <c r="M1278" s="25">
        <v>20.010000000000002</v>
      </c>
      <c r="N1278" s="25">
        <v>0</v>
      </c>
      <c r="O1278" s="25">
        <v>4332.42</v>
      </c>
      <c r="P1278" s="25">
        <v>5019.1100999999999</v>
      </c>
      <c r="Q1278" s="25">
        <f t="shared" si="38"/>
        <v>672019.11010000005</v>
      </c>
      <c r="R1278" s="25">
        <f t="shared" si="39"/>
        <v>0</v>
      </c>
    </row>
    <row r="1279" spans="1:18" hidden="1" x14ac:dyDescent="0.25">
      <c r="A1279" s="26">
        <v>43217</v>
      </c>
      <c r="B1279" s="25" t="s">
        <v>179</v>
      </c>
      <c r="C1279" s="25" t="s">
        <v>17</v>
      </c>
      <c r="D1279" s="25">
        <v>1000</v>
      </c>
      <c r="E1279" s="25">
        <v>81</v>
      </c>
      <c r="F1279" s="25">
        <v>81000</v>
      </c>
      <c r="G1279" s="25" t="s">
        <v>419</v>
      </c>
      <c r="H1279" s="25">
        <v>2018080</v>
      </c>
      <c r="I1279" s="25" t="s">
        <v>19</v>
      </c>
      <c r="J1279" s="25" t="s">
        <v>1634</v>
      </c>
      <c r="K1279" s="25" t="s">
        <v>25</v>
      </c>
      <c r="L1279" s="25">
        <v>81</v>
      </c>
      <c r="M1279" s="25">
        <v>2.4300000000000002</v>
      </c>
      <c r="N1279" s="25">
        <v>0</v>
      </c>
      <c r="O1279" s="25">
        <v>526.13</v>
      </c>
      <c r="P1279" s="25">
        <v>609.55999999999995</v>
      </c>
      <c r="Q1279" s="25">
        <f t="shared" si="38"/>
        <v>81609.56</v>
      </c>
      <c r="R1279" s="25">
        <f t="shared" si="39"/>
        <v>0</v>
      </c>
    </row>
    <row r="1280" spans="1:18" hidden="1" x14ac:dyDescent="0.25">
      <c r="A1280" s="26">
        <v>43217</v>
      </c>
      <c r="B1280" s="25" t="s">
        <v>379</v>
      </c>
      <c r="C1280" s="25" t="s">
        <v>17</v>
      </c>
      <c r="D1280" s="25">
        <v>100</v>
      </c>
      <c r="E1280" s="25">
        <v>239</v>
      </c>
      <c r="F1280" s="25">
        <v>23900</v>
      </c>
      <c r="G1280" s="25" t="s">
        <v>420</v>
      </c>
      <c r="H1280" s="25">
        <v>2018080</v>
      </c>
      <c r="I1280" s="25" t="s">
        <v>19</v>
      </c>
      <c r="J1280" s="25" t="s">
        <v>20</v>
      </c>
      <c r="K1280" s="25" t="s">
        <v>25</v>
      </c>
      <c r="L1280" s="25">
        <v>0</v>
      </c>
      <c r="M1280" s="25">
        <v>0.72</v>
      </c>
      <c r="N1280" s="25">
        <v>11.1</v>
      </c>
      <c r="O1280" s="25">
        <v>29.63</v>
      </c>
      <c r="P1280" s="25">
        <v>41.447099999999999</v>
      </c>
      <c r="Q1280" s="25">
        <f t="shared" si="38"/>
        <v>23941.447100000001</v>
      </c>
      <c r="R1280" s="25">
        <f t="shared" si="39"/>
        <v>0</v>
      </c>
    </row>
    <row r="1281" spans="1:18" hidden="1" x14ac:dyDescent="0.25">
      <c r="A1281" s="26">
        <v>43217</v>
      </c>
      <c r="B1281" s="25" t="s">
        <v>379</v>
      </c>
      <c r="C1281" s="25" t="s">
        <v>23</v>
      </c>
      <c r="D1281" s="25">
        <v>100</v>
      </c>
      <c r="E1281" s="25">
        <v>233</v>
      </c>
      <c r="F1281" s="25">
        <v>23300</v>
      </c>
      <c r="G1281" s="25" t="s">
        <v>421</v>
      </c>
      <c r="H1281" s="25">
        <v>2018080</v>
      </c>
      <c r="I1281" s="25" t="s">
        <v>19</v>
      </c>
      <c r="J1281" s="25" t="s">
        <v>20</v>
      </c>
      <c r="K1281" s="25" t="s">
        <v>25</v>
      </c>
      <c r="L1281" s="25">
        <v>5.9</v>
      </c>
      <c r="M1281" s="25">
        <v>0.7</v>
      </c>
      <c r="N1281" s="25">
        <v>0</v>
      </c>
      <c r="O1281" s="25">
        <v>29.63</v>
      </c>
      <c r="P1281" s="25">
        <v>36.229100000000003</v>
      </c>
      <c r="Q1281" s="25">
        <f t="shared" si="38"/>
        <v>0</v>
      </c>
      <c r="R1281" s="25">
        <f t="shared" si="39"/>
        <v>23263.7709</v>
      </c>
    </row>
    <row r="1282" spans="1:18" hidden="1" x14ac:dyDescent="0.25">
      <c r="A1282" s="26">
        <v>43217</v>
      </c>
      <c r="B1282" s="25" t="s">
        <v>282</v>
      </c>
      <c r="C1282" s="25" t="s">
        <v>23</v>
      </c>
      <c r="D1282" s="25">
        <v>350</v>
      </c>
      <c r="E1282" s="25">
        <v>670</v>
      </c>
      <c r="F1282" s="25">
        <v>234500</v>
      </c>
      <c r="G1282" s="25" t="s">
        <v>422</v>
      </c>
      <c r="H1282" s="25">
        <v>2018080</v>
      </c>
      <c r="I1282" s="25" t="s">
        <v>19</v>
      </c>
      <c r="J1282" s="25" t="s">
        <v>1634</v>
      </c>
      <c r="K1282" s="25" t="s">
        <v>25</v>
      </c>
      <c r="L1282" s="25">
        <v>234.1</v>
      </c>
      <c r="M1282" s="25">
        <v>7.04</v>
      </c>
      <c r="N1282" s="25">
        <v>0</v>
      </c>
      <c r="O1282" s="25">
        <v>1523.18</v>
      </c>
      <c r="P1282" s="25">
        <v>1764.3150000000001</v>
      </c>
      <c r="Q1282" s="25">
        <f t="shared" si="38"/>
        <v>0</v>
      </c>
      <c r="R1282" s="25">
        <f t="shared" si="39"/>
        <v>232735.685</v>
      </c>
    </row>
    <row r="1283" spans="1:18" hidden="1" x14ac:dyDescent="0.25">
      <c r="A1283" s="26">
        <v>43216</v>
      </c>
      <c r="B1283" s="25" t="s">
        <v>397</v>
      </c>
      <c r="C1283" s="25" t="s">
        <v>17</v>
      </c>
      <c r="D1283" s="25">
        <v>75</v>
      </c>
      <c r="E1283" s="25">
        <v>281</v>
      </c>
      <c r="F1283" s="25">
        <v>21075</v>
      </c>
      <c r="G1283" s="25" t="s">
        <v>423</v>
      </c>
      <c r="H1283" s="25">
        <v>2018079</v>
      </c>
      <c r="I1283" s="25" t="s">
        <v>19</v>
      </c>
      <c r="J1283" s="25" t="s">
        <v>20</v>
      </c>
      <c r="K1283" s="25" t="s">
        <v>25</v>
      </c>
      <c r="L1283" s="25">
        <v>21</v>
      </c>
      <c r="M1283" s="25">
        <v>0.63</v>
      </c>
      <c r="N1283" s="25">
        <v>0.9</v>
      </c>
      <c r="O1283" s="25">
        <v>136.88999999999999</v>
      </c>
      <c r="P1283" s="25">
        <v>159.4222</v>
      </c>
      <c r="Q1283" s="25">
        <f t="shared" ref="Q1283:Q1346" si="40">IF(C1283="Buy",F1283+P1283,0)</f>
        <v>21234.422200000001</v>
      </c>
      <c r="R1283" s="25">
        <f t="shared" ref="R1283:R1346" si="41">IF(C1283="Sell",F1283-P1283,0)</f>
        <v>0</v>
      </c>
    </row>
    <row r="1284" spans="1:18" hidden="1" x14ac:dyDescent="0.25">
      <c r="A1284" s="26">
        <v>43216</v>
      </c>
      <c r="B1284" s="25" t="s">
        <v>190</v>
      </c>
      <c r="C1284" s="25" t="s">
        <v>17</v>
      </c>
      <c r="D1284" s="25">
        <v>1000</v>
      </c>
      <c r="E1284" s="25">
        <v>8</v>
      </c>
      <c r="F1284" s="25">
        <v>8000</v>
      </c>
      <c r="G1284" s="25" t="s">
        <v>424</v>
      </c>
      <c r="H1284" s="25">
        <v>2018079</v>
      </c>
      <c r="I1284" s="25" t="s">
        <v>140</v>
      </c>
      <c r="J1284" s="25" t="s">
        <v>20</v>
      </c>
      <c r="K1284" s="25" t="s">
        <v>25</v>
      </c>
      <c r="L1284" s="25">
        <v>8</v>
      </c>
      <c r="M1284" s="25">
        <v>0.24</v>
      </c>
      <c r="N1284" s="25">
        <v>0.3</v>
      </c>
      <c r="O1284" s="25">
        <v>59.04</v>
      </c>
      <c r="P1284" s="25">
        <v>67.58</v>
      </c>
      <c r="Q1284" s="25">
        <f t="shared" si="40"/>
        <v>8067.58</v>
      </c>
      <c r="R1284" s="25">
        <f t="shared" si="41"/>
        <v>0</v>
      </c>
    </row>
    <row r="1285" spans="1:18" hidden="1" x14ac:dyDescent="0.25">
      <c r="A1285" s="26">
        <v>43215</v>
      </c>
      <c r="B1285" s="25" t="s">
        <v>379</v>
      </c>
      <c r="C1285" s="25" t="s">
        <v>17</v>
      </c>
      <c r="D1285" s="25">
        <v>150</v>
      </c>
      <c r="E1285" s="25">
        <v>250</v>
      </c>
      <c r="F1285" s="25">
        <v>37500</v>
      </c>
      <c r="G1285" s="25" t="s">
        <v>380</v>
      </c>
      <c r="H1285" s="25">
        <v>2018078</v>
      </c>
      <c r="I1285" s="25" t="s">
        <v>19</v>
      </c>
      <c r="J1285" s="25" t="s">
        <v>20</v>
      </c>
      <c r="K1285" s="25" t="s">
        <v>25</v>
      </c>
      <c r="L1285" s="25">
        <v>0</v>
      </c>
      <c r="M1285" s="25">
        <v>1.1299999999999999</v>
      </c>
      <c r="N1285" s="25">
        <v>0</v>
      </c>
      <c r="O1285" s="25">
        <v>29.7</v>
      </c>
      <c r="P1285" s="25">
        <v>30.825099999999999</v>
      </c>
      <c r="Q1285" s="25">
        <f t="shared" si="40"/>
        <v>37530.825100000002</v>
      </c>
      <c r="R1285" s="25">
        <f t="shared" si="41"/>
        <v>0</v>
      </c>
    </row>
    <row r="1286" spans="1:18" hidden="1" x14ac:dyDescent="0.25">
      <c r="A1286" s="26">
        <v>43215</v>
      </c>
      <c r="B1286" s="25" t="s">
        <v>379</v>
      </c>
      <c r="C1286" s="25" t="s">
        <v>23</v>
      </c>
      <c r="D1286" s="25">
        <v>250</v>
      </c>
      <c r="E1286" s="25">
        <v>242</v>
      </c>
      <c r="F1286" s="25">
        <v>60500</v>
      </c>
      <c r="G1286" s="25" t="s">
        <v>381</v>
      </c>
      <c r="H1286" s="25">
        <v>2018078</v>
      </c>
      <c r="I1286" s="25" t="s">
        <v>19</v>
      </c>
      <c r="J1286" s="25" t="s">
        <v>20</v>
      </c>
      <c r="K1286" s="25" t="s">
        <v>25</v>
      </c>
      <c r="L1286" s="25">
        <v>15.49</v>
      </c>
      <c r="M1286" s="25">
        <v>1.82</v>
      </c>
      <c r="N1286" s="25">
        <v>0</v>
      </c>
      <c r="O1286" s="25">
        <v>36.020000000000003</v>
      </c>
      <c r="P1286" s="25">
        <v>53.325099999999999</v>
      </c>
      <c r="Q1286" s="25">
        <f t="shared" si="40"/>
        <v>0</v>
      </c>
      <c r="R1286" s="25">
        <f t="shared" si="41"/>
        <v>60446.674899999998</v>
      </c>
    </row>
    <row r="1287" spans="1:18" hidden="1" x14ac:dyDescent="0.25">
      <c r="A1287" s="26">
        <v>43215</v>
      </c>
      <c r="B1287" s="25" t="s">
        <v>321</v>
      </c>
      <c r="C1287" s="25" t="s">
        <v>23</v>
      </c>
      <c r="D1287" s="25">
        <v>100</v>
      </c>
      <c r="E1287" s="25">
        <v>300</v>
      </c>
      <c r="F1287" s="25">
        <v>30000</v>
      </c>
      <c r="G1287" s="25" t="s">
        <v>382</v>
      </c>
      <c r="H1287" s="25">
        <v>2018078</v>
      </c>
      <c r="I1287" s="25" t="s">
        <v>19</v>
      </c>
      <c r="J1287" s="25" t="s">
        <v>20</v>
      </c>
      <c r="K1287" s="25" t="s">
        <v>25</v>
      </c>
      <c r="L1287" s="25">
        <v>7.51</v>
      </c>
      <c r="M1287" s="25">
        <v>0.9</v>
      </c>
      <c r="N1287" s="25">
        <v>0</v>
      </c>
      <c r="O1287" s="25">
        <v>29.66</v>
      </c>
      <c r="P1287" s="25">
        <v>38.07</v>
      </c>
      <c r="Q1287" s="25">
        <f t="shared" si="40"/>
        <v>0</v>
      </c>
      <c r="R1287" s="25">
        <f t="shared" si="41"/>
        <v>29961.93</v>
      </c>
    </row>
    <row r="1288" spans="1:18" hidden="1" x14ac:dyDescent="0.25">
      <c r="A1288" s="26">
        <v>43215</v>
      </c>
      <c r="B1288" s="25" t="s">
        <v>379</v>
      </c>
      <c r="C1288" s="25" t="s">
        <v>17</v>
      </c>
      <c r="D1288" s="25">
        <v>100</v>
      </c>
      <c r="E1288" s="25">
        <v>252.7</v>
      </c>
      <c r="F1288" s="25">
        <v>25270</v>
      </c>
      <c r="G1288" s="25" t="s">
        <v>383</v>
      </c>
      <c r="H1288" s="25">
        <v>2018078</v>
      </c>
      <c r="I1288" s="25" t="s">
        <v>19</v>
      </c>
      <c r="J1288" s="25" t="s">
        <v>20</v>
      </c>
      <c r="K1288" s="25" t="s">
        <v>25</v>
      </c>
      <c r="L1288" s="25">
        <v>0</v>
      </c>
      <c r="M1288" s="25">
        <v>0.76</v>
      </c>
      <c r="N1288" s="25">
        <v>5.7</v>
      </c>
      <c r="O1288" s="25">
        <v>29.64</v>
      </c>
      <c r="P1288" s="25">
        <v>36.098100000000002</v>
      </c>
      <c r="Q1288" s="25">
        <f t="shared" si="40"/>
        <v>25306.098099999999</v>
      </c>
      <c r="R1288" s="25">
        <f t="shared" si="41"/>
        <v>0</v>
      </c>
    </row>
    <row r="1289" spans="1:18" hidden="1" x14ac:dyDescent="0.25">
      <c r="A1289" s="26">
        <v>43215</v>
      </c>
      <c r="B1289" s="25" t="s">
        <v>321</v>
      </c>
      <c r="C1289" s="25" t="s">
        <v>17</v>
      </c>
      <c r="D1289" s="25">
        <v>100</v>
      </c>
      <c r="E1289" s="25">
        <v>301</v>
      </c>
      <c r="F1289" s="25">
        <v>30100</v>
      </c>
      <c r="G1289" s="25" t="s">
        <v>384</v>
      </c>
      <c r="H1289" s="25">
        <v>2018078</v>
      </c>
      <c r="I1289" s="25" t="s">
        <v>19</v>
      </c>
      <c r="J1289" s="25" t="s">
        <v>20</v>
      </c>
      <c r="K1289" s="25" t="s">
        <v>25</v>
      </c>
      <c r="L1289" s="25">
        <v>0</v>
      </c>
      <c r="M1289" s="25">
        <v>0.9</v>
      </c>
      <c r="N1289" s="25">
        <v>0</v>
      </c>
      <c r="O1289" s="25">
        <v>29.67</v>
      </c>
      <c r="P1289" s="25">
        <v>30.573</v>
      </c>
      <c r="Q1289" s="25">
        <f t="shared" si="40"/>
        <v>30130.573</v>
      </c>
      <c r="R1289" s="25">
        <f t="shared" si="41"/>
        <v>0</v>
      </c>
    </row>
    <row r="1290" spans="1:18" hidden="1" x14ac:dyDescent="0.25">
      <c r="A1290" s="26">
        <v>43214</v>
      </c>
      <c r="B1290" s="25" t="s">
        <v>282</v>
      </c>
      <c r="C1290" s="25" t="s">
        <v>17</v>
      </c>
      <c r="D1290" s="25">
        <v>100</v>
      </c>
      <c r="E1290" s="25">
        <v>653</v>
      </c>
      <c r="F1290" s="25">
        <v>65300</v>
      </c>
      <c r="G1290" s="25" t="s">
        <v>385</v>
      </c>
      <c r="H1290" s="25">
        <v>2018077</v>
      </c>
      <c r="I1290" s="25" t="s">
        <v>19</v>
      </c>
      <c r="J1290" s="25" t="s">
        <v>1634</v>
      </c>
      <c r="K1290" s="25" t="s">
        <v>25</v>
      </c>
      <c r="L1290" s="25">
        <v>65.7</v>
      </c>
      <c r="M1290" s="25">
        <v>1.96</v>
      </c>
      <c r="N1290" s="25">
        <v>10.8</v>
      </c>
      <c r="O1290" s="25">
        <v>424.15</v>
      </c>
      <c r="P1290" s="25">
        <v>502.60899999999998</v>
      </c>
      <c r="Q1290" s="25">
        <f t="shared" si="40"/>
        <v>65802.608999999997</v>
      </c>
      <c r="R1290" s="25">
        <f t="shared" si="41"/>
        <v>0</v>
      </c>
    </row>
    <row r="1291" spans="1:18" hidden="1" x14ac:dyDescent="0.25">
      <c r="A1291" s="26">
        <v>43214</v>
      </c>
      <c r="B1291" s="25" t="s">
        <v>282</v>
      </c>
      <c r="C1291" s="25" t="s">
        <v>17</v>
      </c>
      <c r="D1291" s="25">
        <v>250</v>
      </c>
      <c r="E1291" s="25">
        <v>654</v>
      </c>
      <c r="F1291" s="25">
        <v>163500</v>
      </c>
      <c r="G1291" s="25" t="s">
        <v>386</v>
      </c>
      <c r="H1291" s="25">
        <v>2018077</v>
      </c>
      <c r="I1291" s="25" t="s">
        <v>19</v>
      </c>
      <c r="J1291" s="25" t="s">
        <v>1634</v>
      </c>
      <c r="K1291" s="25" t="s">
        <v>25</v>
      </c>
      <c r="L1291" s="25">
        <v>163.43</v>
      </c>
      <c r="M1291" s="25">
        <v>4.91</v>
      </c>
      <c r="N1291" s="25">
        <v>0</v>
      </c>
      <c r="O1291" s="25">
        <v>1062</v>
      </c>
      <c r="P1291" s="25">
        <v>1230.3351</v>
      </c>
      <c r="Q1291" s="25">
        <f t="shared" si="40"/>
        <v>164730.3351</v>
      </c>
      <c r="R1291" s="25">
        <f t="shared" si="41"/>
        <v>0</v>
      </c>
    </row>
    <row r="1292" spans="1:18" hidden="1" x14ac:dyDescent="0.25">
      <c r="A1292" s="26">
        <v>43214</v>
      </c>
      <c r="B1292" s="25" t="s">
        <v>387</v>
      </c>
      <c r="C1292" s="25" t="s">
        <v>17</v>
      </c>
      <c r="D1292" s="25">
        <v>1000</v>
      </c>
      <c r="E1292" s="25">
        <v>64.25</v>
      </c>
      <c r="F1292" s="25">
        <v>64250</v>
      </c>
      <c r="G1292" s="25" t="s">
        <v>388</v>
      </c>
      <c r="H1292" s="25">
        <v>2018077</v>
      </c>
      <c r="I1292" s="25" t="s">
        <v>19</v>
      </c>
      <c r="J1292" s="25" t="s">
        <v>20</v>
      </c>
      <c r="K1292" s="25" t="s">
        <v>25</v>
      </c>
      <c r="L1292" s="25">
        <v>0</v>
      </c>
      <c r="M1292" s="25">
        <v>1.93</v>
      </c>
      <c r="N1292" s="25">
        <v>0</v>
      </c>
      <c r="O1292" s="25">
        <v>38.26</v>
      </c>
      <c r="P1292" s="25">
        <v>40.187600000000003</v>
      </c>
      <c r="Q1292" s="25">
        <f t="shared" si="40"/>
        <v>64290.187599999997</v>
      </c>
      <c r="R1292" s="25">
        <f t="shared" si="41"/>
        <v>0</v>
      </c>
    </row>
    <row r="1293" spans="1:18" hidden="1" x14ac:dyDescent="0.25">
      <c r="A1293" s="26">
        <v>43214</v>
      </c>
      <c r="B1293" s="25" t="s">
        <v>387</v>
      </c>
      <c r="C1293" s="25" t="s">
        <v>23</v>
      </c>
      <c r="D1293" s="25">
        <v>1000</v>
      </c>
      <c r="E1293" s="25">
        <v>62.71</v>
      </c>
      <c r="F1293" s="25">
        <v>62705.9</v>
      </c>
      <c r="G1293" s="25" t="s">
        <v>389</v>
      </c>
      <c r="H1293" s="25">
        <v>2018077</v>
      </c>
      <c r="I1293" s="25" t="s">
        <v>19</v>
      </c>
      <c r="J1293" s="25" t="s">
        <v>20</v>
      </c>
      <c r="K1293" s="25" t="s">
        <v>25</v>
      </c>
      <c r="L1293" s="25">
        <v>15.87</v>
      </c>
      <c r="M1293" s="25">
        <v>1.88</v>
      </c>
      <c r="N1293" s="25">
        <v>0</v>
      </c>
      <c r="O1293" s="25">
        <v>37.32</v>
      </c>
      <c r="P1293" s="25">
        <v>55.071399999999997</v>
      </c>
      <c r="Q1293" s="25">
        <f t="shared" si="40"/>
        <v>0</v>
      </c>
      <c r="R1293" s="25">
        <f t="shared" si="41"/>
        <v>62650.828600000001</v>
      </c>
    </row>
    <row r="1294" spans="1:18" hidden="1" x14ac:dyDescent="0.25">
      <c r="A1294" s="26">
        <v>43213</v>
      </c>
      <c r="B1294" s="25" t="s">
        <v>282</v>
      </c>
      <c r="C1294" s="25" t="s">
        <v>17</v>
      </c>
      <c r="D1294" s="25">
        <v>100</v>
      </c>
      <c r="E1294" s="25">
        <v>629</v>
      </c>
      <c r="F1294" s="25">
        <v>62900</v>
      </c>
      <c r="G1294" s="25" t="s">
        <v>390</v>
      </c>
      <c r="H1294" s="25">
        <v>201819018</v>
      </c>
      <c r="I1294" s="25" t="s">
        <v>19</v>
      </c>
      <c r="J1294" s="25" t="s">
        <v>20</v>
      </c>
      <c r="K1294" s="25" t="s">
        <v>21</v>
      </c>
      <c r="L1294" s="25">
        <v>0</v>
      </c>
      <c r="M1294" s="25">
        <v>2.57</v>
      </c>
      <c r="N1294" s="25">
        <v>3.9</v>
      </c>
      <c r="O1294" s="25">
        <v>37.58</v>
      </c>
      <c r="P1294" s="25">
        <v>44.054299999999998</v>
      </c>
      <c r="Q1294" s="25">
        <f t="shared" si="40"/>
        <v>62944.054300000003</v>
      </c>
      <c r="R1294" s="25">
        <f t="shared" si="41"/>
        <v>0</v>
      </c>
    </row>
    <row r="1295" spans="1:18" hidden="1" x14ac:dyDescent="0.25">
      <c r="A1295" s="26">
        <v>43213</v>
      </c>
      <c r="B1295" s="25" t="s">
        <v>282</v>
      </c>
      <c r="C1295" s="25" t="s">
        <v>23</v>
      </c>
      <c r="D1295" s="25">
        <v>100</v>
      </c>
      <c r="E1295" s="25">
        <v>636</v>
      </c>
      <c r="F1295" s="25">
        <v>63600</v>
      </c>
      <c r="G1295" s="25" t="s">
        <v>391</v>
      </c>
      <c r="H1295" s="25">
        <v>201819018</v>
      </c>
      <c r="I1295" s="25" t="s">
        <v>19</v>
      </c>
      <c r="J1295" s="25" t="s">
        <v>20</v>
      </c>
      <c r="K1295" s="25" t="s">
        <v>21</v>
      </c>
      <c r="L1295" s="25">
        <v>16</v>
      </c>
      <c r="M1295" s="25">
        <v>0.72</v>
      </c>
      <c r="N1295" s="25">
        <v>0</v>
      </c>
      <c r="O1295" s="25">
        <v>37.65</v>
      </c>
      <c r="P1295" s="25">
        <v>54.365400000000001</v>
      </c>
      <c r="Q1295" s="25">
        <f t="shared" si="40"/>
        <v>0</v>
      </c>
      <c r="R1295" s="25">
        <f t="shared" si="41"/>
        <v>63545.634599999998</v>
      </c>
    </row>
    <row r="1296" spans="1:18" hidden="1" x14ac:dyDescent="0.25">
      <c r="A1296" s="26">
        <v>43213</v>
      </c>
      <c r="B1296" s="25" t="s">
        <v>392</v>
      </c>
      <c r="C1296" s="25" t="s">
        <v>17</v>
      </c>
      <c r="D1296" s="25">
        <v>15</v>
      </c>
      <c r="E1296" s="25">
        <v>1840.2</v>
      </c>
      <c r="F1296" s="25">
        <v>27603</v>
      </c>
      <c r="G1296" s="25" t="s">
        <v>393</v>
      </c>
      <c r="H1296" s="25">
        <v>2018076</v>
      </c>
      <c r="I1296" s="25" t="s">
        <v>19</v>
      </c>
      <c r="J1296" s="25" t="s">
        <v>20</v>
      </c>
      <c r="K1296" s="25" t="s">
        <v>25</v>
      </c>
      <c r="L1296" s="25">
        <v>0</v>
      </c>
      <c r="M1296" s="25">
        <v>0.83</v>
      </c>
      <c r="N1296" s="25">
        <v>8.6999999999999993</v>
      </c>
      <c r="O1296" s="25">
        <v>29.65</v>
      </c>
      <c r="P1296" s="25">
        <v>39.178100000000001</v>
      </c>
      <c r="Q1296" s="25">
        <f t="shared" si="40"/>
        <v>27642.178100000001</v>
      </c>
      <c r="R1296" s="25">
        <f t="shared" si="41"/>
        <v>0</v>
      </c>
    </row>
    <row r="1297" spans="1:18" hidden="1" x14ac:dyDescent="0.25">
      <c r="A1297" s="26">
        <v>43213</v>
      </c>
      <c r="B1297" s="25" t="s">
        <v>392</v>
      </c>
      <c r="C1297" s="25" t="s">
        <v>23</v>
      </c>
      <c r="D1297" s="25">
        <v>25</v>
      </c>
      <c r="E1297" s="25">
        <v>1830.7</v>
      </c>
      <c r="F1297" s="25">
        <v>45767.5</v>
      </c>
      <c r="G1297" s="25" t="s">
        <v>394</v>
      </c>
      <c r="H1297" s="25">
        <v>2018076</v>
      </c>
      <c r="I1297" s="25" t="s">
        <v>19</v>
      </c>
      <c r="J1297" s="25" t="s">
        <v>20</v>
      </c>
      <c r="K1297" s="25" t="s">
        <v>25</v>
      </c>
      <c r="L1297" s="25">
        <v>11.48</v>
      </c>
      <c r="M1297" s="25">
        <v>1.37</v>
      </c>
      <c r="N1297" s="25">
        <v>0</v>
      </c>
      <c r="O1297" s="25">
        <v>29.75</v>
      </c>
      <c r="P1297" s="25">
        <v>42.603000000000002</v>
      </c>
      <c r="Q1297" s="25">
        <f t="shared" si="40"/>
        <v>0</v>
      </c>
      <c r="R1297" s="25">
        <f t="shared" si="41"/>
        <v>45724.896999999997</v>
      </c>
    </row>
    <row r="1298" spans="1:18" hidden="1" x14ac:dyDescent="0.25">
      <c r="A1298" s="26">
        <v>43213</v>
      </c>
      <c r="B1298" s="25" t="s">
        <v>282</v>
      </c>
      <c r="C1298" s="25" t="s">
        <v>17</v>
      </c>
      <c r="D1298" s="25">
        <v>150</v>
      </c>
      <c r="E1298" s="25">
        <v>630.5</v>
      </c>
      <c r="F1298" s="25">
        <v>94575</v>
      </c>
      <c r="G1298" s="25" t="s">
        <v>395</v>
      </c>
      <c r="H1298" s="25">
        <v>2018076</v>
      </c>
      <c r="I1298" s="25" t="s">
        <v>19</v>
      </c>
      <c r="J1298" s="25" t="s">
        <v>20</v>
      </c>
      <c r="K1298" s="25" t="s">
        <v>25</v>
      </c>
      <c r="L1298" s="25">
        <v>0</v>
      </c>
      <c r="M1298" s="25">
        <v>2.84</v>
      </c>
      <c r="N1298" s="25">
        <v>0</v>
      </c>
      <c r="O1298" s="25">
        <v>56.31</v>
      </c>
      <c r="P1298" s="25">
        <v>59.147300000000001</v>
      </c>
      <c r="Q1298" s="25">
        <f t="shared" si="40"/>
        <v>94634.147299999997</v>
      </c>
      <c r="R1298" s="25">
        <f t="shared" si="41"/>
        <v>0</v>
      </c>
    </row>
    <row r="1299" spans="1:18" hidden="1" x14ac:dyDescent="0.25">
      <c r="A1299" s="26">
        <v>43213</v>
      </c>
      <c r="B1299" s="25" t="s">
        <v>282</v>
      </c>
      <c r="C1299" s="25" t="s">
        <v>23</v>
      </c>
      <c r="D1299" s="25">
        <v>150</v>
      </c>
      <c r="E1299" s="25">
        <v>633.29999999999995</v>
      </c>
      <c r="F1299" s="25">
        <v>94995</v>
      </c>
      <c r="G1299" s="25" t="s">
        <v>396</v>
      </c>
      <c r="H1299" s="25">
        <v>2018076</v>
      </c>
      <c r="I1299" s="25" t="s">
        <v>19</v>
      </c>
      <c r="J1299" s="25" t="s">
        <v>20</v>
      </c>
      <c r="K1299" s="25" t="s">
        <v>25</v>
      </c>
      <c r="L1299" s="25">
        <v>23.7</v>
      </c>
      <c r="M1299" s="25">
        <v>2.85</v>
      </c>
      <c r="N1299" s="25">
        <v>0</v>
      </c>
      <c r="O1299" s="25">
        <v>56.56</v>
      </c>
      <c r="P1299" s="25">
        <v>83.109899999999996</v>
      </c>
      <c r="Q1299" s="25">
        <f t="shared" si="40"/>
        <v>0</v>
      </c>
      <c r="R1299" s="25">
        <f t="shared" si="41"/>
        <v>94911.890100000004</v>
      </c>
    </row>
    <row r="1300" spans="1:18" hidden="1" x14ac:dyDescent="0.25">
      <c r="A1300" s="26">
        <v>43213</v>
      </c>
      <c r="B1300" s="25" t="s">
        <v>397</v>
      </c>
      <c r="C1300" s="25" t="s">
        <v>17</v>
      </c>
      <c r="D1300" s="25">
        <v>25</v>
      </c>
      <c r="E1300" s="25">
        <v>259</v>
      </c>
      <c r="F1300" s="25">
        <v>6475</v>
      </c>
      <c r="G1300" s="25" t="s">
        <v>398</v>
      </c>
      <c r="H1300" s="25">
        <v>2018076</v>
      </c>
      <c r="I1300" s="25" t="s">
        <v>19</v>
      </c>
      <c r="J1300" s="25" t="s">
        <v>1634</v>
      </c>
      <c r="K1300" s="25" t="s">
        <v>25</v>
      </c>
      <c r="L1300" s="25">
        <v>6.82</v>
      </c>
      <c r="M1300" s="25">
        <v>0.19</v>
      </c>
      <c r="N1300" s="25">
        <v>0</v>
      </c>
      <c r="O1300" s="25">
        <v>42.06</v>
      </c>
      <c r="P1300" s="25">
        <v>49.074199999999998</v>
      </c>
      <c r="Q1300" s="25">
        <f t="shared" si="40"/>
        <v>6524.0742</v>
      </c>
      <c r="R1300" s="25">
        <f t="shared" si="41"/>
        <v>0</v>
      </c>
    </row>
    <row r="1301" spans="1:18" hidden="1" x14ac:dyDescent="0.25">
      <c r="A1301" s="26">
        <v>43213</v>
      </c>
      <c r="B1301" s="25" t="s">
        <v>392</v>
      </c>
      <c r="C1301" s="25" t="s">
        <v>17</v>
      </c>
      <c r="D1301" s="25">
        <v>10</v>
      </c>
      <c r="E1301" s="25">
        <v>1849</v>
      </c>
      <c r="F1301" s="25">
        <v>18490</v>
      </c>
      <c r="G1301" s="25" t="s">
        <v>399</v>
      </c>
      <c r="H1301" s="25">
        <v>2018076</v>
      </c>
      <c r="I1301" s="25" t="s">
        <v>19</v>
      </c>
      <c r="J1301" s="25" t="s">
        <v>20</v>
      </c>
      <c r="K1301" s="25" t="s">
        <v>25</v>
      </c>
      <c r="L1301" s="25">
        <v>0</v>
      </c>
      <c r="M1301" s="25">
        <v>0.55000000000000004</v>
      </c>
      <c r="N1301" s="25">
        <v>0</v>
      </c>
      <c r="O1301" s="25">
        <v>29.6</v>
      </c>
      <c r="P1301" s="25">
        <v>30.154699999999998</v>
      </c>
      <c r="Q1301" s="25">
        <f t="shared" si="40"/>
        <v>18520.154699999999</v>
      </c>
      <c r="R1301" s="25">
        <f t="shared" si="41"/>
        <v>0</v>
      </c>
    </row>
    <row r="1302" spans="1:18" hidden="1" x14ac:dyDescent="0.25">
      <c r="A1302" s="26">
        <v>43210</v>
      </c>
      <c r="B1302" s="25" t="s">
        <v>282</v>
      </c>
      <c r="C1302" s="25" t="s">
        <v>17</v>
      </c>
      <c r="D1302" s="25">
        <v>100</v>
      </c>
      <c r="E1302" s="25">
        <v>631</v>
      </c>
      <c r="F1302" s="25">
        <v>63100</v>
      </c>
      <c r="G1302" s="25" t="s">
        <v>400</v>
      </c>
      <c r="H1302" s="25">
        <v>2018075</v>
      </c>
      <c r="I1302" s="25" t="s">
        <v>19</v>
      </c>
      <c r="J1302" s="25" t="s">
        <v>20</v>
      </c>
      <c r="K1302" s="25" t="s">
        <v>25</v>
      </c>
      <c r="L1302" s="25">
        <v>0</v>
      </c>
      <c r="M1302" s="25">
        <v>1.89</v>
      </c>
      <c r="N1302" s="25">
        <v>0</v>
      </c>
      <c r="O1302" s="25">
        <v>37.58</v>
      </c>
      <c r="P1302" s="25">
        <v>39.472999999999999</v>
      </c>
      <c r="Q1302" s="25">
        <f t="shared" si="40"/>
        <v>63139.472999999998</v>
      </c>
      <c r="R1302" s="25">
        <f t="shared" si="41"/>
        <v>0</v>
      </c>
    </row>
    <row r="1303" spans="1:18" hidden="1" x14ac:dyDescent="0.25">
      <c r="A1303" s="26">
        <v>43210</v>
      </c>
      <c r="B1303" s="25" t="s">
        <v>282</v>
      </c>
      <c r="C1303" s="25" t="s">
        <v>23</v>
      </c>
      <c r="D1303" s="25">
        <v>100</v>
      </c>
      <c r="E1303" s="25">
        <v>633</v>
      </c>
      <c r="F1303" s="25">
        <v>63300</v>
      </c>
      <c r="G1303" s="25" t="s">
        <v>401</v>
      </c>
      <c r="H1303" s="25">
        <v>2018075</v>
      </c>
      <c r="I1303" s="25" t="s">
        <v>19</v>
      </c>
      <c r="J1303" s="25" t="s">
        <v>20</v>
      </c>
      <c r="K1303" s="25" t="s">
        <v>25</v>
      </c>
      <c r="L1303" s="25">
        <v>16</v>
      </c>
      <c r="M1303" s="25">
        <v>1.9</v>
      </c>
      <c r="N1303" s="25">
        <v>3.9</v>
      </c>
      <c r="O1303" s="25">
        <v>37.69</v>
      </c>
      <c r="P1303" s="25">
        <v>59.489100000000001</v>
      </c>
      <c r="Q1303" s="25">
        <f t="shared" si="40"/>
        <v>0</v>
      </c>
      <c r="R1303" s="25">
        <f t="shared" si="41"/>
        <v>63240.510900000001</v>
      </c>
    </row>
    <row r="1304" spans="1:18" hidden="1" x14ac:dyDescent="0.25">
      <c r="A1304" s="26">
        <v>43209</v>
      </c>
      <c r="B1304" s="25" t="s">
        <v>324</v>
      </c>
      <c r="C1304" s="25" t="s">
        <v>17</v>
      </c>
      <c r="D1304" s="25">
        <v>50</v>
      </c>
      <c r="E1304" s="25">
        <v>799</v>
      </c>
      <c r="F1304" s="25">
        <v>39950</v>
      </c>
      <c r="G1304" s="25" t="s">
        <v>402</v>
      </c>
      <c r="H1304" s="25">
        <v>2018074</v>
      </c>
      <c r="I1304" s="25" t="s">
        <v>19</v>
      </c>
      <c r="J1304" s="25" t="s">
        <v>20</v>
      </c>
      <c r="K1304" s="25" t="s">
        <v>25</v>
      </c>
      <c r="L1304" s="25">
        <v>0</v>
      </c>
      <c r="M1304" s="25">
        <v>1.2</v>
      </c>
      <c r="N1304" s="25">
        <v>0</v>
      </c>
      <c r="O1304" s="25">
        <v>29.72</v>
      </c>
      <c r="P1304" s="25">
        <v>30.918500000000002</v>
      </c>
      <c r="Q1304" s="25">
        <f t="shared" si="40"/>
        <v>39980.9185</v>
      </c>
      <c r="R1304" s="25">
        <f t="shared" si="41"/>
        <v>0</v>
      </c>
    </row>
    <row r="1305" spans="1:18" hidden="1" x14ac:dyDescent="0.25">
      <c r="A1305" s="26">
        <v>43209</v>
      </c>
      <c r="B1305" s="25" t="s">
        <v>321</v>
      </c>
      <c r="C1305" s="25" t="s">
        <v>17</v>
      </c>
      <c r="D1305" s="25">
        <v>10</v>
      </c>
      <c r="E1305" s="25">
        <v>300</v>
      </c>
      <c r="F1305" s="25">
        <v>3000</v>
      </c>
      <c r="G1305" s="25" t="s">
        <v>403</v>
      </c>
      <c r="H1305" s="25">
        <v>2018074</v>
      </c>
      <c r="I1305" s="25" t="s">
        <v>19</v>
      </c>
      <c r="J1305" s="25" t="s">
        <v>20</v>
      </c>
      <c r="K1305" s="25" t="s">
        <v>25</v>
      </c>
      <c r="L1305" s="25">
        <v>3</v>
      </c>
      <c r="M1305" s="25">
        <v>0.09</v>
      </c>
      <c r="N1305" s="25">
        <v>0</v>
      </c>
      <c r="O1305" s="25">
        <v>41.32</v>
      </c>
      <c r="P1305" s="25">
        <v>44.41</v>
      </c>
      <c r="Q1305" s="25">
        <f t="shared" si="40"/>
        <v>3044.41</v>
      </c>
      <c r="R1305" s="25">
        <f t="shared" si="41"/>
        <v>0</v>
      </c>
    </row>
    <row r="1306" spans="1:18" hidden="1" x14ac:dyDescent="0.25">
      <c r="A1306" s="26">
        <v>43209</v>
      </c>
      <c r="B1306" s="25" t="s">
        <v>404</v>
      </c>
      <c r="C1306" s="25" t="s">
        <v>17</v>
      </c>
      <c r="D1306" s="25">
        <v>10</v>
      </c>
      <c r="E1306" s="25">
        <v>380</v>
      </c>
      <c r="F1306" s="25">
        <v>3800</v>
      </c>
      <c r="G1306" s="25" t="s">
        <v>405</v>
      </c>
      <c r="H1306" s="25">
        <v>2018074</v>
      </c>
      <c r="I1306" s="25" t="s">
        <v>19</v>
      </c>
      <c r="J1306" s="25" t="s">
        <v>20</v>
      </c>
      <c r="K1306" s="25" t="s">
        <v>25</v>
      </c>
      <c r="L1306" s="25">
        <v>4.13</v>
      </c>
      <c r="M1306" s="25">
        <v>0.11</v>
      </c>
      <c r="N1306" s="25">
        <v>2.7</v>
      </c>
      <c r="O1306" s="25">
        <v>41.32</v>
      </c>
      <c r="P1306" s="25">
        <v>48.264000000000003</v>
      </c>
      <c r="Q1306" s="25">
        <f t="shared" si="40"/>
        <v>3848.2640000000001</v>
      </c>
      <c r="R1306" s="25">
        <f t="shared" si="41"/>
        <v>0</v>
      </c>
    </row>
    <row r="1307" spans="1:18" hidden="1" x14ac:dyDescent="0.25">
      <c r="A1307" s="26">
        <v>43209</v>
      </c>
      <c r="B1307" s="25" t="s">
        <v>324</v>
      </c>
      <c r="C1307" s="25" t="s">
        <v>23</v>
      </c>
      <c r="D1307" s="25">
        <v>50</v>
      </c>
      <c r="E1307" s="25">
        <v>781</v>
      </c>
      <c r="F1307" s="25">
        <v>39050</v>
      </c>
      <c r="G1307" s="25" t="s">
        <v>406</v>
      </c>
      <c r="H1307" s="25">
        <v>2018074</v>
      </c>
      <c r="I1307" s="25" t="s">
        <v>19</v>
      </c>
      <c r="J1307" s="25" t="s">
        <v>20</v>
      </c>
      <c r="K1307" s="25" t="s">
        <v>25</v>
      </c>
      <c r="L1307" s="25">
        <v>9.8800000000000008</v>
      </c>
      <c r="M1307" s="25">
        <v>1.17</v>
      </c>
      <c r="N1307" s="25">
        <v>0</v>
      </c>
      <c r="O1307" s="25">
        <v>29.71</v>
      </c>
      <c r="P1307" s="25">
        <v>40.761499999999998</v>
      </c>
      <c r="Q1307" s="25">
        <f t="shared" si="40"/>
        <v>0</v>
      </c>
      <c r="R1307" s="25">
        <f t="shared" si="41"/>
        <v>39009.238499999999</v>
      </c>
    </row>
    <row r="1308" spans="1:18" hidden="1" x14ac:dyDescent="0.25">
      <c r="A1308" s="26">
        <v>43208</v>
      </c>
      <c r="B1308" s="25" t="s">
        <v>324</v>
      </c>
      <c r="C1308" s="25" t="s">
        <v>23</v>
      </c>
      <c r="D1308" s="25">
        <v>20</v>
      </c>
      <c r="E1308" s="25">
        <v>808.3</v>
      </c>
      <c r="F1308" s="25">
        <v>16166</v>
      </c>
      <c r="G1308" s="25" t="s">
        <v>407</v>
      </c>
      <c r="H1308" s="25">
        <v>201819015</v>
      </c>
      <c r="I1308" s="25" t="s">
        <v>19</v>
      </c>
      <c r="J1308" s="25" t="s">
        <v>20</v>
      </c>
      <c r="K1308" s="25" t="s">
        <v>21</v>
      </c>
      <c r="L1308" s="25">
        <v>16.170000000000002</v>
      </c>
      <c r="M1308" s="25">
        <v>0.64</v>
      </c>
      <c r="N1308" s="25">
        <v>0</v>
      </c>
      <c r="O1308" s="25">
        <v>105.03</v>
      </c>
      <c r="P1308" s="25">
        <v>121.8442</v>
      </c>
      <c r="Q1308" s="25">
        <f t="shared" si="40"/>
        <v>0</v>
      </c>
      <c r="R1308" s="25">
        <f t="shared" si="41"/>
        <v>16044.1558</v>
      </c>
    </row>
    <row r="1309" spans="1:18" hidden="1" x14ac:dyDescent="0.25">
      <c r="A1309" s="26">
        <v>43208</v>
      </c>
      <c r="B1309" s="25" t="s">
        <v>288</v>
      </c>
      <c r="C1309" s="25" t="s">
        <v>17</v>
      </c>
      <c r="D1309" s="25">
        <v>100</v>
      </c>
      <c r="E1309" s="25">
        <v>125.65</v>
      </c>
      <c r="F1309" s="25">
        <v>12565</v>
      </c>
      <c r="G1309" s="25" t="s">
        <v>408</v>
      </c>
      <c r="H1309" s="25">
        <v>201819015</v>
      </c>
      <c r="I1309" s="25" t="s">
        <v>19</v>
      </c>
      <c r="J1309" s="25" t="s">
        <v>20</v>
      </c>
      <c r="K1309" s="25" t="s">
        <v>21</v>
      </c>
      <c r="L1309" s="25">
        <v>12.83</v>
      </c>
      <c r="M1309" s="25">
        <v>0.64</v>
      </c>
      <c r="N1309" s="25">
        <v>0.9</v>
      </c>
      <c r="O1309" s="25">
        <v>81.66</v>
      </c>
      <c r="P1309" s="25">
        <v>96.028800000000004</v>
      </c>
      <c r="Q1309" s="25">
        <f t="shared" si="40"/>
        <v>12661.0288</v>
      </c>
      <c r="R1309" s="25">
        <f t="shared" si="41"/>
        <v>0</v>
      </c>
    </row>
    <row r="1310" spans="1:18" hidden="1" x14ac:dyDescent="0.25">
      <c r="A1310" s="26">
        <v>43208</v>
      </c>
      <c r="B1310" s="25" t="s">
        <v>56</v>
      </c>
      <c r="C1310" s="25" t="s">
        <v>17</v>
      </c>
      <c r="D1310" s="25">
        <v>100</v>
      </c>
      <c r="E1310" s="25">
        <v>877</v>
      </c>
      <c r="F1310" s="25">
        <v>87700</v>
      </c>
      <c r="G1310" s="25" t="s">
        <v>409</v>
      </c>
      <c r="H1310" s="25">
        <v>2018073</v>
      </c>
      <c r="I1310" s="25" t="s">
        <v>19</v>
      </c>
      <c r="J1310" s="25" t="s">
        <v>20</v>
      </c>
      <c r="K1310" s="25" t="s">
        <v>25</v>
      </c>
      <c r="L1310" s="25">
        <v>0</v>
      </c>
      <c r="M1310" s="25">
        <v>2.63</v>
      </c>
      <c r="N1310" s="25">
        <v>0</v>
      </c>
      <c r="O1310" s="25">
        <v>52.22</v>
      </c>
      <c r="P1310" s="25">
        <v>54.851100000000002</v>
      </c>
      <c r="Q1310" s="25">
        <f t="shared" si="40"/>
        <v>87754.8511</v>
      </c>
      <c r="R1310" s="25">
        <f t="shared" si="41"/>
        <v>0</v>
      </c>
    </row>
    <row r="1311" spans="1:18" hidden="1" x14ac:dyDescent="0.25">
      <c r="A1311" s="26">
        <v>43208</v>
      </c>
      <c r="B1311" s="25" t="s">
        <v>56</v>
      </c>
      <c r="C1311" s="25" t="s">
        <v>23</v>
      </c>
      <c r="D1311" s="25">
        <v>100</v>
      </c>
      <c r="E1311" s="25">
        <v>874</v>
      </c>
      <c r="F1311" s="25">
        <v>87400</v>
      </c>
      <c r="G1311" s="25" t="s">
        <v>410</v>
      </c>
      <c r="H1311" s="25">
        <v>2018073</v>
      </c>
      <c r="I1311" s="25" t="s">
        <v>19</v>
      </c>
      <c r="J1311" s="25" t="s">
        <v>20</v>
      </c>
      <c r="K1311" s="25" t="s">
        <v>25</v>
      </c>
      <c r="L1311" s="25">
        <v>22</v>
      </c>
      <c r="M1311" s="25">
        <v>2.62</v>
      </c>
      <c r="N1311" s="25">
        <v>5.4</v>
      </c>
      <c r="O1311" s="25">
        <v>52.04</v>
      </c>
      <c r="P1311" s="25">
        <v>82.061999999999998</v>
      </c>
      <c r="Q1311" s="25">
        <f t="shared" si="40"/>
        <v>0</v>
      </c>
      <c r="R1311" s="25">
        <f t="shared" si="41"/>
        <v>87317.937999999995</v>
      </c>
    </row>
    <row r="1312" spans="1:18" hidden="1" x14ac:dyDescent="0.25">
      <c r="A1312" s="26">
        <v>43206</v>
      </c>
      <c r="B1312" s="25" t="s">
        <v>205</v>
      </c>
      <c r="C1312" s="25" t="s">
        <v>23</v>
      </c>
      <c r="D1312" s="25">
        <v>1000</v>
      </c>
      <c r="E1312" s="25">
        <v>60.25</v>
      </c>
      <c r="F1312" s="25">
        <v>60253.3</v>
      </c>
      <c r="G1312" s="25" t="s">
        <v>411</v>
      </c>
      <c r="H1312" s="25">
        <v>2018071</v>
      </c>
      <c r="I1312" s="25" t="s">
        <v>19</v>
      </c>
      <c r="J1312" s="25" t="s">
        <v>1634</v>
      </c>
      <c r="K1312" s="25" t="s">
        <v>25</v>
      </c>
      <c r="L1312" s="25">
        <v>60</v>
      </c>
      <c r="M1312" s="25">
        <v>1.81</v>
      </c>
      <c r="N1312" s="25">
        <v>2.1</v>
      </c>
      <c r="O1312" s="25">
        <v>391.36</v>
      </c>
      <c r="P1312" s="25">
        <v>455.26760000000002</v>
      </c>
      <c r="Q1312" s="25">
        <f t="shared" si="40"/>
        <v>0</v>
      </c>
      <c r="R1312" s="25">
        <f t="shared" si="41"/>
        <v>59798.032400000004</v>
      </c>
    </row>
    <row r="1313" spans="1:18" hidden="1" x14ac:dyDescent="0.25">
      <c r="A1313" s="26">
        <v>43203</v>
      </c>
      <c r="B1313" s="25" t="s">
        <v>282</v>
      </c>
      <c r="C1313" s="25" t="s">
        <v>17</v>
      </c>
      <c r="D1313" s="25">
        <v>500</v>
      </c>
      <c r="E1313" s="25">
        <v>621</v>
      </c>
      <c r="F1313" s="25">
        <v>310500</v>
      </c>
      <c r="G1313" s="25" t="s">
        <v>352</v>
      </c>
      <c r="H1313" s="25">
        <v>2018070</v>
      </c>
      <c r="I1313" s="25" t="s">
        <v>19</v>
      </c>
      <c r="J1313" s="25" t="s">
        <v>20</v>
      </c>
      <c r="K1313" s="25" t="s">
        <v>25</v>
      </c>
      <c r="L1313" s="25">
        <v>0</v>
      </c>
      <c r="M1313" s="25">
        <v>9.32</v>
      </c>
      <c r="N1313" s="25">
        <v>0</v>
      </c>
      <c r="O1313" s="25">
        <v>184.87</v>
      </c>
      <c r="P1313" s="25">
        <v>194.18510000000001</v>
      </c>
      <c r="Q1313" s="25">
        <f t="shared" si="40"/>
        <v>310694.1851</v>
      </c>
      <c r="R1313" s="25">
        <f t="shared" si="41"/>
        <v>0</v>
      </c>
    </row>
    <row r="1314" spans="1:18" hidden="1" x14ac:dyDescent="0.25">
      <c r="A1314" s="26">
        <v>43203</v>
      </c>
      <c r="B1314" s="25" t="s">
        <v>282</v>
      </c>
      <c r="C1314" s="25" t="s">
        <v>23</v>
      </c>
      <c r="D1314" s="25">
        <v>500</v>
      </c>
      <c r="E1314" s="25">
        <v>623.5</v>
      </c>
      <c r="F1314" s="25">
        <v>311750</v>
      </c>
      <c r="G1314" s="25" t="s">
        <v>353</v>
      </c>
      <c r="H1314" s="25">
        <v>2018070</v>
      </c>
      <c r="I1314" s="25" t="s">
        <v>19</v>
      </c>
      <c r="J1314" s="25" t="s">
        <v>20</v>
      </c>
      <c r="K1314" s="25" t="s">
        <v>25</v>
      </c>
      <c r="L1314" s="25">
        <v>78</v>
      </c>
      <c r="M1314" s="25">
        <v>9.35</v>
      </c>
      <c r="N1314" s="25">
        <v>18.899999999999999</v>
      </c>
      <c r="O1314" s="25">
        <v>185.61</v>
      </c>
      <c r="P1314" s="25">
        <v>291.8623</v>
      </c>
      <c r="Q1314" s="25">
        <f t="shared" si="40"/>
        <v>0</v>
      </c>
      <c r="R1314" s="25">
        <f t="shared" si="41"/>
        <v>311458.13770000002</v>
      </c>
    </row>
    <row r="1315" spans="1:18" hidden="1" x14ac:dyDescent="0.25">
      <c r="A1315" s="26">
        <v>43202</v>
      </c>
      <c r="B1315" s="25" t="s">
        <v>282</v>
      </c>
      <c r="C1315" s="25" t="s">
        <v>17</v>
      </c>
      <c r="D1315" s="25">
        <v>500</v>
      </c>
      <c r="E1315" s="25">
        <v>627.5</v>
      </c>
      <c r="F1315" s="25">
        <v>313750</v>
      </c>
      <c r="G1315" s="25" t="s">
        <v>354</v>
      </c>
      <c r="H1315" s="25">
        <v>2018069</v>
      </c>
      <c r="I1315" s="25" t="s">
        <v>19</v>
      </c>
      <c r="J1315" s="25" t="s">
        <v>20</v>
      </c>
      <c r="K1315" s="25" t="s">
        <v>25</v>
      </c>
      <c r="L1315" s="25">
        <v>0</v>
      </c>
      <c r="M1315" s="25">
        <v>9.41</v>
      </c>
      <c r="N1315" s="25">
        <v>0</v>
      </c>
      <c r="O1315" s="25">
        <v>186.81</v>
      </c>
      <c r="P1315" s="25">
        <v>196.22239999999999</v>
      </c>
      <c r="Q1315" s="25">
        <f t="shared" si="40"/>
        <v>313946.22240000003</v>
      </c>
      <c r="R1315" s="25">
        <f t="shared" si="41"/>
        <v>0</v>
      </c>
    </row>
    <row r="1316" spans="1:18" hidden="1" x14ac:dyDescent="0.25">
      <c r="A1316" s="26">
        <v>43202</v>
      </c>
      <c r="B1316" s="25" t="s">
        <v>282</v>
      </c>
      <c r="C1316" s="25" t="s">
        <v>23</v>
      </c>
      <c r="D1316" s="25">
        <v>500</v>
      </c>
      <c r="E1316" s="25">
        <v>632</v>
      </c>
      <c r="F1316" s="25">
        <v>316000</v>
      </c>
      <c r="G1316" s="25" t="s">
        <v>355</v>
      </c>
      <c r="H1316" s="25">
        <v>2018069</v>
      </c>
      <c r="I1316" s="25" t="s">
        <v>19</v>
      </c>
      <c r="J1316" s="25" t="s">
        <v>20</v>
      </c>
      <c r="K1316" s="25" t="s">
        <v>25</v>
      </c>
      <c r="L1316" s="25">
        <v>78.31</v>
      </c>
      <c r="M1316" s="25">
        <v>9.48</v>
      </c>
      <c r="N1316" s="25">
        <v>0</v>
      </c>
      <c r="O1316" s="25">
        <v>188.15</v>
      </c>
      <c r="P1316" s="25">
        <v>275.94</v>
      </c>
      <c r="Q1316" s="25">
        <f t="shared" si="40"/>
        <v>0</v>
      </c>
      <c r="R1316" s="25">
        <f t="shared" si="41"/>
        <v>315724.06</v>
      </c>
    </row>
    <row r="1317" spans="1:18" hidden="1" x14ac:dyDescent="0.25">
      <c r="A1317" s="26">
        <v>43202</v>
      </c>
      <c r="B1317" s="25" t="s">
        <v>282</v>
      </c>
      <c r="C1317" s="25" t="s">
        <v>17</v>
      </c>
      <c r="D1317" s="25">
        <v>500</v>
      </c>
      <c r="E1317" s="25">
        <v>626.5</v>
      </c>
      <c r="F1317" s="25">
        <v>313250</v>
      </c>
      <c r="G1317" s="25" t="s">
        <v>356</v>
      </c>
      <c r="H1317" s="25">
        <v>2018069</v>
      </c>
      <c r="I1317" s="25" t="s">
        <v>19</v>
      </c>
      <c r="J1317" s="25" t="s">
        <v>20</v>
      </c>
      <c r="K1317" s="25" t="s">
        <v>25</v>
      </c>
      <c r="L1317" s="25">
        <v>0</v>
      </c>
      <c r="M1317" s="25">
        <v>9.4</v>
      </c>
      <c r="N1317" s="25">
        <v>37.799999999999997</v>
      </c>
      <c r="O1317" s="25">
        <v>186.5</v>
      </c>
      <c r="P1317" s="25">
        <v>233.69749999999999</v>
      </c>
      <c r="Q1317" s="25">
        <f t="shared" si="40"/>
        <v>313483.69750000001</v>
      </c>
      <c r="R1317" s="25">
        <f t="shared" si="41"/>
        <v>0</v>
      </c>
    </row>
    <row r="1318" spans="1:18" hidden="1" x14ac:dyDescent="0.25">
      <c r="A1318" s="26">
        <v>43202</v>
      </c>
      <c r="B1318" s="25" t="s">
        <v>282</v>
      </c>
      <c r="C1318" s="25" t="s">
        <v>23</v>
      </c>
      <c r="D1318" s="25">
        <v>500</v>
      </c>
      <c r="E1318" s="25">
        <v>620</v>
      </c>
      <c r="F1318" s="25">
        <v>310000</v>
      </c>
      <c r="G1318" s="25" t="s">
        <v>357</v>
      </c>
      <c r="H1318" s="25">
        <v>2018069</v>
      </c>
      <c r="I1318" s="25" t="s">
        <v>19</v>
      </c>
      <c r="J1318" s="25" t="s">
        <v>20</v>
      </c>
      <c r="K1318" s="25" t="s">
        <v>25</v>
      </c>
      <c r="L1318" s="25">
        <v>78.69</v>
      </c>
      <c r="M1318" s="25">
        <v>9.3000000000000007</v>
      </c>
      <c r="N1318" s="25">
        <v>0</v>
      </c>
      <c r="O1318" s="25">
        <v>184.57</v>
      </c>
      <c r="P1318" s="25">
        <v>272.56009999999998</v>
      </c>
      <c r="Q1318" s="25">
        <f t="shared" si="40"/>
        <v>0</v>
      </c>
      <c r="R1318" s="25">
        <f t="shared" si="41"/>
        <v>309727.4399</v>
      </c>
    </row>
    <row r="1319" spans="1:18" hidden="1" x14ac:dyDescent="0.25">
      <c r="A1319" s="26">
        <v>43200</v>
      </c>
      <c r="B1319" s="25" t="s">
        <v>190</v>
      </c>
      <c r="C1319" s="25" t="s">
        <v>17</v>
      </c>
      <c r="D1319" s="25">
        <v>1000</v>
      </c>
      <c r="E1319" s="25">
        <v>9</v>
      </c>
      <c r="F1319" s="25">
        <v>9000</v>
      </c>
      <c r="G1319" s="25" t="s">
        <v>358</v>
      </c>
      <c r="H1319" s="25">
        <v>2018067</v>
      </c>
      <c r="I1319" s="25" t="s">
        <v>19</v>
      </c>
      <c r="J1319" s="25" t="s">
        <v>20</v>
      </c>
      <c r="K1319" s="25" t="s">
        <v>25</v>
      </c>
      <c r="L1319" s="25">
        <v>9</v>
      </c>
      <c r="M1319" s="25">
        <v>0.27</v>
      </c>
      <c r="N1319" s="25">
        <v>0.3</v>
      </c>
      <c r="O1319" s="25">
        <v>59.05</v>
      </c>
      <c r="P1319" s="25">
        <v>68.62</v>
      </c>
      <c r="Q1319" s="25">
        <f t="shared" si="40"/>
        <v>9068.6200000000008</v>
      </c>
      <c r="R1319" s="25">
        <f t="shared" si="41"/>
        <v>0</v>
      </c>
    </row>
    <row r="1320" spans="1:18" hidden="1" x14ac:dyDescent="0.25">
      <c r="A1320" s="26">
        <v>43199</v>
      </c>
      <c r="B1320" s="25" t="s">
        <v>205</v>
      </c>
      <c r="C1320" s="25" t="s">
        <v>17</v>
      </c>
      <c r="D1320" s="25">
        <v>1000</v>
      </c>
      <c r="E1320" s="25">
        <v>64.25</v>
      </c>
      <c r="F1320" s="25">
        <v>64250</v>
      </c>
      <c r="G1320" s="25" t="s">
        <v>359</v>
      </c>
      <c r="H1320" s="25">
        <v>2018066</v>
      </c>
      <c r="I1320" s="25" t="s">
        <v>19</v>
      </c>
      <c r="J1320" s="25" t="s">
        <v>1634</v>
      </c>
      <c r="K1320" s="25" t="s">
        <v>25</v>
      </c>
      <c r="L1320" s="25">
        <v>64</v>
      </c>
      <c r="M1320" s="25">
        <v>1.93</v>
      </c>
      <c r="N1320" s="25">
        <v>2.1</v>
      </c>
      <c r="O1320" s="25">
        <v>417.33</v>
      </c>
      <c r="P1320" s="25">
        <v>485.35750000000002</v>
      </c>
      <c r="Q1320" s="25">
        <f t="shared" si="40"/>
        <v>64735.357499999998</v>
      </c>
      <c r="R1320" s="25">
        <f t="shared" si="41"/>
        <v>0</v>
      </c>
    </row>
    <row r="1321" spans="1:18" hidden="1" x14ac:dyDescent="0.25">
      <c r="A1321" s="26">
        <v>43196</v>
      </c>
      <c r="B1321" s="25" t="s">
        <v>288</v>
      </c>
      <c r="C1321" s="25" t="s">
        <v>17</v>
      </c>
      <c r="D1321" s="25">
        <v>250</v>
      </c>
      <c r="E1321" s="25">
        <v>171.4</v>
      </c>
      <c r="F1321" s="25">
        <v>42850</v>
      </c>
      <c r="G1321" s="25" t="s">
        <v>360</v>
      </c>
      <c r="H1321" s="25">
        <v>2018065</v>
      </c>
      <c r="I1321" s="25" t="s">
        <v>19</v>
      </c>
      <c r="J1321" s="25" t="s">
        <v>20</v>
      </c>
      <c r="K1321" s="25" t="s">
        <v>25</v>
      </c>
      <c r="L1321" s="25">
        <v>43</v>
      </c>
      <c r="M1321" s="25">
        <v>1.29</v>
      </c>
      <c r="N1321" s="25">
        <v>1.5</v>
      </c>
      <c r="O1321" s="25">
        <v>278.33</v>
      </c>
      <c r="P1321" s="25">
        <v>324.1155</v>
      </c>
      <c r="Q1321" s="25">
        <f t="shared" si="40"/>
        <v>43174.1155</v>
      </c>
      <c r="R1321" s="25">
        <f t="shared" si="41"/>
        <v>0</v>
      </c>
    </row>
    <row r="1322" spans="1:18" hidden="1" x14ac:dyDescent="0.25">
      <c r="A1322" s="26">
        <v>43195</v>
      </c>
      <c r="B1322" s="25" t="s">
        <v>282</v>
      </c>
      <c r="C1322" s="25" t="s">
        <v>17</v>
      </c>
      <c r="D1322" s="25">
        <v>1000</v>
      </c>
      <c r="E1322" s="25">
        <v>605.88</v>
      </c>
      <c r="F1322" s="25">
        <v>605877.65</v>
      </c>
      <c r="G1322" s="25" t="s">
        <v>361</v>
      </c>
      <c r="H1322" s="25">
        <v>2018064</v>
      </c>
      <c r="I1322" s="25" t="s">
        <v>19</v>
      </c>
      <c r="J1322" s="25" t="s">
        <v>20</v>
      </c>
      <c r="K1322" s="25" t="s">
        <v>25</v>
      </c>
      <c r="L1322" s="25">
        <v>0</v>
      </c>
      <c r="M1322" s="25">
        <v>18.18</v>
      </c>
      <c r="N1322" s="25">
        <v>0</v>
      </c>
      <c r="O1322" s="25">
        <v>360.74</v>
      </c>
      <c r="P1322" s="25">
        <v>378.91680000000002</v>
      </c>
      <c r="Q1322" s="25">
        <f t="shared" si="40"/>
        <v>606256.56680000003</v>
      </c>
      <c r="R1322" s="25">
        <f t="shared" si="41"/>
        <v>0</v>
      </c>
    </row>
    <row r="1323" spans="1:18" hidden="1" x14ac:dyDescent="0.25">
      <c r="A1323" s="26">
        <v>43195</v>
      </c>
      <c r="B1323" s="25" t="s">
        <v>282</v>
      </c>
      <c r="C1323" s="25" t="s">
        <v>23</v>
      </c>
      <c r="D1323" s="25">
        <v>1000</v>
      </c>
      <c r="E1323" s="25">
        <v>607</v>
      </c>
      <c r="F1323" s="25">
        <v>607000</v>
      </c>
      <c r="G1323" s="25" t="s">
        <v>362</v>
      </c>
      <c r="H1323" s="25">
        <v>2018064</v>
      </c>
      <c r="I1323" s="25" t="s">
        <v>19</v>
      </c>
      <c r="J1323" s="25" t="s">
        <v>20</v>
      </c>
      <c r="K1323" s="25" t="s">
        <v>25</v>
      </c>
      <c r="L1323" s="25">
        <v>151.96</v>
      </c>
      <c r="M1323" s="25">
        <v>18.21</v>
      </c>
      <c r="N1323" s="25">
        <v>37.200000000000003</v>
      </c>
      <c r="O1323" s="25">
        <v>361.4</v>
      </c>
      <c r="P1323" s="25">
        <v>568.76990000000001</v>
      </c>
      <c r="Q1323" s="25">
        <f t="shared" si="40"/>
        <v>0</v>
      </c>
      <c r="R1323" s="25">
        <f t="shared" si="41"/>
        <v>606431.23010000004</v>
      </c>
    </row>
    <row r="1324" spans="1:18" hidden="1" x14ac:dyDescent="0.25">
      <c r="A1324" s="26">
        <v>43195</v>
      </c>
      <c r="B1324" s="25" t="s">
        <v>288</v>
      </c>
      <c r="C1324" s="25" t="s">
        <v>17</v>
      </c>
      <c r="D1324" s="25">
        <v>100</v>
      </c>
      <c r="E1324" s="25">
        <v>180.4</v>
      </c>
      <c r="F1324" s="25">
        <v>18040</v>
      </c>
      <c r="G1324" s="25" t="s">
        <v>363</v>
      </c>
      <c r="H1324" s="25">
        <v>2018064</v>
      </c>
      <c r="I1324" s="25" t="s">
        <v>19</v>
      </c>
      <c r="J1324" s="25" t="s">
        <v>20</v>
      </c>
      <c r="K1324" s="25" t="s">
        <v>25</v>
      </c>
      <c r="L1324" s="25">
        <v>18.04</v>
      </c>
      <c r="M1324" s="25">
        <v>0.54</v>
      </c>
      <c r="N1324" s="25">
        <v>0</v>
      </c>
      <c r="O1324" s="25">
        <v>117.18</v>
      </c>
      <c r="P1324" s="25">
        <v>135.7612</v>
      </c>
      <c r="Q1324" s="25">
        <f t="shared" si="40"/>
        <v>18175.761200000001</v>
      </c>
      <c r="R1324" s="25">
        <f t="shared" si="41"/>
        <v>0</v>
      </c>
    </row>
    <row r="1325" spans="1:18" hidden="1" x14ac:dyDescent="0.25">
      <c r="A1325" s="26">
        <v>43194</v>
      </c>
      <c r="B1325" s="25" t="s">
        <v>279</v>
      </c>
      <c r="C1325" s="25" t="s">
        <v>17</v>
      </c>
      <c r="D1325" s="25">
        <v>250</v>
      </c>
      <c r="E1325" s="25">
        <v>435.24</v>
      </c>
      <c r="F1325" s="25">
        <v>108810.5</v>
      </c>
      <c r="G1325" s="25" t="s">
        <v>364</v>
      </c>
      <c r="H1325" s="25">
        <v>2018063</v>
      </c>
      <c r="I1325" s="25" t="s">
        <v>19</v>
      </c>
      <c r="J1325" s="25" t="s">
        <v>20</v>
      </c>
      <c r="K1325" s="25" t="s">
        <v>25</v>
      </c>
      <c r="L1325" s="25">
        <v>0</v>
      </c>
      <c r="M1325" s="25">
        <v>3.26</v>
      </c>
      <c r="N1325" s="25">
        <v>0</v>
      </c>
      <c r="O1325" s="25">
        <v>64.78</v>
      </c>
      <c r="P1325" s="25">
        <v>68.044300000000007</v>
      </c>
      <c r="Q1325" s="25">
        <f t="shared" si="40"/>
        <v>108878.54429999999</v>
      </c>
      <c r="R1325" s="25">
        <f t="shared" si="41"/>
        <v>0</v>
      </c>
    </row>
    <row r="1326" spans="1:18" hidden="1" x14ac:dyDescent="0.25">
      <c r="A1326" s="26">
        <v>43194</v>
      </c>
      <c r="B1326" s="25" t="s">
        <v>279</v>
      </c>
      <c r="C1326" s="25" t="s">
        <v>17</v>
      </c>
      <c r="D1326" s="25">
        <v>250</v>
      </c>
      <c r="E1326" s="25">
        <v>439.1</v>
      </c>
      <c r="F1326" s="25">
        <v>109775</v>
      </c>
      <c r="G1326" s="25" t="s">
        <v>365</v>
      </c>
      <c r="H1326" s="25">
        <v>2018063</v>
      </c>
      <c r="I1326" s="25" t="s">
        <v>19</v>
      </c>
      <c r="J1326" s="25" t="s">
        <v>20</v>
      </c>
      <c r="K1326" s="25" t="s">
        <v>25</v>
      </c>
      <c r="L1326" s="25">
        <v>0</v>
      </c>
      <c r="M1326" s="25">
        <v>3.29</v>
      </c>
      <c r="N1326" s="25">
        <v>0</v>
      </c>
      <c r="O1326" s="25">
        <v>65.36</v>
      </c>
      <c r="P1326" s="25">
        <v>68.653199999999998</v>
      </c>
      <c r="Q1326" s="25">
        <f t="shared" si="40"/>
        <v>109843.6532</v>
      </c>
      <c r="R1326" s="25">
        <f t="shared" si="41"/>
        <v>0</v>
      </c>
    </row>
    <row r="1327" spans="1:18" hidden="1" x14ac:dyDescent="0.25">
      <c r="A1327" s="26">
        <v>43194</v>
      </c>
      <c r="B1327" s="25" t="s">
        <v>279</v>
      </c>
      <c r="C1327" s="25" t="s">
        <v>23</v>
      </c>
      <c r="D1327" s="25">
        <v>500</v>
      </c>
      <c r="E1327" s="25">
        <v>437.46</v>
      </c>
      <c r="F1327" s="25">
        <v>218730.1</v>
      </c>
      <c r="G1327" s="25" t="s">
        <v>366</v>
      </c>
      <c r="H1327" s="25">
        <v>2018063</v>
      </c>
      <c r="I1327" s="25" t="s">
        <v>19</v>
      </c>
      <c r="J1327" s="25" t="s">
        <v>20</v>
      </c>
      <c r="K1327" s="25" t="s">
        <v>25</v>
      </c>
      <c r="L1327" s="25">
        <v>54.66</v>
      </c>
      <c r="M1327" s="25">
        <v>6.56</v>
      </c>
      <c r="N1327" s="25">
        <v>0</v>
      </c>
      <c r="O1327" s="25">
        <v>130.22</v>
      </c>
      <c r="P1327" s="25">
        <v>191.44210000000001</v>
      </c>
      <c r="Q1327" s="25">
        <f t="shared" si="40"/>
        <v>0</v>
      </c>
      <c r="R1327" s="25">
        <f t="shared" si="41"/>
        <v>218538.65790000002</v>
      </c>
    </row>
    <row r="1328" spans="1:18" hidden="1" x14ac:dyDescent="0.25">
      <c r="A1328" s="26">
        <v>43194</v>
      </c>
      <c r="B1328" s="25" t="s">
        <v>282</v>
      </c>
      <c r="C1328" s="25" t="s">
        <v>17</v>
      </c>
      <c r="D1328" s="25">
        <v>500</v>
      </c>
      <c r="E1328" s="25">
        <v>607.13</v>
      </c>
      <c r="F1328" s="25">
        <v>303563.65000000002</v>
      </c>
      <c r="G1328" s="25" t="s">
        <v>367</v>
      </c>
      <c r="H1328" s="25">
        <v>2018063</v>
      </c>
      <c r="I1328" s="25" t="s">
        <v>19</v>
      </c>
      <c r="J1328" s="25" t="s">
        <v>20</v>
      </c>
      <c r="K1328" s="25" t="s">
        <v>25</v>
      </c>
      <c r="L1328" s="25">
        <v>0</v>
      </c>
      <c r="M1328" s="25">
        <v>9.11</v>
      </c>
      <c r="N1328" s="25">
        <v>31.5</v>
      </c>
      <c r="O1328" s="25">
        <v>180.73</v>
      </c>
      <c r="P1328" s="25">
        <v>221.33709999999999</v>
      </c>
      <c r="Q1328" s="25">
        <f t="shared" si="40"/>
        <v>303784.98710000003</v>
      </c>
      <c r="R1328" s="25">
        <f t="shared" si="41"/>
        <v>0</v>
      </c>
    </row>
    <row r="1329" spans="1:18" hidden="1" x14ac:dyDescent="0.25">
      <c r="A1329" s="26">
        <v>43194</v>
      </c>
      <c r="B1329" s="25" t="s">
        <v>282</v>
      </c>
      <c r="C1329" s="25" t="s">
        <v>23</v>
      </c>
      <c r="D1329" s="25">
        <v>500</v>
      </c>
      <c r="E1329" s="25">
        <v>605</v>
      </c>
      <c r="F1329" s="25">
        <v>302500</v>
      </c>
      <c r="G1329" s="25" t="s">
        <v>368</v>
      </c>
      <c r="H1329" s="25">
        <v>2018063</v>
      </c>
      <c r="I1329" s="25" t="s">
        <v>19</v>
      </c>
      <c r="J1329" s="25" t="s">
        <v>20</v>
      </c>
      <c r="K1329" s="25" t="s">
        <v>25</v>
      </c>
      <c r="L1329" s="25">
        <v>75.34</v>
      </c>
      <c r="M1329" s="25">
        <v>9.07</v>
      </c>
      <c r="N1329" s="25">
        <v>0</v>
      </c>
      <c r="O1329" s="25">
        <v>180.11</v>
      </c>
      <c r="P1329" s="25">
        <v>264.5249</v>
      </c>
      <c r="Q1329" s="25">
        <f t="shared" si="40"/>
        <v>0</v>
      </c>
      <c r="R1329" s="25">
        <f t="shared" si="41"/>
        <v>302235.47509999998</v>
      </c>
    </row>
    <row r="1330" spans="1:18" hidden="1" x14ac:dyDescent="0.25">
      <c r="A1330" s="26">
        <v>43193</v>
      </c>
      <c r="B1330" s="25" t="s">
        <v>205</v>
      </c>
      <c r="C1330" s="25" t="s">
        <v>17</v>
      </c>
      <c r="D1330" s="25">
        <v>1000</v>
      </c>
      <c r="E1330" s="25">
        <v>60.6</v>
      </c>
      <c r="F1330" s="25">
        <v>60600</v>
      </c>
      <c r="G1330" s="25" t="s">
        <v>369</v>
      </c>
      <c r="H1330" s="25">
        <v>2018062</v>
      </c>
      <c r="I1330" s="25" t="s">
        <v>19</v>
      </c>
      <c r="J1330" s="25" t="s">
        <v>20</v>
      </c>
      <c r="K1330" s="25" t="s">
        <v>25</v>
      </c>
      <c r="L1330" s="25">
        <v>0</v>
      </c>
      <c r="M1330" s="25">
        <v>1.82</v>
      </c>
      <c r="N1330" s="25">
        <v>3.9</v>
      </c>
      <c r="O1330" s="25">
        <v>36.08</v>
      </c>
      <c r="P1330" s="25">
        <v>41.798099999999998</v>
      </c>
      <c r="Q1330" s="25">
        <f t="shared" si="40"/>
        <v>60641.7981</v>
      </c>
      <c r="R1330" s="25">
        <f t="shared" si="41"/>
        <v>0</v>
      </c>
    </row>
    <row r="1331" spans="1:18" hidden="1" x14ac:dyDescent="0.25">
      <c r="A1331" s="26">
        <v>43193</v>
      </c>
      <c r="B1331" s="25" t="s">
        <v>205</v>
      </c>
      <c r="C1331" s="25" t="s">
        <v>23</v>
      </c>
      <c r="D1331" s="25">
        <v>1000</v>
      </c>
      <c r="E1331" s="25">
        <v>62</v>
      </c>
      <c r="F1331" s="25">
        <v>62000</v>
      </c>
      <c r="G1331" s="25" t="s">
        <v>370</v>
      </c>
      <c r="H1331" s="25">
        <v>2018062</v>
      </c>
      <c r="I1331" s="25" t="s">
        <v>19</v>
      </c>
      <c r="J1331" s="25" t="s">
        <v>20</v>
      </c>
      <c r="K1331" s="25" t="s">
        <v>25</v>
      </c>
      <c r="L1331" s="25">
        <v>15</v>
      </c>
      <c r="M1331" s="25">
        <v>1.86</v>
      </c>
      <c r="N1331" s="25">
        <v>0</v>
      </c>
      <c r="O1331" s="25">
        <v>36.909999999999997</v>
      </c>
      <c r="P1331" s="25">
        <v>53.77</v>
      </c>
      <c r="Q1331" s="25">
        <f t="shared" si="40"/>
        <v>0</v>
      </c>
      <c r="R1331" s="25">
        <f t="shared" si="41"/>
        <v>61946.23</v>
      </c>
    </row>
    <row r="1332" spans="1:18" hidden="1" x14ac:dyDescent="0.25">
      <c r="A1332" s="26">
        <v>43192</v>
      </c>
      <c r="B1332" s="25" t="s">
        <v>205</v>
      </c>
      <c r="C1332" s="25" t="s">
        <v>17</v>
      </c>
      <c r="D1332" s="25">
        <v>2130</v>
      </c>
      <c r="E1332" s="25">
        <v>57.8</v>
      </c>
      <c r="F1332" s="25">
        <v>123114</v>
      </c>
      <c r="G1332" s="25" t="s">
        <v>371</v>
      </c>
      <c r="H1332" s="25">
        <v>2018061</v>
      </c>
      <c r="I1332" s="25" t="s">
        <v>19</v>
      </c>
      <c r="J1332" s="25" t="s">
        <v>20</v>
      </c>
      <c r="K1332" s="25" t="s">
        <v>25</v>
      </c>
      <c r="L1332" s="25">
        <v>0</v>
      </c>
      <c r="M1332" s="25">
        <v>3.69</v>
      </c>
      <c r="N1332" s="25">
        <v>0</v>
      </c>
      <c r="O1332" s="25">
        <v>73.3</v>
      </c>
      <c r="P1332" s="25">
        <v>76.993399999999994</v>
      </c>
      <c r="Q1332" s="25">
        <f t="shared" si="40"/>
        <v>123190.99340000001</v>
      </c>
      <c r="R1332" s="25">
        <f t="shared" si="41"/>
        <v>0</v>
      </c>
    </row>
    <row r="1333" spans="1:18" hidden="1" x14ac:dyDescent="0.25">
      <c r="A1333" s="26">
        <v>43192</v>
      </c>
      <c r="B1333" s="25" t="s">
        <v>205</v>
      </c>
      <c r="C1333" s="25" t="s">
        <v>23</v>
      </c>
      <c r="D1333" s="25">
        <v>2130</v>
      </c>
      <c r="E1333" s="25">
        <v>58.9</v>
      </c>
      <c r="F1333" s="25">
        <v>125457</v>
      </c>
      <c r="G1333" s="25" t="s">
        <v>372</v>
      </c>
      <c r="H1333" s="25">
        <v>2018061</v>
      </c>
      <c r="I1333" s="25" t="s">
        <v>19</v>
      </c>
      <c r="J1333" s="25" t="s">
        <v>20</v>
      </c>
      <c r="K1333" s="25" t="s">
        <v>25</v>
      </c>
      <c r="L1333" s="25">
        <v>31.07</v>
      </c>
      <c r="M1333" s="25">
        <v>3.76</v>
      </c>
      <c r="N1333" s="25">
        <v>0</v>
      </c>
      <c r="O1333" s="25">
        <v>74.7</v>
      </c>
      <c r="P1333" s="25">
        <v>109.5337</v>
      </c>
      <c r="Q1333" s="25">
        <f t="shared" si="40"/>
        <v>0</v>
      </c>
      <c r="R1333" s="25">
        <f t="shared" si="41"/>
        <v>125347.4663</v>
      </c>
    </row>
    <row r="1334" spans="1:18" hidden="1" x14ac:dyDescent="0.25">
      <c r="A1334" s="26">
        <v>43192</v>
      </c>
      <c r="B1334" s="25" t="s">
        <v>279</v>
      </c>
      <c r="C1334" s="25" t="s">
        <v>17</v>
      </c>
      <c r="D1334" s="25">
        <v>100</v>
      </c>
      <c r="E1334" s="25">
        <v>452</v>
      </c>
      <c r="F1334" s="25">
        <v>45200</v>
      </c>
      <c r="G1334" s="25" t="s">
        <v>373</v>
      </c>
      <c r="H1334" s="25">
        <v>2018061</v>
      </c>
      <c r="I1334" s="25" t="s">
        <v>19</v>
      </c>
      <c r="J1334" s="25" t="s">
        <v>20</v>
      </c>
      <c r="K1334" s="25" t="s">
        <v>25</v>
      </c>
      <c r="L1334" s="25">
        <v>0</v>
      </c>
      <c r="M1334" s="25">
        <v>1.36</v>
      </c>
      <c r="N1334" s="25">
        <v>20.7</v>
      </c>
      <c r="O1334" s="25">
        <v>29.74</v>
      </c>
      <c r="P1334" s="25">
        <v>51.795999999999999</v>
      </c>
      <c r="Q1334" s="25">
        <f t="shared" si="40"/>
        <v>45251.796000000002</v>
      </c>
      <c r="R1334" s="25">
        <f t="shared" si="41"/>
        <v>0</v>
      </c>
    </row>
    <row r="1335" spans="1:18" hidden="1" x14ac:dyDescent="0.25">
      <c r="A1335" s="26">
        <v>43192</v>
      </c>
      <c r="B1335" s="25" t="s">
        <v>279</v>
      </c>
      <c r="C1335" s="25" t="s">
        <v>17</v>
      </c>
      <c r="D1335" s="25">
        <v>100</v>
      </c>
      <c r="E1335" s="25">
        <v>447.9</v>
      </c>
      <c r="F1335" s="25">
        <v>44790</v>
      </c>
      <c r="G1335" s="25" t="s">
        <v>374</v>
      </c>
      <c r="H1335" s="25">
        <v>2018061</v>
      </c>
      <c r="I1335" s="25" t="s">
        <v>19</v>
      </c>
      <c r="J1335" s="25" t="s">
        <v>20</v>
      </c>
      <c r="K1335" s="25" t="s">
        <v>25</v>
      </c>
      <c r="L1335" s="25">
        <v>0</v>
      </c>
      <c r="M1335" s="25">
        <v>1.34</v>
      </c>
      <c r="N1335" s="25">
        <v>0</v>
      </c>
      <c r="O1335" s="25">
        <v>29.74</v>
      </c>
      <c r="P1335" s="25">
        <v>31.0837</v>
      </c>
      <c r="Q1335" s="25">
        <f t="shared" si="40"/>
        <v>44821.083700000003</v>
      </c>
      <c r="R1335" s="25">
        <f t="shared" si="41"/>
        <v>0</v>
      </c>
    </row>
    <row r="1336" spans="1:18" hidden="1" x14ac:dyDescent="0.25">
      <c r="A1336" s="26">
        <v>43192</v>
      </c>
      <c r="B1336" s="25" t="s">
        <v>279</v>
      </c>
      <c r="C1336" s="25" t="s">
        <v>17</v>
      </c>
      <c r="D1336" s="25">
        <v>300</v>
      </c>
      <c r="E1336" s="25">
        <v>441</v>
      </c>
      <c r="F1336" s="25">
        <v>132300</v>
      </c>
      <c r="G1336" s="25" t="s">
        <v>375</v>
      </c>
      <c r="H1336" s="25">
        <v>2018061</v>
      </c>
      <c r="I1336" s="25" t="s">
        <v>19</v>
      </c>
      <c r="J1336" s="25" t="s">
        <v>20</v>
      </c>
      <c r="K1336" s="25" t="s">
        <v>25</v>
      </c>
      <c r="L1336" s="25">
        <v>0</v>
      </c>
      <c r="M1336" s="25">
        <v>3.97</v>
      </c>
      <c r="N1336" s="25">
        <v>0</v>
      </c>
      <c r="O1336" s="25">
        <v>78.77</v>
      </c>
      <c r="P1336" s="25">
        <v>82.738900000000001</v>
      </c>
      <c r="Q1336" s="25">
        <f t="shared" si="40"/>
        <v>132382.7389</v>
      </c>
      <c r="R1336" s="25">
        <f t="shared" si="41"/>
        <v>0</v>
      </c>
    </row>
    <row r="1337" spans="1:18" hidden="1" x14ac:dyDescent="0.25">
      <c r="A1337" s="26">
        <v>43192</v>
      </c>
      <c r="B1337" s="25" t="s">
        <v>279</v>
      </c>
      <c r="C1337" s="25" t="s">
        <v>23</v>
      </c>
      <c r="D1337" s="25">
        <v>500</v>
      </c>
      <c r="E1337" s="25">
        <v>429</v>
      </c>
      <c r="F1337" s="25">
        <v>214500</v>
      </c>
      <c r="G1337" s="25" t="s">
        <v>376</v>
      </c>
      <c r="H1337" s="25">
        <v>2018061</v>
      </c>
      <c r="I1337" s="25" t="s">
        <v>19</v>
      </c>
      <c r="J1337" s="25" t="s">
        <v>20</v>
      </c>
      <c r="K1337" s="25" t="s">
        <v>25</v>
      </c>
      <c r="L1337" s="25">
        <v>54.93</v>
      </c>
      <c r="M1337" s="25">
        <v>6.44</v>
      </c>
      <c r="N1337" s="25">
        <v>0</v>
      </c>
      <c r="O1337" s="25">
        <v>127.71</v>
      </c>
      <c r="P1337" s="25">
        <v>189.07509999999999</v>
      </c>
      <c r="Q1337" s="25">
        <f t="shared" si="40"/>
        <v>0</v>
      </c>
      <c r="R1337" s="25">
        <f t="shared" si="41"/>
        <v>214310.92490000001</v>
      </c>
    </row>
    <row r="1338" spans="1:18" hidden="1" x14ac:dyDescent="0.25">
      <c r="A1338" s="26">
        <v>43185</v>
      </c>
      <c r="B1338" s="25" t="s">
        <v>205</v>
      </c>
      <c r="C1338" s="25" t="s">
        <v>17</v>
      </c>
      <c r="D1338" s="25">
        <v>2500</v>
      </c>
      <c r="E1338" s="25">
        <v>57.88</v>
      </c>
      <c r="F1338" s="25">
        <v>144709.20000000001</v>
      </c>
      <c r="G1338" s="25" t="s">
        <v>377</v>
      </c>
      <c r="H1338" s="25">
        <v>2018058</v>
      </c>
      <c r="I1338" s="25" t="s">
        <v>19</v>
      </c>
      <c r="J1338" s="25" t="s">
        <v>20</v>
      </c>
      <c r="K1338" s="25" t="s">
        <v>25</v>
      </c>
      <c r="L1338" s="25">
        <v>0</v>
      </c>
      <c r="M1338" s="25">
        <v>4.34</v>
      </c>
      <c r="N1338" s="25">
        <v>0</v>
      </c>
      <c r="O1338" s="25">
        <v>86.14</v>
      </c>
      <c r="P1338" s="25">
        <v>90.481099999999998</v>
      </c>
      <c r="Q1338" s="25">
        <f t="shared" si="40"/>
        <v>144799.68110000002</v>
      </c>
      <c r="R1338" s="25">
        <f t="shared" si="41"/>
        <v>0</v>
      </c>
    </row>
    <row r="1339" spans="1:18" hidden="1" x14ac:dyDescent="0.25">
      <c r="A1339" s="26">
        <v>43185</v>
      </c>
      <c r="B1339" s="25" t="s">
        <v>205</v>
      </c>
      <c r="C1339" s="25" t="s">
        <v>23</v>
      </c>
      <c r="D1339" s="25">
        <v>2500</v>
      </c>
      <c r="E1339" s="25">
        <v>55.65</v>
      </c>
      <c r="F1339" s="25">
        <v>139125</v>
      </c>
      <c r="G1339" s="25" t="s">
        <v>378</v>
      </c>
      <c r="H1339" s="25">
        <v>2018058</v>
      </c>
      <c r="I1339" s="25" t="s">
        <v>19</v>
      </c>
      <c r="J1339" s="25" t="s">
        <v>20</v>
      </c>
      <c r="K1339" s="25" t="s">
        <v>25</v>
      </c>
      <c r="L1339" s="25">
        <v>35</v>
      </c>
      <c r="M1339" s="25">
        <v>4.17</v>
      </c>
      <c r="N1339" s="25">
        <v>8.6999999999999993</v>
      </c>
      <c r="O1339" s="25">
        <v>82.84</v>
      </c>
      <c r="P1339" s="25">
        <v>130.71379999999999</v>
      </c>
      <c r="Q1339" s="25">
        <f t="shared" si="40"/>
        <v>0</v>
      </c>
      <c r="R1339" s="25">
        <f t="shared" si="41"/>
        <v>138994.2862</v>
      </c>
    </row>
    <row r="1340" spans="1:18" hidden="1" x14ac:dyDescent="0.25">
      <c r="A1340" s="26">
        <v>43182</v>
      </c>
      <c r="B1340" s="25" t="s">
        <v>205</v>
      </c>
      <c r="C1340" s="25" t="s">
        <v>23</v>
      </c>
      <c r="D1340" s="25">
        <v>2500</v>
      </c>
      <c r="E1340" s="25">
        <v>57.45</v>
      </c>
      <c r="F1340" s="25">
        <v>143632.9</v>
      </c>
      <c r="G1340" s="25" t="s">
        <v>341</v>
      </c>
      <c r="H1340" s="25">
        <v>2018057</v>
      </c>
      <c r="I1340" s="25" t="s">
        <v>19</v>
      </c>
      <c r="J1340" s="25" t="s">
        <v>1634</v>
      </c>
      <c r="K1340" s="25" t="s">
        <v>25</v>
      </c>
      <c r="L1340" s="25">
        <v>143.86000000000001</v>
      </c>
      <c r="M1340" s="25">
        <v>4.3099999999999996</v>
      </c>
      <c r="N1340" s="25">
        <v>5.4</v>
      </c>
      <c r="O1340" s="25">
        <v>932.95</v>
      </c>
      <c r="P1340" s="25">
        <v>1086.519</v>
      </c>
      <c r="Q1340" s="25">
        <f t="shared" si="40"/>
        <v>0</v>
      </c>
      <c r="R1340" s="25">
        <f t="shared" si="41"/>
        <v>142546.38099999999</v>
      </c>
    </row>
    <row r="1341" spans="1:18" hidden="1" x14ac:dyDescent="0.25">
      <c r="A1341" s="26">
        <v>43182</v>
      </c>
      <c r="B1341" s="25" t="s">
        <v>296</v>
      </c>
      <c r="C1341" s="25" t="s">
        <v>23</v>
      </c>
      <c r="D1341" s="25">
        <v>750</v>
      </c>
      <c r="E1341" s="25">
        <v>38.85</v>
      </c>
      <c r="F1341" s="25">
        <v>29137.5</v>
      </c>
      <c r="G1341" s="25" t="s">
        <v>342</v>
      </c>
      <c r="H1341" s="25">
        <v>2018057</v>
      </c>
      <c r="I1341" s="25" t="s">
        <v>19</v>
      </c>
      <c r="J1341" s="25" t="s">
        <v>20</v>
      </c>
      <c r="K1341" s="25" t="s">
        <v>25</v>
      </c>
      <c r="L1341" s="25">
        <v>29.14</v>
      </c>
      <c r="M1341" s="25">
        <v>0.87</v>
      </c>
      <c r="N1341" s="25">
        <v>0</v>
      </c>
      <c r="O1341" s="25">
        <v>189.26</v>
      </c>
      <c r="P1341" s="25">
        <v>219.2741</v>
      </c>
      <c r="Q1341" s="25">
        <f t="shared" si="40"/>
        <v>0</v>
      </c>
      <c r="R1341" s="25">
        <f t="shared" si="41"/>
        <v>28918.225900000001</v>
      </c>
    </row>
    <row r="1342" spans="1:18" hidden="1" x14ac:dyDescent="0.25">
      <c r="A1342" s="26">
        <v>43181</v>
      </c>
      <c r="B1342" s="25" t="s">
        <v>288</v>
      </c>
      <c r="C1342" s="25" t="s">
        <v>17</v>
      </c>
      <c r="D1342" s="25">
        <v>50</v>
      </c>
      <c r="E1342" s="25">
        <v>271.7</v>
      </c>
      <c r="F1342" s="25">
        <v>13585</v>
      </c>
      <c r="G1342" s="25" t="s">
        <v>343</v>
      </c>
      <c r="H1342" s="25">
        <v>2018056</v>
      </c>
      <c r="I1342" s="25" t="s">
        <v>19</v>
      </c>
      <c r="J1342" s="25" t="s">
        <v>20</v>
      </c>
      <c r="K1342" s="25" t="s">
        <v>25</v>
      </c>
      <c r="L1342" s="25">
        <v>14</v>
      </c>
      <c r="M1342" s="25">
        <v>0.41</v>
      </c>
      <c r="N1342" s="25">
        <v>0.6</v>
      </c>
      <c r="O1342" s="25">
        <v>88.24</v>
      </c>
      <c r="P1342" s="25">
        <v>103.24760000000001</v>
      </c>
      <c r="Q1342" s="25">
        <f t="shared" si="40"/>
        <v>13688.247600000001</v>
      </c>
      <c r="R1342" s="25">
        <f t="shared" si="41"/>
        <v>0</v>
      </c>
    </row>
    <row r="1343" spans="1:18" hidden="1" x14ac:dyDescent="0.25">
      <c r="A1343" s="26">
        <v>43178</v>
      </c>
      <c r="B1343" s="25" t="s">
        <v>26</v>
      </c>
      <c r="C1343" s="25" t="s">
        <v>23</v>
      </c>
      <c r="D1343" s="25">
        <v>200</v>
      </c>
      <c r="E1343" s="25">
        <v>102.05</v>
      </c>
      <c r="F1343" s="25">
        <v>20410</v>
      </c>
      <c r="G1343" s="25" t="s">
        <v>344</v>
      </c>
      <c r="H1343" s="25">
        <v>2018053</v>
      </c>
      <c r="I1343" s="25" t="s">
        <v>19</v>
      </c>
      <c r="J1343" s="25" t="s">
        <v>20</v>
      </c>
      <c r="K1343" s="25" t="s">
        <v>25</v>
      </c>
      <c r="L1343" s="25">
        <v>20.25</v>
      </c>
      <c r="M1343" s="25">
        <v>0.61</v>
      </c>
      <c r="N1343" s="25">
        <v>5.4</v>
      </c>
      <c r="O1343" s="25">
        <v>132.58000000000001</v>
      </c>
      <c r="P1343" s="25">
        <v>158.8425</v>
      </c>
      <c r="Q1343" s="25">
        <f t="shared" si="40"/>
        <v>0</v>
      </c>
      <c r="R1343" s="25">
        <f t="shared" si="41"/>
        <v>20251.157500000001</v>
      </c>
    </row>
    <row r="1344" spans="1:18" hidden="1" x14ac:dyDescent="0.25">
      <c r="A1344" s="26">
        <v>43178</v>
      </c>
      <c r="B1344" s="25" t="s">
        <v>205</v>
      </c>
      <c r="C1344" s="25" t="s">
        <v>17</v>
      </c>
      <c r="D1344" s="25">
        <v>2500</v>
      </c>
      <c r="E1344" s="25">
        <v>61.5</v>
      </c>
      <c r="F1344" s="25">
        <v>153750</v>
      </c>
      <c r="G1344" s="25" t="s">
        <v>345</v>
      </c>
      <c r="H1344" s="25">
        <v>2018053</v>
      </c>
      <c r="I1344" s="25" t="s">
        <v>19</v>
      </c>
      <c r="J1344" s="25" t="s">
        <v>1634</v>
      </c>
      <c r="K1344" s="25" t="s">
        <v>25</v>
      </c>
      <c r="L1344" s="25">
        <v>153.75</v>
      </c>
      <c r="M1344" s="25">
        <v>4.6100000000000003</v>
      </c>
      <c r="N1344" s="25">
        <v>0</v>
      </c>
      <c r="O1344" s="25">
        <v>998.67</v>
      </c>
      <c r="P1344" s="25">
        <v>1157.0326</v>
      </c>
      <c r="Q1344" s="25">
        <f t="shared" si="40"/>
        <v>154907.03260000001</v>
      </c>
      <c r="R1344" s="25">
        <f t="shared" si="41"/>
        <v>0</v>
      </c>
    </row>
    <row r="1345" spans="1:18" hidden="1" x14ac:dyDescent="0.25">
      <c r="A1345" s="26">
        <v>43174</v>
      </c>
      <c r="B1345" s="25" t="s">
        <v>128</v>
      </c>
      <c r="C1345" s="25" t="s">
        <v>17</v>
      </c>
      <c r="D1345" s="25">
        <v>700</v>
      </c>
      <c r="E1345" s="25">
        <v>405.52</v>
      </c>
      <c r="F1345" s="25">
        <v>283866.5</v>
      </c>
      <c r="G1345" s="25" t="s">
        <v>346</v>
      </c>
      <c r="H1345" s="25">
        <v>2018051</v>
      </c>
      <c r="I1345" s="25" t="s">
        <v>19</v>
      </c>
      <c r="J1345" s="25" t="s">
        <v>20</v>
      </c>
      <c r="K1345" s="25" t="s">
        <v>25</v>
      </c>
      <c r="L1345" s="25">
        <v>0</v>
      </c>
      <c r="M1345" s="25">
        <v>8.52</v>
      </c>
      <c r="N1345" s="25">
        <v>0</v>
      </c>
      <c r="O1345" s="25">
        <v>169.02</v>
      </c>
      <c r="P1345" s="25">
        <v>177.53579999999999</v>
      </c>
      <c r="Q1345" s="25">
        <f t="shared" si="40"/>
        <v>284044.03580000001</v>
      </c>
      <c r="R1345" s="25">
        <f t="shared" si="41"/>
        <v>0</v>
      </c>
    </row>
    <row r="1346" spans="1:18" hidden="1" x14ac:dyDescent="0.25">
      <c r="A1346" s="26">
        <v>43174</v>
      </c>
      <c r="B1346" s="25" t="s">
        <v>128</v>
      </c>
      <c r="C1346" s="25" t="s">
        <v>23</v>
      </c>
      <c r="D1346" s="25">
        <v>700</v>
      </c>
      <c r="E1346" s="25">
        <v>405</v>
      </c>
      <c r="F1346" s="25">
        <v>283500</v>
      </c>
      <c r="G1346" s="25" t="s">
        <v>347</v>
      </c>
      <c r="H1346" s="25">
        <v>2018051</v>
      </c>
      <c r="I1346" s="25" t="s">
        <v>19</v>
      </c>
      <c r="J1346" s="25" t="s">
        <v>20</v>
      </c>
      <c r="K1346" s="25" t="s">
        <v>25</v>
      </c>
      <c r="L1346" s="25">
        <v>71</v>
      </c>
      <c r="M1346" s="25">
        <v>8.49</v>
      </c>
      <c r="N1346" s="25">
        <v>17.100000000000001</v>
      </c>
      <c r="O1346" s="25">
        <v>168.44</v>
      </c>
      <c r="P1346" s="25">
        <v>265.03190000000001</v>
      </c>
      <c r="Q1346" s="25">
        <f t="shared" si="40"/>
        <v>0</v>
      </c>
      <c r="R1346" s="25">
        <f t="shared" si="41"/>
        <v>283234.9681</v>
      </c>
    </row>
    <row r="1347" spans="1:18" hidden="1" x14ac:dyDescent="0.25">
      <c r="A1347" s="26">
        <v>43173</v>
      </c>
      <c r="B1347" s="25" t="s">
        <v>282</v>
      </c>
      <c r="C1347" s="25" t="s">
        <v>17</v>
      </c>
      <c r="D1347" s="25">
        <v>500</v>
      </c>
      <c r="E1347" s="25">
        <v>610</v>
      </c>
      <c r="F1347" s="25">
        <v>305000</v>
      </c>
      <c r="G1347" s="25" t="s">
        <v>348</v>
      </c>
      <c r="H1347" s="25">
        <v>2018050</v>
      </c>
      <c r="I1347" s="25" t="s">
        <v>19</v>
      </c>
      <c r="J1347" s="25" t="s">
        <v>20</v>
      </c>
      <c r="K1347" s="25" t="s">
        <v>25</v>
      </c>
      <c r="L1347" s="25">
        <v>0</v>
      </c>
      <c r="M1347" s="25">
        <v>9.15</v>
      </c>
      <c r="N1347" s="25">
        <v>18.3</v>
      </c>
      <c r="O1347" s="25">
        <v>181.6</v>
      </c>
      <c r="P1347" s="25">
        <v>209.05</v>
      </c>
      <c r="Q1347" s="25">
        <f t="shared" ref="Q1347:Q1410" si="42">IF(C1347="Buy",F1347+P1347,0)</f>
        <v>305209.05</v>
      </c>
      <c r="R1347" s="25">
        <f t="shared" ref="R1347:R1410" si="43">IF(C1347="Sell",F1347-P1347,0)</f>
        <v>0</v>
      </c>
    </row>
    <row r="1348" spans="1:18" hidden="1" x14ac:dyDescent="0.25">
      <c r="A1348" s="26">
        <v>43173</v>
      </c>
      <c r="B1348" s="25" t="s">
        <v>282</v>
      </c>
      <c r="C1348" s="25" t="s">
        <v>23</v>
      </c>
      <c r="D1348" s="25">
        <v>500</v>
      </c>
      <c r="E1348" s="25">
        <v>606</v>
      </c>
      <c r="F1348" s="25">
        <v>303000</v>
      </c>
      <c r="G1348" s="25" t="s">
        <v>349</v>
      </c>
      <c r="H1348" s="25">
        <v>2018050</v>
      </c>
      <c r="I1348" s="25" t="s">
        <v>19</v>
      </c>
      <c r="J1348" s="25" t="s">
        <v>20</v>
      </c>
      <c r="K1348" s="25" t="s">
        <v>25</v>
      </c>
      <c r="L1348" s="25">
        <v>76</v>
      </c>
      <c r="M1348" s="25">
        <v>9.09</v>
      </c>
      <c r="N1348" s="25">
        <v>0</v>
      </c>
      <c r="O1348" s="25">
        <v>180.41</v>
      </c>
      <c r="P1348" s="25">
        <v>265.5</v>
      </c>
      <c r="Q1348" s="25">
        <f t="shared" si="42"/>
        <v>0</v>
      </c>
      <c r="R1348" s="25">
        <f t="shared" si="43"/>
        <v>302734.5</v>
      </c>
    </row>
    <row r="1349" spans="1:18" hidden="1" x14ac:dyDescent="0.25">
      <c r="A1349" s="26">
        <v>43172</v>
      </c>
      <c r="B1349" s="25" t="s">
        <v>282</v>
      </c>
      <c r="C1349" s="25" t="s">
        <v>17</v>
      </c>
      <c r="D1349" s="25">
        <v>100</v>
      </c>
      <c r="E1349" s="25">
        <v>608</v>
      </c>
      <c r="F1349" s="25">
        <v>60799.5</v>
      </c>
      <c r="G1349" s="25" t="s">
        <v>350</v>
      </c>
      <c r="H1349" s="25">
        <v>2018049</v>
      </c>
      <c r="I1349" s="25" t="s">
        <v>19</v>
      </c>
      <c r="J1349" s="25" t="s">
        <v>20</v>
      </c>
      <c r="K1349" s="25" t="s">
        <v>25</v>
      </c>
      <c r="L1349" s="25">
        <v>0</v>
      </c>
      <c r="M1349" s="25">
        <v>1.82</v>
      </c>
      <c r="N1349" s="25">
        <v>0</v>
      </c>
      <c r="O1349" s="25">
        <v>36.200000000000003</v>
      </c>
      <c r="P1349" s="25">
        <v>38.024000000000001</v>
      </c>
      <c r="Q1349" s="25">
        <f t="shared" si="42"/>
        <v>60837.523999999998</v>
      </c>
      <c r="R1349" s="25">
        <f t="shared" si="43"/>
        <v>0</v>
      </c>
    </row>
    <row r="1350" spans="1:18" hidden="1" x14ac:dyDescent="0.25">
      <c r="A1350" s="26">
        <v>43172</v>
      </c>
      <c r="B1350" s="25" t="s">
        <v>282</v>
      </c>
      <c r="C1350" s="25" t="s">
        <v>23</v>
      </c>
      <c r="D1350" s="25">
        <v>100</v>
      </c>
      <c r="E1350" s="25">
        <v>603.29999999999995</v>
      </c>
      <c r="F1350" s="25">
        <v>60330</v>
      </c>
      <c r="G1350" s="25" t="s">
        <v>351</v>
      </c>
      <c r="H1350" s="25">
        <v>2018049</v>
      </c>
      <c r="I1350" s="25" t="s">
        <v>19</v>
      </c>
      <c r="J1350" s="25" t="s">
        <v>20</v>
      </c>
      <c r="K1350" s="25" t="s">
        <v>25</v>
      </c>
      <c r="L1350" s="25">
        <v>15</v>
      </c>
      <c r="M1350" s="25">
        <v>1.81</v>
      </c>
      <c r="N1350" s="25">
        <v>3.9</v>
      </c>
      <c r="O1350" s="25">
        <v>35.93</v>
      </c>
      <c r="P1350" s="25">
        <v>56.639899999999997</v>
      </c>
      <c r="Q1350" s="25">
        <f t="shared" si="42"/>
        <v>0</v>
      </c>
      <c r="R1350" s="25">
        <f t="shared" si="43"/>
        <v>60273.360099999998</v>
      </c>
    </row>
    <row r="1351" spans="1:18" hidden="1" x14ac:dyDescent="0.25">
      <c r="A1351" s="26">
        <v>43171</v>
      </c>
      <c r="B1351" s="25" t="s">
        <v>282</v>
      </c>
      <c r="C1351" s="25" t="s">
        <v>17</v>
      </c>
      <c r="D1351" s="25">
        <v>500</v>
      </c>
      <c r="E1351" s="25">
        <v>590</v>
      </c>
      <c r="F1351" s="25">
        <v>295000</v>
      </c>
      <c r="G1351" s="25" t="s">
        <v>339</v>
      </c>
      <c r="H1351" s="25">
        <v>2018048</v>
      </c>
      <c r="I1351" s="25" t="s">
        <v>19</v>
      </c>
      <c r="J1351" s="25" t="s">
        <v>20</v>
      </c>
      <c r="K1351" s="25" t="s">
        <v>25</v>
      </c>
      <c r="L1351" s="25">
        <v>0</v>
      </c>
      <c r="M1351" s="25">
        <v>8.85</v>
      </c>
      <c r="N1351" s="25">
        <v>0</v>
      </c>
      <c r="O1351" s="25">
        <v>175.65</v>
      </c>
      <c r="P1351" s="25">
        <v>184.5</v>
      </c>
      <c r="Q1351" s="25">
        <f t="shared" si="42"/>
        <v>295184.5</v>
      </c>
      <c r="R1351" s="25">
        <f t="shared" si="43"/>
        <v>0</v>
      </c>
    </row>
    <row r="1352" spans="1:18" hidden="1" x14ac:dyDescent="0.25">
      <c r="A1352" s="26">
        <v>43171</v>
      </c>
      <c r="B1352" s="25" t="s">
        <v>282</v>
      </c>
      <c r="C1352" s="25" t="s">
        <v>23</v>
      </c>
      <c r="D1352" s="25">
        <v>500</v>
      </c>
      <c r="E1352" s="25">
        <v>591.5</v>
      </c>
      <c r="F1352" s="25">
        <v>295750</v>
      </c>
      <c r="G1352" s="25" t="s">
        <v>340</v>
      </c>
      <c r="H1352" s="25">
        <v>2018048</v>
      </c>
      <c r="I1352" s="25" t="s">
        <v>19</v>
      </c>
      <c r="J1352" s="25" t="s">
        <v>20</v>
      </c>
      <c r="K1352" s="25" t="s">
        <v>25</v>
      </c>
      <c r="L1352" s="25">
        <v>74</v>
      </c>
      <c r="M1352" s="25">
        <v>8.8699999999999992</v>
      </c>
      <c r="N1352" s="25">
        <v>18</v>
      </c>
      <c r="O1352" s="25">
        <v>176.09</v>
      </c>
      <c r="P1352" s="25">
        <v>276.96249999999998</v>
      </c>
      <c r="Q1352" s="25">
        <f t="shared" si="42"/>
        <v>0</v>
      </c>
      <c r="R1352" s="25">
        <f t="shared" si="43"/>
        <v>295473.03749999998</v>
      </c>
    </row>
    <row r="1353" spans="1:18" hidden="1" x14ac:dyDescent="0.25">
      <c r="A1353" s="26">
        <v>43167</v>
      </c>
      <c r="B1353" s="25" t="s">
        <v>279</v>
      </c>
      <c r="C1353" s="25" t="s">
        <v>17</v>
      </c>
      <c r="D1353" s="25">
        <v>500</v>
      </c>
      <c r="E1353" s="25">
        <v>506</v>
      </c>
      <c r="F1353" s="25">
        <v>253000</v>
      </c>
      <c r="G1353" s="25" t="s">
        <v>334</v>
      </c>
      <c r="H1353" s="25">
        <v>2018046</v>
      </c>
      <c r="I1353" s="25" t="s">
        <v>19</v>
      </c>
      <c r="J1353" s="25" t="s">
        <v>20</v>
      </c>
      <c r="K1353" s="25" t="s">
        <v>25</v>
      </c>
      <c r="L1353" s="25">
        <v>0</v>
      </c>
      <c r="M1353" s="25">
        <v>7.59</v>
      </c>
      <c r="N1353" s="25">
        <v>0</v>
      </c>
      <c r="O1353" s="25">
        <v>150.63999999999999</v>
      </c>
      <c r="P1353" s="25">
        <v>158.22999999999999</v>
      </c>
      <c r="Q1353" s="25">
        <f t="shared" si="42"/>
        <v>253158.23</v>
      </c>
      <c r="R1353" s="25">
        <f t="shared" si="43"/>
        <v>0</v>
      </c>
    </row>
    <row r="1354" spans="1:18" hidden="1" x14ac:dyDescent="0.25">
      <c r="A1354" s="26">
        <v>43167</v>
      </c>
      <c r="B1354" s="25" t="s">
        <v>279</v>
      </c>
      <c r="C1354" s="25" t="s">
        <v>23</v>
      </c>
      <c r="D1354" s="25">
        <v>500</v>
      </c>
      <c r="E1354" s="25">
        <v>509</v>
      </c>
      <c r="F1354" s="25">
        <v>254500</v>
      </c>
      <c r="G1354" s="25" t="s">
        <v>335</v>
      </c>
      <c r="H1354" s="25">
        <v>2018046</v>
      </c>
      <c r="I1354" s="25" t="s">
        <v>19</v>
      </c>
      <c r="J1354" s="25" t="s">
        <v>20</v>
      </c>
      <c r="K1354" s="25" t="s">
        <v>25</v>
      </c>
      <c r="L1354" s="25">
        <v>63.03</v>
      </c>
      <c r="M1354" s="25">
        <v>7.64</v>
      </c>
      <c r="N1354" s="25">
        <v>15.6</v>
      </c>
      <c r="O1354" s="25">
        <v>151.53</v>
      </c>
      <c r="P1354" s="25">
        <v>237.79509999999999</v>
      </c>
      <c r="Q1354" s="25">
        <f t="shared" si="42"/>
        <v>0</v>
      </c>
      <c r="R1354" s="25">
        <f t="shared" si="43"/>
        <v>254262.20490000001</v>
      </c>
    </row>
    <row r="1355" spans="1:18" hidden="1" x14ac:dyDescent="0.25">
      <c r="A1355" s="26">
        <v>43167</v>
      </c>
      <c r="B1355" s="25" t="s">
        <v>324</v>
      </c>
      <c r="C1355" s="25" t="s">
        <v>17</v>
      </c>
      <c r="D1355" s="25">
        <v>10</v>
      </c>
      <c r="E1355" s="25">
        <v>796.7</v>
      </c>
      <c r="F1355" s="25">
        <v>7967</v>
      </c>
      <c r="G1355" s="25" t="s">
        <v>336</v>
      </c>
      <c r="H1355" s="25">
        <v>2018046</v>
      </c>
      <c r="I1355" s="25" t="s">
        <v>19</v>
      </c>
      <c r="J1355" s="25" t="s">
        <v>20</v>
      </c>
      <c r="K1355" s="25" t="s">
        <v>25</v>
      </c>
      <c r="L1355" s="25">
        <v>7.97</v>
      </c>
      <c r="M1355" s="25">
        <v>0.24</v>
      </c>
      <c r="N1355" s="25">
        <v>0</v>
      </c>
      <c r="O1355" s="25">
        <v>51.74</v>
      </c>
      <c r="P1355" s="25">
        <v>59.948999999999998</v>
      </c>
      <c r="Q1355" s="25">
        <f t="shared" si="42"/>
        <v>8026.9489999999996</v>
      </c>
      <c r="R1355" s="25">
        <f t="shared" si="43"/>
        <v>0</v>
      </c>
    </row>
    <row r="1356" spans="1:18" hidden="1" x14ac:dyDescent="0.25">
      <c r="A1356" s="26">
        <v>43166</v>
      </c>
      <c r="B1356" s="25" t="s">
        <v>51</v>
      </c>
      <c r="C1356" s="25" t="s">
        <v>23</v>
      </c>
      <c r="D1356" s="25">
        <v>200</v>
      </c>
      <c r="E1356" s="25">
        <v>305.08</v>
      </c>
      <c r="F1356" s="25">
        <v>61016</v>
      </c>
      <c r="G1356" s="25" t="s">
        <v>337</v>
      </c>
      <c r="H1356" s="25">
        <v>201718233</v>
      </c>
      <c r="I1356" s="25" t="s">
        <v>19</v>
      </c>
      <c r="J1356" s="25" t="s">
        <v>20</v>
      </c>
      <c r="K1356" s="25" t="s">
        <v>21</v>
      </c>
      <c r="L1356" s="25">
        <v>61</v>
      </c>
      <c r="M1356" s="25">
        <v>1.31</v>
      </c>
      <c r="N1356" s="25">
        <v>2.1</v>
      </c>
      <c r="O1356" s="25">
        <v>396.23</v>
      </c>
      <c r="P1356" s="25">
        <v>460.64159999999998</v>
      </c>
      <c r="Q1356" s="25">
        <f t="shared" si="42"/>
        <v>0</v>
      </c>
      <c r="R1356" s="25">
        <f t="shared" si="43"/>
        <v>60555.358399999997</v>
      </c>
    </row>
    <row r="1357" spans="1:18" hidden="1" x14ac:dyDescent="0.25">
      <c r="A1357" s="26">
        <v>43166</v>
      </c>
      <c r="B1357" s="25" t="s">
        <v>282</v>
      </c>
      <c r="C1357" s="25" t="s">
        <v>17</v>
      </c>
      <c r="D1357" s="25">
        <v>100</v>
      </c>
      <c r="E1357" s="25">
        <v>603</v>
      </c>
      <c r="F1357" s="25">
        <v>60300</v>
      </c>
      <c r="G1357" s="25" t="s">
        <v>338</v>
      </c>
      <c r="H1357" s="25">
        <v>2018045</v>
      </c>
      <c r="I1357" s="25" t="s">
        <v>19</v>
      </c>
      <c r="J1357" s="25" t="s">
        <v>1634</v>
      </c>
      <c r="K1357" s="25" t="s">
        <v>25</v>
      </c>
      <c r="L1357" s="25">
        <v>60</v>
      </c>
      <c r="M1357" s="25">
        <v>1.81</v>
      </c>
      <c r="N1357" s="25">
        <v>2.1</v>
      </c>
      <c r="O1357" s="25">
        <v>391.67</v>
      </c>
      <c r="P1357" s="25">
        <v>455.57909999999998</v>
      </c>
      <c r="Q1357" s="25">
        <f t="shared" si="42"/>
        <v>60755.579100000003</v>
      </c>
      <c r="R1357" s="25">
        <f t="shared" si="43"/>
        <v>0</v>
      </c>
    </row>
    <row r="1358" spans="1:18" hidden="1" x14ac:dyDescent="0.25">
      <c r="A1358" s="26">
        <v>43160</v>
      </c>
      <c r="B1358" s="25" t="s">
        <v>321</v>
      </c>
      <c r="C1358" s="25" t="s">
        <v>17</v>
      </c>
      <c r="D1358" s="25">
        <v>1000</v>
      </c>
      <c r="E1358" s="25">
        <v>380.25</v>
      </c>
      <c r="F1358" s="25">
        <v>380250</v>
      </c>
      <c r="G1358" s="25" t="s">
        <v>322</v>
      </c>
      <c r="H1358" s="25">
        <v>2018042</v>
      </c>
      <c r="I1358" s="25" t="s">
        <v>19</v>
      </c>
      <c r="J1358" s="25" t="s">
        <v>20</v>
      </c>
      <c r="K1358" s="25" t="s">
        <v>25</v>
      </c>
      <c r="L1358" s="25">
        <v>0</v>
      </c>
      <c r="M1358" s="25">
        <v>11.41</v>
      </c>
      <c r="N1358" s="25">
        <v>0</v>
      </c>
      <c r="O1358" s="25">
        <v>226.4</v>
      </c>
      <c r="P1358" s="25">
        <v>237.8075</v>
      </c>
      <c r="Q1358" s="25">
        <f t="shared" si="42"/>
        <v>380487.8075</v>
      </c>
      <c r="R1358" s="25">
        <f t="shared" si="43"/>
        <v>0</v>
      </c>
    </row>
    <row r="1359" spans="1:18" hidden="1" x14ac:dyDescent="0.25">
      <c r="A1359" s="26">
        <v>43160</v>
      </c>
      <c r="B1359" s="25" t="s">
        <v>321</v>
      </c>
      <c r="C1359" s="25" t="s">
        <v>23</v>
      </c>
      <c r="D1359" s="25">
        <v>1000</v>
      </c>
      <c r="E1359" s="25">
        <v>377.5</v>
      </c>
      <c r="F1359" s="25">
        <v>377500</v>
      </c>
      <c r="G1359" s="25" t="s">
        <v>323</v>
      </c>
      <c r="H1359" s="25">
        <v>2018042</v>
      </c>
      <c r="I1359" s="25" t="s">
        <v>19</v>
      </c>
      <c r="J1359" s="25" t="s">
        <v>20</v>
      </c>
      <c r="K1359" s="25" t="s">
        <v>25</v>
      </c>
      <c r="L1359" s="25">
        <v>95</v>
      </c>
      <c r="M1359" s="25">
        <v>11.33</v>
      </c>
      <c r="N1359" s="25">
        <v>22.8</v>
      </c>
      <c r="O1359" s="25">
        <v>224.77</v>
      </c>
      <c r="P1359" s="25">
        <v>353.89499999999998</v>
      </c>
      <c r="Q1359" s="25">
        <f t="shared" si="42"/>
        <v>0</v>
      </c>
      <c r="R1359" s="25">
        <f t="shared" si="43"/>
        <v>377146.10499999998</v>
      </c>
    </row>
    <row r="1360" spans="1:18" hidden="1" x14ac:dyDescent="0.25">
      <c r="A1360" s="26">
        <v>43154</v>
      </c>
      <c r="B1360" s="25" t="s">
        <v>324</v>
      </c>
      <c r="C1360" s="25" t="s">
        <v>17</v>
      </c>
      <c r="D1360" s="25">
        <v>10</v>
      </c>
      <c r="E1360" s="25">
        <v>896.8</v>
      </c>
      <c r="F1360" s="25">
        <v>8968</v>
      </c>
      <c r="G1360" s="25" t="s">
        <v>325</v>
      </c>
      <c r="H1360" s="25">
        <v>2018038</v>
      </c>
      <c r="I1360" s="25" t="s">
        <v>19</v>
      </c>
      <c r="J1360" s="25" t="s">
        <v>20</v>
      </c>
      <c r="K1360" s="25" t="s">
        <v>25</v>
      </c>
      <c r="L1360" s="25">
        <v>9</v>
      </c>
      <c r="M1360" s="25">
        <v>0.27</v>
      </c>
      <c r="N1360" s="25">
        <v>0.3</v>
      </c>
      <c r="O1360" s="25">
        <v>58.25</v>
      </c>
      <c r="P1360" s="25">
        <v>67.819100000000006</v>
      </c>
      <c r="Q1360" s="25">
        <f t="shared" si="42"/>
        <v>9035.8191000000006</v>
      </c>
      <c r="R1360" s="25">
        <f t="shared" si="43"/>
        <v>0</v>
      </c>
    </row>
    <row r="1361" spans="1:18" hidden="1" x14ac:dyDescent="0.25">
      <c r="A1361" s="26">
        <v>43153</v>
      </c>
      <c r="B1361" s="25" t="s">
        <v>296</v>
      </c>
      <c r="C1361" s="25" t="s">
        <v>17</v>
      </c>
      <c r="D1361" s="25">
        <v>250</v>
      </c>
      <c r="E1361" s="25">
        <v>49</v>
      </c>
      <c r="F1361" s="25">
        <v>12250</v>
      </c>
      <c r="G1361" s="25" t="s">
        <v>326</v>
      </c>
      <c r="H1361" s="25">
        <v>2018037</v>
      </c>
      <c r="I1361" s="25" t="s">
        <v>19</v>
      </c>
      <c r="J1361" s="25" t="s">
        <v>20</v>
      </c>
      <c r="K1361" s="25" t="s">
        <v>25</v>
      </c>
      <c r="L1361" s="25">
        <v>12</v>
      </c>
      <c r="M1361" s="25">
        <v>0.37</v>
      </c>
      <c r="N1361" s="25">
        <v>0.6</v>
      </c>
      <c r="O1361" s="25">
        <v>79.569999999999993</v>
      </c>
      <c r="P1361" s="25">
        <v>92.537499999999994</v>
      </c>
      <c r="Q1361" s="25">
        <f t="shared" si="42"/>
        <v>12342.5375</v>
      </c>
      <c r="R1361" s="25">
        <f t="shared" si="43"/>
        <v>0</v>
      </c>
    </row>
    <row r="1362" spans="1:18" hidden="1" x14ac:dyDescent="0.25">
      <c r="A1362" s="26">
        <v>43152</v>
      </c>
      <c r="B1362" s="25" t="s">
        <v>288</v>
      </c>
      <c r="C1362" s="25" t="s">
        <v>17</v>
      </c>
      <c r="D1362" s="25">
        <v>50</v>
      </c>
      <c r="E1362" s="25">
        <v>210.15</v>
      </c>
      <c r="F1362" s="25">
        <v>10507.5</v>
      </c>
      <c r="G1362" s="25" t="s">
        <v>327</v>
      </c>
      <c r="H1362" s="25">
        <v>2018036</v>
      </c>
      <c r="I1362" s="25" t="s">
        <v>19</v>
      </c>
      <c r="J1362" s="25" t="s">
        <v>20</v>
      </c>
      <c r="K1362" s="25" t="s">
        <v>25</v>
      </c>
      <c r="L1362" s="25">
        <v>10.51</v>
      </c>
      <c r="M1362" s="25">
        <v>0.32</v>
      </c>
      <c r="N1362" s="25">
        <v>0</v>
      </c>
      <c r="O1362" s="25">
        <v>68.25</v>
      </c>
      <c r="P1362" s="25">
        <v>79.075299999999999</v>
      </c>
      <c r="Q1362" s="25">
        <f t="shared" si="42"/>
        <v>10586.5753</v>
      </c>
      <c r="R1362" s="25">
        <f t="shared" si="43"/>
        <v>0</v>
      </c>
    </row>
    <row r="1363" spans="1:18" hidden="1" x14ac:dyDescent="0.25">
      <c r="A1363" s="26">
        <v>43152</v>
      </c>
      <c r="B1363" s="25" t="s">
        <v>282</v>
      </c>
      <c r="C1363" s="25" t="s">
        <v>17</v>
      </c>
      <c r="D1363" s="25">
        <v>500</v>
      </c>
      <c r="E1363" s="25">
        <v>580.4</v>
      </c>
      <c r="F1363" s="25">
        <v>290200</v>
      </c>
      <c r="G1363" s="25" t="s">
        <v>328</v>
      </c>
      <c r="H1363" s="25">
        <v>2018036</v>
      </c>
      <c r="I1363" s="25" t="s">
        <v>19</v>
      </c>
      <c r="J1363" s="25" t="s">
        <v>20</v>
      </c>
      <c r="K1363" s="25" t="s">
        <v>25</v>
      </c>
      <c r="L1363" s="25">
        <v>0</v>
      </c>
      <c r="M1363" s="25">
        <v>8.7100000000000009</v>
      </c>
      <c r="N1363" s="25">
        <v>17.7</v>
      </c>
      <c r="O1363" s="25">
        <v>172.78</v>
      </c>
      <c r="P1363" s="25">
        <v>199.18600000000001</v>
      </c>
      <c r="Q1363" s="25">
        <f t="shared" si="42"/>
        <v>290399.18599999999</v>
      </c>
      <c r="R1363" s="25">
        <f t="shared" si="43"/>
        <v>0</v>
      </c>
    </row>
    <row r="1364" spans="1:18" hidden="1" x14ac:dyDescent="0.25">
      <c r="A1364" s="26">
        <v>43152</v>
      </c>
      <c r="B1364" s="25" t="s">
        <v>282</v>
      </c>
      <c r="C1364" s="25" t="s">
        <v>23</v>
      </c>
      <c r="D1364" s="25">
        <v>500</v>
      </c>
      <c r="E1364" s="25">
        <v>577.52</v>
      </c>
      <c r="F1364" s="25">
        <v>288760.59999999998</v>
      </c>
      <c r="G1364" s="25" t="s">
        <v>329</v>
      </c>
      <c r="H1364" s="25">
        <v>2018036</v>
      </c>
      <c r="I1364" s="25" t="s">
        <v>19</v>
      </c>
      <c r="J1364" s="25" t="s">
        <v>20</v>
      </c>
      <c r="K1364" s="25" t="s">
        <v>25</v>
      </c>
      <c r="L1364" s="25">
        <v>72.489999999999995</v>
      </c>
      <c r="M1364" s="25">
        <v>8.66</v>
      </c>
      <c r="N1364" s="25">
        <v>0</v>
      </c>
      <c r="O1364" s="25">
        <v>171.93</v>
      </c>
      <c r="P1364" s="25">
        <v>253.08279999999999</v>
      </c>
      <c r="Q1364" s="25">
        <f t="shared" si="42"/>
        <v>0</v>
      </c>
      <c r="R1364" s="25">
        <f t="shared" si="43"/>
        <v>288507.5172</v>
      </c>
    </row>
    <row r="1365" spans="1:18" hidden="1" x14ac:dyDescent="0.25">
      <c r="A1365" s="26">
        <v>43151</v>
      </c>
      <c r="B1365" s="25" t="s">
        <v>282</v>
      </c>
      <c r="C1365" s="25" t="s">
        <v>17</v>
      </c>
      <c r="D1365" s="25">
        <v>500</v>
      </c>
      <c r="E1365" s="25">
        <v>585</v>
      </c>
      <c r="F1365" s="25">
        <v>292500</v>
      </c>
      <c r="G1365" s="25" t="s">
        <v>330</v>
      </c>
      <c r="H1365" s="25">
        <v>2018035</v>
      </c>
      <c r="I1365" s="25" t="s">
        <v>19</v>
      </c>
      <c r="J1365" s="25" t="s">
        <v>20</v>
      </c>
      <c r="K1365" s="25" t="s">
        <v>25</v>
      </c>
      <c r="L1365" s="25">
        <v>0</v>
      </c>
      <c r="M1365" s="25">
        <v>8.7799999999999994</v>
      </c>
      <c r="N1365" s="25">
        <v>35.1</v>
      </c>
      <c r="O1365" s="25">
        <v>174.15</v>
      </c>
      <c r="P1365" s="25">
        <v>218.02510000000001</v>
      </c>
      <c r="Q1365" s="25">
        <f t="shared" si="42"/>
        <v>292718.02510000003</v>
      </c>
      <c r="R1365" s="25">
        <f t="shared" si="43"/>
        <v>0</v>
      </c>
    </row>
    <row r="1366" spans="1:18" hidden="1" x14ac:dyDescent="0.25">
      <c r="A1366" s="26">
        <v>43151</v>
      </c>
      <c r="B1366" s="25" t="s">
        <v>282</v>
      </c>
      <c r="C1366" s="25" t="s">
        <v>23</v>
      </c>
      <c r="D1366" s="25">
        <v>500</v>
      </c>
      <c r="E1366" s="25">
        <v>580</v>
      </c>
      <c r="F1366" s="25">
        <v>290000</v>
      </c>
      <c r="G1366" s="25" t="s">
        <v>331</v>
      </c>
      <c r="H1366" s="25">
        <v>2018035</v>
      </c>
      <c r="I1366" s="25" t="s">
        <v>19</v>
      </c>
      <c r="J1366" s="25" t="s">
        <v>20</v>
      </c>
      <c r="K1366" s="25" t="s">
        <v>25</v>
      </c>
      <c r="L1366" s="25">
        <v>72.650000000000006</v>
      </c>
      <c r="M1366" s="25">
        <v>8.6999999999999993</v>
      </c>
      <c r="N1366" s="25">
        <v>0</v>
      </c>
      <c r="O1366" s="25">
        <v>172.67</v>
      </c>
      <c r="P1366" s="25">
        <v>254.02</v>
      </c>
      <c r="Q1366" s="25">
        <f t="shared" si="42"/>
        <v>0</v>
      </c>
      <c r="R1366" s="25">
        <f t="shared" si="43"/>
        <v>289745.98</v>
      </c>
    </row>
    <row r="1367" spans="1:18" hidden="1" x14ac:dyDescent="0.25">
      <c r="A1367" s="26">
        <v>43151</v>
      </c>
      <c r="B1367" s="25" t="s">
        <v>282</v>
      </c>
      <c r="C1367" s="25" t="s">
        <v>17</v>
      </c>
      <c r="D1367" s="25">
        <v>500</v>
      </c>
      <c r="E1367" s="25">
        <v>582.78</v>
      </c>
      <c r="F1367" s="25">
        <v>291390.3</v>
      </c>
      <c r="G1367" s="25" t="s">
        <v>332</v>
      </c>
      <c r="H1367" s="25">
        <v>2018035</v>
      </c>
      <c r="I1367" s="25" t="s">
        <v>19</v>
      </c>
      <c r="J1367" s="25" t="s">
        <v>20</v>
      </c>
      <c r="K1367" s="25" t="s">
        <v>25</v>
      </c>
      <c r="L1367" s="25">
        <v>0</v>
      </c>
      <c r="M1367" s="25">
        <v>8.74</v>
      </c>
      <c r="N1367" s="25">
        <v>0</v>
      </c>
      <c r="O1367" s="25">
        <v>173.49</v>
      </c>
      <c r="P1367" s="25">
        <v>182.23169999999999</v>
      </c>
      <c r="Q1367" s="25">
        <f t="shared" si="42"/>
        <v>291572.53169999999</v>
      </c>
      <c r="R1367" s="25">
        <f t="shared" si="43"/>
        <v>0</v>
      </c>
    </row>
    <row r="1368" spans="1:18" hidden="1" x14ac:dyDescent="0.25">
      <c r="A1368" s="26">
        <v>43151</v>
      </c>
      <c r="B1368" s="25" t="s">
        <v>282</v>
      </c>
      <c r="C1368" s="25" t="s">
        <v>23</v>
      </c>
      <c r="D1368" s="25">
        <v>500</v>
      </c>
      <c r="E1368" s="25">
        <v>577.02</v>
      </c>
      <c r="F1368" s="25">
        <v>288511.3</v>
      </c>
      <c r="G1368" s="25" t="s">
        <v>333</v>
      </c>
      <c r="H1368" s="25">
        <v>2018035</v>
      </c>
      <c r="I1368" s="25" t="s">
        <v>19</v>
      </c>
      <c r="J1368" s="25" t="s">
        <v>20</v>
      </c>
      <c r="K1368" s="25" t="s">
        <v>25</v>
      </c>
      <c r="L1368" s="25">
        <v>72.349999999999994</v>
      </c>
      <c r="M1368" s="25">
        <v>8.66</v>
      </c>
      <c r="N1368" s="25">
        <v>0</v>
      </c>
      <c r="O1368" s="25">
        <v>171.77</v>
      </c>
      <c r="P1368" s="25">
        <v>252.7757</v>
      </c>
      <c r="Q1368" s="25">
        <f t="shared" si="42"/>
        <v>0</v>
      </c>
      <c r="R1368" s="25">
        <f t="shared" si="43"/>
        <v>288258.52429999999</v>
      </c>
    </row>
    <row r="1369" spans="1:18" hidden="1" x14ac:dyDescent="0.25">
      <c r="A1369" s="26">
        <v>43147</v>
      </c>
      <c r="B1369" s="25" t="s">
        <v>282</v>
      </c>
      <c r="C1369" s="25" t="s">
        <v>17</v>
      </c>
      <c r="D1369" s="25">
        <v>500</v>
      </c>
      <c r="E1369" s="25">
        <v>607.96</v>
      </c>
      <c r="F1369" s="25">
        <v>303981.8</v>
      </c>
      <c r="G1369" s="25" t="s">
        <v>315</v>
      </c>
      <c r="H1369" s="25">
        <v>2018033</v>
      </c>
      <c r="I1369" s="25" t="s">
        <v>19</v>
      </c>
      <c r="J1369" s="25" t="s">
        <v>20</v>
      </c>
      <c r="K1369" s="25" t="s">
        <v>25</v>
      </c>
      <c r="L1369" s="25">
        <v>0</v>
      </c>
      <c r="M1369" s="25">
        <v>9.1199999999999992</v>
      </c>
      <c r="N1369" s="25">
        <v>0</v>
      </c>
      <c r="O1369" s="25">
        <v>180.98</v>
      </c>
      <c r="P1369" s="25">
        <v>190.0994</v>
      </c>
      <c r="Q1369" s="25">
        <f t="shared" si="42"/>
        <v>304171.89939999999</v>
      </c>
      <c r="R1369" s="25">
        <f t="shared" si="43"/>
        <v>0</v>
      </c>
    </row>
    <row r="1370" spans="1:18" hidden="1" x14ac:dyDescent="0.25">
      <c r="A1370" s="26">
        <v>43147</v>
      </c>
      <c r="B1370" s="25" t="s">
        <v>282</v>
      </c>
      <c r="C1370" s="25" t="s">
        <v>23</v>
      </c>
      <c r="D1370" s="25">
        <v>500</v>
      </c>
      <c r="E1370" s="25">
        <v>611</v>
      </c>
      <c r="F1370" s="25">
        <v>305500</v>
      </c>
      <c r="G1370" s="25" t="s">
        <v>316</v>
      </c>
      <c r="H1370" s="25">
        <v>2018033</v>
      </c>
      <c r="I1370" s="25" t="s">
        <v>19</v>
      </c>
      <c r="J1370" s="25" t="s">
        <v>20</v>
      </c>
      <c r="K1370" s="25" t="s">
        <v>25</v>
      </c>
      <c r="L1370" s="25">
        <v>76.709999999999994</v>
      </c>
      <c r="M1370" s="25">
        <v>9.17</v>
      </c>
      <c r="N1370" s="25">
        <v>64.5</v>
      </c>
      <c r="O1370" s="25">
        <v>181.89</v>
      </c>
      <c r="P1370" s="25">
        <v>332.26499999999999</v>
      </c>
      <c r="Q1370" s="25">
        <f t="shared" si="42"/>
        <v>0</v>
      </c>
      <c r="R1370" s="25">
        <f t="shared" si="43"/>
        <v>305167.73499999999</v>
      </c>
    </row>
    <row r="1371" spans="1:18" hidden="1" x14ac:dyDescent="0.25">
      <c r="A1371" s="26">
        <v>43147</v>
      </c>
      <c r="B1371" s="25" t="s">
        <v>282</v>
      </c>
      <c r="C1371" s="25" t="s">
        <v>17</v>
      </c>
      <c r="D1371" s="25">
        <v>500</v>
      </c>
      <c r="E1371" s="25">
        <v>611.75</v>
      </c>
      <c r="F1371" s="25">
        <v>305875</v>
      </c>
      <c r="G1371" s="25" t="s">
        <v>317</v>
      </c>
      <c r="H1371" s="25">
        <v>2018033</v>
      </c>
      <c r="I1371" s="25" t="s">
        <v>19</v>
      </c>
      <c r="J1371" s="25" t="s">
        <v>20</v>
      </c>
      <c r="K1371" s="25" t="s">
        <v>25</v>
      </c>
      <c r="L1371" s="25">
        <v>0</v>
      </c>
      <c r="M1371" s="25">
        <v>9.18</v>
      </c>
      <c r="N1371" s="25">
        <v>0</v>
      </c>
      <c r="O1371" s="25">
        <v>182.12</v>
      </c>
      <c r="P1371" s="25">
        <v>191.2962</v>
      </c>
      <c r="Q1371" s="25">
        <f t="shared" si="42"/>
        <v>306066.29619999998</v>
      </c>
      <c r="R1371" s="25">
        <f t="shared" si="43"/>
        <v>0</v>
      </c>
    </row>
    <row r="1372" spans="1:18" hidden="1" x14ac:dyDescent="0.25">
      <c r="A1372" s="26">
        <v>43147</v>
      </c>
      <c r="B1372" s="25" t="s">
        <v>282</v>
      </c>
      <c r="C1372" s="25" t="s">
        <v>23</v>
      </c>
      <c r="D1372" s="25">
        <v>500</v>
      </c>
      <c r="E1372" s="25">
        <v>614</v>
      </c>
      <c r="F1372" s="25">
        <v>307000</v>
      </c>
      <c r="G1372" s="25" t="s">
        <v>318</v>
      </c>
      <c r="H1372" s="25">
        <v>2018033</v>
      </c>
      <c r="I1372" s="25" t="s">
        <v>19</v>
      </c>
      <c r="J1372" s="25" t="s">
        <v>20</v>
      </c>
      <c r="K1372" s="25" t="s">
        <v>25</v>
      </c>
      <c r="L1372" s="25">
        <v>76.510000000000005</v>
      </c>
      <c r="M1372" s="25">
        <v>9.2100000000000009</v>
      </c>
      <c r="N1372" s="25">
        <v>0</v>
      </c>
      <c r="O1372" s="25">
        <v>182.82</v>
      </c>
      <c r="P1372" s="25">
        <v>268.53980000000001</v>
      </c>
      <c r="Q1372" s="25">
        <f t="shared" si="42"/>
        <v>0</v>
      </c>
      <c r="R1372" s="25">
        <f t="shared" si="43"/>
        <v>306731.46019999997</v>
      </c>
    </row>
    <row r="1373" spans="1:18" hidden="1" x14ac:dyDescent="0.25">
      <c r="A1373" s="26">
        <v>43147</v>
      </c>
      <c r="B1373" s="25" t="s">
        <v>282</v>
      </c>
      <c r="C1373" s="25" t="s">
        <v>17</v>
      </c>
      <c r="D1373" s="25">
        <v>750</v>
      </c>
      <c r="E1373" s="25">
        <v>612.75</v>
      </c>
      <c r="F1373" s="25">
        <v>459562.5</v>
      </c>
      <c r="G1373" s="25" t="s">
        <v>319</v>
      </c>
      <c r="H1373" s="25">
        <v>2018033</v>
      </c>
      <c r="I1373" s="25" t="s">
        <v>19</v>
      </c>
      <c r="J1373" s="25" t="s">
        <v>20</v>
      </c>
      <c r="K1373" s="25" t="s">
        <v>25</v>
      </c>
      <c r="L1373" s="25">
        <v>0</v>
      </c>
      <c r="M1373" s="25">
        <v>13.79</v>
      </c>
      <c r="N1373" s="25">
        <v>0</v>
      </c>
      <c r="O1373" s="25">
        <v>273.62</v>
      </c>
      <c r="P1373" s="25">
        <v>287.40690000000001</v>
      </c>
      <c r="Q1373" s="25">
        <f t="shared" si="42"/>
        <v>459849.9069</v>
      </c>
      <c r="R1373" s="25">
        <f t="shared" si="43"/>
        <v>0</v>
      </c>
    </row>
    <row r="1374" spans="1:18" hidden="1" x14ac:dyDescent="0.25">
      <c r="A1374" s="26">
        <v>43147</v>
      </c>
      <c r="B1374" s="25" t="s">
        <v>282</v>
      </c>
      <c r="C1374" s="25" t="s">
        <v>23</v>
      </c>
      <c r="D1374" s="25">
        <v>750</v>
      </c>
      <c r="E1374" s="25">
        <v>614</v>
      </c>
      <c r="F1374" s="25">
        <v>460500</v>
      </c>
      <c r="G1374" s="25" t="s">
        <v>320</v>
      </c>
      <c r="H1374" s="25">
        <v>2018033</v>
      </c>
      <c r="I1374" s="25" t="s">
        <v>19</v>
      </c>
      <c r="J1374" s="25" t="s">
        <v>20</v>
      </c>
      <c r="K1374" s="25" t="s">
        <v>25</v>
      </c>
      <c r="L1374" s="25">
        <v>114.77</v>
      </c>
      <c r="M1374" s="25">
        <v>13.82</v>
      </c>
      <c r="N1374" s="25">
        <v>0</v>
      </c>
      <c r="O1374" s="25">
        <v>274.18</v>
      </c>
      <c r="P1374" s="25">
        <v>402.76510000000002</v>
      </c>
      <c r="Q1374" s="25">
        <f t="shared" si="42"/>
        <v>0</v>
      </c>
      <c r="R1374" s="25">
        <f t="shared" si="43"/>
        <v>460097.23489999998</v>
      </c>
    </row>
    <row r="1375" spans="1:18" hidden="1" x14ac:dyDescent="0.25">
      <c r="A1375" s="26">
        <v>43146</v>
      </c>
      <c r="B1375" s="25" t="s">
        <v>128</v>
      </c>
      <c r="C1375" s="25" t="s">
        <v>17</v>
      </c>
      <c r="D1375" s="25">
        <v>500</v>
      </c>
      <c r="E1375" s="25">
        <v>415.67</v>
      </c>
      <c r="F1375" s="25">
        <v>207836.4</v>
      </c>
      <c r="G1375" s="25" t="s">
        <v>311</v>
      </c>
      <c r="H1375" s="25">
        <v>2018032</v>
      </c>
      <c r="I1375" s="25" t="s">
        <v>19</v>
      </c>
      <c r="J1375" s="25" t="s">
        <v>20</v>
      </c>
      <c r="K1375" s="25" t="s">
        <v>25</v>
      </c>
      <c r="L1375" s="25">
        <v>0</v>
      </c>
      <c r="M1375" s="25">
        <v>6.24</v>
      </c>
      <c r="N1375" s="25">
        <v>0</v>
      </c>
      <c r="O1375" s="25">
        <v>123.75</v>
      </c>
      <c r="P1375" s="25">
        <v>129.98519999999999</v>
      </c>
      <c r="Q1375" s="25">
        <f t="shared" si="42"/>
        <v>207966.38519999999</v>
      </c>
      <c r="R1375" s="25">
        <f t="shared" si="43"/>
        <v>0</v>
      </c>
    </row>
    <row r="1376" spans="1:18" hidden="1" x14ac:dyDescent="0.25">
      <c r="A1376" s="26">
        <v>43146</v>
      </c>
      <c r="B1376" s="25" t="s">
        <v>128</v>
      </c>
      <c r="C1376" s="25" t="s">
        <v>23</v>
      </c>
      <c r="D1376" s="25">
        <v>500</v>
      </c>
      <c r="E1376" s="25">
        <v>412</v>
      </c>
      <c r="F1376" s="25">
        <v>206000</v>
      </c>
      <c r="G1376" s="25" t="s">
        <v>312</v>
      </c>
      <c r="H1376" s="25">
        <v>2018032</v>
      </c>
      <c r="I1376" s="25" t="s">
        <v>19</v>
      </c>
      <c r="J1376" s="25" t="s">
        <v>20</v>
      </c>
      <c r="K1376" s="25" t="s">
        <v>25</v>
      </c>
      <c r="L1376" s="25">
        <v>51.73</v>
      </c>
      <c r="M1376" s="25">
        <v>6.18</v>
      </c>
      <c r="N1376" s="25">
        <v>0</v>
      </c>
      <c r="O1376" s="25">
        <v>122.66</v>
      </c>
      <c r="P1376" s="25">
        <v>180.57</v>
      </c>
      <c r="Q1376" s="25">
        <f t="shared" si="42"/>
        <v>0</v>
      </c>
      <c r="R1376" s="25">
        <f t="shared" si="43"/>
        <v>205819.43</v>
      </c>
    </row>
    <row r="1377" spans="1:18" hidden="1" x14ac:dyDescent="0.25">
      <c r="A1377" s="26">
        <v>43146</v>
      </c>
      <c r="B1377" s="25" t="s">
        <v>282</v>
      </c>
      <c r="C1377" s="25" t="s">
        <v>23</v>
      </c>
      <c r="D1377" s="25">
        <v>500</v>
      </c>
      <c r="E1377" s="25">
        <v>607</v>
      </c>
      <c r="F1377" s="25">
        <v>303500</v>
      </c>
      <c r="G1377" s="25" t="s">
        <v>313</v>
      </c>
      <c r="H1377" s="25">
        <v>2018032</v>
      </c>
      <c r="I1377" s="25" t="s">
        <v>19</v>
      </c>
      <c r="J1377" s="25" t="s">
        <v>1634</v>
      </c>
      <c r="K1377" s="25" t="s">
        <v>25</v>
      </c>
      <c r="L1377" s="25">
        <v>303.27</v>
      </c>
      <c r="M1377" s="25">
        <v>9.11</v>
      </c>
      <c r="N1377" s="25">
        <v>21.6</v>
      </c>
      <c r="O1377" s="25">
        <v>1971.35</v>
      </c>
      <c r="P1377" s="25">
        <v>2305.3251</v>
      </c>
      <c r="Q1377" s="25">
        <f t="shared" si="42"/>
        <v>0</v>
      </c>
      <c r="R1377" s="25">
        <f t="shared" si="43"/>
        <v>301194.67489999998</v>
      </c>
    </row>
    <row r="1378" spans="1:18" hidden="1" x14ac:dyDescent="0.25">
      <c r="A1378" s="26">
        <v>43145</v>
      </c>
      <c r="B1378" s="25" t="s">
        <v>282</v>
      </c>
      <c r="C1378" s="25" t="s">
        <v>17</v>
      </c>
      <c r="D1378" s="25">
        <v>500</v>
      </c>
      <c r="E1378" s="25">
        <v>614.25</v>
      </c>
      <c r="F1378" s="25">
        <v>307125</v>
      </c>
      <c r="G1378" s="25" t="s">
        <v>314</v>
      </c>
      <c r="H1378" s="25">
        <v>2018031</v>
      </c>
      <c r="I1378" s="25" t="s">
        <v>19</v>
      </c>
      <c r="J1378" s="25" t="s">
        <v>1634</v>
      </c>
      <c r="K1378" s="25" t="s">
        <v>25</v>
      </c>
      <c r="L1378" s="25">
        <v>307</v>
      </c>
      <c r="M1378" s="25">
        <v>9.2100000000000009</v>
      </c>
      <c r="N1378" s="25">
        <v>9.3000000000000007</v>
      </c>
      <c r="O1378" s="25">
        <v>1994.9</v>
      </c>
      <c r="P1378" s="25">
        <v>2320.4137999999998</v>
      </c>
      <c r="Q1378" s="25">
        <f t="shared" si="42"/>
        <v>309445.41379999998</v>
      </c>
      <c r="R1378" s="25">
        <f t="shared" si="43"/>
        <v>0</v>
      </c>
    </row>
    <row r="1379" spans="1:18" hidden="1" x14ac:dyDescent="0.25">
      <c r="A1379" s="26">
        <v>43140</v>
      </c>
      <c r="B1379" s="25" t="s">
        <v>128</v>
      </c>
      <c r="C1379" s="25" t="s">
        <v>17</v>
      </c>
      <c r="D1379" s="25">
        <v>1000</v>
      </c>
      <c r="E1379" s="25">
        <v>429.1</v>
      </c>
      <c r="F1379" s="25">
        <v>429099.25</v>
      </c>
      <c r="G1379" s="25" t="s">
        <v>307</v>
      </c>
      <c r="H1379" s="25">
        <v>2018029</v>
      </c>
      <c r="I1379" s="25" t="s">
        <v>19</v>
      </c>
      <c r="J1379" s="25" t="s">
        <v>20</v>
      </c>
      <c r="K1379" s="25" t="s">
        <v>25</v>
      </c>
      <c r="L1379" s="25">
        <v>0</v>
      </c>
      <c r="M1379" s="25">
        <v>13.95</v>
      </c>
      <c r="N1379" s="25">
        <v>0</v>
      </c>
      <c r="O1379" s="25">
        <v>255.68</v>
      </c>
      <c r="P1379" s="25">
        <v>269.62569999999999</v>
      </c>
      <c r="Q1379" s="25">
        <f t="shared" si="42"/>
        <v>429368.87569999998</v>
      </c>
      <c r="R1379" s="25">
        <f t="shared" si="43"/>
        <v>0</v>
      </c>
    </row>
    <row r="1380" spans="1:18" hidden="1" x14ac:dyDescent="0.25">
      <c r="A1380" s="26">
        <v>43140</v>
      </c>
      <c r="B1380" s="25" t="s">
        <v>128</v>
      </c>
      <c r="C1380" s="25" t="s">
        <v>23</v>
      </c>
      <c r="D1380" s="25">
        <v>1000</v>
      </c>
      <c r="E1380" s="25">
        <v>434</v>
      </c>
      <c r="F1380" s="25">
        <v>434000</v>
      </c>
      <c r="G1380" s="25" t="s">
        <v>308</v>
      </c>
      <c r="H1380" s="25">
        <v>2018029</v>
      </c>
      <c r="I1380" s="25" t="s">
        <v>19</v>
      </c>
      <c r="J1380" s="25" t="s">
        <v>20</v>
      </c>
      <c r="K1380" s="25" t="s">
        <v>25</v>
      </c>
      <c r="L1380" s="25">
        <v>107.89</v>
      </c>
      <c r="M1380" s="25">
        <v>14.11</v>
      </c>
      <c r="N1380" s="25">
        <v>0</v>
      </c>
      <c r="O1380" s="25">
        <v>258.60000000000002</v>
      </c>
      <c r="P1380" s="25">
        <v>380.5951</v>
      </c>
      <c r="Q1380" s="25">
        <f t="shared" si="42"/>
        <v>0</v>
      </c>
      <c r="R1380" s="25">
        <f t="shared" si="43"/>
        <v>433619.40490000002</v>
      </c>
    </row>
    <row r="1381" spans="1:18" hidden="1" x14ac:dyDescent="0.25">
      <c r="A1381" s="26">
        <v>43140</v>
      </c>
      <c r="B1381" s="25" t="s">
        <v>51</v>
      </c>
      <c r="C1381" s="25" t="s">
        <v>17</v>
      </c>
      <c r="D1381" s="25">
        <v>1000</v>
      </c>
      <c r="E1381" s="25">
        <v>309.57</v>
      </c>
      <c r="F1381" s="25">
        <v>309565.3</v>
      </c>
      <c r="G1381" s="25" t="s">
        <v>309</v>
      </c>
      <c r="H1381" s="25">
        <v>2018029</v>
      </c>
      <c r="I1381" s="25" t="s">
        <v>19</v>
      </c>
      <c r="J1381" s="25" t="s">
        <v>20</v>
      </c>
      <c r="K1381" s="25" t="s">
        <v>25</v>
      </c>
      <c r="L1381" s="25">
        <v>0</v>
      </c>
      <c r="M1381" s="25">
        <v>10.06</v>
      </c>
      <c r="N1381" s="25">
        <v>44.4</v>
      </c>
      <c r="O1381" s="25">
        <v>184.46</v>
      </c>
      <c r="P1381" s="25">
        <v>238.92089999999999</v>
      </c>
      <c r="Q1381" s="25">
        <f t="shared" si="42"/>
        <v>309804.22090000001</v>
      </c>
      <c r="R1381" s="25">
        <f t="shared" si="43"/>
        <v>0</v>
      </c>
    </row>
    <row r="1382" spans="1:18" hidden="1" x14ac:dyDescent="0.25">
      <c r="A1382" s="26">
        <v>43140</v>
      </c>
      <c r="B1382" s="25" t="s">
        <v>51</v>
      </c>
      <c r="C1382" s="25" t="s">
        <v>23</v>
      </c>
      <c r="D1382" s="25">
        <v>1000</v>
      </c>
      <c r="E1382" s="25">
        <v>303.01</v>
      </c>
      <c r="F1382" s="25">
        <v>303014.3</v>
      </c>
      <c r="G1382" s="25" t="s">
        <v>310</v>
      </c>
      <c r="H1382" s="25">
        <v>2018029</v>
      </c>
      <c r="I1382" s="25" t="s">
        <v>19</v>
      </c>
      <c r="J1382" s="25" t="s">
        <v>20</v>
      </c>
      <c r="K1382" s="25" t="s">
        <v>25</v>
      </c>
      <c r="L1382" s="25">
        <v>76.11</v>
      </c>
      <c r="M1382" s="25">
        <v>9.85</v>
      </c>
      <c r="N1382" s="25">
        <v>0</v>
      </c>
      <c r="O1382" s="25">
        <v>180.56</v>
      </c>
      <c r="P1382" s="25">
        <v>266.5179</v>
      </c>
      <c r="Q1382" s="25">
        <f t="shared" si="42"/>
        <v>0</v>
      </c>
      <c r="R1382" s="25">
        <f t="shared" si="43"/>
        <v>302747.78210000001</v>
      </c>
    </row>
    <row r="1383" spans="1:18" hidden="1" x14ac:dyDescent="0.25">
      <c r="A1383" s="26">
        <v>43139</v>
      </c>
      <c r="B1383" s="25" t="s">
        <v>282</v>
      </c>
      <c r="C1383" s="25" t="s">
        <v>17</v>
      </c>
      <c r="D1383" s="25">
        <v>100</v>
      </c>
      <c r="E1383" s="25">
        <v>612</v>
      </c>
      <c r="F1383" s="25">
        <v>61200</v>
      </c>
      <c r="G1383" s="25" t="s">
        <v>300</v>
      </c>
      <c r="H1383" s="25">
        <v>2018028</v>
      </c>
      <c r="I1383" s="25" t="s">
        <v>19</v>
      </c>
      <c r="J1383" s="25" t="s">
        <v>20</v>
      </c>
      <c r="K1383" s="25" t="s">
        <v>25</v>
      </c>
      <c r="L1383" s="25">
        <v>0</v>
      </c>
      <c r="M1383" s="25">
        <v>1.99</v>
      </c>
      <c r="N1383" s="25">
        <v>0</v>
      </c>
      <c r="O1383" s="25">
        <v>36.47</v>
      </c>
      <c r="P1383" s="25">
        <v>38.459000000000003</v>
      </c>
      <c r="Q1383" s="25">
        <f t="shared" si="42"/>
        <v>61238.459000000003</v>
      </c>
      <c r="R1383" s="25">
        <f t="shared" si="43"/>
        <v>0</v>
      </c>
    </row>
    <row r="1384" spans="1:18" hidden="1" x14ac:dyDescent="0.25">
      <c r="A1384" s="26">
        <v>43139</v>
      </c>
      <c r="B1384" s="25" t="s">
        <v>128</v>
      </c>
      <c r="C1384" s="25" t="s">
        <v>17</v>
      </c>
      <c r="D1384" s="25">
        <v>100</v>
      </c>
      <c r="E1384" s="25">
        <v>414</v>
      </c>
      <c r="F1384" s="25">
        <v>41400</v>
      </c>
      <c r="G1384" s="25" t="s">
        <v>301</v>
      </c>
      <c r="H1384" s="25">
        <v>2018028</v>
      </c>
      <c r="I1384" s="25" t="s">
        <v>19</v>
      </c>
      <c r="J1384" s="25" t="s">
        <v>20</v>
      </c>
      <c r="K1384" s="25" t="s">
        <v>25</v>
      </c>
      <c r="L1384" s="25">
        <v>0</v>
      </c>
      <c r="M1384" s="25">
        <v>1.35</v>
      </c>
      <c r="N1384" s="25">
        <v>0</v>
      </c>
      <c r="O1384" s="25">
        <v>29.74</v>
      </c>
      <c r="P1384" s="25">
        <v>31.0855</v>
      </c>
      <c r="Q1384" s="25">
        <f t="shared" si="42"/>
        <v>41431.085500000001</v>
      </c>
      <c r="R1384" s="25">
        <f t="shared" si="43"/>
        <v>0</v>
      </c>
    </row>
    <row r="1385" spans="1:18" hidden="1" x14ac:dyDescent="0.25">
      <c r="A1385" s="26">
        <v>43139</v>
      </c>
      <c r="B1385" s="25" t="s">
        <v>128</v>
      </c>
      <c r="C1385" s="25" t="s">
        <v>23</v>
      </c>
      <c r="D1385" s="25">
        <v>100</v>
      </c>
      <c r="E1385" s="25">
        <v>417</v>
      </c>
      <c r="F1385" s="25">
        <v>41700</v>
      </c>
      <c r="G1385" s="25" t="s">
        <v>302</v>
      </c>
      <c r="H1385" s="25">
        <v>2018028</v>
      </c>
      <c r="I1385" s="25" t="s">
        <v>19</v>
      </c>
      <c r="J1385" s="25" t="s">
        <v>20</v>
      </c>
      <c r="K1385" s="25" t="s">
        <v>25</v>
      </c>
      <c r="L1385" s="25">
        <v>10.39</v>
      </c>
      <c r="M1385" s="25">
        <v>1.36</v>
      </c>
      <c r="N1385" s="25">
        <v>0</v>
      </c>
      <c r="O1385" s="25">
        <v>29.75</v>
      </c>
      <c r="P1385" s="25">
        <v>41.495199999999997</v>
      </c>
      <c r="Q1385" s="25">
        <f t="shared" si="42"/>
        <v>0</v>
      </c>
      <c r="R1385" s="25">
        <f t="shared" si="43"/>
        <v>41658.504800000002</v>
      </c>
    </row>
    <row r="1386" spans="1:18" hidden="1" x14ac:dyDescent="0.25">
      <c r="A1386" s="26">
        <v>43139</v>
      </c>
      <c r="B1386" s="25" t="s">
        <v>282</v>
      </c>
      <c r="C1386" s="25" t="s">
        <v>23</v>
      </c>
      <c r="D1386" s="25">
        <v>100</v>
      </c>
      <c r="E1386" s="25">
        <v>620</v>
      </c>
      <c r="F1386" s="25">
        <v>62000</v>
      </c>
      <c r="G1386" s="25" t="s">
        <v>303</v>
      </c>
      <c r="H1386" s="25">
        <v>2018028</v>
      </c>
      <c r="I1386" s="25" t="s">
        <v>19</v>
      </c>
      <c r="J1386" s="25" t="s">
        <v>20</v>
      </c>
      <c r="K1386" s="25" t="s">
        <v>25</v>
      </c>
      <c r="L1386" s="25">
        <v>61.27</v>
      </c>
      <c r="M1386" s="25">
        <v>2.02</v>
      </c>
      <c r="N1386" s="25">
        <v>0</v>
      </c>
      <c r="O1386" s="25">
        <v>36.94</v>
      </c>
      <c r="P1386" s="25">
        <v>100.22499999999999</v>
      </c>
      <c r="Q1386" s="25">
        <f t="shared" si="42"/>
        <v>0</v>
      </c>
      <c r="R1386" s="25">
        <f t="shared" si="43"/>
        <v>61899.775000000001</v>
      </c>
    </row>
    <row r="1387" spans="1:18" hidden="1" x14ac:dyDescent="0.25">
      <c r="A1387" s="26">
        <v>43139</v>
      </c>
      <c r="B1387" s="25" t="s">
        <v>282</v>
      </c>
      <c r="C1387" s="25" t="s">
        <v>17</v>
      </c>
      <c r="D1387" s="25">
        <v>500</v>
      </c>
      <c r="E1387" s="25">
        <v>615</v>
      </c>
      <c r="F1387" s="25">
        <v>307500</v>
      </c>
      <c r="G1387" s="25" t="s">
        <v>304</v>
      </c>
      <c r="H1387" s="25">
        <v>2018028</v>
      </c>
      <c r="I1387" s="25" t="s">
        <v>19</v>
      </c>
      <c r="J1387" s="25" t="s">
        <v>20</v>
      </c>
      <c r="K1387" s="25" t="s">
        <v>25</v>
      </c>
      <c r="L1387" s="25">
        <v>0</v>
      </c>
      <c r="M1387" s="25">
        <v>9.99</v>
      </c>
      <c r="N1387" s="25">
        <v>0</v>
      </c>
      <c r="O1387" s="25">
        <v>183.22</v>
      </c>
      <c r="P1387" s="25">
        <v>193.21379999999999</v>
      </c>
      <c r="Q1387" s="25">
        <f t="shared" si="42"/>
        <v>307693.21380000003</v>
      </c>
      <c r="R1387" s="25">
        <f t="shared" si="43"/>
        <v>0</v>
      </c>
    </row>
    <row r="1388" spans="1:18" hidden="1" x14ac:dyDescent="0.25">
      <c r="A1388" s="26">
        <v>43139</v>
      </c>
      <c r="B1388" s="25" t="s">
        <v>282</v>
      </c>
      <c r="C1388" s="25" t="s">
        <v>23</v>
      </c>
      <c r="D1388" s="25">
        <v>500</v>
      </c>
      <c r="E1388" s="25">
        <v>617</v>
      </c>
      <c r="F1388" s="25">
        <v>308500</v>
      </c>
      <c r="G1388" s="25" t="s">
        <v>305</v>
      </c>
      <c r="H1388" s="25">
        <v>2018028</v>
      </c>
      <c r="I1388" s="25" t="s">
        <v>19</v>
      </c>
      <c r="J1388" s="25" t="s">
        <v>20</v>
      </c>
      <c r="K1388" s="25" t="s">
        <v>25</v>
      </c>
      <c r="L1388" s="25">
        <v>306.33</v>
      </c>
      <c r="M1388" s="25">
        <v>10.029999999999999</v>
      </c>
      <c r="N1388" s="25">
        <v>0</v>
      </c>
      <c r="O1388" s="25">
        <v>183.82</v>
      </c>
      <c r="P1388" s="25">
        <v>500.17630000000003</v>
      </c>
      <c r="Q1388" s="25">
        <f t="shared" si="42"/>
        <v>0</v>
      </c>
      <c r="R1388" s="25">
        <f t="shared" si="43"/>
        <v>307999.82370000001</v>
      </c>
    </row>
    <row r="1389" spans="1:18" hidden="1" x14ac:dyDescent="0.25">
      <c r="A1389" s="26">
        <v>43139</v>
      </c>
      <c r="B1389" s="25" t="s">
        <v>282</v>
      </c>
      <c r="C1389" s="25" t="s">
        <v>23</v>
      </c>
      <c r="D1389" s="25">
        <v>1100</v>
      </c>
      <c r="E1389" s="25">
        <v>609</v>
      </c>
      <c r="F1389" s="25">
        <v>669900</v>
      </c>
      <c r="G1389" s="25" t="s">
        <v>306</v>
      </c>
      <c r="H1389" s="25">
        <v>2018028</v>
      </c>
      <c r="I1389" s="25" t="s">
        <v>19</v>
      </c>
      <c r="J1389" s="25" t="s">
        <v>1634</v>
      </c>
      <c r="K1389" s="25" t="s">
        <v>25</v>
      </c>
      <c r="L1389" s="25">
        <v>398.02</v>
      </c>
      <c r="M1389" s="25">
        <v>21.77</v>
      </c>
      <c r="N1389" s="25">
        <v>45</v>
      </c>
      <c r="O1389" s="25">
        <v>4351.57</v>
      </c>
      <c r="P1389" s="25">
        <v>4816.3617000000004</v>
      </c>
      <c r="Q1389" s="25">
        <f t="shared" si="42"/>
        <v>0</v>
      </c>
      <c r="R1389" s="25">
        <f t="shared" si="43"/>
        <v>665083.63829999999</v>
      </c>
    </row>
    <row r="1390" spans="1:18" hidden="1" x14ac:dyDescent="0.25">
      <c r="A1390" s="26">
        <v>43137</v>
      </c>
      <c r="B1390" s="25" t="s">
        <v>282</v>
      </c>
      <c r="C1390" s="25" t="s">
        <v>17</v>
      </c>
      <c r="D1390" s="25">
        <v>100</v>
      </c>
      <c r="E1390" s="25">
        <v>582</v>
      </c>
      <c r="F1390" s="25">
        <v>58200</v>
      </c>
      <c r="G1390" s="25" t="s">
        <v>283</v>
      </c>
      <c r="H1390" s="25">
        <v>2018026</v>
      </c>
      <c r="I1390" s="25" t="s">
        <v>19</v>
      </c>
      <c r="J1390" s="25" t="s">
        <v>1634</v>
      </c>
      <c r="K1390" s="25" t="s">
        <v>25</v>
      </c>
      <c r="L1390" s="25">
        <v>59.01</v>
      </c>
      <c r="M1390" s="25">
        <v>1.89</v>
      </c>
      <c r="N1390" s="25">
        <v>24.9</v>
      </c>
      <c r="O1390" s="25">
        <v>378.06</v>
      </c>
      <c r="P1390" s="25">
        <v>463.86149999999998</v>
      </c>
      <c r="Q1390" s="25">
        <f t="shared" si="42"/>
        <v>58663.861499999999</v>
      </c>
      <c r="R1390" s="25">
        <f t="shared" si="43"/>
        <v>0</v>
      </c>
    </row>
    <row r="1391" spans="1:18" hidden="1" x14ac:dyDescent="0.25">
      <c r="A1391" s="26">
        <v>43137</v>
      </c>
      <c r="B1391" s="25" t="s">
        <v>128</v>
      </c>
      <c r="C1391" s="25" t="s">
        <v>17</v>
      </c>
      <c r="D1391" s="25">
        <v>100</v>
      </c>
      <c r="E1391" s="25">
        <v>386.82</v>
      </c>
      <c r="F1391" s="25">
        <v>38682</v>
      </c>
      <c r="G1391" s="25" t="s">
        <v>284</v>
      </c>
      <c r="H1391" s="25">
        <v>2018026</v>
      </c>
      <c r="I1391" s="25" t="s">
        <v>19</v>
      </c>
      <c r="J1391" s="25" t="s">
        <v>20</v>
      </c>
      <c r="K1391" s="25" t="s">
        <v>25</v>
      </c>
      <c r="L1391" s="25">
        <v>0</v>
      </c>
      <c r="M1391" s="25">
        <v>1.26</v>
      </c>
      <c r="N1391" s="25">
        <v>0</v>
      </c>
      <c r="O1391" s="25">
        <v>29.73</v>
      </c>
      <c r="P1391" s="25">
        <v>30.987200000000001</v>
      </c>
      <c r="Q1391" s="25">
        <f t="shared" si="42"/>
        <v>38712.987200000003</v>
      </c>
      <c r="R1391" s="25">
        <f t="shared" si="43"/>
        <v>0</v>
      </c>
    </row>
    <row r="1392" spans="1:18" hidden="1" x14ac:dyDescent="0.25">
      <c r="A1392" s="26">
        <v>43137</v>
      </c>
      <c r="B1392" s="25" t="s">
        <v>128</v>
      </c>
      <c r="C1392" s="25" t="s">
        <v>23</v>
      </c>
      <c r="D1392" s="25">
        <v>100</v>
      </c>
      <c r="E1392" s="25">
        <v>405</v>
      </c>
      <c r="F1392" s="25">
        <v>40500</v>
      </c>
      <c r="G1392" s="25" t="s">
        <v>285</v>
      </c>
      <c r="H1392" s="25">
        <v>2018026</v>
      </c>
      <c r="I1392" s="25" t="s">
        <v>19</v>
      </c>
      <c r="J1392" s="25" t="s">
        <v>20</v>
      </c>
      <c r="K1392" s="25" t="s">
        <v>25</v>
      </c>
      <c r="L1392" s="25">
        <v>9.9</v>
      </c>
      <c r="M1392" s="25">
        <v>1.32</v>
      </c>
      <c r="N1392" s="25">
        <v>0</v>
      </c>
      <c r="O1392" s="25">
        <v>29.74</v>
      </c>
      <c r="P1392" s="25">
        <v>40.956299999999999</v>
      </c>
      <c r="Q1392" s="25">
        <f t="shared" si="42"/>
        <v>0</v>
      </c>
      <c r="R1392" s="25">
        <f t="shared" si="43"/>
        <v>40459.043700000002</v>
      </c>
    </row>
    <row r="1393" spans="1:18" hidden="1" x14ac:dyDescent="0.25">
      <c r="A1393" s="26">
        <v>43137</v>
      </c>
      <c r="B1393" s="25" t="s">
        <v>282</v>
      </c>
      <c r="C1393" s="25" t="s">
        <v>17</v>
      </c>
      <c r="D1393" s="25">
        <v>1000</v>
      </c>
      <c r="E1393" s="25">
        <v>592</v>
      </c>
      <c r="F1393" s="25">
        <v>592000</v>
      </c>
      <c r="G1393" s="25" t="s">
        <v>286</v>
      </c>
      <c r="H1393" s="25">
        <v>2018026</v>
      </c>
      <c r="I1393" s="25" t="s">
        <v>19</v>
      </c>
      <c r="J1393" s="25" t="s">
        <v>1634</v>
      </c>
      <c r="K1393" s="25" t="s">
        <v>25</v>
      </c>
      <c r="L1393" s="25">
        <v>591.09</v>
      </c>
      <c r="M1393" s="25">
        <v>19.239999999999998</v>
      </c>
      <c r="N1393" s="25">
        <v>0</v>
      </c>
      <c r="O1393" s="25">
        <v>3845.55</v>
      </c>
      <c r="P1393" s="25">
        <v>4455.8797999999997</v>
      </c>
      <c r="Q1393" s="25">
        <f t="shared" si="42"/>
        <v>596455.8798</v>
      </c>
      <c r="R1393" s="25">
        <f t="shared" si="43"/>
        <v>0</v>
      </c>
    </row>
    <row r="1394" spans="1:18" hidden="1" x14ac:dyDescent="0.25">
      <c r="A1394" s="26">
        <v>43137</v>
      </c>
      <c r="B1394" s="25" t="s">
        <v>29</v>
      </c>
      <c r="C1394" s="25" t="s">
        <v>23</v>
      </c>
      <c r="D1394" s="25">
        <v>5000</v>
      </c>
      <c r="E1394" s="25">
        <v>18.2</v>
      </c>
      <c r="F1394" s="25">
        <v>91000</v>
      </c>
      <c r="G1394" s="25" t="s">
        <v>287</v>
      </c>
      <c r="H1394" s="25">
        <v>2018026</v>
      </c>
      <c r="I1394" s="25" t="s">
        <v>19</v>
      </c>
      <c r="J1394" s="25" t="s">
        <v>20</v>
      </c>
      <c r="K1394" s="25" t="s">
        <v>25</v>
      </c>
      <c r="L1394" s="25">
        <v>91</v>
      </c>
      <c r="M1394" s="25">
        <v>2.96</v>
      </c>
      <c r="N1394" s="25">
        <v>0</v>
      </c>
      <c r="O1394" s="25">
        <v>591.12</v>
      </c>
      <c r="P1394" s="25">
        <v>685.07749999999999</v>
      </c>
      <c r="Q1394" s="25">
        <f t="shared" si="42"/>
        <v>0</v>
      </c>
      <c r="R1394" s="25">
        <f t="shared" si="43"/>
        <v>90314.922500000001</v>
      </c>
    </row>
    <row r="1395" spans="1:18" hidden="1" x14ac:dyDescent="0.25">
      <c r="A1395" s="26">
        <v>43136</v>
      </c>
      <c r="B1395" s="25" t="s">
        <v>288</v>
      </c>
      <c r="C1395" s="25" t="s">
        <v>17</v>
      </c>
      <c r="D1395" s="25">
        <v>50</v>
      </c>
      <c r="E1395" s="25">
        <v>236.8</v>
      </c>
      <c r="F1395" s="25">
        <v>11840</v>
      </c>
      <c r="G1395" s="25" t="s">
        <v>289</v>
      </c>
      <c r="H1395" s="25">
        <v>201718213</v>
      </c>
      <c r="I1395" s="25" t="s">
        <v>19</v>
      </c>
      <c r="J1395" s="25" t="s">
        <v>20</v>
      </c>
      <c r="K1395" s="25" t="s">
        <v>21</v>
      </c>
      <c r="L1395" s="25">
        <v>12</v>
      </c>
      <c r="M1395" s="25">
        <v>0.63</v>
      </c>
      <c r="N1395" s="25">
        <v>0.6</v>
      </c>
      <c r="O1395" s="25">
        <v>76.95</v>
      </c>
      <c r="P1395" s="25">
        <v>90.177800000000005</v>
      </c>
      <c r="Q1395" s="25">
        <f t="shared" si="42"/>
        <v>11930.177799999999</v>
      </c>
      <c r="R1395" s="25">
        <f t="shared" si="43"/>
        <v>0</v>
      </c>
    </row>
    <row r="1396" spans="1:18" hidden="1" x14ac:dyDescent="0.25">
      <c r="A1396" s="26">
        <v>43133</v>
      </c>
      <c r="B1396" s="25" t="s">
        <v>26</v>
      </c>
      <c r="C1396" s="25" t="s">
        <v>23</v>
      </c>
      <c r="D1396" s="25">
        <v>1000</v>
      </c>
      <c r="E1396" s="25">
        <v>120.99</v>
      </c>
      <c r="F1396" s="25">
        <v>120994.8</v>
      </c>
      <c r="G1396" s="25" t="s">
        <v>290</v>
      </c>
      <c r="H1396" s="25">
        <v>2018024</v>
      </c>
      <c r="I1396" s="25" t="s">
        <v>19</v>
      </c>
      <c r="J1396" s="25" t="s">
        <v>1634</v>
      </c>
      <c r="K1396" s="25" t="s">
        <v>25</v>
      </c>
      <c r="L1396" s="25">
        <v>121.25</v>
      </c>
      <c r="M1396" s="25">
        <v>3.93</v>
      </c>
      <c r="N1396" s="25">
        <v>8.4</v>
      </c>
      <c r="O1396" s="25">
        <v>785.97</v>
      </c>
      <c r="P1396" s="25">
        <v>919.55229999999995</v>
      </c>
      <c r="Q1396" s="25">
        <f t="shared" si="42"/>
        <v>0</v>
      </c>
      <c r="R1396" s="25">
        <f t="shared" si="43"/>
        <v>120075.24770000001</v>
      </c>
    </row>
    <row r="1397" spans="1:18" hidden="1" x14ac:dyDescent="0.25">
      <c r="A1397" s="26">
        <v>43133</v>
      </c>
      <c r="B1397" s="25" t="s">
        <v>291</v>
      </c>
      <c r="C1397" s="25" t="s">
        <v>23</v>
      </c>
      <c r="D1397" s="25">
        <v>277</v>
      </c>
      <c r="E1397" s="25">
        <v>157.4</v>
      </c>
      <c r="F1397" s="25">
        <v>43599.8</v>
      </c>
      <c r="G1397" s="25" t="s">
        <v>292</v>
      </c>
      <c r="H1397" s="25">
        <v>2018024</v>
      </c>
      <c r="I1397" s="25" t="s">
        <v>19</v>
      </c>
      <c r="J1397" s="25" t="s">
        <v>1634</v>
      </c>
      <c r="K1397" s="25" t="s">
        <v>25</v>
      </c>
      <c r="L1397" s="25">
        <v>42.59</v>
      </c>
      <c r="M1397" s="25">
        <v>1.42</v>
      </c>
      <c r="N1397" s="25">
        <v>0</v>
      </c>
      <c r="O1397" s="25">
        <v>283.22000000000003</v>
      </c>
      <c r="P1397" s="25">
        <v>327.22699999999998</v>
      </c>
      <c r="Q1397" s="25">
        <f t="shared" si="42"/>
        <v>0</v>
      </c>
      <c r="R1397" s="25">
        <f t="shared" si="43"/>
        <v>43272.573000000004</v>
      </c>
    </row>
    <row r="1398" spans="1:18" hidden="1" x14ac:dyDescent="0.25">
      <c r="A1398" s="26">
        <v>43133</v>
      </c>
      <c r="B1398" s="25" t="s">
        <v>291</v>
      </c>
      <c r="C1398" s="25" t="s">
        <v>23</v>
      </c>
      <c r="D1398" s="25">
        <v>723</v>
      </c>
      <c r="E1398" s="25">
        <v>152.35</v>
      </c>
      <c r="F1398" s="25">
        <v>110149.05</v>
      </c>
      <c r="G1398" s="25" t="s">
        <v>293</v>
      </c>
      <c r="H1398" s="25">
        <v>2018024</v>
      </c>
      <c r="I1398" s="25" t="s">
        <v>19</v>
      </c>
      <c r="J1398" s="25" t="s">
        <v>1634</v>
      </c>
      <c r="K1398" s="25" t="s">
        <v>25</v>
      </c>
      <c r="L1398" s="25">
        <v>111.16</v>
      </c>
      <c r="M1398" s="25">
        <v>3.58</v>
      </c>
      <c r="N1398" s="25">
        <v>0</v>
      </c>
      <c r="O1398" s="25">
        <v>715.5</v>
      </c>
      <c r="P1398" s="25">
        <v>830.23990000000003</v>
      </c>
      <c r="Q1398" s="25">
        <f t="shared" si="42"/>
        <v>0</v>
      </c>
      <c r="R1398" s="25">
        <f t="shared" si="43"/>
        <v>109318.8101</v>
      </c>
    </row>
    <row r="1399" spans="1:18" hidden="1" x14ac:dyDescent="0.25">
      <c r="A1399" s="26">
        <v>43131</v>
      </c>
      <c r="B1399" s="25" t="s">
        <v>291</v>
      </c>
      <c r="C1399" s="25" t="s">
        <v>17</v>
      </c>
      <c r="D1399" s="25">
        <v>1000</v>
      </c>
      <c r="E1399" s="25">
        <v>169</v>
      </c>
      <c r="F1399" s="25">
        <v>169000</v>
      </c>
      <c r="G1399" s="25" t="s">
        <v>294</v>
      </c>
      <c r="H1399" s="25">
        <v>2018022</v>
      </c>
      <c r="I1399" s="25" t="s">
        <v>19</v>
      </c>
      <c r="J1399" s="25" t="s">
        <v>1634</v>
      </c>
      <c r="K1399" s="25" t="s">
        <v>25</v>
      </c>
      <c r="L1399" s="25">
        <v>169</v>
      </c>
      <c r="M1399" s="25">
        <v>5.49</v>
      </c>
      <c r="N1399" s="25">
        <v>0</v>
      </c>
      <c r="O1399" s="25">
        <v>1097.8</v>
      </c>
      <c r="P1399" s="25">
        <v>1272.2925</v>
      </c>
      <c r="Q1399" s="25">
        <f t="shared" si="42"/>
        <v>170272.29250000001</v>
      </c>
      <c r="R1399" s="25">
        <f t="shared" si="43"/>
        <v>0</v>
      </c>
    </row>
    <row r="1400" spans="1:18" hidden="1" x14ac:dyDescent="0.25">
      <c r="A1400" s="26">
        <v>43131</v>
      </c>
      <c r="B1400" s="25" t="s">
        <v>26</v>
      </c>
      <c r="C1400" s="25" t="s">
        <v>17</v>
      </c>
      <c r="D1400" s="25">
        <v>1000</v>
      </c>
      <c r="E1400" s="25">
        <v>129</v>
      </c>
      <c r="F1400" s="25">
        <v>129000</v>
      </c>
      <c r="G1400" s="25" t="s">
        <v>295</v>
      </c>
      <c r="H1400" s="25">
        <v>2018022</v>
      </c>
      <c r="I1400" s="25" t="s">
        <v>19</v>
      </c>
      <c r="J1400" s="25" t="s">
        <v>1634</v>
      </c>
      <c r="K1400" s="25" t="s">
        <v>25</v>
      </c>
      <c r="L1400" s="25">
        <v>129</v>
      </c>
      <c r="M1400" s="25">
        <v>4.1900000000000004</v>
      </c>
      <c r="N1400" s="25">
        <v>9</v>
      </c>
      <c r="O1400" s="25">
        <v>837.96</v>
      </c>
      <c r="P1400" s="25">
        <v>980.15250000000003</v>
      </c>
      <c r="Q1400" s="25">
        <f t="shared" si="42"/>
        <v>129980.1525</v>
      </c>
      <c r="R1400" s="25">
        <f t="shared" si="43"/>
        <v>0</v>
      </c>
    </row>
    <row r="1401" spans="1:18" hidden="1" x14ac:dyDescent="0.25">
      <c r="A1401" s="26">
        <v>43129</v>
      </c>
      <c r="B1401" s="25" t="s">
        <v>296</v>
      </c>
      <c r="C1401" s="25" t="s">
        <v>17</v>
      </c>
      <c r="D1401" s="25">
        <v>500</v>
      </c>
      <c r="E1401" s="25">
        <v>59.5</v>
      </c>
      <c r="F1401" s="25">
        <v>29750</v>
      </c>
      <c r="G1401" s="25" t="s">
        <v>297</v>
      </c>
      <c r="H1401" s="25">
        <v>201718208</v>
      </c>
      <c r="I1401" s="25" t="s">
        <v>19</v>
      </c>
      <c r="J1401" s="25" t="s">
        <v>20</v>
      </c>
      <c r="K1401" s="25" t="s">
        <v>21</v>
      </c>
      <c r="L1401" s="25">
        <v>30</v>
      </c>
      <c r="M1401" s="25">
        <v>0.65</v>
      </c>
      <c r="N1401" s="25">
        <v>0.9</v>
      </c>
      <c r="O1401" s="25">
        <v>193.2</v>
      </c>
      <c r="P1401" s="25">
        <v>224.75460000000001</v>
      </c>
      <c r="Q1401" s="25">
        <f t="shared" si="42"/>
        <v>29974.7546</v>
      </c>
      <c r="R1401" s="25">
        <f t="shared" si="43"/>
        <v>0</v>
      </c>
    </row>
    <row r="1402" spans="1:18" hidden="1" x14ac:dyDescent="0.25">
      <c r="A1402" s="26">
        <v>43129</v>
      </c>
      <c r="B1402" s="25" t="s">
        <v>279</v>
      </c>
      <c r="C1402" s="25" t="s">
        <v>17</v>
      </c>
      <c r="D1402" s="25">
        <v>500</v>
      </c>
      <c r="E1402" s="25">
        <v>455.9</v>
      </c>
      <c r="F1402" s="25">
        <v>227950</v>
      </c>
      <c r="G1402" s="25" t="s">
        <v>298</v>
      </c>
      <c r="H1402" s="25">
        <v>2018020</v>
      </c>
      <c r="I1402" s="25" t="s">
        <v>19</v>
      </c>
      <c r="J1402" s="25" t="s">
        <v>20</v>
      </c>
      <c r="K1402" s="25" t="s">
        <v>25</v>
      </c>
      <c r="L1402" s="25">
        <v>0</v>
      </c>
      <c r="M1402" s="25">
        <v>7.41</v>
      </c>
      <c r="N1402" s="25">
        <v>13.8</v>
      </c>
      <c r="O1402" s="25">
        <v>135.82</v>
      </c>
      <c r="P1402" s="25">
        <v>157.02850000000001</v>
      </c>
      <c r="Q1402" s="25">
        <f t="shared" si="42"/>
        <v>228107.02849999999</v>
      </c>
      <c r="R1402" s="25">
        <f t="shared" si="43"/>
        <v>0</v>
      </c>
    </row>
    <row r="1403" spans="1:18" hidden="1" x14ac:dyDescent="0.25">
      <c r="A1403" s="26">
        <v>43129</v>
      </c>
      <c r="B1403" s="25" t="s">
        <v>279</v>
      </c>
      <c r="C1403" s="25" t="s">
        <v>23</v>
      </c>
      <c r="D1403" s="25">
        <v>500</v>
      </c>
      <c r="E1403" s="25">
        <v>451</v>
      </c>
      <c r="F1403" s="25">
        <v>225500</v>
      </c>
      <c r="G1403" s="25" t="s">
        <v>299</v>
      </c>
      <c r="H1403" s="25">
        <v>2018020</v>
      </c>
      <c r="I1403" s="25" t="s">
        <v>19</v>
      </c>
      <c r="J1403" s="25" t="s">
        <v>20</v>
      </c>
      <c r="K1403" s="25" t="s">
        <v>25</v>
      </c>
      <c r="L1403" s="25">
        <v>57</v>
      </c>
      <c r="M1403" s="25">
        <v>7.33</v>
      </c>
      <c r="N1403" s="25">
        <v>0</v>
      </c>
      <c r="O1403" s="25">
        <v>134.36000000000001</v>
      </c>
      <c r="P1403" s="25">
        <v>198.68879999999999</v>
      </c>
      <c r="Q1403" s="25">
        <f t="shared" si="42"/>
        <v>0</v>
      </c>
      <c r="R1403" s="25">
        <f t="shared" si="43"/>
        <v>225301.3112</v>
      </c>
    </row>
    <row r="1404" spans="1:18" hidden="1" x14ac:dyDescent="0.25">
      <c r="A1404" s="26">
        <v>43808</v>
      </c>
      <c r="B1404" s="25" t="s">
        <v>268</v>
      </c>
      <c r="C1404" s="25" t="s">
        <v>17</v>
      </c>
      <c r="D1404" s="25">
        <v>2500</v>
      </c>
      <c r="E1404" s="25">
        <v>318.05</v>
      </c>
      <c r="F1404" s="25">
        <v>795125</v>
      </c>
      <c r="G1404" s="25" t="s">
        <v>1657</v>
      </c>
      <c r="H1404" s="25">
        <v>2019230</v>
      </c>
      <c r="I1404" s="25" t="s">
        <v>19</v>
      </c>
      <c r="J1404" s="25" t="s">
        <v>20</v>
      </c>
      <c r="K1404" s="25" t="s">
        <v>25</v>
      </c>
      <c r="L1404" s="25">
        <v>0</v>
      </c>
      <c r="M1404" s="25">
        <v>17.489999999999998</v>
      </c>
      <c r="N1404" s="25">
        <v>0</v>
      </c>
      <c r="O1404" s="25">
        <v>472.28</v>
      </c>
      <c r="P1404" s="25">
        <v>489.77269999999999</v>
      </c>
      <c r="Q1404" s="25">
        <f t="shared" si="42"/>
        <v>795614.77269999997</v>
      </c>
      <c r="R1404" s="25">
        <f t="shared" si="43"/>
        <v>0</v>
      </c>
    </row>
    <row r="1405" spans="1:18" hidden="1" x14ac:dyDescent="0.25">
      <c r="A1405" s="26">
        <v>43125</v>
      </c>
      <c r="B1405" s="25" t="s">
        <v>270</v>
      </c>
      <c r="C1405" s="25" t="s">
        <v>23</v>
      </c>
      <c r="D1405" s="25">
        <v>1000</v>
      </c>
      <c r="E1405" s="25">
        <v>171</v>
      </c>
      <c r="F1405" s="25">
        <v>171000</v>
      </c>
      <c r="G1405" s="25" t="s">
        <v>271</v>
      </c>
      <c r="H1405" s="25">
        <v>2018019</v>
      </c>
      <c r="I1405" s="25" t="s">
        <v>19</v>
      </c>
      <c r="J1405" s="25" t="s">
        <v>20</v>
      </c>
      <c r="K1405" s="25" t="s">
        <v>25</v>
      </c>
      <c r="L1405" s="25">
        <v>43.62</v>
      </c>
      <c r="M1405" s="25">
        <v>5.56</v>
      </c>
      <c r="N1405" s="25">
        <v>33.299999999999997</v>
      </c>
      <c r="O1405" s="25">
        <v>101.89</v>
      </c>
      <c r="P1405" s="25">
        <v>184.36760000000001</v>
      </c>
      <c r="Q1405" s="25">
        <f t="shared" si="42"/>
        <v>0</v>
      </c>
      <c r="R1405" s="25">
        <f t="shared" si="43"/>
        <v>170815.6324</v>
      </c>
    </row>
    <row r="1406" spans="1:18" hidden="1" x14ac:dyDescent="0.25">
      <c r="A1406" s="26">
        <v>43125</v>
      </c>
      <c r="B1406" s="25" t="s">
        <v>29</v>
      </c>
      <c r="C1406" s="25" t="s">
        <v>17</v>
      </c>
      <c r="D1406" s="25">
        <v>5000</v>
      </c>
      <c r="E1406" s="25">
        <v>22.9</v>
      </c>
      <c r="F1406" s="25">
        <v>114500</v>
      </c>
      <c r="G1406" s="25" t="s">
        <v>272</v>
      </c>
      <c r="H1406" s="25">
        <v>2018019</v>
      </c>
      <c r="I1406" s="25" t="s">
        <v>19</v>
      </c>
      <c r="J1406" s="25" t="s">
        <v>20</v>
      </c>
      <c r="K1406" s="25" t="s">
        <v>25</v>
      </c>
      <c r="L1406" s="25">
        <v>114.5</v>
      </c>
      <c r="M1406" s="25">
        <v>3.72</v>
      </c>
      <c r="N1406" s="25">
        <v>0</v>
      </c>
      <c r="O1406" s="25">
        <v>743.77</v>
      </c>
      <c r="P1406" s="25">
        <v>861.99130000000002</v>
      </c>
      <c r="Q1406" s="25">
        <f t="shared" si="42"/>
        <v>115361.99129999999</v>
      </c>
      <c r="R1406" s="25">
        <f t="shared" si="43"/>
        <v>0</v>
      </c>
    </row>
    <row r="1407" spans="1:18" hidden="1" x14ac:dyDescent="0.25">
      <c r="A1407" s="26">
        <v>43125</v>
      </c>
      <c r="B1407" s="25" t="s">
        <v>270</v>
      </c>
      <c r="C1407" s="25" t="s">
        <v>17</v>
      </c>
      <c r="D1407" s="25">
        <v>1000</v>
      </c>
      <c r="E1407" s="25">
        <v>176</v>
      </c>
      <c r="F1407" s="25">
        <v>176000</v>
      </c>
      <c r="G1407" s="25" t="s">
        <v>273</v>
      </c>
      <c r="H1407" s="25">
        <v>2018019</v>
      </c>
      <c r="I1407" s="25" t="s">
        <v>19</v>
      </c>
      <c r="J1407" s="25" t="s">
        <v>20</v>
      </c>
      <c r="K1407" s="25" t="s">
        <v>25</v>
      </c>
      <c r="L1407" s="25">
        <v>0</v>
      </c>
      <c r="M1407" s="25">
        <v>5.72</v>
      </c>
      <c r="N1407" s="25">
        <v>0</v>
      </c>
      <c r="O1407" s="25">
        <v>104.87</v>
      </c>
      <c r="P1407" s="25">
        <v>110.59</v>
      </c>
      <c r="Q1407" s="25">
        <f t="shared" si="42"/>
        <v>176110.59</v>
      </c>
      <c r="R1407" s="25">
        <f t="shared" si="43"/>
        <v>0</v>
      </c>
    </row>
    <row r="1408" spans="1:18" hidden="1" x14ac:dyDescent="0.25">
      <c r="A1408" s="26">
        <v>43808</v>
      </c>
      <c r="B1408" s="25" t="s">
        <v>268</v>
      </c>
      <c r="C1408" s="25" t="s">
        <v>23</v>
      </c>
      <c r="D1408" s="25">
        <v>2500</v>
      </c>
      <c r="E1408" s="25">
        <v>320</v>
      </c>
      <c r="F1408" s="25">
        <v>800000</v>
      </c>
      <c r="G1408" s="25" t="s">
        <v>1658</v>
      </c>
      <c r="H1408" s="25">
        <v>2019230</v>
      </c>
      <c r="I1408" s="25" t="s">
        <v>19</v>
      </c>
      <c r="J1408" s="25" t="s">
        <v>20</v>
      </c>
      <c r="K1408" s="25" t="s">
        <v>25</v>
      </c>
      <c r="L1408" s="25">
        <v>199.39</v>
      </c>
      <c r="M1408" s="25">
        <v>17.600000000000001</v>
      </c>
      <c r="N1408" s="25">
        <v>0</v>
      </c>
      <c r="O1408" s="25">
        <v>475.17</v>
      </c>
      <c r="P1408" s="25">
        <v>692.15980000000002</v>
      </c>
      <c r="Q1408" s="25">
        <f t="shared" si="42"/>
        <v>0</v>
      </c>
      <c r="R1408" s="25">
        <f t="shared" si="43"/>
        <v>799307.84019999998</v>
      </c>
    </row>
    <row r="1409" spans="1:18" hidden="1" x14ac:dyDescent="0.25">
      <c r="A1409" s="26">
        <v>43123</v>
      </c>
      <c r="B1409" s="25" t="s">
        <v>245</v>
      </c>
      <c r="C1409" s="25" t="s">
        <v>23</v>
      </c>
      <c r="D1409" s="25">
        <v>1000</v>
      </c>
      <c r="E1409" s="25">
        <v>100.98</v>
      </c>
      <c r="F1409" s="25">
        <v>100979.45</v>
      </c>
      <c r="G1409" s="25" t="s">
        <v>275</v>
      </c>
      <c r="H1409" s="25">
        <v>2018017</v>
      </c>
      <c r="I1409" s="25" t="s">
        <v>19</v>
      </c>
      <c r="J1409" s="25" t="s">
        <v>1634</v>
      </c>
      <c r="K1409" s="25" t="s">
        <v>25</v>
      </c>
      <c r="L1409" s="25">
        <v>100.89</v>
      </c>
      <c r="M1409" s="25">
        <v>3.28</v>
      </c>
      <c r="N1409" s="25">
        <v>49.5</v>
      </c>
      <c r="O1409" s="25">
        <v>655.95</v>
      </c>
      <c r="P1409" s="25">
        <v>809.62170000000003</v>
      </c>
      <c r="Q1409" s="25">
        <f t="shared" si="42"/>
        <v>0</v>
      </c>
      <c r="R1409" s="25">
        <f t="shared" si="43"/>
        <v>100169.82829999999</v>
      </c>
    </row>
    <row r="1410" spans="1:18" hidden="1" x14ac:dyDescent="0.25">
      <c r="A1410" s="26">
        <v>43123</v>
      </c>
      <c r="B1410" s="25" t="s">
        <v>276</v>
      </c>
      <c r="C1410" s="25" t="s">
        <v>17</v>
      </c>
      <c r="D1410" s="25">
        <v>2500</v>
      </c>
      <c r="E1410" s="25">
        <v>120</v>
      </c>
      <c r="F1410" s="25">
        <v>300000</v>
      </c>
      <c r="G1410" s="25" t="s">
        <v>277</v>
      </c>
      <c r="H1410" s="25">
        <v>2018017</v>
      </c>
      <c r="I1410" s="25" t="s">
        <v>19</v>
      </c>
      <c r="J1410" s="25" t="s">
        <v>20</v>
      </c>
      <c r="K1410" s="25" t="s">
        <v>25</v>
      </c>
      <c r="L1410" s="25">
        <v>0</v>
      </c>
      <c r="M1410" s="25">
        <v>9.75</v>
      </c>
      <c r="N1410" s="25">
        <v>0</v>
      </c>
      <c r="O1410" s="25">
        <v>178.75</v>
      </c>
      <c r="P1410" s="25">
        <v>188.5</v>
      </c>
      <c r="Q1410" s="25">
        <f t="shared" si="42"/>
        <v>300188.5</v>
      </c>
      <c r="R1410" s="25">
        <f t="shared" si="43"/>
        <v>0</v>
      </c>
    </row>
    <row r="1411" spans="1:18" hidden="1" x14ac:dyDescent="0.25">
      <c r="A1411" s="26">
        <v>43123</v>
      </c>
      <c r="B1411" s="25" t="s">
        <v>276</v>
      </c>
      <c r="C1411" s="25" t="s">
        <v>23</v>
      </c>
      <c r="D1411" s="25">
        <v>2500</v>
      </c>
      <c r="E1411" s="25">
        <v>118.26</v>
      </c>
      <c r="F1411" s="25">
        <v>295649.8</v>
      </c>
      <c r="G1411" s="25" t="s">
        <v>278</v>
      </c>
      <c r="H1411" s="25">
        <v>2018017</v>
      </c>
      <c r="I1411" s="25" t="s">
        <v>19</v>
      </c>
      <c r="J1411" s="25" t="s">
        <v>20</v>
      </c>
      <c r="K1411" s="25" t="s">
        <v>25</v>
      </c>
      <c r="L1411" s="25">
        <v>74.459999999999994</v>
      </c>
      <c r="M1411" s="25">
        <v>9.61</v>
      </c>
      <c r="N1411" s="25">
        <v>0</v>
      </c>
      <c r="O1411" s="25">
        <v>176.13</v>
      </c>
      <c r="P1411" s="25">
        <v>260.19830000000002</v>
      </c>
      <c r="Q1411" s="25">
        <f t="shared" ref="Q1411:Q1474" si="44">IF(C1411="Buy",F1411+P1411,0)</f>
        <v>0</v>
      </c>
      <c r="R1411" s="25">
        <f t="shared" ref="R1411:R1474" si="45">IF(C1411="Sell",F1411-P1411,0)</f>
        <v>295389.6017</v>
      </c>
    </row>
    <row r="1412" spans="1:18" hidden="1" x14ac:dyDescent="0.25">
      <c r="A1412" s="26">
        <v>43123</v>
      </c>
      <c r="B1412" s="25" t="s">
        <v>279</v>
      </c>
      <c r="C1412" s="25" t="s">
        <v>17</v>
      </c>
      <c r="D1412" s="25">
        <v>1000</v>
      </c>
      <c r="E1412" s="25">
        <v>481</v>
      </c>
      <c r="F1412" s="25">
        <v>481000</v>
      </c>
      <c r="G1412" s="25" t="s">
        <v>280</v>
      </c>
      <c r="H1412" s="25">
        <v>2018017</v>
      </c>
      <c r="I1412" s="25" t="s">
        <v>19</v>
      </c>
      <c r="J1412" s="25" t="s">
        <v>20</v>
      </c>
      <c r="K1412" s="25" t="s">
        <v>25</v>
      </c>
      <c r="L1412" s="25">
        <v>0</v>
      </c>
      <c r="M1412" s="25">
        <v>15.63</v>
      </c>
      <c r="N1412" s="25">
        <v>0</v>
      </c>
      <c r="O1412" s="25">
        <v>286.61</v>
      </c>
      <c r="P1412" s="25">
        <v>302.24250000000001</v>
      </c>
      <c r="Q1412" s="25">
        <f t="shared" si="44"/>
        <v>481302.24249999999</v>
      </c>
      <c r="R1412" s="25">
        <f t="shared" si="45"/>
        <v>0</v>
      </c>
    </row>
    <row r="1413" spans="1:18" hidden="1" x14ac:dyDescent="0.25">
      <c r="A1413" s="26">
        <v>43123</v>
      </c>
      <c r="B1413" s="25" t="s">
        <v>279</v>
      </c>
      <c r="C1413" s="25" t="s">
        <v>23</v>
      </c>
      <c r="D1413" s="25">
        <v>1000</v>
      </c>
      <c r="E1413" s="25">
        <v>468.2</v>
      </c>
      <c r="F1413" s="25">
        <v>468195.2</v>
      </c>
      <c r="G1413" s="25" t="s">
        <v>281</v>
      </c>
      <c r="H1413" s="25">
        <v>2018017</v>
      </c>
      <c r="I1413" s="25" t="s">
        <v>19</v>
      </c>
      <c r="J1413" s="25" t="s">
        <v>20</v>
      </c>
      <c r="K1413" s="25" t="s">
        <v>25</v>
      </c>
      <c r="L1413" s="25">
        <v>118.65</v>
      </c>
      <c r="M1413" s="25">
        <v>15.22</v>
      </c>
      <c r="N1413" s="25">
        <v>0</v>
      </c>
      <c r="O1413" s="25">
        <v>278.98</v>
      </c>
      <c r="P1413" s="25">
        <v>412.84620000000001</v>
      </c>
      <c r="Q1413" s="25">
        <f t="shared" si="44"/>
        <v>0</v>
      </c>
      <c r="R1413" s="25">
        <f t="shared" si="45"/>
        <v>467782.35379999998</v>
      </c>
    </row>
    <row r="1414" spans="1:18" hidden="1" x14ac:dyDescent="0.25">
      <c r="A1414" s="26">
        <v>43122</v>
      </c>
      <c r="B1414" s="25" t="s">
        <v>251</v>
      </c>
      <c r="C1414" s="25" t="s">
        <v>17</v>
      </c>
      <c r="D1414" s="25">
        <v>1000</v>
      </c>
      <c r="E1414" s="25">
        <v>250.79</v>
      </c>
      <c r="F1414" s="25">
        <v>250788.3</v>
      </c>
      <c r="G1414" s="25" t="s">
        <v>252</v>
      </c>
      <c r="H1414" s="25">
        <v>2018016</v>
      </c>
      <c r="I1414" s="25" t="s">
        <v>19</v>
      </c>
      <c r="J1414" s="25" t="s">
        <v>20</v>
      </c>
      <c r="K1414" s="25" t="s">
        <v>25</v>
      </c>
      <c r="L1414" s="25">
        <v>0</v>
      </c>
      <c r="M1414" s="25">
        <v>8.15</v>
      </c>
      <c r="N1414" s="25">
        <v>15</v>
      </c>
      <c r="O1414" s="25">
        <v>149.43</v>
      </c>
      <c r="P1414" s="25">
        <v>172.58070000000001</v>
      </c>
      <c r="Q1414" s="25">
        <f t="shared" si="44"/>
        <v>250960.88069999998</v>
      </c>
      <c r="R1414" s="25">
        <f t="shared" si="45"/>
        <v>0</v>
      </c>
    </row>
    <row r="1415" spans="1:18" hidden="1" x14ac:dyDescent="0.25">
      <c r="A1415" s="26">
        <v>43122</v>
      </c>
      <c r="B1415" s="25" t="s">
        <v>251</v>
      </c>
      <c r="C1415" s="25" t="s">
        <v>23</v>
      </c>
      <c r="D1415" s="25">
        <v>1000</v>
      </c>
      <c r="E1415" s="25">
        <v>241.76</v>
      </c>
      <c r="F1415" s="25">
        <v>241762.5</v>
      </c>
      <c r="G1415" s="25" t="s">
        <v>253</v>
      </c>
      <c r="H1415" s="25">
        <v>2018016</v>
      </c>
      <c r="I1415" s="25" t="s">
        <v>19</v>
      </c>
      <c r="J1415" s="25" t="s">
        <v>20</v>
      </c>
      <c r="K1415" s="25" t="s">
        <v>25</v>
      </c>
      <c r="L1415" s="25">
        <v>62</v>
      </c>
      <c r="M1415" s="25">
        <v>7.86</v>
      </c>
      <c r="N1415" s="25">
        <v>0</v>
      </c>
      <c r="O1415" s="25">
        <v>144.06</v>
      </c>
      <c r="P1415" s="25">
        <v>213.91739999999999</v>
      </c>
      <c r="Q1415" s="25">
        <f t="shared" si="44"/>
        <v>0</v>
      </c>
      <c r="R1415" s="25">
        <f t="shared" si="45"/>
        <v>241548.58259999999</v>
      </c>
    </row>
    <row r="1416" spans="1:18" hidden="1" x14ac:dyDescent="0.25">
      <c r="A1416" s="26">
        <v>43119</v>
      </c>
      <c r="B1416" s="25" t="s">
        <v>128</v>
      </c>
      <c r="C1416" s="25" t="s">
        <v>17</v>
      </c>
      <c r="D1416" s="25">
        <v>1000</v>
      </c>
      <c r="E1416" s="25">
        <v>434.14</v>
      </c>
      <c r="F1416" s="25">
        <v>434142.5</v>
      </c>
      <c r="G1416" s="25" t="s">
        <v>254</v>
      </c>
      <c r="H1416" s="25">
        <v>2018015</v>
      </c>
      <c r="I1416" s="25" t="s">
        <v>19</v>
      </c>
      <c r="J1416" s="25" t="s">
        <v>20</v>
      </c>
      <c r="K1416" s="25" t="s">
        <v>25</v>
      </c>
      <c r="L1416" s="25">
        <v>0</v>
      </c>
      <c r="M1416" s="25">
        <v>14.11</v>
      </c>
      <c r="N1416" s="25">
        <v>191.7</v>
      </c>
      <c r="O1416" s="25">
        <v>258.68</v>
      </c>
      <c r="P1416" s="25">
        <v>464.48970000000003</v>
      </c>
      <c r="Q1416" s="25">
        <f t="shared" si="44"/>
        <v>434606.98969999998</v>
      </c>
      <c r="R1416" s="25">
        <f t="shared" si="45"/>
        <v>0</v>
      </c>
    </row>
    <row r="1417" spans="1:18" hidden="1" x14ac:dyDescent="0.25">
      <c r="A1417" s="26">
        <v>43119</v>
      </c>
      <c r="B1417" s="25" t="s">
        <v>128</v>
      </c>
      <c r="C1417" s="25" t="s">
        <v>23</v>
      </c>
      <c r="D1417" s="25">
        <v>1000</v>
      </c>
      <c r="E1417" s="25">
        <v>425.86</v>
      </c>
      <c r="F1417" s="25">
        <v>425860.9</v>
      </c>
      <c r="G1417" s="25" t="s">
        <v>255</v>
      </c>
      <c r="H1417" s="25">
        <v>2018015</v>
      </c>
      <c r="I1417" s="25" t="s">
        <v>19</v>
      </c>
      <c r="J1417" s="25" t="s">
        <v>20</v>
      </c>
      <c r="K1417" s="25" t="s">
        <v>25</v>
      </c>
      <c r="L1417" s="25">
        <v>107.95</v>
      </c>
      <c r="M1417" s="25">
        <v>13.84</v>
      </c>
      <c r="N1417" s="25">
        <v>0</v>
      </c>
      <c r="O1417" s="25">
        <v>253.76</v>
      </c>
      <c r="P1417" s="25">
        <v>375.5505</v>
      </c>
      <c r="Q1417" s="25">
        <f t="shared" si="44"/>
        <v>0</v>
      </c>
      <c r="R1417" s="25">
        <f t="shared" si="45"/>
        <v>425485.34950000001</v>
      </c>
    </row>
    <row r="1418" spans="1:18" hidden="1" x14ac:dyDescent="0.25">
      <c r="A1418" s="26">
        <v>43119</v>
      </c>
      <c r="B1418" s="25" t="s">
        <v>256</v>
      </c>
      <c r="C1418" s="25" t="s">
        <v>17</v>
      </c>
      <c r="D1418" s="25">
        <v>1000</v>
      </c>
      <c r="E1418" s="25">
        <v>580</v>
      </c>
      <c r="F1418" s="25">
        <v>580000</v>
      </c>
      <c r="G1418" s="25" t="s">
        <v>257</v>
      </c>
      <c r="H1418" s="25">
        <v>2018015</v>
      </c>
      <c r="I1418" s="25" t="s">
        <v>19</v>
      </c>
      <c r="J1418" s="25" t="s">
        <v>20</v>
      </c>
      <c r="K1418" s="25" t="s">
        <v>25</v>
      </c>
      <c r="L1418" s="25">
        <v>0</v>
      </c>
      <c r="M1418" s="25">
        <v>18.850000000000001</v>
      </c>
      <c r="N1418" s="25">
        <v>0</v>
      </c>
      <c r="O1418" s="25">
        <v>345.6</v>
      </c>
      <c r="P1418" s="25">
        <v>364.45</v>
      </c>
      <c r="Q1418" s="25">
        <f t="shared" si="44"/>
        <v>580364.44999999995</v>
      </c>
      <c r="R1418" s="25">
        <f t="shared" si="45"/>
        <v>0</v>
      </c>
    </row>
    <row r="1419" spans="1:18" hidden="1" x14ac:dyDescent="0.25">
      <c r="A1419" s="26">
        <v>43119</v>
      </c>
      <c r="B1419" s="25" t="s">
        <v>256</v>
      </c>
      <c r="C1419" s="25" t="s">
        <v>23</v>
      </c>
      <c r="D1419" s="25">
        <v>1000</v>
      </c>
      <c r="E1419" s="25">
        <v>580.65</v>
      </c>
      <c r="F1419" s="25">
        <v>580650</v>
      </c>
      <c r="G1419" s="25" t="s">
        <v>258</v>
      </c>
      <c r="H1419" s="25">
        <v>2018015</v>
      </c>
      <c r="I1419" s="25" t="s">
        <v>19</v>
      </c>
      <c r="J1419" s="25" t="s">
        <v>20</v>
      </c>
      <c r="K1419" s="25" t="s">
        <v>25</v>
      </c>
      <c r="L1419" s="25">
        <v>145.66999999999999</v>
      </c>
      <c r="M1419" s="25">
        <v>18.87</v>
      </c>
      <c r="N1419" s="25">
        <v>0</v>
      </c>
      <c r="O1419" s="25">
        <v>345.98</v>
      </c>
      <c r="P1419" s="25">
        <v>510.52109999999999</v>
      </c>
      <c r="Q1419" s="25">
        <f t="shared" si="44"/>
        <v>0</v>
      </c>
      <c r="R1419" s="25">
        <f t="shared" si="45"/>
        <v>580139.47889999999</v>
      </c>
    </row>
    <row r="1420" spans="1:18" hidden="1" x14ac:dyDescent="0.25">
      <c r="A1420" s="26">
        <v>43119</v>
      </c>
      <c r="B1420" s="25" t="s">
        <v>256</v>
      </c>
      <c r="C1420" s="25" t="s">
        <v>17</v>
      </c>
      <c r="D1420" s="25">
        <v>737</v>
      </c>
      <c r="E1420" s="25">
        <v>579</v>
      </c>
      <c r="F1420" s="25">
        <v>426723</v>
      </c>
      <c r="G1420" s="25" t="s">
        <v>259</v>
      </c>
      <c r="H1420" s="25">
        <v>2018015</v>
      </c>
      <c r="I1420" s="25" t="s">
        <v>19</v>
      </c>
      <c r="J1420" s="25" t="s">
        <v>20</v>
      </c>
      <c r="K1420" s="25" t="s">
        <v>25</v>
      </c>
      <c r="L1420" s="25">
        <v>0</v>
      </c>
      <c r="M1420" s="25">
        <v>13.87</v>
      </c>
      <c r="N1420" s="25">
        <v>0</v>
      </c>
      <c r="O1420" s="25">
        <v>254.26</v>
      </c>
      <c r="P1420" s="25">
        <v>268.12860000000001</v>
      </c>
      <c r="Q1420" s="25">
        <f t="shared" si="44"/>
        <v>426991.1286</v>
      </c>
      <c r="R1420" s="25">
        <f t="shared" si="45"/>
        <v>0</v>
      </c>
    </row>
    <row r="1421" spans="1:18" hidden="1" x14ac:dyDescent="0.25">
      <c r="A1421" s="26">
        <v>43119</v>
      </c>
      <c r="B1421" s="25" t="s">
        <v>256</v>
      </c>
      <c r="C1421" s="25" t="s">
        <v>23</v>
      </c>
      <c r="D1421" s="25">
        <v>737</v>
      </c>
      <c r="E1421" s="25">
        <v>580</v>
      </c>
      <c r="F1421" s="25">
        <v>427460</v>
      </c>
      <c r="G1421" s="25" t="s">
        <v>260</v>
      </c>
      <c r="H1421" s="25">
        <v>2018015</v>
      </c>
      <c r="I1421" s="25" t="s">
        <v>19</v>
      </c>
      <c r="J1421" s="25" t="s">
        <v>20</v>
      </c>
      <c r="K1421" s="25" t="s">
        <v>25</v>
      </c>
      <c r="L1421" s="25">
        <v>107.36</v>
      </c>
      <c r="M1421" s="25">
        <v>13.89</v>
      </c>
      <c r="N1421" s="25">
        <v>0</v>
      </c>
      <c r="O1421" s="25">
        <v>254.7</v>
      </c>
      <c r="P1421" s="25">
        <v>375.95249999999999</v>
      </c>
      <c r="Q1421" s="25">
        <f t="shared" si="44"/>
        <v>0</v>
      </c>
      <c r="R1421" s="25">
        <f t="shared" si="45"/>
        <v>427084.04749999999</v>
      </c>
    </row>
    <row r="1422" spans="1:18" hidden="1" x14ac:dyDescent="0.25">
      <c r="A1422" s="26">
        <v>43119</v>
      </c>
      <c r="B1422" s="25" t="s">
        <v>256</v>
      </c>
      <c r="C1422" s="25" t="s">
        <v>17</v>
      </c>
      <c r="D1422" s="25">
        <v>1000</v>
      </c>
      <c r="E1422" s="25">
        <v>579.75</v>
      </c>
      <c r="F1422" s="25">
        <v>579750</v>
      </c>
      <c r="G1422" s="25" t="s">
        <v>261</v>
      </c>
      <c r="H1422" s="25">
        <v>2018015</v>
      </c>
      <c r="I1422" s="25" t="s">
        <v>19</v>
      </c>
      <c r="J1422" s="25" t="s">
        <v>20</v>
      </c>
      <c r="K1422" s="25" t="s">
        <v>25</v>
      </c>
      <c r="L1422" s="25">
        <v>0</v>
      </c>
      <c r="M1422" s="25">
        <v>18.84</v>
      </c>
      <c r="N1422" s="25">
        <v>0</v>
      </c>
      <c r="O1422" s="25">
        <v>345.44</v>
      </c>
      <c r="P1422" s="25">
        <v>364.28179999999998</v>
      </c>
      <c r="Q1422" s="25">
        <f t="shared" si="44"/>
        <v>580114.2818</v>
      </c>
      <c r="R1422" s="25">
        <f t="shared" si="45"/>
        <v>0</v>
      </c>
    </row>
    <row r="1423" spans="1:18" hidden="1" x14ac:dyDescent="0.25">
      <c r="A1423" s="26">
        <v>43119</v>
      </c>
      <c r="B1423" s="25" t="s">
        <v>256</v>
      </c>
      <c r="C1423" s="25" t="s">
        <v>23</v>
      </c>
      <c r="D1423" s="25">
        <v>730</v>
      </c>
      <c r="E1423" s="25">
        <v>581</v>
      </c>
      <c r="F1423" s="25">
        <v>424130</v>
      </c>
      <c r="G1423" s="25" t="s">
        <v>262</v>
      </c>
      <c r="H1423" s="25">
        <v>2018015</v>
      </c>
      <c r="I1423" s="25" t="s">
        <v>19</v>
      </c>
      <c r="J1423" s="25" t="s">
        <v>20</v>
      </c>
      <c r="K1423" s="25" t="s">
        <v>25</v>
      </c>
      <c r="L1423" s="25">
        <v>106.34</v>
      </c>
      <c r="M1423" s="25">
        <v>13.78</v>
      </c>
      <c r="N1423" s="25">
        <v>0</v>
      </c>
      <c r="O1423" s="25">
        <v>252.72</v>
      </c>
      <c r="P1423" s="25">
        <v>372.84429999999998</v>
      </c>
      <c r="Q1423" s="25">
        <f t="shared" si="44"/>
        <v>0</v>
      </c>
      <c r="R1423" s="25">
        <f t="shared" si="45"/>
        <v>423757.1557</v>
      </c>
    </row>
    <row r="1424" spans="1:18" hidden="1" x14ac:dyDescent="0.25">
      <c r="A1424" s="26">
        <v>43119</v>
      </c>
      <c r="B1424" s="25" t="s">
        <v>256</v>
      </c>
      <c r="C1424" s="25" t="s">
        <v>23</v>
      </c>
      <c r="D1424" s="25">
        <v>270</v>
      </c>
      <c r="E1424" s="25">
        <v>581.5</v>
      </c>
      <c r="F1424" s="25">
        <v>157005</v>
      </c>
      <c r="G1424" s="25" t="s">
        <v>263</v>
      </c>
      <c r="H1424" s="25">
        <v>2018015</v>
      </c>
      <c r="I1424" s="25" t="s">
        <v>19</v>
      </c>
      <c r="J1424" s="25" t="s">
        <v>20</v>
      </c>
      <c r="K1424" s="25" t="s">
        <v>25</v>
      </c>
      <c r="L1424" s="25">
        <v>39.33</v>
      </c>
      <c r="M1424" s="25">
        <v>5.0999999999999996</v>
      </c>
      <c r="N1424" s="25">
        <v>0</v>
      </c>
      <c r="O1424" s="25">
        <v>93.55</v>
      </c>
      <c r="P1424" s="25">
        <v>137.98269999999999</v>
      </c>
      <c r="Q1424" s="25">
        <f t="shared" si="44"/>
        <v>0</v>
      </c>
      <c r="R1424" s="25">
        <f t="shared" si="45"/>
        <v>156867.01730000001</v>
      </c>
    </row>
    <row r="1425" spans="1:18" hidden="1" x14ac:dyDescent="0.25">
      <c r="A1425" s="26">
        <v>43119</v>
      </c>
      <c r="B1425" s="25" t="s">
        <v>256</v>
      </c>
      <c r="C1425" s="25" t="s">
        <v>17</v>
      </c>
      <c r="D1425" s="25">
        <v>1000</v>
      </c>
      <c r="E1425" s="25">
        <v>585.5</v>
      </c>
      <c r="F1425" s="25">
        <v>585500</v>
      </c>
      <c r="G1425" s="25" t="s">
        <v>264</v>
      </c>
      <c r="H1425" s="25">
        <v>2018015</v>
      </c>
      <c r="I1425" s="25" t="s">
        <v>19</v>
      </c>
      <c r="J1425" s="25" t="s">
        <v>20</v>
      </c>
      <c r="K1425" s="25" t="s">
        <v>25</v>
      </c>
      <c r="L1425" s="25">
        <v>0</v>
      </c>
      <c r="M1425" s="25">
        <v>19.03</v>
      </c>
      <c r="N1425" s="25">
        <v>0</v>
      </c>
      <c r="O1425" s="25">
        <v>348.87</v>
      </c>
      <c r="P1425" s="25">
        <v>367.89879999999999</v>
      </c>
      <c r="Q1425" s="25">
        <f t="shared" si="44"/>
        <v>585867.89879999997</v>
      </c>
      <c r="R1425" s="25">
        <f t="shared" si="45"/>
        <v>0</v>
      </c>
    </row>
    <row r="1426" spans="1:18" hidden="1" x14ac:dyDescent="0.25">
      <c r="A1426" s="26">
        <v>43119</v>
      </c>
      <c r="B1426" s="25" t="s">
        <v>256</v>
      </c>
      <c r="C1426" s="25" t="s">
        <v>23</v>
      </c>
      <c r="D1426" s="25">
        <v>1000</v>
      </c>
      <c r="E1426" s="25">
        <v>587</v>
      </c>
      <c r="F1426" s="25">
        <v>587000</v>
      </c>
      <c r="G1426" s="25" t="s">
        <v>265</v>
      </c>
      <c r="H1426" s="25">
        <v>2018015</v>
      </c>
      <c r="I1426" s="25" t="s">
        <v>19</v>
      </c>
      <c r="J1426" s="25" t="s">
        <v>20</v>
      </c>
      <c r="K1426" s="25" t="s">
        <v>25</v>
      </c>
      <c r="L1426" s="25">
        <v>145.66999999999999</v>
      </c>
      <c r="M1426" s="25">
        <v>19.079999999999998</v>
      </c>
      <c r="N1426" s="25">
        <v>0</v>
      </c>
      <c r="O1426" s="25">
        <v>349.76</v>
      </c>
      <c r="P1426" s="25">
        <v>514.50750000000005</v>
      </c>
      <c r="Q1426" s="25">
        <f t="shared" si="44"/>
        <v>0</v>
      </c>
      <c r="R1426" s="25">
        <f t="shared" si="45"/>
        <v>586485.49250000005</v>
      </c>
    </row>
    <row r="1427" spans="1:18" hidden="1" x14ac:dyDescent="0.25">
      <c r="A1427" s="26">
        <v>43119</v>
      </c>
      <c r="B1427" s="25" t="s">
        <v>256</v>
      </c>
      <c r="C1427" s="25" t="s">
        <v>17</v>
      </c>
      <c r="D1427" s="25">
        <v>1000</v>
      </c>
      <c r="E1427" s="25">
        <v>586.5</v>
      </c>
      <c r="F1427" s="25">
        <v>586500</v>
      </c>
      <c r="G1427" s="25" t="s">
        <v>266</v>
      </c>
      <c r="H1427" s="25">
        <v>2018015</v>
      </c>
      <c r="I1427" s="25" t="s">
        <v>19</v>
      </c>
      <c r="J1427" s="25" t="s">
        <v>20</v>
      </c>
      <c r="K1427" s="25" t="s">
        <v>25</v>
      </c>
      <c r="L1427" s="25">
        <v>0</v>
      </c>
      <c r="M1427" s="25">
        <v>19.059999999999999</v>
      </c>
      <c r="N1427" s="25">
        <v>0</v>
      </c>
      <c r="O1427" s="25">
        <v>349.47</v>
      </c>
      <c r="P1427" s="25">
        <v>368.53129999999999</v>
      </c>
      <c r="Q1427" s="25">
        <f t="shared" si="44"/>
        <v>586868.53130000003</v>
      </c>
      <c r="R1427" s="25">
        <f t="shared" si="45"/>
        <v>0</v>
      </c>
    </row>
    <row r="1428" spans="1:18" hidden="1" x14ac:dyDescent="0.25">
      <c r="A1428" s="26">
        <v>43119</v>
      </c>
      <c r="B1428" s="25" t="s">
        <v>256</v>
      </c>
      <c r="C1428" s="25" t="s">
        <v>23</v>
      </c>
      <c r="D1428" s="25">
        <v>1000</v>
      </c>
      <c r="E1428" s="25">
        <v>585.70000000000005</v>
      </c>
      <c r="F1428" s="25">
        <v>585696.9</v>
      </c>
      <c r="G1428" s="25" t="s">
        <v>267</v>
      </c>
      <c r="H1428" s="25">
        <v>2018015</v>
      </c>
      <c r="I1428" s="25" t="s">
        <v>19</v>
      </c>
      <c r="J1428" s="25" t="s">
        <v>20</v>
      </c>
      <c r="K1428" s="25" t="s">
        <v>25</v>
      </c>
      <c r="L1428" s="25">
        <v>145.66999999999999</v>
      </c>
      <c r="M1428" s="25">
        <v>19.04</v>
      </c>
      <c r="N1428" s="25">
        <v>0</v>
      </c>
      <c r="O1428" s="25">
        <v>348.99</v>
      </c>
      <c r="P1428" s="25">
        <v>513.69510000000002</v>
      </c>
      <c r="Q1428" s="25">
        <f t="shared" si="44"/>
        <v>0</v>
      </c>
      <c r="R1428" s="25">
        <f t="shared" si="45"/>
        <v>585183.20490000001</v>
      </c>
    </row>
    <row r="1429" spans="1:18" hidden="1" x14ac:dyDescent="0.25">
      <c r="A1429" s="26">
        <v>43118</v>
      </c>
      <c r="B1429" s="25" t="s">
        <v>245</v>
      </c>
      <c r="C1429" s="25" t="s">
        <v>17</v>
      </c>
      <c r="D1429" s="25">
        <v>1000</v>
      </c>
      <c r="E1429" s="25">
        <v>104.43</v>
      </c>
      <c r="F1429" s="25">
        <v>104426.8</v>
      </c>
      <c r="G1429" s="25" t="s">
        <v>246</v>
      </c>
      <c r="H1429" s="25">
        <v>2018014</v>
      </c>
      <c r="I1429" s="25" t="s">
        <v>19</v>
      </c>
      <c r="J1429" s="25" t="s">
        <v>1634</v>
      </c>
      <c r="K1429" s="25" t="s">
        <v>25</v>
      </c>
      <c r="L1429" s="25">
        <v>104.43</v>
      </c>
      <c r="M1429" s="25">
        <v>3.39</v>
      </c>
      <c r="N1429" s="25">
        <v>0</v>
      </c>
      <c r="O1429" s="25">
        <v>678.34</v>
      </c>
      <c r="P1429" s="25">
        <v>786.16390000000001</v>
      </c>
      <c r="Q1429" s="25">
        <f t="shared" si="44"/>
        <v>105212.9639</v>
      </c>
      <c r="R1429" s="25">
        <f t="shared" si="45"/>
        <v>0</v>
      </c>
    </row>
    <row r="1430" spans="1:18" hidden="1" x14ac:dyDescent="0.25">
      <c r="A1430" s="26">
        <v>43118</v>
      </c>
      <c r="B1430" s="25" t="s">
        <v>247</v>
      </c>
      <c r="C1430" s="25" t="s">
        <v>17</v>
      </c>
      <c r="D1430" s="25">
        <v>1000</v>
      </c>
      <c r="E1430" s="25">
        <v>415.95</v>
      </c>
      <c r="F1430" s="25">
        <v>415948.75</v>
      </c>
      <c r="G1430" s="25" t="s">
        <v>248</v>
      </c>
      <c r="H1430" s="25">
        <v>2018014</v>
      </c>
      <c r="I1430" s="25" t="s">
        <v>19</v>
      </c>
      <c r="J1430" s="25" t="s">
        <v>20</v>
      </c>
      <c r="K1430" s="25" t="s">
        <v>25</v>
      </c>
      <c r="L1430" s="25">
        <v>0</v>
      </c>
      <c r="M1430" s="25">
        <v>13.52</v>
      </c>
      <c r="N1430" s="25">
        <v>0</v>
      </c>
      <c r="O1430" s="25">
        <v>247.85</v>
      </c>
      <c r="P1430" s="25">
        <v>261.36829999999998</v>
      </c>
      <c r="Q1430" s="25">
        <f t="shared" si="44"/>
        <v>416210.11829999997</v>
      </c>
      <c r="R1430" s="25">
        <f t="shared" si="45"/>
        <v>0</v>
      </c>
    </row>
    <row r="1431" spans="1:18" hidden="1" x14ac:dyDescent="0.25">
      <c r="A1431" s="26">
        <v>43118</v>
      </c>
      <c r="B1431" s="25" t="s">
        <v>247</v>
      </c>
      <c r="C1431" s="25" t="s">
        <v>23</v>
      </c>
      <c r="D1431" s="25">
        <v>1000</v>
      </c>
      <c r="E1431" s="25">
        <v>410.55</v>
      </c>
      <c r="F1431" s="25">
        <v>410550.55</v>
      </c>
      <c r="G1431" s="25" t="s">
        <v>249</v>
      </c>
      <c r="H1431" s="25">
        <v>2018014</v>
      </c>
      <c r="I1431" s="25" t="s">
        <v>19</v>
      </c>
      <c r="J1431" s="25" t="s">
        <v>20</v>
      </c>
      <c r="K1431" s="25" t="s">
        <v>25</v>
      </c>
      <c r="L1431" s="25">
        <v>103.31</v>
      </c>
      <c r="M1431" s="25">
        <v>13.34</v>
      </c>
      <c r="N1431" s="25">
        <v>0</v>
      </c>
      <c r="O1431" s="25">
        <v>244.61</v>
      </c>
      <c r="P1431" s="25">
        <v>361.2629</v>
      </c>
      <c r="Q1431" s="25">
        <f t="shared" si="44"/>
        <v>0</v>
      </c>
      <c r="R1431" s="25">
        <f t="shared" si="45"/>
        <v>410189.28710000002</v>
      </c>
    </row>
    <row r="1432" spans="1:18" hidden="1" x14ac:dyDescent="0.25">
      <c r="A1432" s="26">
        <v>43118</v>
      </c>
      <c r="B1432" s="25" t="s">
        <v>226</v>
      </c>
      <c r="C1432" s="25" t="s">
        <v>23</v>
      </c>
      <c r="D1432" s="25">
        <v>1000</v>
      </c>
      <c r="E1432" s="25">
        <v>597.57000000000005</v>
      </c>
      <c r="F1432" s="25">
        <v>597570.6</v>
      </c>
      <c r="G1432" s="25" t="s">
        <v>250</v>
      </c>
      <c r="H1432" s="25">
        <v>2018014</v>
      </c>
      <c r="I1432" s="25" t="s">
        <v>19</v>
      </c>
      <c r="J1432" s="25" t="s">
        <v>1634</v>
      </c>
      <c r="K1432" s="25" t="s">
        <v>25</v>
      </c>
      <c r="L1432" s="25">
        <v>597.26</v>
      </c>
      <c r="M1432" s="25">
        <v>19.420000000000002</v>
      </c>
      <c r="N1432" s="25">
        <v>45.9</v>
      </c>
      <c r="O1432" s="25">
        <v>3881.72</v>
      </c>
      <c r="P1432" s="25">
        <v>4544.3009000000002</v>
      </c>
      <c r="Q1432" s="25">
        <f t="shared" si="44"/>
        <v>0</v>
      </c>
      <c r="R1432" s="25">
        <f t="shared" si="45"/>
        <v>593026.29909999995</v>
      </c>
    </row>
    <row r="1433" spans="1:18" hidden="1" x14ac:dyDescent="0.25">
      <c r="A1433" s="26">
        <v>43117</v>
      </c>
      <c r="B1433" s="25" t="s">
        <v>128</v>
      </c>
      <c r="C1433" s="25" t="s">
        <v>23</v>
      </c>
      <c r="D1433" s="25">
        <v>1000</v>
      </c>
      <c r="E1433" s="25">
        <v>430.06</v>
      </c>
      <c r="F1433" s="25">
        <v>430060.45</v>
      </c>
      <c r="G1433" s="25" t="s">
        <v>220</v>
      </c>
      <c r="H1433" s="25">
        <v>2018013</v>
      </c>
      <c r="I1433" s="25" t="s">
        <v>19</v>
      </c>
      <c r="J1433" s="25" t="s">
        <v>1634</v>
      </c>
      <c r="K1433" s="25" t="s">
        <v>25</v>
      </c>
      <c r="L1433" s="25">
        <v>430.06</v>
      </c>
      <c r="M1433" s="25">
        <v>13.98</v>
      </c>
      <c r="N1433" s="25">
        <v>0</v>
      </c>
      <c r="O1433" s="25">
        <v>2793.61</v>
      </c>
      <c r="P1433" s="25">
        <v>3237.6471000000001</v>
      </c>
      <c r="Q1433" s="25">
        <f t="shared" si="44"/>
        <v>0</v>
      </c>
      <c r="R1433" s="25">
        <f t="shared" si="45"/>
        <v>426822.80290000001</v>
      </c>
    </row>
    <row r="1434" spans="1:18" hidden="1" x14ac:dyDescent="0.25">
      <c r="A1434" s="26">
        <v>43117</v>
      </c>
      <c r="B1434" s="25" t="s">
        <v>177</v>
      </c>
      <c r="C1434" s="25" t="s">
        <v>23</v>
      </c>
      <c r="D1434" s="25">
        <v>2878</v>
      </c>
      <c r="E1434" s="25">
        <v>14.65</v>
      </c>
      <c r="F1434" s="25">
        <v>42162.7</v>
      </c>
      <c r="G1434" s="25" t="s">
        <v>221</v>
      </c>
      <c r="H1434" s="25">
        <v>2018013</v>
      </c>
      <c r="I1434" s="25" t="s">
        <v>19</v>
      </c>
      <c r="J1434" s="25" t="s">
        <v>1634</v>
      </c>
      <c r="K1434" s="25" t="s">
        <v>25</v>
      </c>
      <c r="L1434" s="25">
        <v>42.16</v>
      </c>
      <c r="M1434" s="25">
        <v>1.37</v>
      </c>
      <c r="N1434" s="25">
        <v>0</v>
      </c>
      <c r="O1434" s="25">
        <v>273.88</v>
      </c>
      <c r="P1434" s="25">
        <v>317.41019999999997</v>
      </c>
      <c r="Q1434" s="25">
        <f t="shared" si="44"/>
        <v>0</v>
      </c>
      <c r="R1434" s="25">
        <f t="shared" si="45"/>
        <v>41845.289799999999</v>
      </c>
    </row>
    <row r="1435" spans="1:18" hidden="1" x14ac:dyDescent="0.25">
      <c r="A1435" s="26">
        <v>43117</v>
      </c>
      <c r="B1435" s="25" t="s">
        <v>190</v>
      </c>
      <c r="C1435" s="25" t="s">
        <v>23</v>
      </c>
      <c r="D1435" s="25">
        <v>5000</v>
      </c>
      <c r="E1435" s="25">
        <v>13.4</v>
      </c>
      <c r="F1435" s="25">
        <v>67000</v>
      </c>
      <c r="G1435" s="25" t="s">
        <v>222</v>
      </c>
      <c r="H1435" s="25">
        <v>2018013</v>
      </c>
      <c r="I1435" s="25" t="s">
        <v>140</v>
      </c>
      <c r="J1435" s="25" t="s">
        <v>20</v>
      </c>
      <c r="K1435" s="25" t="s">
        <v>25</v>
      </c>
      <c r="L1435" s="25">
        <v>67</v>
      </c>
      <c r="M1435" s="25">
        <v>2.1800000000000002</v>
      </c>
      <c r="N1435" s="25">
        <v>2.1</v>
      </c>
      <c r="O1435" s="25">
        <v>435.22</v>
      </c>
      <c r="P1435" s="25">
        <v>506.4975</v>
      </c>
      <c r="Q1435" s="25">
        <f t="shared" si="44"/>
        <v>0</v>
      </c>
      <c r="R1435" s="25">
        <f t="shared" si="45"/>
        <v>66493.502500000002</v>
      </c>
    </row>
    <row r="1436" spans="1:18" hidden="1" x14ac:dyDescent="0.25">
      <c r="A1436" s="26">
        <v>43117</v>
      </c>
      <c r="B1436" s="25" t="s">
        <v>26</v>
      </c>
      <c r="C1436" s="25" t="s">
        <v>17</v>
      </c>
      <c r="D1436" s="25">
        <v>1000</v>
      </c>
      <c r="E1436" s="25">
        <v>150.35</v>
      </c>
      <c r="F1436" s="25">
        <v>150345.35</v>
      </c>
      <c r="G1436" s="25" t="s">
        <v>223</v>
      </c>
      <c r="H1436" s="25">
        <v>2018013</v>
      </c>
      <c r="I1436" s="25" t="s">
        <v>19</v>
      </c>
      <c r="J1436" s="25" t="s">
        <v>20</v>
      </c>
      <c r="K1436" s="25" t="s">
        <v>25</v>
      </c>
      <c r="L1436" s="25">
        <v>0</v>
      </c>
      <c r="M1436" s="25">
        <v>4.8899999999999997</v>
      </c>
      <c r="N1436" s="25">
        <v>0</v>
      </c>
      <c r="O1436" s="25">
        <v>89.58</v>
      </c>
      <c r="P1436" s="25">
        <v>94.466200000000001</v>
      </c>
      <c r="Q1436" s="25">
        <f t="shared" si="44"/>
        <v>150439.8162</v>
      </c>
      <c r="R1436" s="25">
        <f t="shared" si="45"/>
        <v>0</v>
      </c>
    </row>
    <row r="1437" spans="1:18" hidden="1" x14ac:dyDescent="0.25">
      <c r="A1437" s="26">
        <v>43117</v>
      </c>
      <c r="B1437" s="25" t="s">
        <v>26</v>
      </c>
      <c r="C1437" s="25" t="s">
        <v>23</v>
      </c>
      <c r="D1437" s="25">
        <v>2500</v>
      </c>
      <c r="E1437" s="25">
        <v>148.38</v>
      </c>
      <c r="F1437" s="25">
        <v>370944.5</v>
      </c>
      <c r="G1437" s="25" t="s">
        <v>224</v>
      </c>
      <c r="H1437" s="25">
        <v>2018013</v>
      </c>
      <c r="I1437" s="25" t="s">
        <v>19</v>
      </c>
      <c r="J1437" s="25" t="s">
        <v>20</v>
      </c>
      <c r="K1437" s="25" t="s">
        <v>25</v>
      </c>
      <c r="L1437" s="25">
        <v>92.78</v>
      </c>
      <c r="M1437" s="25">
        <v>12.06</v>
      </c>
      <c r="N1437" s="25">
        <v>0</v>
      </c>
      <c r="O1437" s="25">
        <v>221.02</v>
      </c>
      <c r="P1437" s="25">
        <v>325.85550000000001</v>
      </c>
      <c r="Q1437" s="25">
        <f t="shared" si="44"/>
        <v>0</v>
      </c>
      <c r="R1437" s="25">
        <f t="shared" si="45"/>
        <v>370618.64449999999</v>
      </c>
    </row>
    <row r="1438" spans="1:18" hidden="1" x14ac:dyDescent="0.25">
      <c r="A1438" s="26">
        <v>43117</v>
      </c>
      <c r="B1438" s="25" t="s">
        <v>26</v>
      </c>
      <c r="C1438" s="25" t="s">
        <v>17</v>
      </c>
      <c r="D1438" s="25">
        <v>1500</v>
      </c>
      <c r="E1438" s="25">
        <v>149.5</v>
      </c>
      <c r="F1438" s="25">
        <v>224250</v>
      </c>
      <c r="G1438" s="25" t="s">
        <v>225</v>
      </c>
      <c r="H1438" s="25">
        <v>2018013</v>
      </c>
      <c r="I1438" s="25" t="s">
        <v>19</v>
      </c>
      <c r="J1438" s="25" t="s">
        <v>20</v>
      </c>
      <c r="K1438" s="25" t="s">
        <v>25</v>
      </c>
      <c r="L1438" s="25">
        <v>0</v>
      </c>
      <c r="M1438" s="25">
        <v>7.29</v>
      </c>
      <c r="N1438" s="25">
        <v>54.6</v>
      </c>
      <c r="O1438" s="25">
        <v>133.62</v>
      </c>
      <c r="P1438" s="25">
        <v>195.50819999999999</v>
      </c>
      <c r="Q1438" s="25">
        <f t="shared" si="44"/>
        <v>224445.50820000001</v>
      </c>
      <c r="R1438" s="25">
        <f t="shared" si="45"/>
        <v>0</v>
      </c>
    </row>
    <row r="1439" spans="1:18" hidden="1" x14ac:dyDescent="0.25">
      <c r="A1439" s="26">
        <v>43117</v>
      </c>
      <c r="B1439" s="25" t="s">
        <v>226</v>
      </c>
      <c r="C1439" s="25" t="s">
        <v>17</v>
      </c>
      <c r="D1439" s="25">
        <v>1000</v>
      </c>
      <c r="E1439" s="25">
        <v>595</v>
      </c>
      <c r="F1439" s="25">
        <v>595000</v>
      </c>
      <c r="G1439" s="25" t="s">
        <v>227</v>
      </c>
      <c r="H1439" s="25">
        <v>2018013</v>
      </c>
      <c r="I1439" s="25" t="s">
        <v>19</v>
      </c>
      <c r="J1439" s="25" t="s">
        <v>1634</v>
      </c>
      <c r="K1439" s="25" t="s">
        <v>25</v>
      </c>
      <c r="L1439" s="25">
        <v>595</v>
      </c>
      <c r="M1439" s="25">
        <v>19.34</v>
      </c>
      <c r="N1439" s="25">
        <v>0</v>
      </c>
      <c r="O1439" s="25">
        <v>3865.03</v>
      </c>
      <c r="P1439" s="25">
        <v>4479.3674000000001</v>
      </c>
      <c r="Q1439" s="25">
        <f t="shared" si="44"/>
        <v>599479.36739999999</v>
      </c>
      <c r="R1439" s="25">
        <f t="shared" si="45"/>
        <v>0</v>
      </c>
    </row>
    <row r="1440" spans="1:18" hidden="1" x14ac:dyDescent="0.25">
      <c r="A1440" s="26">
        <v>43116</v>
      </c>
      <c r="B1440" s="25" t="s">
        <v>177</v>
      </c>
      <c r="C1440" s="25" t="s">
        <v>23</v>
      </c>
      <c r="D1440" s="25">
        <v>2122</v>
      </c>
      <c r="E1440" s="25">
        <v>15.3</v>
      </c>
      <c r="F1440" s="25">
        <v>32466.6</v>
      </c>
      <c r="G1440" s="25" t="s">
        <v>228</v>
      </c>
      <c r="H1440" s="25">
        <v>2018012</v>
      </c>
      <c r="I1440" s="25" t="s">
        <v>19</v>
      </c>
      <c r="J1440" s="25" t="s">
        <v>1634</v>
      </c>
      <c r="K1440" s="25" t="s">
        <v>25</v>
      </c>
      <c r="L1440" s="25">
        <v>31.89</v>
      </c>
      <c r="M1440" s="25">
        <v>1.06</v>
      </c>
      <c r="N1440" s="25">
        <v>2.4</v>
      </c>
      <c r="O1440" s="25">
        <v>210.9</v>
      </c>
      <c r="P1440" s="25">
        <v>246.24520000000001</v>
      </c>
      <c r="Q1440" s="25">
        <f t="shared" si="44"/>
        <v>0</v>
      </c>
      <c r="R1440" s="25">
        <f t="shared" si="45"/>
        <v>32220.354799999997</v>
      </c>
    </row>
    <row r="1441" spans="1:18" hidden="1" x14ac:dyDescent="0.25">
      <c r="A1441" s="26">
        <v>43116</v>
      </c>
      <c r="B1441" s="25" t="s">
        <v>177</v>
      </c>
      <c r="C1441" s="25" t="s">
        <v>23</v>
      </c>
      <c r="D1441" s="25">
        <v>2500</v>
      </c>
      <c r="E1441" s="25">
        <v>15.2</v>
      </c>
      <c r="F1441" s="25">
        <v>38000</v>
      </c>
      <c r="G1441" s="25" t="s">
        <v>229</v>
      </c>
      <c r="H1441" s="25">
        <v>2018012</v>
      </c>
      <c r="I1441" s="25" t="s">
        <v>19</v>
      </c>
      <c r="J1441" s="25" t="s">
        <v>1634</v>
      </c>
      <c r="K1441" s="25" t="s">
        <v>25</v>
      </c>
      <c r="L1441" s="25">
        <v>38.11</v>
      </c>
      <c r="M1441" s="25">
        <v>1.24</v>
      </c>
      <c r="N1441" s="25">
        <v>0</v>
      </c>
      <c r="O1441" s="25">
        <v>246.84</v>
      </c>
      <c r="P1441" s="25">
        <v>286.185</v>
      </c>
      <c r="Q1441" s="25">
        <f t="shared" si="44"/>
        <v>0</v>
      </c>
      <c r="R1441" s="25">
        <f t="shared" si="45"/>
        <v>37713.815000000002</v>
      </c>
    </row>
    <row r="1442" spans="1:18" hidden="1" x14ac:dyDescent="0.25">
      <c r="A1442" s="26">
        <v>43115</v>
      </c>
      <c r="B1442" s="25" t="s">
        <v>230</v>
      </c>
      <c r="C1442" s="25" t="s">
        <v>17</v>
      </c>
      <c r="D1442" s="25">
        <v>1000</v>
      </c>
      <c r="E1442" s="25">
        <v>63.95</v>
      </c>
      <c r="F1442" s="25">
        <v>63950</v>
      </c>
      <c r="G1442" s="25" t="s">
        <v>231</v>
      </c>
      <c r="H1442" s="25">
        <v>2018011</v>
      </c>
      <c r="I1442" s="25" t="s">
        <v>19</v>
      </c>
      <c r="J1442" s="25" t="s">
        <v>20</v>
      </c>
      <c r="K1442" s="25" t="s">
        <v>25</v>
      </c>
      <c r="L1442" s="25">
        <v>0</v>
      </c>
      <c r="M1442" s="25">
        <v>2.08</v>
      </c>
      <c r="N1442" s="25">
        <v>0</v>
      </c>
      <c r="O1442" s="25">
        <v>38.1</v>
      </c>
      <c r="P1442" s="25">
        <v>40.178400000000003</v>
      </c>
      <c r="Q1442" s="25">
        <f t="shared" si="44"/>
        <v>63990.178399999997</v>
      </c>
      <c r="R1442" s="25">
        <f t="shared" si="45"/>
        <v>0</v>
      </c>
    </row>
    <row r="1443" spans="1:18" hidden="1" x14ac:dyDescent="0.25">
      <c r="A1443" s="26">
        <v>43115</v>
      </c>
      <c r="B1443" s="25" t="s">
        <v>230</v>
      </c>
      <c r="C1443" s="25" t="s">
        <v>23</v>
      </c>
      <c r="D1443" s="25">
        <v>1000</v>
      </c>
      <c r="E1443" s="25">
        <v>62.88</v>
      </c>
      <c r="F1443" s="25">
        <v>62875</v>
      </c>
      <c r="G1443" s="25" t="s">
        <v>232</v>
      </c>
      <c r="H1443" s="25">
        <v>2018011</v>
      </c>
      <c r="I1443" s="25" t="s">
        <v>19</v>
      </c>
      <c r="J1443" s="25" t="s">
        <v>20</v>
      </c>
      <c r="K1443" s="25" t="s">
        <v>25</v>
      </c>
      <c r="L1443" s="25">
        <v>15.85</v>
      </c>
      <c r="M1443" s="25">
        <v>2.04</v>
      </c>
      <c r="N1443" s="25">
        <v>0</v>
      </c>
      <c r="O1443" s="25">
        <v>37.47</v>
      </c>
      <c r="P1443" s="25">
        <v>55.363599999999998</v>
      </c>
      <c r="Q1443" s="25">
        <f t="shared" si="44"/>
        <v>0</v>
      </c>
      <c r="R1443" s="25">
        <f t="shared" si="45"/>
        <v>62819.636400000003</v>
      </c>
    </row>
    <row r="1444" spans="1:18" hidden="1" x14ac:dyDescent="0.25">
      <c r="A1444" s="26">
        <v>43115</v>
      </c>
      <c r="B1444" s="25" t="s">
        <v>233</v>
      </c>
      <c r="C1444" s="25" t="s">
        <v>17</v>
      </c>
      <c r="D1444" s="25">
        <v>100</v>
      </c>
      <c r="E1444" s="25">
        <v>956.3</v>
      </c>
      <c r="F1444" s="25">
        <v>95630</v>
      </c>
      <c r="G1444" s="25" t="s">
        <v>234</v>
      </c>
      <c r="H1444" s="25">
        <v>2018011</v>
      </c>
      <c r="I1444" s="25" t="s">
        <v>19</v>
      </c>
      <c r="J1444" s="25" t="s">
        <v>20</v>
      </c>
      <c r="K1444" s="25" t="s">
        <v>25</v>
      </c>
      <c r="L1444" s="25">
        <v>0</v>
      </c>
      <c r="M1444" s="25">
        <v>3.11</v>
      </c>
      <c r="N1444" s="25">
        <v>0</v>
      </c>
      <c r="O1444" s="25">
        <v>56.98</v>
      </c>
      <c r="P1444" s="25">
        <v>60.087899999999998</v>
      </c>
      <c r="Q1444" s="25">
        <f t="shared" si="44"/>
        <v>95690.087899999999</v>
      </c>
      <c r="R1444" s="25">
        <f t="shared" si="45"/>
        <v>0</v>
      </c>
    </row>
    <row r="1445" spans="1:18" hidden="1" x14ac:dyDescent="0.25">
      <c r="A1445" s="26">
        <v>43115</v>
      </c>
      <c r="B1445" s="25" t="s">
        <v>233</v>
      </c>
      <c r="C1445" s="25" t="s">
        <v>23</v>
      </c>
      <c r="D1445" s="25">
        <v>100</v>
      </c>
      <c r="E1445" s="25">
        <v>954</v>
      </c>
      <c r="F1445" s="25">
        <v>95400</v>
      </c>
      <c r="G1445" s="25" t="s">
        <v>235</v>
      </c>
      <c r="H1445" s="25">
        <v>2018011</v>
      </c>
      <c r="I1445" s="25" t="s">
        <v>19</v>
      </c>
      <c r="J1445" s="25" t="s">
        <v>20</v>
      </c>
      <c r="K1445" s="25" t="s">
        <v>25</v>
      </c>
      <c r="L1445" s="25">
        <v>23.88</v>
      </c>
      <c r="M1445" s="25">
        <v>3.1</v>
      </c>
      <c r="N1445" s="25">
        <v>0</v>
      </c>
      <c r="O1445" s="25">
        <v>56.84</v>
      </c>
      <c r="P1445" s="25">
        <v>83.820499999999996</v>
      </c>
      <c r="Q1445" s="25">
        <f t="shared" si="44"/>
        <v>0</v>
      </c>
      <c r="R1445" s="25">
        <f t="shared" si="45"/>
        <v>95316.179499999998</v>
      </c>
    </row>
    <row r="1446" spans="1:18" hidden="1" x14ac:dyDescent="0.25">
      <c r="A1446" s="26">
        <v>43115</v>
      </c>
      <c r="B1446" s="25" t="s">
        <v>26</v>
      </c>
      <c r="C1446" s="25" t="s">
        <v>17</v>
      </c>
      <c r="D1446" s="25">
        <v>1000</v>
      </c>
      <c r="E1446" s="25">
        <v>140.75</v>
      </c>
      <c r="F1446" s="25">
        <v>140750</v>
      </c>
      <c r="G1446" s="25" t="s">
        <v>236</v>
      </c>
      <c r="H1446" s="25">
        <v>2018011</v>
      </c>
      <c r="I1446" s="25" t="s">
        <v>19</v>
      </c>
      <c r="J1446" s="25" t="s">
        <v>20</v>
      </c>
      <c r="K1446" s="25" t="s">
        <v>25</v>
      </c>
      <c r="L1446" s="25">
        <v>0</v>
      </c>
      <c r="M1446" s="25">
        <v>4.57</v>
      </c>
      <c r="N1446" s="25">
        <v>0</v>
      </c>
      <c r="O1446" s="25">
        <v>83.85</v>
      </c>
      <c r="P1446" s="25">
        <v>88.424800000000005</v>
      </c>
      <c r="Q1446" s="25">
        <f t="shared" si="44"/>
        <v>140838.42480000001</v>
      </c>
      <c r="R1446" s="25">
        <f t="shared" si="45"/>
        <v>0</v>
      </c>
    </row>
    <row r="1447" spans="1:18" hidden="1" x14ac:dyDescent="0.25">
      <c r="A1447" s="26">
        <v>43115</v>
      </c>
      <c r="B1447" s="25" t="s">
        <v>237</v>
      </c>
      <c r="C1447" s="25" t="s">
        <v>17</v>
      </c>
      <c r="D1447" s="25">
        <v>1000</v>
      </c>
      <c r="E1447" s="25">
        <v>291.75</v>
      </c>
      <c r="F1447" s="25">
        <v>291750</v>
      </c>
      <c r="G1447" s="25" t="s">
        <v>238</v>
      </c>
      <c r="H1447" s="25">
        <v>2018011</v>
      </c>
      <c r="I1447" s="25" t="s">
        <v>19</v>
      </c>
      <c r="J1447" s="25" t="s">
        <v>20</v>
      </c>
      <c r="K1447" s="25" t="s">
        <v>25</v>
      </c>
      <c r="L1447" s="25">
        <v>0</v>
      </c>
      <c r="M1447" s="25">
        <v>9.48</v>
      </c>
      <c r="N1447" s="25">
        <v>0</v>
      </c>
      <c r="O1447" s="25">
        <v>173.84</v>
      </c>
      <c r="P1447" s="25">
        <v>183.3219</v>
      </c>
      <c r="Q1447" s="25">
        <f t="shared" si="44"/>
        <v>291933.32189999998</v>
      </c>
      <c r="R1447" s="25">
        <f t="shared" si="45"/>
        <v>0</v>
      </c>
    </row>
    <row r="1448" spans="1:18" hidden="1" x14ac:dyDescent="0.25">
      <c r="A1448" s="26">
        <v>43115</v>
      </c>
      <c r="B1448" s="25" t="s">
        <v>26</v>
      </c>
      <c r="C1448" s="25" t="s">
        <v>23</v>
      </c>
      <c r="D1448" s="25">
        <v>1000</v>
      </c>
      <c r="E1448" s="25">
        <v>142.25</v>
      </c>
      <c r="F1448" s="25">
        <v>142250</v>
      </c>
      <c r="G1448" s="25" t="s">
        <v>239</v>
      </c>
      <c r="H1448" s="25">
        <v>2018011</v>
      </c>
      <c r="I1448" s="25" t="s">
        <v>19</v>
      </c>
      <c r="J1448" s="25" t="s">
        <v>20</v>
      </c>
      <c r="K1448" s="25" t="s">
        <v>25</v>
      </c>
      <c r="L1448" s="25">
        <v>35.380000000000003</v>
      </c>
      <c r="M1448" s="25">
        <v>4.62</v>
      </c>
      <c r="N1448" s="25">
        <v>0</v>
      </c>
      <c r="O1448" s="25">
        <v>84.76</v>
      </c>
      <c r="P1448" s="25">
        <v>124.7632</v>
      </c>
      <c r="Q1448" s="25">
        <f t="shared" si="44"/>
        <v>0</v>
      </c>
      <c r="R1448" s="25">
        <f t="shared" si="45"/>
        <v>142125.23680000001</v>
      </c>
    </row>
    <row r="1449" spans="1:18" hidden="1" x14ac:dyDescent="0.25">
      <c r="A1449" s="26">
        <v>43115</v>
      </c>
      <c r="B1449" s="25" t="s">
        <v>51</v>
      </c>
      <c r="C1449" s="25" t="s">
        <v>17</v>
      </c>
      <c r="D1449" s="25">
        <v>71</v>
      </c>
      <c r="E1449" s="25">
        <v>335.6</v>
      </c>
      <c r="F1449" s="25">
        <v>23827.599999999999</v>
      </c>
      <c r="G1449" s="25" t="s">
        <v>240</v>
      </c>
      <c r="H1449" s="25">
        <v>2018011</v>
      </c>
      <c r="I1449" s="25" t="s">
        <v>19</v>
      </c>
      <c r="J1449" s="25" t="s">
        <v>20</v>
      </c>
      <c r="K1449" s="25" t="s">
        <v>25</v>
      </c>
      <c r="L1449" s="25">
        <v>0</v>
      </c>
      <c r="M1449" s="25">
        <v>0.77</v>
      </c>
      <c r="N1449" s="25">
        <v>53.1</v>
      </c>
      <c r="O1449" s="25">
        <v>29.64</v>
      </c>
      <c r="P1449" s="25">
        <v>83.514399999999995</v>
      </c>
      <c r="Q1449" s="25">
        <f t="shared" si="44"/>
        <v>23911.114399999999</v>
      </c>
      <c r="R1449" s="25">
        <f t="shared" si="45"/>
        <v>0</v>
      </c>
    </row>
    <row r="1450" spans="1:18" hidden="1" x14ac:dyDescent="0.25">
      <c r="A1450" s="26">
        <v>43115</v>
      </c>
      <c r="B1450" s="25" t="s">
        <v>51</v>
      </c>
      <c r="C1450" s="25" t="s">
        <v>23</v>
      </c>
      <c r="D1450" s="25">
        <v>71</v>
      </c>
      <c r="E1450" s="25">
        <v>337.5</v>
      </c>
      <c r="F1450" s="25">
        <v>23962.5</v>
      </c>
      <c r="G1450" s="25" t="s">
        <v>241</v>
      </c>
      <c r="H1450" s="25">
        <v>2018011</v>
      </c>
      <c r="I1450" s="25" t="s">
        <v>19</v>
      </c>
      <c r="J1450" s="25" t="s">
        <v>20</v>
      </c>
      <c r="K1450" s="25" t="s">
        <v>25</v>
      </c>
      <c r="L1450" s="25">
        <v>5.97</v>
      </c>
      <c r="M1450" s="25">
        <v>0.78</v>
      </c>
      <c r="N1450" s="25">
        <v>0</v>
      </c>
      <c r="O1450" s="25">
        <v>29.64</v>
      </c>
      <c r="P1450" s="25">
        <v>36.3887</v>
      </c>
      <c r="Q1450" s="25">
        <f t="shared" si="44"/>
        <v>0</v>
      </c>
      <c r="R1450" s="25">
        <f t="shared" si="45"/>
        <v>23926.1113</v>
      </c>
    </row>
    <row r="1451" spans="1:18" hidden="1" x14ac:dyDescent="0.25">
      <c r="A1451" s="26">
        <v>43115</v>
      </c>
      <c r="B1451" s="25" t="s">
        <v>177</v>
      </c>
      <c r="C1451" s="25" t="s">
        <v>17</v>
      </c>
      <c r="D1451" s="25">
        <v>5000</v>
      </c>
      <c r="E1451" s="25">
        <v>16.149999999999999</v>
      </c>
      <c r="F1451" s="25">
        <v>80750</v>
      </c>
      <c r="G1451" s="25" t="s">
        <v>242</v>
      </c>
      <c r="H1451" s="25">
        <v>2018011</v>
      </c>
      <c r="I1451" s="25" t="s">
        <v>19</v>
      </c>
      <c r="J1451" s="25" t="s">
        <v>1634</v>
      </c>
      <c r="K1451" s="25" t="s">
        <v>25</v>
      </c>
      <c r="L1451" s="25">
        <v>80.75</v>
      </c>
      <c r="M1451" s="25">
        <v>2.62</v>
      </c>
      <c r="N1451" s="25">
        <v>0</v>
      </c>
      <c r="O1451" s="25">
        <v>524.54</v>
      </c>
      <c r="P1451" s="25">
        <v>607.9144</v>
      </c>
      <c r="Q1451" s="25">
        <f t="shared" si="44"/>
        <v>81357.914399999994</v>
      </c>
      <c r="R1451" s="25">
        <f t="shared" si="45"/>
        <v>0</v>
      </c>
    </row>
    <row r="1452" spans="1:18" hidden="1" x14ac:dyDescent="0.25">
      <c r="A1452" s="26">
        <v>43115</v>
      </c>
      <c r="B1452" s="25" t="s">
        <v>128</v>
      </c>
      <c r="C1452" s="25" t="s">
        <v>17</v>
      </c>
      <c r="D1452" s="25">
        <v>1000</v>
      </c>
      <c r="E1452" s="25">
        <v>455</v>
      </c>
      <c r="F1452" s="25">
        <v>455000</v>
      </c>
      <c r="G1452" s="25" t="s">
        <v>243</v>
      </c>
      <c r="H1452" s="25">
        <v>2018011</v>
      </c>
      <c r="I1452" s="25" t="s">
        <v>19</v>
      </c>
      <c r="J1452" s="25" t="s">
        <v>1634</v>
      </c>
      <c r="K1452" s="25" t="s">
        <v>25</v>
      </c>
      <c r="L1452" s="25">
        <v>455.05</v>
      </c>
      <c r="M1452" s="25">
        <v>14.79</v>
      </c>
      <c r="N1452" s="25">
        <v>0</v>
      </c>
      <c r="O1452" s="25">
        <v>2955.63</v>
      </c>
      <c r="P1452" s="25">
        <v>3425.4674</v>
      </c>
      <c r="Q1452" s="25">
        <f t="shared" si="44"/>
        <v>458425.46740000002</v>
      </c>
      <c r="R1452" s="25">
        <f t="shared" si="45"/>
        <v>0</v>
      </c>
    </row>
    <row r="1453" spans="1:18" hidden="1" x14ac:dyDescent="0.25">
      <c r="A1453" s="26">
        <v>43115</v>
      </c>
      <c r="B1453" s="25" t="s">
        <v>237</v>
      </c>
      <c r="C1453" s="25" t="s">
        <v>23</v>
      </c>
      <c r="D1453" s="25">
        <v>1000</v>
      </c>
      <c r="E1453" s="25">
        <v>285.20999999999998</v>
      </c>
      <c r="F1453" s="25">
        <v>285205</v>
      </c>
      <c r="G1453" s="25" t="s">
        <v>244</v>
      </c>
      <c r="H1453" s="25">
        <v>2018011</v>
      </c>
      <c r="I1453" s="25" t="s">
        <v>19</v>
      </c>
      <c r="J1453" s="25" t="s">
        <v>20</v>
      </c>
      <c r="K1453" s="25" t="s">
        <v>25</v>
      </c>
      <c r="L1453" s="25">
        <v>72.12</v>
      </c>
      <c r="M1453" s="25">
        <v>9.27</v>
      </c>
      <c r="N1453" s="25">
        <v>0</v>
      </c>
      <c r="O1453" s="25">
        <v>169.94</v>
      </c>
      <c r="P1453" s="25">
        <v>251.32929999999999</v>
      </c>
      <c r="Q1453" s="25">
        <f t="shared" si="44"/>
        <v>0</v>
      </c>
      <c r="R1453" s="25">
        <f t="shared" si="45"/>
        <v>284953.67070000002</v>
      </c>
    </row>
    <row r="1454" spans="1:18" hidden="1" x14ac:dyDescent="0.25">
      <c r="A1454" s="26">
        <v>43112</v>
      </c>
      <c r="B1454" s="25" t="s">
        <v>205</v>
      </c>
      <c r="C1454" s="25" t="s">
        <v>17</v>
      </c>
      <c r="D1454" s="25">
        <v>1000</v>
      </c>
      <c r="E1454" s="25">
        <v>88.45</v>
      </c>
      <c r="F1454" s="25">
        <v>88450</v>
      </c>
      <c r="G1454" s="25" t="s">
        <v>206</v>
      </c>
      <c r="H1454" s="25">
        <v>2018010</v>
      </c>
      <c r="I1454" s="25" t="s">
        <v>19</v>
      </c>
      <c r="J1454" s="25" t="s">
        <v>20</v>
      </c>
      <c r="K1454" s="25" t="s">
        <v>25</v>
      </c>
      <c r="L1454" s="25">
        <v>0</v>
      </c>
      <c r="M1454" s="25">
        <v>2.87</v>
      </c>
      <c r="N1454" s="25">
        <v>0</v>
      </c>
      <c r="O1454" s="25">
        <v>52.7</v>
      </c>
      <c r="P1454" s="25">
        <v>55.5747</v>
      </c>
      <c r="Q1454" s="25">
        <f t="shared" si="44"/>
        <v>88505.574699999997</v>
      </c>
      <c r="R1454" s="25">
        <f t="shared" si="45"/>
        <v>0</v>
      </c>
    </row>
    <row r="1455" spans="1:18" hidden="1" x14ac:dyDescent="0.25">
      <c r="A1455" s="26">
        <v>43112</v>
      </c>
      <c r="B1455" s="25" t="s">
        <v>207</v>
      </c>
      <c r="C1455" s="25" t="s">
        <v>17</v>
      </c>
      <c r="D1455" s="25">
        <v>1000</v>
      </c>
      <c r="E1455" s="25">
        <v>77.5</v>
      </c>
      <c r="F1455" s="25">
        <v>77500</v>
      </c>
      <c r="G1455" s="25" t="s">
        <v>208</v>
      </c>
      <c r="H1455" s="25">
        <v>2018010</v>
      </c>
      <c r="I1455" s="25" t="s">
        <v>19</v>
      </c>
      <c r="J1455" s="25" t="s">
        <v>20</v>
      </c>
      <c r="K1455" s="25" t="s">
        <v>25</v>
      </c>
      <c r="L1455" s="25">
        <v>0</v>
      </c>
      <c r="M1455" s="25">
        <v>2.52</v>
      </c>
      <c r="N1455" s="25">
        <v>0</v>
      </c>
      <c r="O1455" s="25">
        <v>46.18</v>
      </c>
      <c r="P1455" s="25">
        <v>48.698700000000002</v>
      </c>
      <c r="Q1455" s="25">
        <f t="shared" si="44"/>
        <v>77548.698699999994</v>
      </c>
      <c r="R1455" s="25">
        <f t="shared" si="45"/>
        <v>0</v>
      </c>
    </row>
    <row r="1456" spans="1:18" hidden="1" x14ac:dyDescent="0.25">
      <c r="A1456" s="26">
        <v>43112</v>
      </c>
      <c r="B1456" s="25" t="s">
        <v>26</v>
      </c>
      <c r="C1456" s="25" t="s">
        <v>23</v>
      </c>
      <c r="D1456" s="25">
        <v>500</v>
      </c>
      <c r="E1456" s="25">
        <v>142</v>
      </c>
      <c r="F1456" s="25">
        <v>71000</v>
      </c>
      <c r="G1456" s="25" t="s">
        <v>209</v>
      </c>
      <c r="H1456" s="25">
        <v>2018010</v>
      </c>
      <c r="I1456" s="25" t="s">
        <v>19</v>
      </c>
      <c r="J1456" s="25" t="s">
        <v>20</v>
      </c>
      <c r="K1456" s="25" t="s">
        <v>25</v>
      </c>
      <c r="L1456" s="25">
        <v>17.940000000000001</v>
      </c>
      <c r="M1456" s="25">
        <v>2.31</v>
      </c>
      <c r="N1456" s="25">
        <v>0</v>
      </c>
      <c r="O1456" s="25">
        <v>461.21</v>
      </c>
      <c r="P1456" s="25">
        <v>481.45749999999998</v>
      </c>
      <c r="Q1456" s="25">
        <f t="shared" si="44"/>
        <v>0</v>
      </c>
      <c r="R1456" s="25">
        <f t="shared" si="45"/>
        <v>70518.542499999996</v>
      </c>
    </row>
    <row r="1457" spans="1:18" hidden="1" x14ac:dyDescent="0.25">
      <c r="A1457" s="26">
        <v>43112</v>
      </c>
      <c r="B1457" s="25" t="s">
        <v>26</v>
      </c>
      <c r="C1457" s="25" t="s">
        <v>17</v>
      </c>
      <c r="D1457" s="25">
        <v>2000</v>
      </c>
      <c r="E1457" s="25">
        <v>143.41999999999999</v>
      </c>
      <c r="F1457" s="25">
        <v>286846</v>
      </c>
      <c r="G1457" s="25" t="s">
        <v>210</v>
      </c>
      <c r="H1457" s="25">
        <v>2018010</v>
      </c>
      <c r="I1457" s="25" t="s">
        <v>19</v>
      </c>
      <c r="J1457" s="25" t="s">
        <v>20</v>
      </c>
      <c r="K1457" s="25" t="s">
        <v>25</v>
      </c>
      <c r="L1457" s="25">
        <v>0</v>
      </c>
      <c r="M1457" s="25">
        <v>9.32</v>
      </c>
      <c r="N1457" s="25">
        <v>0</v>
      </c>
      <c r="O1457" s="25">
        <v>170.91</v>
      </c>
      <c r="P1457" s="25">
        <v>180.23269999999999</v>
      </c>
      <c r="Q1457" s="25">
        <f t="shared" si="44"/>
        <v>287026.23269999999</v>
      </c>
      <c r="R1457" s="25">
        <f t="shared" si="45"/>
        <v>0</v>
      </c>
    </row>
    <row r="1458" spans="1:18" hidden="1" x14ac:dyDescent="0.25">
      <c r="A1458" s="26">
        <v>43112</v>
      </c>
      <c r="B1458" s="25" t="s">
        <v>26</v>
      </c>
      <c r="C1458" s="25" t="s">
        <v>23</v>
      </c>
      <c r="D1458" s="25">
        <v>2000</v>
      </c>
      <c r="E1458" s="25">
        <v>144</v>
      </c>
      <c r="F1458" s="25">
        <v>288000</v>
      </c>
      <c r="G1458" s="25" t="s">
        <v>211</v>
      </c>
      <c r="H1458" s="25">
        <v>2018010</v>
      </c>
      <c r="I1458" s="25" t="s">
        <v>19</v>
      </c>
      <c r="J1458" s="25" t="s">
        <v>20</v>
      </c>
      <c r="K1458" s="25" t="s">
        <v>25</v>
      </c>
      <c r="L1458" s="25">
        <v>126.01</v>
      </c>
      <c r="M1458" s="25">
        <v>9.36</v>
      </c>
      <c r="N1458" s="25">
        <v>0</v>
      </c>
      <c r="O1458" s="25">
        <v>171.6</v>
      </c>
      <c r="P1458" s="25">
        <v>306.97000000000003</v>
      </c>
      <c r="Q1458" s="25">
        <f t="shared" si="44"/>
        <v>0</v>
      </c>
      <c r="R1458" s="25">
        <f t="shared" si="45"/>
        <v>287693.03000000003</v>
      </c>
    </row>
    <row r="1459" spans="1:18" hidden="1" x14ac:dyDescent="0.25">
      <c r="A1459" s="26">
        <v>43112</v>
      </c>
      <c r="B1459" s="25" t="s">
        <v>207</v>
      </c>
      <c r="C1459" s="25" t="s">
        <v>23</v>
      </c>
      <c r="D1459" s="25">
        <v>1000</v>
      </c>
      <c r="E1459" s="25">
        <v>79.25</v>
      </c>
      <c r="F1459" s="25">
        <v>79250</v>
      </c>
      <c r="G1459" s="25" t="s">
        <v>212</v>
      </c>
      <c r="H1459" s="25">
        <v>2018010</v>
      </c>
      <c r="I1459" s="25" t="s">
        <v>19</v>
      </c>
      <c r="J1459" s="25" t="s">
        <v>20</v>
      </c>
      <c r="K1459" s="25" t="s">
        <v>25</v>
      </c>
      <c r="L1459" s="25">
        <v>19.59</v>
      </c>
      <c r="M1459" s="25">
        <v>2.58</v>
      </c>
      <c r="N1459" s="25">
        <v>0</v>
      </c>
      <c r="O1459" s="25">
        <v>47.23</v>
      </c>
      <c r="P1459" s="25">
        <v>69.395600000000002</v>
      </c>
      <c r="Q1459" s="25">
        <f t="shared" si="44"/>
        <v>0</v>
      </c>
      <c r="R1459" s="25">
        <f t="shared" si="45"/>
        <v>79180.604399999997</v>
      </c>
    </row>
    <row r="1460" spans="1:18" hidden="1" x14ac:dyDescent="0.25">
      <c r="A1460" s="26">
        <v>43112</v>
      </c>
      <c r="B1460" s="25" t="s">
        <v>205</v>
      </c>
      <c r="C1460" s="25" t="s">
        <v>23</v>
      </c>
      <c r="D1460" s="25">
        <v>1000</v>
      </c>
      <c r="E1460" s="25">
        <v>85</v>
      </c>
      <c r="F1460" s="25">
        <v>85000</v>
      </c>
      <c r="G1460" s="25" t="s">
        <v>213</v>
      </c>
      <c r="H1460" s="25">
        <v>2018010</v>
      </c>
      <c r="I1460" s="25" t="s">
        <v>19</v>
      </c>
      <c r="J1460" s="25" t="s">
        <v>20</v>
      </c>
      <c r="K1460" s="25" t="s">
        <v>25</v>
      </c>
      <c r="L1460" s="25">
        <v>21.68</v>
      </c>
      <c r="M1460" s="25">
        <v>2.76</v>
      </c>
      <c r="N1460" s="25">
        <v>0</v>
      </c>
      <c r="O1460" s="25">
        <v>50.65</v>
      </c>
      <c r="P1460" s="25">
        <v>75.092500000000001</v>
      </c>
      <c r="Q1460" s="25">
        <f t="shared" si="44"/>
        <v>0</v>
      </c>
      <c r="R1460" s="25">
        <f t="shared" si="45"/>
        <v>84924.907500000001</v>
      </c>
    </row>
    <row r="1461" spans="1:18" hidden="1" x14ac:dyDescent="0.25">
      <c r="A1461" s="26">
        <v>43112</v>
      </c>
      <c r="B1461" s="25" t="s">
        <v>214</v>
      </c>
      <c r="C1461" s="25" t="s">
        <v>17</v>
      </c>
      <c r="D1461" s="25">
        <v>1000</v>
      </c>
      <c r="E1461" s="25">
        <v>114.62</v>
      </c>
      <c r="F1461" s="25">
        <v>114619.15</v>
      </c>
      <c r="G1461" s="25" t="s">
        <v>215</v>
      </c>
      <c r="H1461" s="25">
        <v>2018010</v>
      </c>
      <c r="I1461" s="25" t="s">
        <v>19</v>
      </c>
      <c r="J1461" s="25" t="s">
        <v>20</v>
      </c>
      <c r="K1461" s="25" t="s">
        <v>25</v>
      </c>
      <c r="L1461" s="25">
        <v>0</v>
      </c>
      <c r="M1461" s="25">
        <v>3.73</v>
      </c>
      <c r="N1461" s="25">
        <v>36.299999999999997</v>
      </c>
      <c r="O1461" s="25">
        <v>68.290000000000006</v>
      </c>
      <c r="P1461" s="25">
        <v>108.3152</v>
      </c>
      <c r="Q1461" s="25">
        <f t="shared" si="44"/>
        <v>114727.46519999999</v>
      </c>
      <c r="R1461" s="25">
        <f t="shared" si="45"/>
        <v>0</v>
      </c>
    </row>
    <row r="1462" spans="1:18" hidden="1" x14ac:dyDescent="0.25">
      <c r="A1462" s="26">
        <v>43112</v>
      </c>
      <c r="B1462" s="25" t="s">
        <v>214</v>
      </c>
      <c r="C1462" s="25" t="s">
        <v>23</v>
      </c>
      <c r="D1462" s="25">
        <v>1000</v>
      </c>
      <c r="E1462" s="25">
        <v>115.58</v>
      </c>
      <c r="F1462" s="25">
        <v>115580</v>
      </c>
      <c r="G1462" s="25" t="s">
        <v>216</v>
      </c>
      <c r="H1462" s="25">
        <v>2018010</v>
      </c>
      <c r="I1462" s="25" t="s">
        <v>19</v>
      </c>
      <c r="J1462" s="25" t="s">
        <v>20</v>
      </c>
      <c r="K1462" s="25" t="s">
        <v>25</v>
      </c>
      <c r="L1462" s="25">
        <v>28.77</v>
      </c>
      <c r="M1462" s="25">
        <v>3.76</v>
      </c>
      <c r="N1462" s="25">
        <v>0</v>
      </c>
      <c r="O1462" s="25">
        <v>68.87</v>
      </c>
      <c r="P1462" s="25">
        <v>101.3963</v>
      </c>
      <c r="Q1462" s="25">
        <f t="shared" si="44"/>
        <v>0</v>
      </c>
      <c r="R1462" s="25">
        <f t="shared" si="45"/>
        <v>115478.60370000001</v>
      </c>
    </row>
    <row r="1463" spans="1:18" hidden="1" x14ac:dyDescent="0.25">
      <c r="A1463" s="26">
        <v>43111</v>
      </c>
      <c r="B1463" s="25" t="s">
        <v>205</v>
      </c>
      <c r="C1463" s="25" t="s">
        <v>17</v>
      </c>
      <c r="D1463" s="25">
        <v>1000</v>
      </c>
      <c r="E1463" s="25">
        <v>91.5</v>
      </c>
      <c r="F1463" s="25">
        <v>91500</v>
      </c>
      <c r="G1463" s="25" t="s">
        <v>217</v>
      </c>
      <c r="H1463" s="25">
        <v>2018009</v>
      </c>
      <c r="I1463" s="25" t="s">
        <v>19</v>
      </c>
      <c r="J1463" s="25" t="s">
        <v>1634</v>
      </c>
      <c r="K1463" s="25" t="s">
        <v>25</v>
      </c>
      <c r="L1463" s="25">
        <v>0</v>
      </c>
      <c r="M1463" s="25">
        <v>2.97</v>
      </c>
      <c r="N1463" s="25">
        <v>8.4</v>
      </c>
      <c r="O1463" s="25">
        <v>54.51</v>
      </c>
      <c r="P1463" s="25">
        <v>65.883799999999994</v>
      </c>
      <c r="Q1463" s="25">
        <f t="shared" si="44"/>
        <v>91565.883799999996</v>
      </c>
      <c r="R1463" s="25">
        <f t="shared" si="45"/>
        <v>0</v>
      </c>
    </row>
    <row r="1464" spans="1:18" hidden="1" x14ac:dyDescent="0.25">
      <c r="A1464" s="26">
        <v>43111</v>
      </c>
      <c r="B1464" s="25" t="s">
        <v>205</v>
      </c>
      <c r="C1464" s="25" t="s">
        <v>23</v>
      </c>
      <c r="D1464" s="25">
        <v>1000</v>
      </c>
      <c r="E1464" s="25">
        <v>92.6</v>
      </c>
      <c r="F1464" s="25">
        <v>92600</v>
      </c>
      <c r="G1464" s="25" t="s">
        <v>218</v>
      </c>
      <c r="H1464" s="25">
        <v>2018009</v>
      </c>
      <c r="I1464" s="25" t="s">
        <v>19</v>
      </c>
      <c r="J1464" s="25" t="s">
        <v>1634</v>
      </c>
      <c r="K1464" s="25" t="s">
        <v>25</v>
      </c>
      <c r="L1464" s="25">
        <v>23.13</v>
      </c>
      <c r="M1464" s="25">
        <v>3.01</v>
      </c>
      <c r="N1464" s="25">
        <v>0</v>
      </c>
      <c r="O1464" s="25">
        <v>55.18</v>
      </c>
      <c r="P1464" s="25">
        <v>81.319500000000005</v>
      </c>
      <c r="Q1464" s="25">
        <f t="shared" si="44"/>
        <v>0</v>
      </c>
      <c r="R1464" s="25">
        <f t="shared" si="45"/>
        <v>92518.680500000002</v>
      </c>
    </row>
    <row r="1465" spans="1:18" hidden="1" x14ac:dyDescent="0.25">
      <c r="A1465" s="26">
        <v>43111</v>
      </c>
      <c r="B1465" s="25" t="s">
        <v>205</v>
      </c>
      <c r="C1465" s="25" t="s">
        <v>17</v>
      </c>
      <c r="D1465" s="25">
        <v>1000</v>
      </c>
      <c r="E1465" s="25">
        <v>93.4</v>
      </c>
      <c r="F1465" s="25">
        <v>93400</v>
      </c>
      <c r="G1465" s="25" t="s">
        <v>219</v>
      </c>
      <c r="H1465" s="25">
        <v>2018009</v>
      </c>
      <c r="I1465" s="25" t="s">
        <v>19</v>
      </c>
      <c r="J1465" s="25" t="s">
        <v>1634</v>
      </c>
      <c r="K1465" s="25" t="s">
        <v>25</v>
      </c>
      <c r="L1465" s="25">
        <v>92.88</v>
      </c>
      <c r="M1465" s="25">
        <v>3.04</v>
      </c>
      <c r="N1465" s="25">
        <v>0</v>
      </c>
      <c r="O1465" s="25">
        <v>606.72</v>
      </c>
      <c r="P1465" s="25">
        <v>702.63549999999998</v>
      </c>
      <c r="Q1465" s="25">
        <f t="shared" si="44"/>
        <v>94102.635500000004</v>
      </c>
      <c r="R1465" s="25">
        <f t="shared" si="45"/>
        <v>0</v>
      </c>
    </row>
    <row r="1466" spans="1:18" hidden="1" x14ac:dyDescent="0.25">
      <c r="A1466" s="26">
        <v>43110</v>
      </c>
      <c r="B1466" s="25" t="s">
        <v>177</v>
      </c>
      <c r="C1466" s="25" t="s">
        <v>23</v>
      </c>
      <c r="D1466" s="25">
        <v>5000</v>
      </c>
      <c r="E1466" s="25">
        <v>16.8</v>
      </c>
      <c r="F1466" s="25">
        <v>84000</v>
      </c>
      <c r="G1466" s="25" t="s">
        <v>197</v>
      </c>
      <c r="H1466" s="25">
        <v>2018008</v>
      </c>
      <c r="I1466" s="25" t="s">
        <v>19</v>
      </c>
      <c r="J1466" s="25" t="s">
        <v>20</v>
      </c>
      <c r="K1466" s="25" t="s">
        <v>25</v>
      </c>
      <c r="L1466" s="25">
        <v>83.92</v>
      </c>
      <c r="M1466" s="25">
        <v>2.73</v>
      </c>
      <c r="N1466" s="25">
        <v>0</v>
      </c>
      <c r="O1466" s="25">
        <v>545.65</v>
      </c>
      <c r="P1466" s="25">
        <v>632.29999999999995</v>
      </c>
      <c r="Q1466" s="25">
        <f t="shared" si="44"/>
        <v>0</v>
      </c>
      <c r="R1466" s="25">
        <f t="shared" si="45"/>
        <v>83367.7</v>
      </c>
    </row>
    <row r="1467" spans="1:18" hidden="1" x14ac:dyDescent="0.25">
      <c r="A1467" s="26">
        <v>43110</v>
      </c>
      <c r="B1467" s="25" t="s">
        <v>177</v>
      </c>
      <c r="C1467" s="25" t="s">
        <v>23</v>
      </c>
      <c r="D1467" s="25">
        <v>2500</v>
      </c>
      <c r="E1467" s="25">
        <v>16.75</v>
      </c>
      <c r="F1467" s="25">
        <v>41875</v>
      </c>
      <c r="G1467" s="25" t="s">
        <v>198</v>
      </c>
      <c r="H1467" s="25">
        <v>2018008</v>
      </c>
      <c r="I1467" s="25" t="s">
        <v>19</v>
      </c>
      <c r="J1467" s="25" t="s">
        <v>1634</v>
      </c>
      <c r="K1467" s="25" t="s">
        <v>25</v>
      </c>
      <c r="L1467" s="25">
        <v>42.08</v>
      </c>
      <c r="M1467" s="25">
        <v>1.36</v>
      </c>
      <c r="N1467" s="25">
        <v>6.9</v>
      </c>
      <c r="O1467" s="25">
        <v>272.01</v>
      </c>
      <c r="P1467" s="25">
        <v>322.35090000000002</v>
      </c>
      <c r="Q1467" s="25">
        <f t="shared" si="44"/>
        <v>0</v>
      </c>
      <c r="R1467" s="25">
        <f t="shared" si="45"/>
        <v>41552.649100000002</v>
      </c>
    </row>
    <row r="1468" spans="1:18" hidden="1" x14ac:dyDescent="0.25">
      <c r="A1468" s="26">
        <v>43110</v>
      </c>
      <c r="B1468" s="25" t="s">
        <v>195</v>
      </c>
      <c r="C1468" s="25" t="s">
        <v>23</v>
      </c>
      <c r="D1468" s="25">
        <v>1000</v>
      </c>
      <c r="E1468" s="25">
        <v>104</v>
      </c>
      <c r="F1468" s="25">
        <v>104000</v>
      </c>
      <c r="G1468" s="25" t="s">
        <v>199</v>
      </c>
      <c r="H1468" s="25">
        <v>2018008</v>
      </c>
      <c r="I1468" s="25" t="s">
        <v>19</v>
      </c>
      <c r="J1468" s="25" t="s">
        <v>20</v>
      </c>
      <c r="K1468" s="25" t="s">
        <v>25</v>
      </c>
      <c r="L1468" s="25">
        <v>104</v>
      </c>
      <c r="M1468" s="25">
        <v>3.38</v>
      </c>
      <c r="N1468" s="25">
        <v>0</v>
      </c>
      <c r="O1468" s="25">
        <v>675.57</v>
      </c>
      <c r="P1468" s="25">
        <v>782.95</v>
      </c>
      <c r="Q1468" s="25">
        <f t="shared" si="44"/>
        <v>0</v>
      </c>
      <c r="R1468" s="25">
        <f t="shared" si="45"/>
        <v>103217.05</v>
      </c>
    </row>
    <row r="1469" spans="1:18" hidden="1" x14ac:dyDescent="0.25">
      <c r="A1469" s="26">
        <v>43109</v>
      </c>
      <c r="B1469" s="25" t="s">
        <v>177</v>
      </c>
      <c r="C1469" s="25" t="s">
        <v>17</v>
      </c>
      <c r="D1469" s="25">
        <v>5000</v>
      </c>
      <c r="E1469" s="25">
        <v>16.149999999999999</v>
      </c>
      <c r="F1469" s="25">
        <v>80750</v>
      </c>
      <c r="G1469" s="25" t="s">
        <v>200</v>
      </c>
      <c r="H1469" s="25">
        <v>2018007</v>
      </c>
      <c r="I1469" s="25" t="s">
        <v>19</v>
      </c>
      <c r="J1469" s="25" t="s">
        <v>1634</v>
      </c>
      <c r="K1469" s="25" t="s">
        <v>25</v>
      </c>
      <c r="L1469" s="25">
        <v>0</v>
      </c>
      <c r="M1469" s="25">
        <v>2.62</v>
      </c>
      <c r="N1469" s="25">
        <v>0</v>
      </c>
      <c r="O1469" s="25">
        <v>48.11</v>
      </c>
      <c r="P1469" s="25">
        <v>50.734400000000001</v>
      </c>
      <c r="Q1469" s="25">
        <f t="shared" si="44"/>
        <v>80800.734400000001</v>
      </c>
      <c r="R1469" s="25">
        <f t="shared" si="45"/>
        <v>0</v>
      </c>
    </row>
    <row r="1470" spans="1:18" hidden="1" x14ac:dyDescent="0.25">
      <c r="A1470" s="26">
        <v>43109</v>
      </c>
      <c r="B1470" s="25" t="s">
        <v>177</v>
      </c>
      <c r="C1470" s="25" t="s">
        <v>23</v>
      </c>
      <c r="D1470" s="25">
        <v>5000</v>
      </c>
      <c r="E1470" s="25">
        <v>16.100000000000001</v>
      </c>
      <c r="F1470" s="25">
        <v>80500</v>
      </c>
      <c r="G1470" s="25" t="s">
        <v>201</v>
      </c>
      <c r="H1470" s="25">
        <v>2018007</v>
      </c>
      <c r="I1470" s="25" t="s">
        <v>19</v>
      </c>
      <c r="J1470" s="25" t="s">
        <v>1634</v>
      </c>
      <c r="K1470" s="25" t="s">
        <v>25</v>
      </c>
      <c r="L1470" s="25">
        <v>20.75</v>
      </c>
      <c r="M1470" s="25">
        <v>2.62</v>
      </c>
      <c r="N1470" s="25">
        <v>12.3</v>
      </c>
      <c r="O1470" s="25">
        <v>47.97</v>
      </c>
      <c r="P1470" s="25">
        <v>83.636300000000006</v>
      </c>
      <c r="Q1470" s="25">
        <f t="shared" si="44"/>
        <v>0</v>
      </c>
      <c r="R1470" s="25">
        <f t="shared" si="45"/>
        <v>80416.363700000002</v>
      </c>
    </row>
    <row r="1471" spans="1:18" hidden="1" x14ac:dyDescent="0.25">
      <c r="A1471" s="26">
        <v>43109</v>
      </c>
      <c r="B1471" s="25" t="s">
        <v>177</v>
      </c>
      <c r="C1471" s="25" t="s">
        <v>17</v>
      </c>
      <c r="D1471" s="25">
        <v>5000</v>
      </c>
      <c r="E1471" s="25">
        <v>16.100000000000001</v>
      </c>
      <c r="F1471" s="25">
        <v>80500</v>
      </c>
      <c r="G1471" s="25" t="s">
        <v>202</v>
      </c>
      <c r="H1471" s="25">
        <v>2018007</v>
      </c>
      <c r="I1471" s="25" t="s">
        <v>19</v>
      </c>
      <c r="J1471" s="25" t="s">
        <v>1634</v>
      </c>
      <c r="K1471" s="25" t="s">
        <v>25</v>
      </c>
      <c r="L1471" s="25">
        <v>0</v>
      </c>
      <c r="M1471" s="25">
        <v>2.62</v>
      </c>
      <c r="N1471" s="25">
        <v>0</v>
      </c>
      <c r="O1471" s="25">
        <v>47.97</v>
      </c>
      <c r="P1471" s="25">
        <v>50.586300000000001</v>
      </c>
      <c r="Q1471" s="25">
        <f t="shared" si="44"/>
        <v>80550.586299999995</v>
      </c>
      <c r="R1471" s="25">
        <f t="shared" si="45"/>
        <v>0</v>
      </c>
    </row>
    <row r="1472" spans="1:18" hidden="1" x14ac:dyDescent="0.25">
      <c r="A1472" s="26">
        <v>43109</v>
      </c>
      <c r="B1472" s="25" t="s">
        <v>177</v>
      </c>
      <c r="C1472" s="25" t="s">
        <v>23</v>
      </c>
      <c r="D1472" s="25">
        <v>5000</v>
      </c>
      <c r="E1472" s="25">
        <v>16.2</v>
      </c>
      <c r="F1472" s="25">
        <v>81000</v>
      </c>
      <c r="G1472" s="25" t="s">
        <v>203</v>
      </c>
      <c r="H1472" s="25">
        <v>2018007</v>
      </c>
      <c r="I1472" s="25" t="s">
        <v>19</v>
      </c>
      <c r="J1472" s="25" t="s">
        <v>1634</v>
      </c>
      <c r="K1472" s="25" t="s">
        <v>25</v>
      </c>
      <c r="L1472" s="25">
        <v>20.25</v>
      </c>
      <c r="M1472" s="25">
        <v>2.63</v>
      </c>
      <c r="N1472" s="25">
        <v>0</v>
      </c>
      <c r="O1472" s="25">
        <v>48.26</v>
      </c>
      <c r="P1472" s="25">
        <v>71.142499999999998</v>
      </c>
      <c r="Q1472" s="25">
        <f t="shared" si="44"/>
        <v>0</v>
      </c>
      <c r="R1472" s="25">
        <f t="shared" si="45"/>
        <v>80928.857499999998</v>
      </c>
    </row>
    <row r="1473" spans="1:18" hidden="1" x14ac:dyDescent="0.25">
      <c r="A1473" s="26">
        <v>43109</v>
      </c>
      <c r="B1473" s="25" t="s">
        <v>177</v>
      </c>
      <c r="C1473" s="25" t="s">
        <v>17</v>
      </c>
      <c r="D1473" s="25">
        <v>5000</v>
      </c>
      <c r="E1473" s="25">
        <v>16.45</v>
      </c>
      <c r="F1473" s="25">
        <v>82250</v>
      </c>
      <c r="G1473" s="25" t="s">
        <v>204</v>
      </c>
      <c r="H1473" s="25">
        <v>2018007</v>
      </c>
      <c r="I1473" s="25" t="s">
        <v>19</v>
      </c>
      <c r="J1473" s="25" t="s">
        <v>1634</v>
      </c>
      <c r="K1473" s="25" t="s">
        <v>25</v>
      </c>
      <c r="L1473" s="25">
        <v>81</v>
      </c>
      <c r="M1473" s="25">
        <v>2.67</v>
      </c>
      <c r="N1473" s="25">
        <v>0</v>
      </c>
      <c r="O1473" s="25">
        <v>534.28</v>
      </c>
      <c r="P1473" s="25">
        <v>617.95320000000004</v>
      </c>
      <c r="Q1473" s="25">
        <f t="shared" si="44"/>
        <v>82867.953200000004</v>
      </c>
      <c r="R1473" s="25">
        <f t="shared" si="45"/>
        <v>0</v>
      </c>
    </row>
    <row r="1474" spans="1:18" hidden="1" x14ac:dyDescent="0.25">
      <c r="A1474" s="26">
        <v>43105</v>
      </c>
      <c r="B1474" s="25" t="s">
        <v>187</v>
      </c>
      <c r="C1474" s="25" t="s">
        <v>17</v>
      </c>
      <c r="D1474" s="25">
        <v>5000</v>
      </c>
      <c r="E1474" s="25">
        <v>24</v>
      </c>
      <c r="F1474" s="25">
        <v>120000</v>
      </c>
      <c r="G1474" s="25" t="s">
        <v>188</v>
      </c>
      <c r="H1474" s="25">
        <v>2018005</v>
      </c>
      <c r="I1474" s="25" t="s">
        <v>19</v>
      </c>
      <c r="J1474" s="25" t="s">
        <v>20</v>
      </c>
      <c r="K1474" s="25" t="s">
        <v>25</v>
      </c>
      <c r="L1474" s="25">
        <v>0</v>
      </c>
      <c r="M1474" s="25">
        <v>3.9</v>
      </c>
      <c r="N1474" s="25">
        <v>7.2</v>
      </c>
      <c r="O1474" s="25">
        <v>71.5</v>
      </c>
      <c r="P1474" s="25">
        <v>82.6</v>
      </c>
      <c r="Q1474" s="25">
        <f t="shared" si="44"/>
        <v>120082.6</v>
      </c>
      <c r="R1474" s="25">
        <f t="shared" si="45"/>
        <v>0</v>
      </c>
    </row>
    <row r="1475" spans="1:18" hidden="1" x14ac:dyDescent="0.25">
      <c r="A1475" s="26">
        <v>43105</v>
      </c>
      <c r="B1475" s="25" t="s">
        <v>187</v>
      </c>
      <c r="C1475" s="25" t="s">
        <v>23</v>
      </c>
      <c r="D1475" s="25">
        <v>5000</v>
      </c>
      <c r="E1475" s="25">
        <v>23.65</v>
      </c>
      <c r="F1475" s="25">
        <v>118250</v>
      </c>
      <c r="G1475" s="25" t="s">
        <v>189</v>
      </c>
      <c r="H1475" s="25">
        <v>2018005</v>
      </c>
      <c r="I1475" s="25" t="s">
        <v>19</v>
      </c>
      <c r="J1475" s="25" t="s">
        <v>20</v>
      </c>
      <c r="K1475" s="25" t="s">
        <v>25</v>
      </c>
      <c r="L1475" s="25">
        <v>30</v>
      </c>
      <c r="M1475" s="25">
        <v>3.84</v>
      </c>
      <c r="N1475" s="25">
        <v>0</v>
      </c>
      <c r="O1475" s="25">
        <v>70.459999999999994</v>
      </c>
      <c r="P1475" s="25">
        <v>104.3032</v>
      </c>
      <c r="Q1475" s="25">
        <f t="shared" ref="Q1475:Q1538" si="46">IF(C1475="Buy",F1475+P1475,0)</f>
        <v>0</v>
      </c>
      <c r="R1475" s="25">
        <f t="shared" ref="R1475:R1538" si="47">IF(C1475="Sell",F1475-P1475,0)</f>
        <v>118145.69680000001</v>
      </c>
    </row>
    <row r="1476" spans="1:18" hidden="1" x14ac:dyDescent="0.25">
      <c r="A1476" s="26">
        <v>43104</v>
      </c>
      <c r="B1476" s="25" t="s">
        <v>190</v>
      </c>
      <c r="C1476" s="25" t="s">
        <v>17</v>
      </c>
      <c r="D1476" s="25">
        <v>5000</v>
      </c>
      <c r="E1476" s="25">
        <v>15.95</v>
      </c>
      <c r="F1476" s="25">
        <v>79750</v>
      </c>
      <c r="G1476" s="25" t="s">
        <v>191</v>
      </c>
      <c r="H1476" s="25">
        <v>2018004</v>
      </c>
      <c r="I1476" s="25" t="s">
        <v>140</v>
      </c>
      <c r="J1476" s="25" t="s">
        <v>20</v>
      </c>
      <c r="K1476" s="25" t="s">
        <v>25</v>
      </c>
      <c r="L1476" s="25">
        <v>80</v>
      </c>
      <c r="M1476" s="25">
        <v>2.59</v>
      </c>
      <c r="N1476" s="25">
        <v>2.4</v>
      </c>
      <c r="O1476" s="25">
        <v>518.04</v>
      </c>
      <c r="P1476" s="25">
        <v>603.03189999999995</v>
      </c>
      <c r="Q1476" s="25">
        <f t="shared" si="46"/>
        <v>80353.031900000002</v>
      </c>
      <c r="R1476" s="25">
        <f t="shared" si="47"/>
        <v>0</v>
      </c>
    </row>
    <row r="1477" spans="1:18" hidden="1" x14ac:dyDescent="0.25">
      <c r="A1477" s="26">
        <v>43104</v>
      </c>
      <c r="B1477" s="25" t="s">
        <v>192</v>
      </c>
      <c r="C1477" s="25" t="s">
        <v>17</v>
      </c>
      <c r="D1477" s="25">
        <v>100</v>
      </c>
      <c r="E1477" s="25">
        <v>38.700000000000003</v>
      </c>
      <c r="F1477" s="25">
        <v>3870</v>
      </c>
      <c r="G1477" s="25" t="s">
        <v>193</v>
      </c>
      <c r="H1477" s="25">
        <v>2018004</v>
      </c>
      <c r="I1477" s="25" t="s">
        <v>19</v>
      </c>
      <c r="J1477" s="25" t="s">
        <v>20</v>
      </c>
      <c r="K1477" s="25" t="s">
        <v>25</v>
      </c>
      <c r="L1477" s="25">
        <v>0</v>
      </c>
      <c r="M1477" s="25">
        <v>0.13</v>
      </c>
      <c r="N1477" s="25">
        <v>0.3</v>
      </c>
      <c r="O1477" s="25">
        <v>29.52</v>
      </c>
      <c r="P1477" s="25">
        <v>29.945799999999998</v>
      </c>
      <c r="Q1477" s="25">
        <f t="shared" si="46"/>
        <v>3899.9458</v>
      </c>
      <c r="R1477" s="25">
        <f t="shared" si="47"/>
        <v>0</v>
      </c>
    </row>
    <row r="1478" spans="1:18" hidden="1" x14ac:dyDescent="0.25">
      <c r="A1478" s="26">
        <v>43104</v>
      </c>
      <c r="B1478" s="25" t="s">
        <v>192</v>
      </c>
      <c r="C1478" s="25" t="s">
        <v>23</v>
      </c>
      <c r="D1478" s="25">
        <v>100</v>
      </c>
      <c r="E1478" s="25">
        <v>37.6</v>
      </c>
      <c r="F1478" s="25">
        <v>3760</v>
      </c>
      <c r="G1478" s="25" t="s">
        <v>194</v>
      </c>
      <c r="H1478" s="25">
        <v>2018004</v>
      </c>
      <c r="I1478" s="25" t="s">
        <v>19</v>
      </c>
      <c r="J1478" s="25" t="s">
        <v>20</v>
      </c>
      <c r="K1478" s="25" t="s">
        <v>25</v>
      </c>
      <c r="L1478" s="25">
        <v>1</v>
      </c>
      <c r="M1478" s="25">
        <v>0.12</v>
      </c>
      <c r="N1478" s="25">
        <v>0</v>
      </c>
      <c r="O1478" s="25">
        <v>29.52</v>
      </c>
      <c r="P1478" s="25">
        <v>30.642199999999999</v>
      </c>
      <c r="Q1478" s="25">
        <f t="shared" si="46"/>
        <v>0</v>
      </c>
      <c r="R1478" s="25">
        <f t="shared" si="47"/>
        <v>3729.3578000000002</v>
      </c>
    </row>
    <row r="1479" spans="1:18" hidden="1" x14ac:dyDescent="0.25">
      <c r="A1479" s="26">
        <v>43103</v>
      </c>
      <c r="B1479" s="25" t="s">
        <v>195</v>
      </c>
      <c r="C1479" s="25" t="s">
        <v>17</v>
      </c>
      <c r="D1479" s="25">
        <v>1000</v>
      </c>
      <c r="E1479" s="25">
        <v>98.65</v>
      </c>
      <c r="F1479" s="25">
        <v>98650</v>
      </c>
      <c r="G1479" s="25" t="s">
        <v>196</v>
      </c>
      <c r="H1479" s="25">
        <v>2018003</v>
      </c>
      <c r="I1479" s="25" t="s">
        <v>19</v>
      </c>
      <c r="J1479" s="25" t="s">
        <v>20</v>
      </c>
      <c r="K1479" s="25" t="s">
        <v>25</v>
      </c>
      <c r="L1479" s="25">
        <v>99</v>
      </c>
      <c r="M1479" s="25">
        <v>3.21</v>
      </c>
      <c r="N1479" s="25">
        <v>3</v>
      </c>
      <c r="O1479" s="25">
        <v>640.82000000000005</v>
      </c>
      <c r="P1479" s="25">
        <v>746.02620000000002</v>
      </c>
      <c r="Q1479" s="25">
        <f t="shared" si="46"/>
        <v>99396.026199999993</v>
      </c>
      <c r="R1479" s="25">
        <f t="shared" si="47"/>
        <v>0</v>
      </c>
    </row>
    <row r="1480" spans="1:18" hidden="1" x14ac:dyDescent="0.25">
      <c r="A1480" s="26">
        <v>43102</v>
      </c>
      <c r="B1480" s="25" t="s">
        <v>179</v>
      </c>
      <c r="C1480" s="25" t="s">
        <v>23</v>
      </c>
      <c r="D1480" s="25">
        <v>500</v>
      </c>
      <c r="E1480" s="25">
        <v>91</v>
      </c>
      <c r="F1480" s="25">
        <v>45500</v>
      </c>
      <c r="G1480" s="25" t="s">
        <v>180</v>
      </c>
      <c r="H1480" s="25">
        <v>2018002</v>
      </c>
      <c r="I1480" s="25" t="s">
        <v>19</v>
      </c>
      <c r="J1480" s="25" t="s">
        <v>20</v>
      </c>
      <c r="K1480" s="25" t="s">
        <v>25</v>
      </c>
      <c r="L1480" s="25">
        <v>45.5</v>
      </c>
      <c r="M1480" s="25">
        <v>1.48</v>
      </c>
      <c r="N1480" s="25">
        <v>0</v>
      </c>
      <c r="O1480" s="25">
        <v>295.56</v>
      </c>
      <c r="P1480" s="25">
        <v>342.53879999999998</v>
      </c>
      <c r="Q1480" s="25">
        <f t="shared" si="46"/>
        <v>0</v>
      </c>
      <c r="R1480" s="25">
        <f t="shared" si="47"/>
        <v>45157.461199999998</v>
      </c>
    </row>
    <row r="1481" spans="1:18" hidden="1" x14ac:dyDescent="0.25">
      <c r="A1481" s="26">
        <v>43102</v>
      </c>
      <c r="B1481" s="25" t="s">
        <v>35</v>
      </c>
      <c r="C1481" s="25" t="s">
        <v>23</v>
      </c>
      <c r="D1481" s="25">
        <v>1000</v>
      </c>
      <c r="E1481" s="25">
        <v>71</v>
      </c>
      <c r="F1481" s="25">
        <v>71000</v>
      </c>
      <c r="G1481" s="25" t="s">
        <v>181</v>
      </c>
      <c r="H1481" s="25">
        <v>2018002</v>
      </c>
      <c r="I1481" s="25" t="s">
        <v>19</v>
      </c>
      <c r="J1481" s="25" t="s">
        <v>20</v>
      </c>
      <c r="K1481" s="25" t="s">
        <v>25</v>
      </c>
      <c r="L1481" s="25">
        <v>71.5</v>
      </c>
      <c r="M1481" s="25">
        <v>2.31</v>
      </c>
      <c r="N1481" s="25">
        <v>3.6</v>
      </c>
      <c r="O1481" s="25">
        <v>461.2</v>
      </c>
      <c r="P1481" s="25">
        <v>538.60749999999996</v>
      </c>
      <c r="Q1481" s="25">
        <f t="shared" si="46"/>
        <v>0</v>
      </c>
      <c r="R1481" s="25">
        <f t="shared" si="47"/>
        <v>70461.392500000002</v>
      </c>
    </row>
    <row r="1482" spans="1:18" hidden="1" x14ac:dyDescent="0.25">
      <c r="A1482" s="26">
        <v>43101</v>
      </c>
      <c r="B1482" s="25" t="s">
        <v>177</v>
      </c>
      <c r="C1482" s="25" t="s">
        <v>17</v>
      </c>
      <c r="D1482" s="25">
        <v>5000</v>
      </c>
      <c r="E1482" s="25">
        <v>15.75</v>
      </c>
      <c r="F1482" s="25">
        <v>78750</v>
      </c>
      <c r="G1482" s="25" t="s">
        <v>182</v>
      </c>
      <c r="H1482" s="25">
        <v>2018001</v>
      </c>
      <c r="I1482" s="25" t="s">
        <v>19</v>
      </c>
      <c r="J1482" s="25" t="s">
        <v>20</v>
      </c>
      <c r="K1482" s="25" t="s">
        <v>25</v>
      </c>
      <c r="L1482" s="25">
        <v>78.75</v>
      </c>
      <c r="M1482" s="25">
        <v>2.56</v>
      </c>
      <c r="N1482" s="25">
        <v>0</v>
      </c>
      <c r="O1482" s="25">
        <v>511.55</v>
      </c>
      <c r="P1482" s="25">
        <v>592.85940000000005</v>
      </c>
      <c r="Q1482" s="25">
        <f t="shared" si="46"/>
        <v>79342.859400000001</v>
      </c>
      <c r="R1482" s="25">
        <f t="shared" si="47"/>
        <v>0</v>
      </c>
    </row>
    <row r="1483" spans="1:18" hidden="1" x14ac:dyDescent="0.25">
      <c r="A1483" s="26">
        <v>43101</v>
      </c>
      <c r="B1483" s="25" t="s">
        <v>26</v>
      </c>
      <c r="C1483" s="25" t="s">
        <v>23</v>
      </c>
      <c r="D1483" s="25">
        <v>500</v>
      </c>
      <c r="E1483" s="25">
        <v>135.81</v>
      </c>
      <c r="F1483" s="25">
        <v>67905</v>
      </c>
      <c r="G1483" s="25" t="s">
        <v>183</v>
      </c>
      <c r="H1483" s="25">
        <v>2018001</v>
      </c>
      <c r="I1483" s="25" t="s">
        <v>19</v>
      </c>
      <c r="J1483" s="25" t="s">
        <v>20</v>
      </c>
      <c r="K1483" s="25" t="s">
        <v>25</v>
      </c>
      <c r="L1483" s="25">
        <v>67.75</v>
      </c>
      <c r="M1483" s="25">
        <v>2.21</v>
      </c>
      <c r="N1483" s="25">
        <v>5.7</v>
      </c>
      <c r="O1483" s="25">
        <v>441.1</v>
      </c>
      <c r="P1483" s="25">
        <v>516.7568</v>
      </c>
      <c r="Q1483" s="25">
        <f t="shared" si="46"/>
        <v>0</v>
      </c>
      <c r="R1483" s="25">
        <f t="shared" si="47"/>
        <v>67388.243199999997</v>
      </c>
    </row>
    <row r="1484" spans="1:18" hidden="1" x14ac:dyDescent="0.25">
      <c r="A1484" s="26">
        <v>43101</v>
      </c>
      <c r="B1484" s="25" t="s">
        <v>51</v>
      </c>
      <c r="C1484" s="25" t="s">
        <v>17</v>
      </c>
      <c r="D1484" s="25">
        <v>100</v>
      </c>
      <c r="E1484" s="25">
        <v>335</v>
      </c>
      <c r="F1484" s="25">
        <v>33500</v>
      </c>
      <c r="G1484" s="25" t="s">
        <v>184</v>
      </c>
      <c r="H1484" s="25">
        <v>2018001</v>
      </c>
      <c r="I1484" s="25" t="s">
        <v>19</v>
      </c>
      <c r="J1484" s="25" t="s">
        <v>20</v>
      </c>
      <c r="K1484" s="25" t="s">
        <v>25</v>
      </c>
      <c r="L1484" s="25">
        <v>33.5</v>
      </c>
      <c r="M1484" s="25">
        <v>1.0900000000000001</v>
      </c>
      <c r="N1484" s="25">
        <v>0</v>
      </c>
      <c r="O1484" s="25">
        <v>217.61</v>
      </c>
      <c r="P1484" s="25">
        <v>252.19880000000001</v>
      </c>
      <c r="Q1484" s="25">
        <f t="shared" si="46"/>
        <v>33752.198799999998</v>
      </c>
      <c r="R1484" s="25">
        <f t="shared" si="47"/>
        <v>0</v>
      </c>
    </row>
    <row r="1485" spans="1:18" hidden="1" x14ac:dyDescent="0.25">
      <c r="A1485" s="26">
        <v>43098</v>
      </c>
      <c r="B1485" s="25" t="s">
        <v>179</v>
      </c>
      <c r="C1485" s="25" t="s">
        <v>17</v>
      </c>
      <c r="D1485" s="25">
        <v>500</v>
      </c>
      <c r="E1485" s="25">
        <v>69.930000000000007</v>
      </c>
      <c r="F1485" s="25">
        <v>34962.5</v>
      </c>
      <c r="G1485" s="25" t="s">
        <v>185</v>
      </c>
      <c r="H1485" s="25">
        <v>2017248</v>
      </c>
      <c r="I1485" s="25" t="s">
        <v>19</v>
      </c>
      <c r="J1485" s="25" t="s">
        <v>20</v>
      </c>
      <c r="K1485" s="25" t="s">
        <v>25</v>
      </c>
      <c r="L1485" s="25">
        <v>34.5</v>
      </c>
      <c r="M1485" s="25">
        <v>1.1399999999999999</v>
      </c>
      <c r="N1485" s="25">
        <v>2.4</v>
      </c>
      <c r="O1485" s="25">
        <v>227.11</v>
      </c>
      <c r="P1485" s="25">
        <v>265.14620000000002</v>
      </c>
      <c r="Q1485" s="25">
        <f t="shared" si="46"/>
        <v>35227.646200000003</v>
      </c>
      <c r="R1485" s="25">
        <f t="shared" si="47"/>
        <v>0</v>
      </c>
    </row>
    <row r="1486" spans="1:18" hidden="1" x14ac:dyDescent="0.25">
      <c r="A1486" s="26">
        <v>43098</v>
      </c>
      <c r="B1486" s="25" t="s">
        <v>177</v>
      </c>
      <c r="C1486" s="25" t="s">
        <v>23</v>
      </c>
      <c r="D1486" s="25">
        <v>2500</v>
      </c>
      <c r="E1486" s="25">
        <v>15.4</v>
      </c>
      <c r="F1486" s="25">
        <v>38500</v>
      </c>
      <c r="G1486" s="25" t="s">
        <v>186</v>
      </c>
      <c r="H1486" s="25">
        <v>2017248</v>
      </c>
      <c r="I1486" s="25" t="s">
        <v>19</v>
      </c>
      <c r="J1486" s="25" t="s">
        <v>20</v>
      </c>
      <c r="K1486" s="25" t="s">
        <v>25</v>
      </c>
      <c r="L1486" s="25">
        <v>38.5</v>
      </c>
      <c r="M1486" s="25">
        <v>1.25</v>
      </c>
      <c r="N1486" s="25">
        <v>0</v>
      </c>
      <c r="O1486" s="25">
        <v>250.09</v>
      </c>
      <c r="P1486" s="25">
        <v>289.84129999999999</v>
      </c>
      <c r="Q1486" s="25">
        <f t="shared" si="46"/>
        <v>0</v>
      </c>
      <c r="R1486" s="25">
        <f t="shared" si="47"/>
        <v>38210.1587</v>
      </c>
    </row>
    <row r="1487" spans="1:18" hidden="1" x14ac:dyDescent="0.25">
      <c r="A1487" s="26">
        <v>43097</v>
      </c>
      <c r="B1487" s="25" t="s">
        <v>35</v>
      </c>
      <c r="C1487" s="25" t="s">
        <v>17</v>
      </c>
      <c r="D1487" s="25">
        <v>1000</v>
      </c>
      <c r="E1487" s="25">
        <v>48.75</v>
      </c>
      <c r="F1487" s="25">
        <v>48750</v>
      </c>
      <c r="G1487" s="25" t="s">
        <v>175</v>
      </c>
      <c r="H1487" s="25">
        <v>2017247</v>
      </c>
      <c r="I1487" s="25" t="s">
        <v>19</v>
      </c>
      <c r="J1487" s="25" t="s">
        <v>20</v>
      </c>
      <c r="K1487" s="25" t="s">
        <v>25</v>
      </c>
      <c r="L1487" s="25">
        <v>48.5</v>
      </c>
      <c r="M1487" s="25">
        <v>1.58</v>
      </c>
      <c r="N1487" s="25">
        <v>3</v>
      </c>
      <c r="O1487" s="25">
        <v>316.69</v>
      </c>
      <c r="P1487" s="25">
        <v>369.77429999999998</v>
      </c>
      <c r="Q1487" s="25">
        <f t="shared" si="46"/>
        <v>49119.774299999997</v>
      </c>
      <c r="R1487" s="25">
        <f t="shared" si="47"/>
        <v>0</v>
      </c>
    </row>
    <row r="1488" spans="1:18" hidden="1" x14ac:dyDescent="0.25">
      <c r="A1488" s="26">
        <v>43097</v>
      </c>
      <c r="B1488" s="25" t="s">
        <v>16</v>
      </c>
      <c r="C1488" s="25" t="s">
        <v>23</v>
      </c>
      <c r="D1488" s="25">
        <v>500</v>
      </c>
      <c r="E1488" s="25">
        <v>93</v>
      </c>
      <c r="F1488" s="25">
        <v>46500</v>
      </c>
      <c r="G1488" s="25" t="s">
        <v>176</v>
      </c>
      <c r="H1488" s="25">
        <v>2017247</v>
      </c>
      <c r="I1488" s="25" t="s">
        <v>19</v>
      </c>
      <c r="J1488" s="25" t="s">
        <v>20</v>
      </c>
      <c r="K1488" s="25" t="s">
        <v>25</v>
      </c>
      <c r="L1488" s="25">
        <v>46.5</v>
      </c>
      <c r="M1488" s="25">
        <v>1.51</v>
      </c>
      <c r="N1488" s="25">
        <v>0</v>
      </c>
      <c r="O1488" s="25">
        <v>302.06</v>
      </c>
      <c r="P1488" s="25">
        <v>350.07130000000001</v>
      </c>
      <c r="Q1488" s="25">
        <f t="shared" si="46"/>
        <v>0</v>
      </c>
      <c r="R1488" s="25">
        <f t="shared" si="47"/>
        <v>46149.928699999997</v>
      </c>
    </row>
    <row r="1489" spans="1:18" hidden="1" x14ac:dyDescent="0.25">
      <c r="A1489" s="26">
        <v>43091</v>
      </c>
      <c r="B1489" s="25" t="s">
        <v>177</v>
      </c>
      <c r="C1489" s="25" t="s">
        <v>17</v>
      </c>
      <c r="D1489" s="25">
        <v>2500</v>
      </c>
      <c r="E1489" s="25">
        <v>14.55</v>
      </c>
      <c r="F1489" s="25">
        <v>36375</v>
      </c>
      <c r="G1489" s="25" t="s">
        <v>178</v>
      </c>
      <c r="H1489" s="25">
        <v>2017244</v>
      </c>
      <c r="I1489" s="25" t="s">
        <v>19</v>
      </c>
      <c r="J1489" s="25" t="s">
        <v>20</v>
      </c>
      <c r="K1489" s="25" t="s">
        <v>25</v>
      </c>
      <c r="L1489" s="25">
        <v>36</v>
      </c>
      <c r="M1489" s="25">
        <v>1.18</v>
      </c>
      <c r="N1489" s="25">
        <v>1.2</v>
      </c>
      <c r="O1489" s="25">
        <v>236.29</v>
      </c>
      <c r="P1489" s="25">
        <v>274.67219999999998</v>
      </c>
      <c r="Q1489" s="25">
        <f t="shared" si="46"/>
        <v>36649.672200000001</v>
      </c>
      <c r="R1489" s="25">
        <f t="shared" si="47"/>
        <v>0</v>
      </c>
    </row>
    <row r="1490" spans="1:18" hidden="1" x14ac:dyDescent="0.25">
      <c r="A1490" s="26">
        <v>43088</v>
      </c>
      <c r="B1490" s="25" t="s">
        <v>29</v>
      </c>
      <c r="C1490" s="25" t="s">
        <v>23</v>
      </c>
      <c r="D1490" s="25">
        <v>5000</v>
      </c>
      <c r="E1490" s="25">
        <v>17.8</v>
      </c>
      <c r="F1490" s="25">
        <v>89000</v>
      </c>
      <c r="G1490" s="25" t="s">
        <v>174</v>
      </c>
      <c r="H1490" s="25">
        <v>2017241</v>
      </c>
      <c r="I1490" s="25" t="s">
        <v>19</v>
      </c>
      <c r="J1490" s="25" t="s">
        <v>20</v>
      </c>
      <c r="K1490" s="25" t="s">
        <v>25</v>
      </c>
      <c r="L1490" s="25">
        <v>89</v>
      </c>
      <c r="M1490" s="25">
        <v>2.89</v>
      </c>
      <c r="N1490" s="25">
        <v>2.7</v>
      </c>
      <c r="O1490" s="25">
        <v>578.13</v>
      </c>
      <c r="P1490" s="25">
        <v>672.72249999999997</v>
      </c>
      <c r="Q1490" s="25">
        <f t="shared" si="46"/>
        <v>0</v>
      </c>
      <c r="R1490" s="25">
        <f t="shared" si="47"/>
        <v>88327.277499999997</v>
      </c>
    </row>
    <row r="1491" spans="1:18" hidden="1" x14ac:dyDescent="0.25">
      <c r="A1491" s="26">
        <v>43083</v>
      </c>
      <c r="B1491" s="25" t="s">
        <v>26</v>
      </c>
      <c r="C1491" s="25" t="s">
        <v>17</v>
      </c>
      <c r="D1491" s="25">
        <v>500</v>
      </c>
      <c r="E1491" s="25">
        <v>130.69999999999999</v>
      </c>
      <c r="F1491" s="25">
        <v>65350</v>
      </c>
      <c r="G1491" s="25" t="s">
        <v>173</v>
      </c>
      <c r="H1491" s="25">
        <v>201718178</v>
      </c>
      <c r="I1491" s="25" t="s">
        <v>19</v>
      </c>
      <c r="J1491" s="25" t="s">
        <v>20</v>
      </c>
      <c r="K1491" s="25" t="s">
        <v>21</v>
      </c>
      <c r="L1491" s="25">
        <v>65.489999999999995</v>
      </c>
      <c r="M1491" s="25">
        <v>1.93</v>
      </c>
      <c r="N1491" s="25">
        <v>3.3</v>
      </c>
      <c r="O1491" s="25">
        <v>424.47</v>
      </c>
      <c r="P1491" s="25">
        <v>495.18779999999998</v>
      </c>
      <c r="Q1491" s="25">
        <f t="shared" si="46"/>
        <v>65845.1878</v>
      </c>
      <c r="R1491" s="25">
        <f t="shared" si="47"/>
        <v>0</v>
      </c>
    </row>
    <row r="1492" spans="1:18" hidden="1" x14ac:dyDescent="0.25">
      <c r="A1492" s="26">
        <v>43083</v>
      </c>
      <c r="B1492" s="25" t="s">
        <v>16</v>
      </c>
      <c r="C1492" s="25" t="s">
        <v>17</v>
      </c>
      <c r="D1492" s="25">
        <v>500</v>
      </c>
      <c r="E1492" s="25">
        <v>77.03</v>
      </c>
      <c r="F1492" s="25">
        <v>38513.1</v>
      </c>
      <c r="G1492" s="25" t="s">
        <v>18</v>
      </c>
      <c r="H1492" s="25">
        <v>201718178</v>
      </c>
      <c r="I1492" s="25" t="s">
        <v>19</v>
      </c>
      <c r="J1492" s="25" t="s">
        <v>20</v>
      </c>
      <c r="K1492" s="25" t="s">
        <v>21</v>
      </c>
      <c r="L1492" s="25">
        <v>38.51</v>
      </c>
      <c r="M1492" s="25">
        <v>1.1399999999999999</v>
      </c>
      <c r="N1492" s="25">
        <v>0</v>
      </c>
      <c r="O1492" s="25">
        <v>250.15</v>
      </c>
      <c r="P1492" s="25">
        <v>289.7962</v>
      </c>
      <c r="Q1492" s="25">
        <f t="shared" si="46"/>
        <v>38802.896199999996</v>
      </c>
      <c r="R1492" s="25">
        <f t="shared" si="47"/>
        <v>0</v>
      </c>
    </row>
    <row r="1493" spans="1:18" hidden="1" x14ac:dyDescent="0.25">
      <c r="A1493" s="26">
        <v>43083</v>
      </c>
      <c r="B1493" s="25" t="s">
        <v>22</v>
      </c>
      <c r="C1493" s="25" t="s">
        <v>23</v>
      </c>
      <c r="D1493" s="25">
        <v>1000</v>
      </c>
      <c r="E1493" s="25">
        <v>71.349999999999994</v>
      </c>
      <c r="F1493" s="25">
        <v>71345.05</v>
      </c>
      <c r="G1493" s="25" t="s">
        <v>24</v>
      </c>
      <c r="H1493" s="25">
        <v>2017238</v>
      </c>
      <c r="I1493" s="25" t="s">
        <v>19</v>
      </c>
      <c r="J1493" s="25" t="s">
        <v>20</v>
      </c>
      <c r="K1493" s="25" t="s">
        <v>25</v>
      </c>
      <c r="L1493" s="25">
        <v>71</v>
      </c>
      <c r="M1493" s="25">
        <v>2.3199999999999998</v>
      </c>
      <c r="N1493" s="25">
        <v>2.4</v>
      </c>
      <c r="O1493" s="25">
        <v>463.45</v>
      </c>
      <c r="P1493" s="25">
        <v>539.16869999999994</v>
      </c>
      <c r="Q1493" s="25">
        <f t="shared" si="46"/>
        <v>0</v>
      </c>
      <c r="R1493" s="25">
        <f t="shared" si="47"/>
        <v>70805.881300000008</v>
      </c>
    </row>
    <row r="1494" spans="1:18" hidden="1" x14ac:dyDescent="0.25">
      <c r="A1494" s="26">
        <v>43077</v>
      </c>
      <c r="B1494" s="25" t="s">
        <v>26</v>
      </c>
      <c r="C1494" s="25" t="s">
        <v>17</v>
      </c>
      <c r="D1494" s="25">
        <v>500</v>
      </c>
      <c r="E1494" s="25">
        <v>137.24</v>
      </c>
      <c r="F1494" s="25">
        <v>68618.100000000006</v>
      </c>
      <c r="G1494" s="25" t="s">
        <v>27</v>
      </c>
      <c r="H1494" s="25">
        <v>2017234</v>
      </c>
      <c r="I1494" s="25" t="s">
        <v>19</v>
      </c>
      <c r="J1494" s="25" t="s">
        <v>20</v>
      </c>
      <c r="K1494" s="25" t="s">
        <v>25</v>
      </c>
      <c r="L1494" s="25">
        <v>68.62</v>
      </c>
      <c r="M1494" s="25">
        <v>2.23</v>
      </c>
      <c r="N1494" s="25">
        <v>0</v>
      </c>
      <c r="O1494" s="25">
        <v>445.73</v>
      </c>
      <c r="P1494" s="25">
        <v>516.58010000000002</v>
      </c>
      <c r="Q1494" s="25">
        <f t="shared" si="46"/>
        <v>69134.680100000012</v>
      </c>
      <c r="R1494" s="25">
        <f t="shared" si="47"/>
        <v>0</v>
      </c>
    </row>
    <row r="1495" spans="1:18" hidden="1" x14ac:dyDescent="0.25">
      <c r="A1495" s="26">
        <v>43077</v>
      </c>
      <c r="B1495" s="25" t="s">
        <v>22</v>
      </c>
      <c r="C1495" s="25" t="s">
        <v>17</v>
      </c>
      <c r="D1495" s="25">
        <v>1000</v>
      </c>
      <c r="E1495" s="25">
        <v>78.650000000000006</v>
      </c>
      <c r="F1495" s="25">
        <v>78650</v>
      </c>
      <c r="G1495" s="25" t="s">
        <v>28</v>
      </c>
      <c r="H1495" s="25">
        <v>2017234</v>
      </c>
      <c r="I1495" s="25" t="s">
        <v>19</v>
      </c>
      <c r="J1495" s="25" t="s">
        <v>20</v>
      </c>
      <c r="K1495" s="25" t="s">
        <v>25</v>
      </c>
      <c r="L1495" s="25">
        <v>78.38</v>
      </c>
      <c r="M1495" s="25">
        <v>2.56</v>
      </c>
      <c r="N1495" s="25">
        <v>4.5</v>
      </c>
      <c r="O1495" s="25">
        <v>510.9</v>
      </c>
      <c r="P1495" s="25">
        <v>596.33600000000001</v>
      </c>
      <c r="Q1495" s="25">
        <f t="shared" si="46"/>
        <v>79246.335999999996</v>
      </c>
      <c r="R1495" s="25">
        <f t="shared" si="47"/>
        <v>0</v>
      </c>
    </row>
    <row r="1496" spans="1:18" hidden="1" x14ac:dyDescent="0.25">
      <c r="A1496" s="26">
        <v>43075</v>
      </c>
      <c r="B1496" s="25" t="s">
        <v>29</v>
      </c>
      <c r="C1496" s="25" t="s">
        <v>17</v>
      </c>
      <c r="D1496" s="25">
        <v>5000</v>
      </c>
      <c r="E1496" s="25">
        <v>16.7</v>
      </c>
      <c r="F1496" s="25">
        <v>83500</v>
      </c>
      <c r="G1496" s="25" t="s">
        <v>30</v>
      </c>
      <c r="H1496" s="25">
        <v>2017232</v>
      </c>
      <c r="I1496" s="25" t="s">
        <v>19</v>
      </c>
      <c r="J1496" s="25" t="s">
        <v>20</v>
      </c>
      <c r="K1496" s="25" t="s">
        <v>25</v>
      </c>
      <c r="L1496" s="25">
        <v>84</v>
      </c>
      <c r="M1496" s="25">
        <v>2.71</v>
      </c>
      <c r="N1496" s="25">
        <v>2.7</v>
      </c>
      <c r="O1496" s="25">
        <v>542.4</v>
      </c>
      <c r="P1496" s="25">
        <v>631.81380000000001</v>
      </c>
      <c r="Q1496" s="25">
        <f t="shared" si="46"/>
        <v>84131.813800000004</v>
      </c>
      <c r="R1496" s="25">
        <f t="shared" si="47"/>
        <v>0</v>
      </c>
    </row>
    <row r="1497" spans="1:18" hidden="1" x14ac:dyDescent="0.25">
      <c r="A1497" s="26">
        <v>43070</v>
      </c>
      <c r="B1497" s="25" t="s">
        <v>16</v>
      </c>
      <c r="C1497" s="25" t="s">
        <v>23</v>
      </c>
      <c r="D1497" s="25">
        <v>500</v>
      </c>
      <c r="E1497" s="25">
        <v>73.599999999999994</v>
      </c>
      <c r="F1497" s="25">
        <v>36800</v>
      </c>
      <c r="G1497" s="25" t="s">
        <v>31</v>
      </c>
      <c r="H1497" s="25">
        <v>201718169</v>
      </c>
      <c r="I1497" s="25" t="s">
        <v>19</v>
      </c>
      <c r="J1497" s="25" t="s">
        <v>20</v>
      </c>
      <c r="K1497" s="25" t="s">
        <v>21</v>
      </c>
      <c r="L1497" s="25">
        <v>37</v>
      </c>
      <c r="M1497" s="25">
        <v>1.0900000000000001</v>
      </c>
      <c r="N1497" s="25">
        <v>1.2</v>
      </c>
      <c r="O1497" s="25">
        <v>239.03</v>
      </c>
      <c r="P1497" s="25">
        <v>278.31560000000002</v>
      </c>
      <c r="Q1497" s="25">
        <f t="shared" si="46"/>
        <v>0</v>
      </c>
      <c r="R1497" s="25">
        <f t="shared" si="47"/>
        <v>36521.684399999998</v>
      </c>
    </row>
    <row r="1498" spans="1:18" hidden="1" x14ac:dyDescent="0.25">
      <c r="A1498" s="26">
        <v>43060</v>
      </c>
      <c r="B1498" s="25" t="s">
        <v>26</v>
      </c>
      <c r="C1498" s="25" t="s">
        <v>17</v>
      </c>
      <c r="D1498" s="25">
        <v>1000</v>
      </c>
      <c r="E1498" s="25">
        <v>142</v>
      </c>
      <c r="F1498" s="25">
        <v>142000</v>
      </c>
      <c r="G1498" s="25" t="s">
        <v>32</v>
      </c>
      <c r="H1498" s="25">
        <v>201718161</v>
      </c>
      <c r="I1498" s="25" t="s">
        <v>19</v>
      </c>
      <c r="J1498" s="25" t="s">
        <v>20</v>
      </c>
      <c r="K1498" s="25" t="s">
        <v>21</v>
      </c>
      <c r="L1498" s="25">
        <v>0</v>
      </c>
      <c r="M1498" s="25">
        <v>4.1900000000000004</v>
      </c>
      <c r="N1498" s="25">
        <v>8.4</v>
      </c>
      <c r="O1498" s="25">
        <v>922.33</v>
      </c>
      <c r="P1498" s="25">
        <v>934.91899999999998</v>
      </c>
      <c r="Q1498" s="25">
        <f t="shared" si="46"/>
        <v>142934.91899999999</v>
      </c>
      <c r="R1498" s="25">
        <f t="shared" si="47"/>
        <v>0</v>
      </c>
    </row>
    <row r="1499" spans="1:18" hidden="1" x14ac:dyDescent="0.25">
      <c r="A1499" s="26">
        <v>43060</v>
      </c>
      <c r="B1499" s="25" t="s">
        <v>26</v>
      </c>
      <c r="C1499" s="25" t="s">
        <v>23</v>
      </c>
      <c r="D1499" s="25">
        <v>1000</v>
      </c>
      <c r="E1499" s="25">
        <v>132.53</v>
      </c>
      <c r="F1499" s="25">
        <v>132525.1</v>
      </c>
      <c r="G1499" s="25" t="s">
        <v>33</v>
      </c>
      <c r="H1499" s="25">
        <v>201718161</v>
      </c>
      <c r="I1499" s="25" t="s">
        <v>19</v>
      </c>
      <c r="J1499" s="25" t="s">
        <v>20</v>
      </c>
      <c r="K1499" s="25" t="s">
        <v>21</v>
      </c>
      <c r="L1499" s="25">
        <v>34</v>
      </c>
      <c r="M1499" s="25">
        <v>3.91</v>
      </c>
      <c r="N1499" s="25">
        <v>0</v>
      </c>
      <c r="O1499" s="25">
        <v>0.7</v>
      </c>
      <c r="P1499" s="25">
        <v>38.609499999999997</v>
      </c>
      <c r="Q1499" s="25">
        <f t="shared" si="46"/>
        <v>0</v>
      </c>
      <c r="R1499" s="25">
        <f t="shared" si="47"/>
        <v>132486.49050000001</v>
      </c>
    </row>
    <row r="1500" spans="1:18" hidden="1" x14ac:dyDescent="0.25">
      <c r="A1500" s="26">
        <v>43055</v>
      </c>
      <c r="B1500" s="25" t="s">
        <v>16</v>
      </c>
      <c r="C1500" s="25" t="s">
        <v>17</v>
      </c>
      <c r="D1500" s="25">
        <v>500</v>
      </c>
      <c r="E1500" s="25">
        <v>69</v>
      </c>
      <c r="F1500" s="25">
        <v>34500</v>
      </c>
      <c r="G1500" s="25" t="s">
        <v>34</v>
      </c>
      <c r="H1500" s="25">
        <v>201718158</v>
      </c>
      <c r="I1500" s="25" t="s">
        <v>19</v>
      </c>
      <c r="J1500" s="25" t="s">
        <v>20</v>
      </c>
      <c r="K1500" s="25" t="s">
        <v>21</v>
      </c>
      <c r="L1500" s="25">
        <v>35</v>
      </c>
      <c r="M1500" s="25">
        <v>1.02</v>
      </c>
      <c r="N1500" s="25">
        <v>1.2</v>
      </c>
      <c r="O1500" s="25">
        <v>224.09</v>
      </c>
      <c r="P1500" s="25">
        <v>261.30770000000001</v>
      </c>
      <c r="Q1500" s="25">
        <f t="shared" si="46"/>
        <v>34761.307699999998</v>
      </c>
      <c r="R1500" s="25">
        <f t="shared" si="47"/>
        <v>0</v>
      </c>
    </row>
    <row r="1501" spans="1:18" hidden="1" x14ac:dyDescent="0.25">
      <c r="A1501" s="26">
        <v>43012</v>
      </c>
      <c r="B1501" s="25" t="s">
        <v>35</v>
      </c>
      <c r="C1501" s="25" t="s">
        <v>23</v>
      </c>
      <c r="D1501" s="25">
        <v>2000</v>
      </c>
      <c r="E1501" s="25">
        <v>51.06</v>
      </c>
      <c r="F1501" s="25">
        <v>102113</v>
      </c>
      <c r="G1501" s="25" t="s">
        <v>36</v>
      </c>
      <c r="H1501" s="25">
        <v>201718128</v>
      </c>
      <c r="I1501" s="25" t="s">
        <v>19</v>
      </c>
      <c r="J1501" s="25" t="s">
        <v>20</v>
      </c>
      <c r="K1501" s="25" t="s">
        <v>21</v>
      </c>
      <c r="L1501" s="25">
        <v>102</v>
      </c>
      <c r="M1501" s="25">
        <v>3.01</v>
      </c>
      <c r="N1501" s="25">
        <v>3.3</v>
      </c>
      <c r="O1501" s="25">
        <v>663.25</v>
      </c>
      <c r="P1501" s="25">
        <v>771.56230000000005</v>
      </c>
      <c r="Q1501" s="25">
        <f t="shared" si="46"/>
        <v>0</v>
      </c>
      <c r="R1501" s="25">
        <f t="shared" si="47"/>
        <v>101341.43769999999</v>
      </c>
    </row>
    <row r="1502" spans="1:18" hidden="1" x14ac:dyDescent="0.25">
      <c r="A1502" s="26">
        <v>43000</v>
      </c>
      <c r="B1502" s="25" t="s">
        <v>35</v>
      </c>
      <c r="C1502" s="25" t="s">
        <v>17</v>
      </c>
      <c r="D1502" s="25">
        <v>1000</v>
      </c>
      <c r="E1502" s="25">
        <v>54</v>
      </c>
      <c r="F1502" s="25">
        <v>54000</v>
      </c>
      <c r="G1502" s="25" t="s">
        <v>37</v>
      </c>
      <c r="H1502" s="25">
        <v>201718121</v>
      </c>
      <c r="I1502" s="25" t="s">
        <v>19</v>
      </c>
      <c r="J1502" s="25" t="s">
        <v>20</v>
      </c>
      <c r="K1502" s="25" t="s">
        <v>21</v>
      </c>
      <c r="L1502" s="25">
        <v>54</v>
      </c>
      <c r="M1502" s="25">
        <v>1.59</v>
      </c>
      <c r="N1502" s="25">
        <v>1.8</v>
      </c>
      <c r="O1502" s="25">
        <v>350.75</v>
      </c>
      <c r="P1502" s="25">
        <v>408.14299999999997</v>
      </c>
      <c r="Q1502" s="25">
        <f t="shared" si="46"/>
        <v>54408.142999999996</v>
      </c>
      <c r="R1502" s="25">
        <f t="shared" si="47"/>
        <v>0</v>
      </c>
    </row>
    <row r="1503" spans="1:18" hidden="1" x14ac:dyDescent="0.25">
      <c r="A1503" s="26">
        <v>42909</v>
      </c>
      <c r="B1503" s="25" t="s">
        <v>35</v>
      </c>
      <c r="C1503" s="25" t="s">
        <v>17</v>
      </c>
      <c r="D1503" s="25">
        <v>1000</v>
      </c>
      <c r="E1503" s="25">
        <v>62.1</v>
      </c>
      <c r="F1503" s="25">
        <v>62100</v>
      </c>
      <c r="G1503" s="25" t="s">
        <v>38</v>
      </c>
      <c r="H1503" s="25">
        <v>201718059</v>
      </c>
      <c r="I1503" s="25" t="s">
        <v>19</v>
      </c>
      <c r="J1503" s="25" t="s">
        <v>20</v>
      </c>
      <c r="K1503" s="25" t="s">
        <v>21</v>
      </c>
      <c r="L1503" s="25">
        <v>0</v>
      </c>
      <c r="M1503" s="25">
        <v>2.02</v>
      </c>
      <c r="N1503" s="25">
        <v>3.9</v>
      </c>
      <c r="O1503" s="25">
        <v>392.78</v>
      </c>
      <c r="P1503" s="25">
        <v>398.69830000000002</v>
      </c>
      <c r="Q1503" s="25">
        <f t="shared" si="46"/>
        <v>62498.698300000004</v>
      </c>
      <c r="R1503" s="25">
        <f t="shared" si="47"/>
        <v>0</v>
      </c>
    </row>
    <row r="1504" spans="1:18" hidden="1" x14ac:dyDescent="0.25">
      <c r="A1504" s="26">
        <v>42909</v>
      </c>
      <c r="B1504" s="25" t="s">
        <v>35</v>
      </c>
      <c r="C1504" s="25" t="s">
        <v>23</v>
      </c>
      <c r="D1504" s="25">
        <v>1000</v>
      </c>
      <c r="E1504" s="25">
        <v>61.15</v>
      </c>
      <c r="F1504" s="25">
        <v>61150</v>
      </c>
      <c r="G1504" s="25" t="s">
        <v>39</v>
      </c>
      <c r="H1504" s="25">
        <v>201718059</v>
      </c>
      <c r="I1504" s="25" t="s">
        <v>19</v>
      </c>
      <c r="J1504" s="25" t="s">
        <v>20</v>
      </c>
      <c r="K1504" s="25" t="s">
        <v>21</v>
      </c>
      <c r="L1504" s="25">
        <v>15</v>
      </c>
      <c r="M1504" s="25">
        <v>1.99</v>
      </c>
      <c r="N1504" s="25">
        <v>0</v>
      </c>
      <c r="O1504" s="25">
        <v>0</v>
      </c>
      <c r="P1504" s="25">
        <v>16.987400000000001</v>
      </c>
      <c r="Q1504" s="25">
        <f t="shared" si="46"/>
        <v>0</v>
      </c>
      <c r="R1504" s="25">
        <f t="shared" si="47"/>
        <v>61133.012600000002</v>
      </c>
    </row>
    <row r="1505" spans="1:18" hidden="1" x14ac:dyDescent="0.25">
      <c r="A1505" s="26">
        <v>42907</v>
      </c>
      <c r="B1505" s="25" t="s">
        <v>26</v>
      </c>
      <c r="C1505" s="25" t="s">
        <v>17</v>
      </c>
      <c r="D1505" s="25">
        <v>200</v>
      </c>
      <c r="E1505" s="25">
        <v>134</v>
      </c>
      <c r="F1505" s="25">
        <v>26800</v>
      </c>
      <c r="G1505" s="25" t="s">
        <v>40</v>
      </c>
      <c r="H1505" s="25">
        <v>201718057</v>
      </c>
      <c r="I1505" s="25" t="s">
        <v>19</v>
      </c>
      <c r="J1505" s="25" t="s">
        <v>20</v>
      </c>
      <c r="K1505" s="25" t="s">
        <v>21</v>
      </c>
      <c r="L1505" s="25">
        <v>27</v>
      </c>
      <c r="M1505" s="25">
        <v>0.87</v>
      </c>
      <c r="N1505" s="25">
        <v>0.9</v>
      </c>
      <c r="O1505" s="25">
        <v>169.51</v>
      </c>
      <c r="P1505" s="25">
        <v>198.28100000000001</v>
      </c>
      <c r="Q1505" s="25">
        <f t="shared" si="46"/>
        <v>26998.280999999999</v>
      </c>
      <c r="R1505" s="25">
        <f t="shared" si="47"/>
        <v>0</v>
      </c>
    </row>
    <row r="1506" spans="1:18" hidden="1" x14ac:dyDescent="0.25">
      <c r="A1506" s="26">
        <v>42866</v>
      </c>
      <c r="B1506" s="25" t="s">
        <v>35</v>
      </c>
      <c r="C1506" s="25" t="s">
        <v>17</v>
      </c>
      <c r="D1506" s="25">
        <v>1000</v>
      </c>
      <c r="E1506" s="25">
        <v>67.75</v>
      </c>
      <c r="F1506" s="25">
        <v>67750</v>
      </c>
      <c r="G1506" s="25" t="s">
        <v>41</v>
      </c>
      <c r="H1506" s="25">
        <v>201718028</v>
      </c>
      <c r="I1506" s="25" t="s">
        <v>19</v>
      </c>
      <c r="J1506" s="25" t="s">
        <v>20</v>
      </c>
      <c r="K1506" s="25" t="s">
        <v>21</v>
      </c>
      <c r="L1506" s="25">
        <v>68</v>
      </c>
      <c r="M1506" s="25">
        <v>2.2000000000000002</v>
      </c>
      <c r="N1506" s="25">
        <v>2.1</v>
      </c>
      <c r="O1506" s="25">
        <v>428.52</v>
      </c>
      <c r="P1506" s="25">
        <v>500.82190000000003</v>
      </c>
      <c r="Q1506" s="25">
        <f t="shared" si="46"/>
        <v>68250.821899999995</v>
      </c>
      <c r="R1506" s="25">
        <f t="shared" si="47"/>
        <v>0</v>
      </c>
    </row>
    <row r="1507" spans="1:18" hidden="1" x14ac:dyDescent="0.25">
      <c r="A1507" s="26">
        <v>42857</v>
      </c>
      <c r="B1507" s="25" t="s">
        <v>35</v>
      </c>
      <c r="C1507" s="25" t="s">
        <v>23</v>
      </c>
      <c r="D1507" s="25">
        <v>2000</v>
      </c>
      <c r="E1507" s="25">
        <v>70.150000000000006</v>
      </c>
      <c r="F1507" s="25">
        <v>140300</v>
      </c>
      <c r="G1507" s="25" t="s">
        <v>42</v>
      </c>
      <c r="H1507" s="25">
        <v>201718021</v>
      </c>
      <c r="I1507" s="25" t="s">
        <v>19</v>
      </c>
      <c r="J1507" s="25" t="s">
        <v>20</v>
      </c>
      <c r="K1507" s="25" t="s">
        <v>21</v>
      </c>
      <c r="L1507" s="25">
        <v>140</v>
      </c>
      <c r="M1507" s="25">
        <v>4.5599999999999996</v>
      </c>
      <c r="N1507" s="25">
        <v>4.5</v>
      </c>
      <c r="O1507" s="25">
        <v>887.4</v>
      </c>
      <c r="P1507" s="25">
        <v>1036.4597000000001</v>
      </c>
      <c r="Q1507" s="25">
        <f t="shared" si="46"/>
        <v>0</v>
      </c>
      <c r="R1507" s="25">
        <f t="shared" si="47"/>
        <v>139263.54029999999</v>
      </c>
    </row>
    <row r="1508" spans="1:18" hidden="1" x14ac:dyDescent="0.25">
      <c r="A1508" s="26">
        <v>42836</v>
      </c>
      <c r="B1508" s="25" t="s">
        <v>35</v>
      </c>
      <c r="C1508" s="25" t="s">
        <v>17</v>
      </c>
      <c r="D1508" s="25">
        <v>1000</v>
      </c>
      <c r="E1508" s="25">
        <v>67</v>
      </c>
      <c r="F1508" s="25">
        <v>67000</v>
      </c>
      <c r="G1508" s="25" t="s">
        <v>43</v>
      </c>
      <c r="H1508" s="25">
        <v>201718008</v>
      </c>
      <c r="I1508" s="25" t="s">
        <v>19</v>
      </c>
      <c r="J1508" s="25" t="s">
        <v>20</v>
      </c>
      <c r="K1508" s="25" t="s">
        <v>21</v>
      </c>
      <c r="L1508" s="25">
        <v>67</v>
      </c>
      <c r="M1508" s="25">
        <v>2.21</v>
      </c>
      <c r="N1508" s="25">
        <v>2.1</v>
      </c>
      <c r="O1508" s="25">
        <v>423.77</v>
      </c>
      <c r="P1508" s="25">
        <v>495.08100000000002</v>
      </c>
      <c r="Q1508" s="25">
        <f t="shared" si="46"/>
        <v>67495.081000000006</v>
      </c>
      <c r="R1508" s="25">
        <f t="shared" si="47"/>
        <v>0</v>
      </c>
    </row>
    <row r="1509" spans="1:18" hidden="1" x14ac:dyDescent="0.25">
      <c r="A1509" s="26">
        <v>42824</v>
      </c>
      <c r="B1509" s="25" t="s">
        <v>35</v>
      </c>
      <c r="C1509" s="25" t="s">
        <v>23</v>
      </c>
      <c r="D1509" s="25">
        <v>1000</v>
      </c>
      <c r="E1509" s="25">
        <v>65.8</v>
      </c>
      <c r="F1509" s="25">
        <v>65800</v>
      </c>
      <c r="G1509" s="25" t="s">
        <v>44</v>
      </c>
      <c r="H1509" s="25">
        <v>201718001</v>
      </c>
      <c r="I1509" s="25" t="s">
        <v>19</v>
      </c>
      <c r="J1509" s="25" t="s">
        <v>20</v>
      </c>
      <c r="K1509" s="25" t="s">
        <v>21</v>
      </c>
      <c r="L1509" s="25">
        <v>66</v>
      </c>
      <c r="M1509" s="25">
        <v>2.17</v>
      </c>
      <c r="N1509" s="25">
        <v>7</v>
      </c>
      <c r="O1509" s="25">
        <v>416.19</v>
      </c>
      <c r="P1509" s="25">
        <v>491.3614</v>
      </c>
      <c r="Q1509" s="25">
        <f t="shared" si="46"/>
        <v>0</v>
      </c>
      <c r="R1509" s="25">
        <f t="shared" si="47"/>
        <v>65308.638599999998</v>
      </c>
    </row>
    <row r="1510" spans="1:18" hidden="1" x14ac:dyDescent="0.25">
      <c r="A1510" s="26">
        <v>42818</v>
      </c>
      <c r="B1510" s="25" t="s">
        <v>35</v>
      </c>
      <c r="C1510" s="25" t="s">
        <v>17</v>
      </c>
      <c r="D1510" s="25">
        <v>1000</v>
      </c>
      <c r="E1510" s="25">
        <v>63.49</v>
      </c>
      <c r="F1510" s="25">
        <v>63492.5</v>
      </c>
      <c r="G1510" s="25" t="s">
        <v>45</v>
      </c>
      <c r="H1510" s="25">
        <v>201617245</v>
      </c>
      <c r="I1510" s="25" t="s">
        <v>19</v>
      </c>
      <c r="J1510" s="25" t="s">
        <v>20</v>
      </c>
      <c r="K1510" s="25" t="s">
        <v>21</v>
      </c>
      <c r="L1510" s="25">
        <v>63.49</v>
      </c>
      <c r="M1510" s="25">
        <v>2.1</v>
      </c>
      <c r="N1510" s="25">
        <v>0</v>
      </c>
      <c r="O1510" s="25">
        <v>401.59</v>
      </c>
      <c r="P1510" s="25">
        <v>467.17520000000002</v>
      </c>
      <c r="Q1510" s="25">
        <f t="shared" si="46"/>
        <v>63959.675199999998</v>
      </c>
      <c r="R1510" s="25">
        <f t="shared" si="47"/>
        <v>0</v>
      </c>
    </row>
    <row r="1511" spans="1:18" hidden="1" x14ac:dyDescent="0.25">
      <c r="A1511" s="26">
        <v>42818</v>
      </c>
      <c r="B1511" s="25" t="s">
        <v>46</v>
      </c>
      <c r="C1511" s="25" t="s">
        <v>23</v>
      </c>
      <c r="D1511" s="25">
        <v>100</v>
      </c>
      <c r="E1511" s="25">
        <v>97.5</v>
      </c>
      <c r="F1511" s="25">
        <v>9750</v>
      </c>
      <c r="G1511" s="25" t="s">
        <v>47</v>
      </c>
      <c r="H1511" s="25">
        <v>201617245</v>
      </c>
      <c r="I1511" s="25" t="s">
        <v>19</v>
      </c>
      <c r="J1511" s="25" t="s">
        <v>20</v>
      </c>
      <c r="K1511" s="25" t="s">
        <v>21</v>
      </c>
      <c r="L1511" s="25">
        <v>9.51</v>
      </c>
      <c r="M1511" s="25">
        <v>0.32</v>
      </c>
      <c r="N1511" s="25">
        <v>8</v>
      </c>
      <c r="O1511" s="25">
        <v>61.67</v>
      </c>
      <c r="P1511" s="25">
        <v>79.5017</v>
      </c>
      <c r="Q1511" s="25">
        <f t="shared" si="46"/>
        <v>0</v>
      </c>
      <c r="R1511" s="25">
        <f t="shared" si="47"/>
        <v>9670.4982999999993</v>
      </c>
    </row>
    <row r="1512" spans="1:18" hidden="1" x14ac:dyDescent="0.25">
      <c r="A1512" s="26">
        <v>42808</v>
      </c>
      <c r="B1512" s="25" t="s">
        <v>46</v>
      </c>
      <c r="C1512" s="25" t="s">
        <v>17</v>
      </c>
      <c r="D1512" s="25">
        <v>100</v>
      </c>
      <c r="E1512" s="25">
        <v>92</v>
      </c>
      <c r="F1512" s="25">
        <v>9200</v>
      </c>
      <c r="G1512" s="25" t="s">
        <v>48</v>
      </c>
      <c r="H1512" s="25">
        <v>201617237</v>
      </c>
      <c r="I1512" s="25" t="s">
        <v>19</v>
      </c>
      <c r="J1512" s="25" t="s">
        <v>20</v>
      </c>
      <c r="K1512" s="25" t="s">
        <v>21</v>
      </c>
      <c r="L1512" s="25">
        <v>9</v>
      </c>
      <c r="M1512" s="25">
        <v>0.3</v>
      </c>
      <c r="N1512" s="25">
        <v>1</v>
      </c>
      <c r="O1512" s="25">
        <v>58.19</v>
      </c>
      <c r="P1512" s="25">
        <v>68.493600000000001</v>
      </c>
      <c r="Q1512" s="25">
        <f t="shared" si="46"/>
        <v>9268.4935999999998</v>
      </c>
      <c r="R1512" s="25">
        <f t="shared" si="47"/>
        <v>0</v>
      </c>
    </row>
    <row r="1513" spans="1:18" hidden="1" x14ac:dyDescent="0.25">
      <c r="A1513" s="26">
        <v>42676</v>
      </c>
      <c r="B1513" s="25" t="s">
        <v>49</v>
      </c>
      <c r="C1513" s="25" t="s">
        <v>23</v>
      </c>
      <c r="D1513" s="25">
        <v>100</v>
      </c>
      <c r="E1513" s="25">
        <v>401.05</v>
      </c>
      <c r="F1513" s="25">
        <v>40105</v>
      </c>
      <c r="G1513" s="25" t="s">
        <v>50</v>
      </c>
      <c r="H1513" s="25">
        <v>201617147</v>
      </c>
      <c r="I1513" s="25" t="s">
        <v>19</v>
      </c>
      <c r="J1513" s="25" t="s">
        <v>20</v>
      </c>
      <c r="K1513" s="25" t="s">
        <v>21</v>
      </c>
      <c r="L1513" s="25">
        <v>40.11</v>
      </c>
      <c r="M1513" s="25">
        <v>1.32</v>
      </c>
      <c r="N1513" s="25">
        <v>0</v>
      </c>
      <c r="O1513" s="25">
        <v>253.66</v>
      </c>
      <c r="P1513" s="25">
        <v>295.09350000000001</v>
      </c>
      <c r="Q1513" s="25">
        <f t="shared" si="46"/>
        <v>0</v>
      </c>
      <c r="R1513" s="25">
        <f t="shared" si="47"/>
        <v>39809.906499999997</v>
      </c>
    </row>
    <row r="1514" spans="1:18" hidden="1" x14ac:dyDescent="0.25">
      <c r="A1514" s="26">
        <v>42676</v>
      </c>
      <c r="B1514" s="25" t="s">
        <v>51</v>
      </c>
      <c r="C1514" s="25" t="s">
        <v>17</v>
      </c>
      <c r="D1514" s="25">
        <v>100</v>
      </c>
      <c r="E1514" s="25">
        <v>380</v>
      </c>
      <c r="F1514" s="25">
        <v>38000</v>
      </c>
      <c r="G1514" s="25" t="s">
        <v>52</v>
      </c>
      <c r="H1514" s="25">
        <v>201617147</v>
      </c>
      <c r="I1514" s="25" t="s">
        <v>19</v>
      </c>
      <c r="J1514" s="25" t="s">
        <v>20</v>
      </c>
      <c r="K1514" s="25" t="s">
        <v>21</v>
      </c>
      <c r="L1514" s="25">
        <v>37.9</v>
      </c>
      <c r="M1514" s="25">
        <v>1.25</v>
      </c>
      <c r="N1514" s="25">
        <v>8</v>
      </c>
      <c r="O1514" s="25">
        <v>240.35</v>
      </c>
      <c r="P1514" s="25">
        <v>287.50400000000002</v>
      </c>
      <c r="Q1514" s="25">
        <f t="shared" si="46"/>
        <v>38287.504000000001</v>
      </c>
      <c r="R1514" s="25">
        <f t="shared" si="47"/>
        <v>0</v>
      </c>
    </row>
    <row r="1515" spans="1:18" hidden="1" x14ac:dyDescent="0.25">
      <c r="A1515" s="26">
        <v>42670</v>
      </c>
      <c r="B1515" s="25" t="s">
        <v>49</v>
      </c>
      <c r="C1515" s="25" t="s">
        <v>17</v>
      </c>
      <c r="D1515" s="25">
        <v>100</v>
      </c>
      <c r="E1515" s="25">
        <v>403.3</v>
      </c>
      <c r="F1515" s="25">
        <v>40330</v>
      </c>
      <c r="G1515" s="25" t="s">
        <v>53</v>
      </c>
      <c r="H1515" s="25">
        <v>201617143</v>
      </c>
      <c r="I1515" s="25" t="s">
        <v>19</v>
      </c>
      <c r="J1515" s="25" t="s">
        <v>20</v>
      </c>
      <c r="K1515" s="25" t="s">
        <v>21</v>
      </c>
      <c r="L1515" s="25">
        <v>40</v>
      </c>
      <c r="M1515" s="25">
        <v>1.33</v>
      </c>
      <c r="N1515" s="25">
        <v>5</v>
      </c>
      <c r="O1515" s="25">
        <v>255.08</v>
      </c>
      <c r="P1515" s="25">
        <v>301.41079999999999</v>
      </c>
      <c r="Q1515" s="25">
        <f t="shared" si="46"/>
        <v>40631.410799999998</v>
      </c>
      <c r="R1515" s="25">
        <f t="shared" si="47"/>
        <v>0</v>
      </c>
    </row>
    <row r="1516" spans="1:18" hidden="1" x14ac:dyDescent="0.25">
      <c r="A1516" s="26">
        <v>42668</v>
      </c>
      <c r="B1516" s="25" t="s">
        <v>54</v>
      </c>
      <c r="C1516" s="25" t="s">
        <v>23</v>
      </c>
      <c r="D1516" s="25">
        <v>100</v>
      </c>
      <c r="E1516" s="25">
        <v>373</v>
      </c>
      <c r="F1516" s="25">
        <v>37300</v>
      </c>
      <c r="G1516" s="25" t="s">
        <v>55</v>
      </c>
      <c r="H1516" s="25">
        <v>201617141</v>
      </c>
      <c r="I1516" s="25" t="s">
        <v>19</v>
      </c>
      <c r="J1516" s="25" t="s">
        <v>20</v>
      </c>
      <c r="K1516" s="25" t="s">
        <v>21</v>
      </c>
      <c r="L1516" s="25">
        <v>37</v>
      </c>
      <c r="M1516" s="25">
        <v>1.23</v>
      </c>
      <c r="N1516" s="25">
        <v>4</v>
      </c>
      <c r="O1516" s="25">
        <v>235.92</v>
      </c>
      <c r="P1516" s="25">
        <v>278.15089999999998</v>
      </c>
      <c r="Q1516" s="25">
        <f t="shared" si="46"/>
        <v>0</v>
      </c>
      <c r="R1516" s="25">
        <f t="shared" si="47"/>
        <v>37021.849099999999</v>
      </c>
    </row>
    <row r="1517" spans="1:18" hidden="1" x14ac:dyDescent="0.25">
      <c r="A1517" s="26">
        <v>42667</v>
      </c>
      <c r="B1517" s="25" t="s">
        <v>56</v>
      </c>
      <c r="C1517" s="25" t="s">
        <v>23</v>
      </c>
      <c r="D1517" s="25">
        <v>100</v>
      </c>
      <c r="E1517" s="25">
        <v>456.25</v>
      </c>
      <c r="F1517" s="25">
        <v>45624.7</v>
      </c>
      <c r="G1517" s="25" t="s">
        <v>57</v>
      </c>
      <c r="H1517" s="25">
        <v>201617140</v>
      </c>
      <c r="I1517" s="25" t="s">
        <v>19</v>
      </c>
      <c r="J1517" s="25" t="s">
        <v>20</v>
      </c>
      <c r="K1517" s="25" t="s">
        <v>21</v>
      </c>
      <c r="L1517" s="25">
        <v>46</v>
      </c>
      <c r="M1517" s="25">
        <v>1.51</v>
      </c>
      <c r="N1517" s="25">
        <v>5</v>
      </c>
      <c r="O1517" s="25">
        <v>288.57</v>
      </c>
      <c r="P1517" s="25">
        <v>341.07549999999998</v>
      </c>
      <c r="Q1517" s="25">
        <f t="shared" si="46"/>
        <v>0</v>
      </c>
      <c r="R1517" s="25">
        <f t="shared" si="47"/>
        <v>45283.624499999998</v>
      </c>
    </row>
    <row r="1518" spans="1:18" hidden="1" x14ac:dyDescent="0.25">
      <c r="A1518" s="26">
        <v>42661</v>
      </c>
      <c r="B1518" s="25" t="s">
        <v>49</v>
      </c>
      <c r="C1518" s="25" t="s">
        <v>23</v>
      </c>
      <c r="D1518" s="25">
        <v>100</v>
      </c>
      <c r="E1518" s="25">
        <v>398.16</v>
      </c>
      <c r="F1518" s="25">
        <v>39815.599999999999</v>
      </c>
      <c r="G1518" s="25" t="s">
        <v>58</v>
      </c>
      <c r="H1518" s="25">
        <v>201617136</v>
      </c>
      <c r="I1518" s="25" t="s">
        <v>19</v>
      </c>
      <c r="J1518" s="25" t="s">
        <v>20</v>
      </c>
      <c r="K1518" s="25" t="s">
        <v>21</v>
      </c>
      <c r="L1518" s="25">
        <v>39.82</v>
      </c>
      <c r="M1518" s="25">
        <v>1.31</v>
      </c>
      <c r="N1518" s="25">
        <v>0</v>
      </c>
      <c r="O1518" s="25">
        <v>251.84</v>
      </c>
      <c r="P1518" s="25">
        <v>292.97390000000001</v>
      </c>
      <c r="Q1518" s="25">
        <f t="shared" si="46"/>
        <v>0</v>
      </c>
      <c r="R1518" s="25">
        <f t="shared" si="47"/>
        <v>39522.626100000001</v>
      </c>
    </row>
    <row r="1519" spans="1:18" hidden="1" x14ac:dyDescent="0.25">
      <c r="A1519" s="26">
        <v>42661</v>
      </c>
      <c r="B1519" s="25" t="s">
        <v>54</v>
      </c>
      <c r="C1519" s="25" t="s">
        <v>17</v>
      </c>
      <c r="D1519" s="25">
        <v>100</v>
      </c>
      <c r="E1519" s="25">
        <v>357</v>
      </c>
      <c r="F1519" s="25">
        <v>35700</v>
      </c>
      <c r="G1519" s="25" t="s">
        <v>59</v>
      </c>
      <c r="H1519" s="25">
        <v>201617136</v>
      </c>
      <c r="I1519" s="25" t="s">
        <v>19</v>
      </c>
      <c r="J1519" s="25" t="s">
        <v>20</v>
      </c>
      <c r="K1519" s="25" t="s">
        <v>21</v>
      </c>
      <c r="L1519" s="25">
        <v>36.18</v>
      </c>
      <c r="M1519" s="25">
        <v>1.18</v>
      </c>
      <c r="N1519" s="25">
        <v>8</v>
      </c>
      <c r="O1519" s="25">
        <v>225.8</v>
      </c>
      <c r="P1519" s="25">
        <v>271.15809999999999</v>
      </c>
      <c r="Q1519" s="25">
        <f t="shared" si="46"/>
        <v>35971.158100000001</v>
      </c>
      <c r="R1519" s="25">
        <f t="shared" si="47"/>
        <v>0</v>
      </c>
    </row>
    <row r="1520" spans="1:18" hidden="1" x14ac:dyDescent="0.25">
      <c r="A1520" s="26">
        <v>42643</v>
      </c>
      <c r="B1520" s="25" t="s">
        <v>26</v>
      </c>
      <c r="C1520" s="25" t="s">
        <v>23</v>
      </c>
      <c r="D1520" s="25">
        <v>400</v>
      </c>
      <c r="E1520" s="25">
        <v>129.44999999999999</v>
      </c>
      <c r="F1520" s="25">
        <v>51779.45</v>
      </c>
      <c r="G1520" s="25" t="s">
        <v>60</v>
      </c>
      <c r="H1520" s="25">
        <v>201617126</v>
      </c>
      <c r="I1520" s="25" t="s">
        <v>19</v>
      </c>
      <c r="J1520" s="25" t="s">
        <v>20</v>
      </c>
      <c r="K1520" s="25" t="s">
        <v>21</v>
      </c>
      <c r="L1520" s="25">
        <v>51.78</v>
      </c>
      <c r="M1520" s="25">
        <v>1.71</v>
      </c>
      <c r="N1520" s="25">
        <v>0</v>
      </c>
      <c r="O1520" s="25">
        <v>327.5</v>
      </c>
      <c r="P1520" s="25">
        <v>380.98880000000003</v>
      </c>
      <c r="Q1520" s="25">
        <f t="shared" si="46"/>
        <v>0</v>
      </c>
      <c r="R1520" s="25">
        <f t="shared" si="47"/>
        <v>51398.461199999998</v>
      </c>
    </row>
    <row r="1521" spans="1:18" hidden="1" x14ac:dyDescent="0.25">
      <c r="A1521" s="26">
        <v>42643</v>
      </c>
      <c r="B1521" s="25" t="s">
        <v>49</v>
      </c>
      <c r="C1521" s="25" t="s">
        <v>17</v>
      </c>
      <c r="D1521" s="25">
        <v>100</v>
      </c>
      <c r="E1521" s="25">
        <v>364.63</v>
      </c>
      <c r="F1521" s="25">
        <v>36463.35</v>
      </c>
      <c r="G1521" s="25" t="s">
        <v>61</v>
      </c>
      <c r="H1521" s="25">
        <v>201617126</v>
      </c>
      <c r="I1521" s="25" t="s">
        <v>19</v>
      </c>
      <c r="J1521" s="25" t="s">
        <v>20</v>
      </c>
      <c r="K1521" s="25" t="s">
        <v>21</v>
      </c>
      <c r="L1521" s="25">
        <v>36.22</v>
      </c>
      <c r="M1521" s="25">
        <v>1.2</v>
      </c>
      <c r="N1521" s="25">
        <v>9</v>
      </c>
      <c r="O1521" s="25">
        <v>230.63</v>
      </c>
      <c r="P1521" s="25">
        <v>277.0532</v>
      </c>
      <c r="Q1521" s="25">
        <f t="shared" si="46"/>
        <v>36740.403200000001</v>
      </c>
      <c r="R1521" s="25">
        <f t="shared" si="47"/>
        <v>0</v>
      </c>
    </row>
    <row r="1522" spans="1:18" hidden="1" x14ac:dyDescent="0.25">
      <c r="A1522" s="26">
        <v>42627</v>
      </c>
      <c r="B1522" s="25" t="s">
        <v>56</v>
      </c>
      <c r="C1522" s="25" t="s">
        <v>23</v>
      </c>
      <c r="D1522" s="25">
        <v>100</v>
      </c>
      <c r="E1522" s="25">
        <v>518</v>
      </c>
      <c r="F1522" s="25">
        <v>51800</v>
      </c>
      <c r="G1522" s="25" t="s">
        <v>62</v>
      </c>
      <c r="H1522" s="25">
        <v>201617114</v>
      </c>
      <c r="I1522" s="25" t="s">
        <v>19</v>
      </c>
      <c r="J1522" s="25" t="s">
        <v>20</v>
      </c>
      <c r="K1522" s="25" t="s">
        <v>21</v>
      </c>
      <c r="L1522" s="25">
        <v>52</v>
      </c>
      <c r="M1522" s="25">
        <v>1.71</v>
      </c>
      <c r="N1522" s="25">
        <v>6</v>
      </c>
      <c r="O1522" s="25">
        <v>327.64</v>
      </c>
      <c r="P1522" s="25">
        <v>387.3494</v>
      </c>
      <c r="Q1522" s="25">
        <f t="shared" si="46"/>
        <v>0</v>
      </c>
      <c r="R1522" s="25">
        <f t="shared" si="47"/>
        <v>51412.650600000001</v>
      </c>
    </row>
    <row r="1523" spans="1:18" hidden="1" x14ac:dyDescent="0.25">
      <c r="A1523" s="26">
        <v>42613</v>
      </c>
      <c r="B1523" s="25" t="s">
        <v>35</v>
      </c>
      <c r="C1523" s="25" t="s">
        <v>23</v>
      </c>
      <c r="D1523" s="25">
        <v>1000</v>
      </c>
      <c r="E1523" s="25">
        <v>66</v>
      </c>
      <c r="F1523" s="25">
        <v>66000</v>
      </c>
      <c r="G1523" s="25" t="s">
        <v>63</v>
      </c>
      <c r="H1523" s="25">
        <v>201617106</v>
      </c>
      <c r="I1523" s="25" t="s">
        <v>19</v>
      </c>
      <c r="J1523" s="25" t="s">
        <v>20</v>
      </c>
      <c r="K1523" s="25" t="s">
        <v>21</v>
      </c>
      <c r="L1523" s="25">
        <v>66</v>
      </c>
      <c r="M1523" s="25">
        <v>2.1800000000000002</v>
      </c>
      <c r="N1523" s="25">
        <v>7</v>
      </c>
      <c r="O1523" s="25">
        <v>417.46</v>
      </c>
      <c r="P1523" s="25">
        <v>492.63799999999998</v>
      </c>
      <c r="Q1523" s="25">
        <f t="shared" si="46"/>
        <v>0</v>
      </c>
      <c r="R1523" s="25">
        <f t="shared" si="47"/>
        <v>65507.362000000001</v>
      </c>
    </row>
    <row r="1524" spans="1:18" hidden="1" x14ac:dyDescent="0.25">
      <c r="A1524" s="26">
        <v>42583</v>
      </c>
      <c r="B1524" s="25" t="s">
        <v>26</v>
      </c>
      <c r="C1524" s="25" t="s">
        <v>17</v>
      </c>
      <c r="D1524" s="25">
        <v>400</v>
      </c>
      <c r="E1524" s="25">
        <v>183</v>
      </c>
      <c r="F1524" s="25">
        <v>73200</v>
      </c>
      <c r="G1524" s="25" t="s">
        <v>64</v>
      </c>
      <c r="H1524" s="25">
        <v>201617085</v>
      </c>
      <c r="I1524" s="25" t="s">
        <v>19</v>
      </c>
      <c r="J1524" s="25" t="s">
        <v>20</v>
      </c>
      <c r="K1524" s="25" t="s">
        <v>21</v>
      </c>
      <c r="L1524" s="25">
        <v>73</v>
      </c>
      <c r="M1524" s="25">
        <v>2.42</v>
      </c>
      <c r="N1524" s="25">
        <v>8</v>
      </c>
      <c r="O1524" s="25">
        <v>462.99</v>
      </c>
      <c r="P1524" s="25">
        <v>546.40560000000005</v>
      </c>
      <c r="Q1524" s="25">
        <f t="shared" si="46"/>
        <v>73746.405599999998</v>
      </c>
      <c r="R1524" s="25">
        <f t="shared" si="47"/>
        <v>0</v>
      </c>
    </row>
    <row r="1525" spans="1:18" hidden="1" x14ac:dyDescent="0.25">
      <c r="A1525" s="26">
        <v>42572</v>
      </c>
      <c r="B1525" s="25" t="s">
        <v>65</v>
      </c>
      <c r="C1525" s="25" t="s">
        <v>23</v>
      </c>
      <c r="D1525" s="25">
        <v>500</v>
      </c>
      <c r="E1525" s="25">
        <v>127.5</v>
      </c>
      <c r="F1525" s="25">
        <v>63750</v>
      </c>
      <c r="G1525" s="25" t="s">
        <v>66</v>
      </c>
      <c r="H1525" s="25">
        <v>201617078</v>
      </c>
      <c r="I1525" s="25" t="s">
        <v>19</v>
      </c>
      <c r="J1525" s="25" t="s">
        <v>20</v>
      </c>
      <c r="K1525" s="25" t="s">
        <v>21</v>
      </c>
      <c r="L1525" s="25">
        <v>63.32</v>
      </c>
      <c r="M1525" s="25">
        <v>2.1</v>
      </c>
      <c r="N1525" s="25">
        <v>13</v>
      </c>
      <c r="O1525" s="25">
        <v>403.22</v>
      </c>
      <c r="P1525" s="25">
        <v>481.6438</v>
      </c>
      <c r="Q1525" s="25">
        <f t="shared" si="46"/>
        <v>0</v>
      </c>
      <c r="R1525" s="25">
        <f t="shared" si="47"/>
        <v>63268.356200000002</v>
      </c>
    </row>
    <row r="1526" spans="1:18" hidden="1" x14ac:dyDescent="0.25">
      <c r="A1526" s="26">
        <v>42572</v>
      </c>
      <c r="B1526" s="25" t="s">
        <v>56</v>
      </c>
      <c r="C1526" s="25" t="s">
        <v>17</v>
      </c>
      <c r="D1526" s="25">
        <v>100</v>
      </c>
      <c r="E1526" s="25">
        <v>566.79999999999995</v>
      </c>
      <c r="F1526" s="25">
        <v>56680</v>
      </c>
      <c r="G1526" s="25" t="s">
        <v>67</v>
      </c>
      <c r="H1526" s="25">
        <v>201617078</v>
      </c>
      <c r="I1526" s="25" t="s">
        <v>19</v>
      </c>
      <c r="J1526" s="25" t="s">
        <v>20</v>
      </c>
      <c r="K1526" s="25" t="s">
        <v>21</v>
      </c>
      <c r="L1526" s="25">
        <v>56.68</v>
      </c>
      <c r="M1526" s="25">
        <v>1.87</v>
      </c>
      <c r="N1526" s="25">
        <v>0</v>
      </c>
      <c r="O1526" s="25">
        <v>358.51</v>
      </c>
      <c r="P1526" s="25">
        <v>417.06040000000002</v>
      </c>
      <c r="Q1526" s="25">
        <f t="shared" si="46"/>
        <v>57097.060400000002</v>
      </c>
      <c r="R1526" s="25">
        <f t="shared" si="47"/>
        <v>0</v>
      </c>
    </row>
    <row r="1527" spans="1:18" hidden="1" x14ac:dyDescent="0.25">
      <c r="A1527" s="26">
        <v>42565</v>
      </c>
      <c r="B1527" s="25" t="s">
        <v>68</v>
      </c>
      <c r="C1527" s="25" t="s">
        <v>23</v>
      </c>
      <c r="D1527" s="25">
        <v>895</v>
      </c>
      <c r="E1527" s="25">
        <v>71.45</v>
      </c>
      <c r="F1527" s="25">
        <v>63947.75</v>
      </c>
      <c r="G1527" s="25" t="s">
        <v>69</v>
      </c>
      <c r="H1527" s="25">
        <v>201617073</v>
      </c>
      <c r="I1527" s="25" t="s">
        <v>19</v>
      </c>
      <c r="J1527" s="25" t="s">
        <v>20</v>
      </c>
      <c r="K1527" s="25" t="s">
        <v>21</v>
      </c>
      <c r="L1527" s="25">
        <v>64.349999999999994</v>
      </c>
      <c r="M1527" s="25">
        <v>2.11</v>
      </c>
      <c r="N1527" s="25">
        <v>14</v>
      </c>
      <c r="O1527" s="25">
        <v>404.47</v>
      </c>
      <c r="P1527" s="25">
        <v>484.93029999999999</v>
      </c>
      <c r="Q1527" s="25">
        <f t="shared" si="46"/>
        <v>0</v>
      </c>
      <c r="R1527" s="25">
        <f t="shared" si="47"/>
        <v>63462.8197</v>
      </c>
    </row>
    <row r="1528" spans="1:18" hidden="1" x14ac:dyDescent="0.25">
      <c r="A1528" s="26">
        <v>42565</v>
      </c>
      <c r="B1528" s="25" t="s">
        <v>65</v>
      </c>
      <c r="C1528" s="25" t="s">
        <v>17</v>
      </c>
      <c r="D1528" s="25">
        <v>500</v>
      </c>
      <c r="E1528" s="25">
        <v>133.30000000000001</v>
      </c>
      <c r="F1528" s="25">
        <v>66650</v>
      </c>
      <c r="G1528" s="25" t="s">
        <v>70</v>
      </c>
      <c r="H1528" s="25">
        <v>201617073</v>
      </c>
      <c r="I1528" s="25" t="s">
        <v>19</v>
      </c>
      <c r="J1528" s="25" t="s">
        <v>20</v>
      </c>
      <c r="K1528" s="25" t="s">
        <v>21</v>
      </c>
      <c r="L1528" s="25">
        <v>66.650000000000006</v>
      </c>
      <c r="M1528" s="25">
        <v>2.2000000000000002</v>
      </c>
      <c r="N1528" s="25">
        <v>0</v>
      </c>
      <c r="O1528" s="25">
        <v>421.56</v>
      </c>
      <c r="P1528" s="25">
        <v>490.40949999999998</v>
      </c>
      <c r="Q1528" s="25">
        <f t="shared" si="46"/>
        <v>67140.409499999994</v>
      </c>
      <c r="R1528" s="25">
        <f t="shared" si="47"/>
        <v>0</v>
      </c>
    </row>
    <row r="1529" spans="1:18" hidden="1" x14ac:dyDescent="0.25">
      <c r="A1529" s="26">
        <v>42545</v>
      </c>
      <c r="B1529" s="25" t="s">
        <v>56</v>
      </c>
      <c r="C1529" s="25" t="s">
        <v>17</v>
      </c>
      <c r="D1529" s="25">
        <v>100</v>
      </c>
      <c r="E1529" s="25">
        <v>662.96</v>
      </c>
      <c r="F1529" s="25">
        <v>66296</v>
      </c>
      <c r="G1529" s="25" t="s">
        <v>71</v>
      </c>
      <c r="H1529" s="25">
        <v>201617060</v>
      </c>
      <c r="I1529" s="25" t="s">
        <v>19</v>
      </c>
      <c r="J1529" s="25" t="s">
        <v>20</v>
      </c>
      <c r="K1529" s="25" t="s">
        <v>21</v>
      </c>
      <c r="L1529" s="25">
        <v>66</v>
      </c>
      <c r="M1529" s="25">
        <v>2.19</v>
      </c>
      <c r="N1529" s="25">
        <v>7</v>
      </c>
      <c r="O1529" s="25">
        <v>419.32</v>
      </c>
      <c r="P1529" s="25">
        <v>494.50790000000001</v>
      </c>
      <c r="Q1529" s="25">
        <f t="shared" si="46"/>
        <v>66790.507899999997</v>
      </c>
      <c r="R1529" s="25">
        <f t="shared" si="47"/>
        <v>0</v>
      </c>
    </row>
    <row r="1530" spans="1:18" hidden="1" x14ac:dyDescent="0.25">
      <c r="A1530" s="26">
        <v>42451</v>
      </c>
      <c r="B1530" s="25" t="s">
        <v>68</v>
      </c>
      <c r="C1530" s="25" t="s">
        <v>23</v>
      </c>
      <c r="D1530" s="25">
        <v>105</v>
      </c>
      <c r="E1530" s="25">
        <v>59.5</v>
      </c>
      <c r="F1530" s="25">
        <v>6247.5</v>
      </c>
      <c r="G1530" s="25" t="s">
        <v>72</v>
      </c>
      <c r="H1530" s="25">
        <v>201516244</v>
      </c>
      <c r="I1530" s="25" t="s">
        <v>19</v>
      </c>
      <c r="J1530" s="25" t="s">
        <v>20</v>
      </c>
      <c r="K1530" s="25" t="s">
        <v>21</v>
      </c>
      <c r="L1530" s="25">
        <v>6</v>
      </c>
      <c r="M1530" s="25">
        <v>0.21</v>
      </c>
      <c r="N1530" s="25">
        <v>1</v>
      </c>
      <c r="O1530" s="25">
        <v>40.08</v>
      </c>
      <c r="P1530" s="25">
        <v>47.286200000000001</v>
      </c>
      <c r="Q1530" s="25">
        <f t="shared" si="46"/>
        <v>0</v>
      </c>
      <c r="R1530" s="25">
        <f t="shared" si="47"/>
        <v>6200.2138000000004</v>
      </c>
    </row>
    <row r="1531" spans="1:18" hidden="1" x14ac:dyDescent="0.25">
      <c r="A1531" s="26">
        <v>42416</v>
      </c>
      <c r="B1531" s="25" t="s">
        <v>35</v>
      </c>
      <c r="C1531" s="25" t="s">
        <v>17</v>
      </c>
      <c r="D1531" s="25">
        <v>2000</v>
      </c>
      <c r="E1531" s="25">
        <v>64.86</v>
      </c>
      <c r="F1531" s="25">
        <v>129717.8</v>
      </c>
      <c r="G1531" s="25" t="s">
        <v>73</v>
      </c>
      <c r="H1531" s="25">
        <v>201516220</v>
      </c>
      <c r="I1531" s="25" t="s">
        <v>19</v>
      </c>
      <c r="J1531" s="25" t="s">
        <v>20</v>
      </c>
      <c r="K1531" s="25" t="s">
        <v>21</v>
      </c>
      <c r="L1531" s="25">
        <v>130</v>
      </c>
      <c r="M1531" s="25">
        <v>4.28</v>
      </c>
      <c r="N1531" s="25">
        <v>13</v>
      </c>
      <c r="O1531" s="25">
        <v>816.9</v>
      </c>
      <c r="P1531" s="25">
        <v>964.18079999999998</v>
      </c>
      <c r="Q1531" s="25">
        <f t="shared" si="46"/>
        <v>130681.9808</v>
      </c>
      <c r="R1531" s="25">
        <f t="shared" si="47"/>
        <v>0</v>
      </c>
    </row>
    <row r="1532" spans="1:18" hidden="1" x14ac:dyDescent="0.25">
      <c r="A1532" s="26">
        <v>42398</v>
      </c>
      <c r="B1532" s="25" t="s">
        <v>74</v>
      </c>
      <c r="C1532" s="25" t="s">
        <v>23</v>
      </c>
      <c r="D1532" s="25">
        <v>100</v>
      </c>
      <c r="E1532" s="25">
        <v>1160</v>
      </c>
      <c r="F1532" s="25">
        <v>116000</v>
      </c>
      <c r="G1532" s="25" t="s">
        <v>75</v>
      </c>
      <c r="H1532" s="25">
        <v>201516208</v>
      </c>
      <c r="I1532" s="25" t="s">
        <v>19</v>
      </c>
      <c r="J1532" s="25" t="s">
        <v>20</v>
      </c>
      <c r="K1532" s="25" t="s">
        <v>21</v>
      </c>
      <c r="L1532" s="25">
        <v>116</v>
      </c>
      <c r="M1532" s="25">
        <v>3.83</v>
      </c>
      <c r="N1532" s="25">
        <v>12</v>
      </c>
      <c r="O1532" s="25">
        <v>730.51</v>
      </c>
      <c r="P1532" s="25">
        <v>862.33799999999997</v>
      </c>
      <c r="Q1532" s="25">
        <f t="shared" si="46"/>
        <v>0</v>
      </c>
      <c r="R1532" s="25">
        <f t="shared" si="47"/>
        <v>115137.662</v>
      </c>
    </row>
    <row r="1533" spans="1:18" hidden="1" x14ac:dyDescent="0.25">
      <c r="A1533" s="26">
        <v>42373</v>
      </c>
      <c r="B1533" s="25" t="s">
        <v>68</v>
      </c>
      <c r="C1533" s="25" t="s">
        <v>17</v>
      </c>
      <c r="D1533" s="25">
        <v>1000</v>
      </c>
      <c r="E1533" s="25">
        <v>69</v>
      </c>
      <c r="F1533" s="25">
        <v>69000</v>
      </c>
      <c r="G1533" s="25" t="s">
        <v>76</v>
      </c>
      <c r="H1533" s="25">
        <v>201516190</v>
      </c>
      <c r="I1533" s="25" t="s">
        <v>19</v>
      </c>
      <c r="J1533" s="25" t="s">
        <v>20</v>
      </c>
      <c r="K1533" s="25" t="s">
        <v>21</v>
      </c>
      <c r="L1533" s="25">
        <v>69</v>
      </c>
      <c r="M1533" s="25">
        <v>2.2799999999999998</v>
      </c>
      <c r="N1533" s="25">
        <v>7</v>
      </c>
      <c r="O1533" s="25">
        <v>434.53</v>
      </c>
      <c r="P1533" s="25">
        <v>512.80709999999999</v>
      </c>
      <c r="Q1533" s="25">
        <f t="shared" si="46"/>
        <v>69512.807100000005</v>
      </c>
      <c r="R1533" s="25">
        <f t="shared" si="47"/>
        <v>0</v>
      </c>
    </row>
    <row r="1534" spans="1:18" hidden="1" x14ac:dyDescent="0.25">
      <c r="A1534" s="26">
        <v>42362</v>
      </c>
      <c r="B1534" s="25" t="s">
        <v>35</v>
      </c>
      <c r="C1534" s="25" t="s">
        <v>23</v>
      </c>
      <c r="D1534" s="25">
        <v>1000</v>
      </c>
      <c r="E1534" s="25">
        <v>100</v>
      </c>
      <c r="F1534" s="25">
        <v>100000</v>
      </c>
      <c r="G1534" s="25" t="s">
        <v>77</v>
      </c>
      <c r="H1534" s="25">
        <v>201516184</v>
      </c>
      <c r="I1534" s="25" t="s">
        <v>19</v>
      </c>
      <c r="J1534" s="25" t="s">
        <v>20</v>
      </c>
      <c r="K1534" s="25" t="s">
        <v>21</v>
      </c>
      <c r="L1534" s="25">
        <v>100</v>
      </c>
      <c r="M1534" s="25">
        <v>3.3</v>
      </c>
      <c r="N1534" s="25">
        <v>10</v>
      </c>
      <c r="O1534" s="25">
        <v>629.75</v>
      </c>
      <c r="P1534" s="25">
        <v>743.05</v>
      </c>
      <c r="Q1534" s="25">
        <f t="shared" si="46"/>
        <v>0</v>
      </c>
      <c r="R1534" s="25">
        <f t="shared" si="47"/>
        <v>99256.95</v>
      </c>
    </row>
    <row r="1535" spans="1:18" hidden="1" x14ac:dyDescent="0.25">
      <c r="A1535" s="26">
        <v>42355</v>
      </c>
      <c r="B1535" s="25" t="s">
        <v>35</v>
      </c>
      <c r="C1535" s="25" t="s">
        <v>17</v>
      </c>
      <c r="D1535" s="25">
        <v>1000</v>
      </c>
      <c r="E1535" s="25">
        <v>75.3</v>
      </c>
      <c r="F1535" s="25">
        <v>75300</v>
      </c>
      <c r="G1535" s="25" t="s">
        <v>78</v>
      </c>
      <c r="H1535" s="25">
        <v>201516179</v>
      </c>
      <c r="I1535" s="25" t="s">
        <v>19</v>
      </c>
      <c r="J1535" s="25" t="s">
        <v>20</v>
      </c>
      <c r="K1535" s="25" t="s">
        <v>21</v>
      </c>
      <c r="L1535" s="25">
        <v>75</v>
      </c>
      <c r="M1535" s="25">
        <v>2.48</v>
      </c>
      <c r="N1535" s="25">
        <v>8</v>
      </c>
      <c r="O1535" s="25">
        <v>474.2</v>
      </c>
      <c r="P1535" s="25">
        <v>559.68489999999997</v>
      </c>
      <c r="Q1535" s="25">
        <f t="shared" si="46"/>
        <v>75859.684899999993</v>
      </c>
      <c r="R1535" s="25">
        <f t="shared" si="47"/>
        <v>0</v>
      </c>
    </row>
    <row r="1536" spans="1:18" hidden="1" x14ac:dyDescent="0.25">
      <c r="A1536" s="26">
        <v>42233</v>
      </c>
      <c r="B1536" s="25" t="s">
        <v>29</v>
      </c>
      <c r="C1536" s="25" t="s">
        <v>23</v>
      </c>
      <c r="D1536" s="25">
        <v>4000</v>
      </c>
      <c r="E1536" s="25">
        <v>12.96</v>
      </c>
      <c r="F1536" s="25">
        <v>51840</v>
      </c>
      <c r="G1536" s="25" t="s">
        <v>79</v>
      </c>
      <c r="H1536" s="25">
        <v>201516097</v>
      </c>
      <c r="I1536" s="25" t="s">
        <v>19</v>
      </c>
      <c r="J1536" s="25" t="s">
        <v>20</v>
      </c>
      <c r="K1536" s="25" t="s">
        <v>21</v>
      </c>
      <c r="L1536" s="25">
        <v>51.84</v>
      </c>
      <c r="M1536" s="25">
        <v>1.71</v>
      </c>
      <c r="N1536" s="25">
        <v>20.86</v>
      </c>
      <c r="O1536" s="25">
        <v>325.04000000000002</v>
      </c>
      <c r="P1536" s="25">
        <v>399.45190000000002</v>
      </c>
      <c r="Q1536" s="25">
        <f t="shared" si="46"/>
        <v>0</v>
      </c>
      <c r="R1536" s="25">
        <f t="shared" si="47"/>
        <v>51440.5481</v>
      </c>
    </row>
    <row r="1537" spans="1:18" hidden="1" x14ac:dyDescent="0.25">
      <c r="A1537" s="26">
        <v>42233</v>
      </c>
      <c r="B1537" s="25" t="s">
        <v>80</v>
      </c>
      <c r="C1537" s="25" t="s">
        <v>23</v>
      </c>
      <c r="D1537" s="25">
        <v>110</v>
      </c>
      <c r="E1537" s="25">
        <v>402.55</v>
      </c>
      <c r="F1537" s="25">
        <v>44280.5</v>
      </c>
      <c r="G1537" s="25" t="s">
        <v>81</v>
      </c>
      <c r="H1537" s="25">
        <v>201516097</v>
      </c>
      <c r="I1537" s="25" t="s">
        <v>19</v>
      </c>
      <c r="J1537" s="25" t="s">
        <v>20</v>
      </c>
      <c r="K1537" s="25" t="s">
        <v>21</v>
      </c>
      <c r="L1537" s="25">
        <v>44.28</v>
      </c>
      <c r="M1537" s="25">
        <v>1.46</v>
      </c>
      <c r="N1537" s="25">
        <v>0</v>
      </c>
      <c r="O1537" s="25">
        <v>277.64</v>
      </c>
      <c r="P1537" s="25">
        <v>323.38119999999998</v>
      </c>
      <c r="Q1537" s="25">
        <f t="shared" si="46"/>
        <v>0</v>
      </c>
      <c r="R1537" s="25">
        <f t="shared" si="47"/>
        <v>43957.118799999997</v>
      </c>
    </row>
    <row r="1538" spans="1:18" hidden="1" x14ac:dyDescent="0.25">
      <c r="A1538" s="26">
        <v>42233</v>
      </c>
      <c r="B1538" s="25" t="s">
        <v>74</v>
      </c>
      <c r="C1538" s="25" t="s">
        <v>17</v>
      </c>
      <c r="D1538" s="25">
        <v>100</v>
      </c>
      <c r="E1538" s="25">
        <v>1124.9100000000001</v>
      </c>
      <c r="F1538" s="25">
        <v>112491.4</v>
      </c>
      <c r="G1538" s="25" t="s">
        <v>82</v>
      </c>
      <c r="H1538" s="25">
        <v>201516097</v>
      </c>
      <c r="I1538" s="25" t="s">
        <v>19</v>
      </c>
      <c r="J1538" s="25" t="s">
        <v>20</v>
      </c>
      <c r="K1538" s="25" t="s">
        <v>21</v>
      </c>
      <c r="L1538" s="25">
        <v>112.88</v>
      </c>
      <c r="M1538" s="25">
        <v>3.71</v>
      </c>
      <c r="N1538" s="25">
        <v>0</v>
      </c>
      <c r="O1538" s="25">
        <v>705.32</v>
      </c>
      <c r="P1538" s="25">
        <v>821.91200000000003</v>
      </c>
      <c r="Q1538" s="25">
        <f t="shared" si="46"/>
        <v>113313.31199999999</v>
      </c>
      <c r="R1538" s="25">
        <f t="shared" si="47"/>
        <v>0</v>
      </c>
    </row>
    <row r="1539" spans="1:18" hidden="1" x14ac:dyDescent="0.25">
      <c r="A1539" s="26">
        <v>42200</v>
      </c>
      <c r="B1539" s="25" t="s">
        <v>29</v>
      </c>
      <c r="C1539" s="25" t="s">
        <v>17</v>
      </c>
      <c r="D1539" s="25">
        <v>2000</v>
      </c>
      <c r="E1539" s="25">
        <v>14.75</v>
      </c>
      <c r="F1539" s="25">
        <v>29500</v>
      </c>
      <c r="G1539" s="25" t="s">
        <v>83</v>
      </c>
      <c r="H1539" s="25">
        <v>201516074</v>
      </c>
      <c r="I1539" s="25" t="s">
        <v>19</v>
      </c>
      <c r="J1539" s="25" t="s">
        <v>20</v>
      </c>
      <c r="K1539" s="25" t="s">
        <v>21</v>
      </c>
      <c r="L1539" s="25">
        <v>30</v>
      </c>
      <c r="M1539" s="25">
        <v>0.97</v>
      </c>
      <c r="N1539" s="25">
        <v>2.95</v>
      </c>
      <c r="O1539" s="25">
        <v>184.97</v>
      </c>
      <c r="P1539" s="25">
        <v>218.89340000000001</v>
      </c>
      <c r="Q1539" s="25">
        <f t="shared" ref="Q1539:Q1597" si="48">IF(C1539="Buy",F1539+P1539,0)</f>
        <v>29718.893400000001</v>
      </c>
      <c r="R1539" s="25">
        <f t="shared" ref="R1539:R1597" si="49">IF(C1539="Sell",F1539-P1539,0)</f>
        <v>0</v>
      </c>
    </row>
    <row r="1540" spans="1:18" hidden="1" x14ac:dyDescent="0.25">
      <c r="A1540" s="26">
        <v>42195</v>
      </c>
      <c r="B1540" s="25" t="s">
        <v>80</v>
      </c>
      <c r="C1540" s="25" t="s">
        <v>23</v>
      </c>
      <c r="D1540" s="25">
        <v>100</v>
      </c>
      <c r="E1540" s="25">
        <v>430</v>
      </c>
      <c r="F1540" s="25">
        <v>43000</v>
      </c>
      <c r="G1540" s="25" t="s">
        <v>84</v>
      </c>
      <c r="H1540" s="25">
        <v>201516071</v>
      </c>
      <c r="I1540" s="25" t="s">
        <v>19</v>
      </c>
      <c r="J1540" s="25" t="s">
        <v>20</v>
      </c>
      <c r="K1540" s="25" t="s">
        <v>21</v>
      </c>
      <c r="L1540" s="25">
        <v>43</v>
      </c>
      <c r="M1540" s="25">
        <v>1.42</v>
      </c>
      <c r="N1540" s="25">
        <v>4.3</v>
      </c>
      <c r="O1540" s="25">
        <v>269.61</v>
      </c>
      <c r="P1540" s="25">
        <v>318.32889999999998</v>
      </c>
      <c r="Q1540" s="25">
        <f t="shared" si="48"/>
        <v>0</v>
      </c>
      <c r="R1540" s="25">
        <f t="shared" si="49"/>
        <v>42681.6711</v>
      </c>
    </row>
    <row r="1541" spans="1:18" hidden="1" x14ac:dyDescent="0.25">
      <c r="A1541" s="26">
        <v>42167</v>
      </c>
      <c r="B1541" s="25" t="s">
        <v>80</v>
      </c>
      <c r="C1541" s="25" t="s">
        <v>17</v>
      </c>
      <c r="D1541" s="25">
        <v>100</v>
      </c>
      <c r="E1541" s="25">
        <v>390</v>
      </c>
      <c r="F1541" s="25">
        <v>39000</v>
      </c>
      <c r="G1541" s="25" t="s">
        <v>85</v>
      </c>
      <c r="H1541" s="25">
        <v>201516051</v>
      </c>
      <c r="I1541" s="25" t="s">
        <v>19</v>
      </c>
      <c r="J1541" s="25" t="s">
        <v>20</v>
      </c>
      <c r="K1541" s="25" t="s">
        <v>21</v>
      </c>
      <c r="L1541" s="25">
        <v>39</v>
      </c>
      <c r="M1541" s="25">
        <v>1.29</v>
      </c>
      <c r="N1541" s="25">
        <v>3.9</v>
      </c>
      <c r="O1541" s="25">
        <v>244.54</v>
      </c>
      <c r="P1541" s="25">
        <v>288.72699999999998</v>
      </c>
      <c r="Q1541" s="25">
        <f t="shared" si="48"/>
        <v>39288.726999999999</v>
      </c>
      <c r="R1541" s="25">
        <f t="shared" si="49"/>
        <v>0</v>
      </c>
    </row>
    <row r="1542" spans="1:18" hidden="1" x14ac:dyDescent="0.25">
      <c r="A1542" s="26">
        <v>42111</v>
      </c>
      <c r="B1542" s="25" t="s">
        <v>29</v>
      </c>
      <c r="C1542" s="25" t="s">
        <v>17</v>
      </c>
      <c r="D1542" s="25">
        <v>1000</v>
      </c>
      <c r="E1542" s="25">
        <v>17.100000000000001</v>
      </c>
      <c r="F1542" s="25">
        <v>17100</v>
      </c>
      <c r="G1542" s="25" t="s">
        <v>86</v>
      </c>
      <c r="H1542" s="25">
        <v>201516012</v>
      </c>
      <c r="I1542" s="25" t="s">
        <v>19</v>
      </c>
      <c r="J1542" s="25" t="s">
        <v>20</v>
      </c>
      <c r="K1542" s="25" t="s">
        <v>21</v>
      </c>
      <c r="L1542" s="25">
        <v>17</v>
      </c>
      <c r="M1542" s="25">
        <v>0.56000000000000005</v>
      </c>
      <c r="N1542" s="25">
        <v>1.71</v>
      </c>
      <c r="O1542" s="25">
        <v>105.67</v>
      </c>
      <c r="P1542" s="25">
        <v>124.9443</v>
      </c>
      <c r="Q1542" s="25">
        <f t="shared" si="48"/>
        <v>17224.944299999999</v>
      </c>
      <c r="R1542" s="25">
        <f t="shared" si="49"/>
        <v>0</v>
      </c>
    </row>
    <row r="1543" spans="1:18" hidden="1" x14ac:dyDescent="0.25">
      <c r="A1543" s="26">
        <v>42107</v>
      </c>
      <c r="B1543" s="25" t="s">
        <v>29</v>
      </c>
      <c r="C1543" s="25" t="s">
        <v>23</v>
      </c>
      <c r="D1543" s="25">
        <v>1000</v>
      </c>
      <c r="E1543" s="25">
        <v>19.100000000000001</v>
      </c>
      <c r="F1543" s="25">
        <v>19100</v>
      </c>
      <c r="G1543" s="25" t="s">
        <v>87</v>
      </c>
      <c r="H1543" s="25">
        <v>201516009</v>
      </c>
      <c r="I1543" s="25" t="s">
        <v>19</v>
      </c>
      <c r="J1543" s="25" t="s">
        <v>20</v>
      </c>
      <c r="K1543" s="25" t="s">
        <v>21</v>
      </c>
      <c r="L1543" s="25">
        <v>19</v>
      </c>
      <c r="M1543" s="25">
        <v>0.63</v>
      </c>
      <c r="N1543" s="25">
        <v>1.91</v>
      </c>
      <c r="O1543" s="25">
        <v>118.03</v>
      </c>
      <c r="P1543" s="25">
        <v>139.5703</v>
      </c>
      <c r="Q1543" s="25">
        <f t="shared" si="48"/>
        <v>0</v>
      </c>
      <c r="R1543" s="25">
        <f t="shared" si="49"/>
        <v>18960.429700000001</v>
      </c>
    </row>
    <row r="1544" spans="1:18" hidden="1" x14ac:dyDescent="0.25">
      <c r="A1544" s="26">
        <v>42101</v>
      </c>
      <c r="B1544" s="25" t="s">
        <v>29</v>
      </c>
      <c r="C1544" s="25" t="s">
        <v>17</v>
      </c>
      <c r="D1544" s="25">
        <v>1000</v>
      </c>
      <c r="E1544" s="25">
        <v>17</v>
      </c>
      <c r="F1544" s="25">
        <v>17000</v>
      </c>
      <c r="G1544" s="25" t="s">
        <v>88</v>
      </c>
      <c r="H1544" s="25">
        <v>2015064</v>
      </c>
      <c r="I1544" s="25" t="s">
        <v>19</v>
      </c>
      <c r="J1544" s="25" t="s">
        <v>20</v>
      </c>
      <c r="K1544" s="25" t="s">
        <v>25</v>
      </c>
      <c r="L1544" s="25">
        <v>17</v>
      </c>
      <c r="M1544" s="25">
        <v>0.63</v>
      </c>
      <c r="N1544" s="25">
        <v>1.7</v>
      </c>
      <c r="O1544" s="25">
        <v>105.06</v>
      </c>
      <c r="P1544" s="25">
        <v>124.389</v>
      </c>
      <c r="Q1544" s="25">
        <f t="shared" si="48"/>
        <v>17124.388999999999</v>
      </c>
      <c r="R1544" s="25">
        <f t="shared" si="49"/>
        <v>0</v>
      </c>
    </row>
    <row r="1545" spans="1:18" hidden="1" x14ac:dyDescent="0.25">
      <c r="A1545" s="26">
        <v>42087</v>
      </c>
      <c r="B1545" s="25" t="s">
        <v>89</v>
      </c>
      <c r="C1545" s="25" t="s">
        <v>23</v>
      </c>
      <c r="D1545" s="25">
        <v>2000</v>
      </c>
      <c r="E1545" s="25">
        <v>10.35</v>
      </c>
      <c r="F1545" s="25">
        <v>20700</v>
      </c>
      <c r="G1545" s="25" t="s">
        <v>90</v>
      </c>
      <c r="H1545" s="25">
        <v>2015056</v>
      </c>
      <c r="I1545" s="25" t="s">
        <v>19</v>
      </c>
      <c r="J1545" s="25" t="s">
        <v>20</v>
      </c>
      <c r="K1545" s="25" t="s">
        <v>25</v>
      </c>
      <c r="L1545" s="25">
        <v>21</v>
      </c>
      <c r="M1545" s="25">
        <v>0.77</v>
      </c>
      <c r="N1545" s="25">
        <v>2.0699999999999998</v>
      </c>
      <c r="O1545" s="25">
        <v>127.92</v>
      </c>
      <c r="P1545" s="25">
        <v>151.7559</v>
      </c>
      <c r="Q1545" s="25">
        <f t="shared" si="48"/>
        <v>0</v>
      </c>
      <c r="R1545" s="25">
        <f t="shared" si="49"/>
        <v>20548.2441</v>
      </c>
    </row>
    <row r="1546" spans="1:18" hidden="1" x14ac:dyDescent="0.25">
      <c r="A1546" s="26">
        <v>42081</v>
      </c>
      <c r="B1546" s="25" t="s">
        <v>80</v>
      </c>
      <c r="C1546" s="25" t="s">
        <v>17</v>
      </c>
      <c r="D1546" s="25">
        <v>110</v>
      </c>
      <c r="E1546" s="25">
        <v>510</v>
      </c>
      <c r="F1546" s="25">
        <v>56100</v>
      </c>
      <c r="G1546" s="25" t="s">
        <v>91</v>
      </c>
      <c r="H1546" s="25">
        <v>201415237</v>
      </c>
      <c r="I1546" s="25" t="s">
        <v>19</v>
      </c>
      <c r="J1546" s="25" t="s">
        <v>20</v>
      </c>
      <c r="K1546" s="25" t="s">
        <v>21</v>
      </c>
      <c r="L1546" s="25">
        <v>56</v>
      </c>
      <c r="M1546" s="25">
        <v>1.85</v>
      </c>
      <c r="N1546" s="25">
        <v>5.61</v>
      </c>
      <c r="O1546" s="25">
        <v>346.69</v>
      </c>
      <c r="P1546" s="25">
        <v>410.15129999999999</v>
      </c>
      <c r="Q1546" s="25">
        <f t="shared" si="48"/>
        <v>56510.151299999998</v>
      </c>
      <c r="R1546" s="25">
        <f t="shared" si="49"/>
        <v>0</v>
      </c>
    </row>
    <row r="1547" spans="1:18" hidden="1" x14ac:dyDescent="0.25">
      <c r="A1547" s="26">
        <v>42073</v>
      </c>
      <c r="B1547" s="25" t="s">
        <v>35</v>
      </c>
      <c r="C1547" s="25" t="s">
        <v>23</v>
      </c>
      <c r="D1547" s="25">
        <v>1000</v>
      </c>
      <c r="E1547" s="25">
        <v>63</v>
      </c>
      <c r="F1547" s="25">
        <v>63000</v>
      </c>
      <c r="G1547" s="25" t="s">
        <v>92</v>
      </c>
      <c r="H1547" s="25">
        <v>201415231</v>
      </c>
      <c r="I1547" s="25" t="s">
        <v>19</v>
      </c>
      <c r="J1547" s="25" t="s">
        <v>20</v>
      </c>
      <c r="K1547" s="25" t="s">
        <v>21</v>
      </c>
      <c r="L1547" s="25">
        <v>63</v>
      </c>
      <c r="M1547" s="25">
        <v>2.08</v>
      </c>
      <c r="N1547" s="25">
        <v>6.3</v>
      </c>
      <c r="O1547" s="25">
        <v>389.33</v>
      </c>
      <c r="P1547" s="25">
        <v>460.70890000000003</v>
      </c>
      <c r="Q1547" s="25">
        <f t="shared" si="48"/>
        <v>0</v>
      </c>
      <c r="R1547" s="25">
        <f t="shared" si="49"/>
        <v>62539.291100000002</v>
      </c>
    </row>
    <row r="1548" spans="1:18" hidden="1" x14ac:dyDescent="0.25">
      <c r="A1548" s="26">
        <v>42063</v>
      </c>
      <c r="B1548" s="25" t="s">
        <v>29</v>
      </c>
      <c r="C1548" s="25" t="s">
        <v>17</v>
      </c>
      <c r="D1548" s="25">
        <v>1000</v>
      </c>
      <c r="E1548" s="25">
        <v>19.89</v>
      </c>
      <c r="F1548" s="25">
        <v>19891</v>
      </c>
      <c r="G1548" s="25" t="s">
        <v>93</v>
      </c>
      <c r="H1548" s="25">
        <v>201415225</v>
      </c>
      <c r="I1548" s="25" t="s">
        <v>19</v>
      </c>
      <c r="J1548" s="25" t="s">
        <v>20</v>
      </c>
      <c r="K1548" s="25" t="s">
        <v>21</v>
      </c>
      <c r="L1548" s="25">
        <v>20</v>
      </c>
      <c r="M1548" s="25">
        <v>0.66</v>
      </c>
      <c r="N1548" s="25">
        <v>1.99</v>
      </c>
      <c r="O1548" s="25">
        <v>122.92</v>
      </c>
      <c r="P1548" s="25">
        <v>145.56530000000001</v>
      </c>
      <c r="Q1548" s="25">
        <f t="shared" si="48"/>
        <v>20036.565299999998</v>
      </c>
      <c r="R1548" s="25">
        <f t="shared" si="49"/>
        <v>0</v>
      </c>
    </row>
    <row r="1549" spans="1:18" hidden="1" x14ac:dyDescent="0.25">
      <c r="A1549" s="26">
        <v>42053</v>
      </c>
      <c r="B1549" s="25" t="s">
        <v>89</v>
      </c>
      <c r="C1549" s="25" t="s">
        <v>17</v>
      </c>
      <c r="D1549" s="25">
        <v>2000</v>
      </c>
      <c r="E1549" s="25">
        <v>11.5</v>
      </c>
      <c r="F1549" s="25">
        <v>23000</v>
      </c>
      <c r="G1549" s="25" t="s">
        <v>94</v>
      </c>
      <c r="H1549" s="25">
        <v>201415217</v>
      </c>
      <c r="I1549" s="25" t="s">
        <v>19</v>
      </c>
      <c r="J1549" s="25" t="s">
        <v>20</v>
      </c>
      <c r="K1549" s="25" t="s">
        <v>21</v>
      </c>
      <c r="L1549" s="25">
        <v>23</v>
      </c>
      <c r="M1549" s="25">
        <v>0.76</v>
      </c>
      <c r="N1549" s="25">
        <v>2.2999999999999998</v>
      </c>
      <c r="O1549" s="25">
        <v>142.13999999999999</v>
      </c>
      <c r="P1549" s="25">
        <v>168.19900000000001</v>
      </c>
      <c r="Q1549" s="25">
        <f t="shared" si="48"/>
        <v>23168.199000000001</v>
      </c>
      <c r="R1549" s="25">
        <f t="shared" si="49"/>
        <v>0</v>
      </c>
    </row>
    <row r="1550" spans="1:18" hidden="1" x14ac:dyDescent="0.25">
      <c r="A1550" s="26">
        <v>42019</v>
      </c>
      <c r="B1550" s="25" t="s">
        <v>35</v>
      </c>
      <c r="C1550" s="25" t="s">
        <v>17</v>
      </c>
      <c r="D1550" s="25">
        <v>1000</v>
      </c>
      <c r="E1550" s="25">
        <v>54.45</v>
      </c>
      <c r="F1550" s="25">
        <v>54450</v>
      </c>
      <c r="G1550" s="25" t="s">
        <v>95</v>
      </c>
      <c r="H1550" s="25">
        <v>201415195</v>
      </c>
      <c r="I1550" s="25" t="s">
        <v>19</v>
      </c>
      <c r="J1550" s="25" t="s">
        <v>20</v>
      </c>
      <c r="K1550" s="25" t="s">
        <v>21</v>
      </c>
      <c r="L1550" s="25">
        <v>54</v>
      </c>
      <c r="M1550" s="25">
        <v>1.8</v>
      </c>
      <c r="N1550" s="25">
        <v>5.45</v>
      </c>
      <c r="O1550" s="25">
        <v>336.49</v>
      </c>
      <c r="P1550" s="25">
        <v>397.73180000000002</v>
      </c>
      <c r="Q1550" s="25">
        <f t="shared" si="48"/>
        <v>54847.731800000001</v>
      </c>
      <c r="R1550" s="25">
        <f t="shared" si="49"/>
        <v>0</v>
      </c>
    </row>
    <row r="1551" spans="1:18" hidden="1" x14ac:dyDescent="0.25">
      <c r="A1551" s="26">
        <v>42013</v>
      </c>
      <c r="B1551" s="25" t="s">
        <v>35</v>
      </c>
      <c r="C1551" s="25" t="s">
        <v>23</v>
      </c>
      <c r="D1551" s="25">
        <v>1000</v>
      </c>
      <c r="E1551" s="25">
        <v>53.3</v>
      </c>
      <c r="F1551" s="25">
        <v>53300</v>
      </c>
      <c r="G1551" s="25" t="s">
        <v>96</v>
      </c>
      <c r="H1551" s="25">
        <v>201415191</v>
      </c>
      <c r="I1551" s="25" t="s">
        <v>19</v>
      </c>
      <c r="J1551" s="25" t="s">
        <v>20</v>
      </c>
      <c r="K1551" s="25" t="s">
        <v>21</v>
      </c>
      <c r="L1551" s="25">
        <v>53</v>
      </c>
      <c r="M1551" s="25">
        <v>1.76</v>
      </c>
      <c r="N1551" s="25">
        <v>5.33</v>
      </c>
      <c r="O1551" s="25">
        <v>329.38</v>
      </c>
      <c r="P1551" s="25">
        <v>389.46890000000002</v>
      </c>
      <c r="Q1551" s="25">
        <f t="shared" si="48"/>
        <v>0</v>
      </c>
      <c r="R1551" s="25">
        <f t="shared" si="49"/>
        <v>52910.5311</v>
      </c>
    </row>
    <row r="1552" spans="1:18" hidden="1" x14ac:dyDescent="0.25">
      <c r="A1552" s="26">
        <v>41995</v>
      </c>
      <c r="B1552" s="25" t="s">
        <v>35</v>
      </c>
      <c r="C1552" s="25" t="s">
        <v>17</v>
      </c>
      <c r="D1552" s="25">
        <v>200</v>
      </c>
      <c r="E1552" s="25">
        <v>40</v>
      </c>
      <c r="F1552" s="25">
        <v>8000</v>
      </c>
      <c r="G1552" s="25" t="s">
        <v>97</v>
      </c>
      <c r="H1552" s="25">
        <v>201415178</v>
      </c>
      <c r="I1552" s="25" t="s">
        <v>19</v>
      </c>
      <c r="J1552" s="25" t="s">
        <v>20</v>
      </c>
      <c r="K1552" s="25" t="s">
        <v>21</v>
      </c>
      <c r="L1552" s="25">
        <v>8</v>
      </c>
      <c r="M1552" s="25">
        <v>0.26</v>
      </c>
      <c r="N1552" s="25">
        <v>0.8</v>
      </c>
      <c r="O1552" s="25">
        <v>49.44</v>
      </c>
      <c r="P1552" s="25">
        <v>58.503900000000002</v>
      </c>
      <c r="Q1552" s="25">
        <f t="shared" si="48"/>
        <v>8058.5038999999997</v>
      </c>
      <c r="R1552" s="25">
        <f t="shared" si="49"/>
        <v>0</v>
      </c>
    </row>
    <row r="1553" spans="1:18" hidden="1" x14ac:dyDescent="0.25">
      <c r="A1553" s="26">
        <v>41984</v>
      </c>
      <c r="B1553" s="25" t="s">
        <v>98</v>
      </c>
      <c r="C1553" s="25" t="s">
        <v>23</v>
      </c>
      <c r="D1553" s="25">
        <v>25</v>
      </c>
      <c r="E1553" s="25">
        <v>79.2</v>
      </c>
      <c r="F1553" s="25">
        <v>1980</v>
      </c>
      <c r="G1553" s="25" t="s">
        <v>99</v>
      </c>
      <c r="H1553" s="25">
        <v>201415171</v>
      </c>
      <c r="I1553" s="25" t="s">
        <v>19</v>
      </c>
      <c r="J1553" s="25" t="s">
        <v>20</v>
      </c>
      <c r="K1553" s="25" t="s">
        <v>21</v>
      </c>
      <c r="L1553" s="25">
        <v>1.98</v>
      </c>
      <c r="M1553" s="25">
        <v>7.0000000000000007E-2</v>
      </c>
      <c r="N1553" s="25">
        <v>0</v>
      </c>
      <c r="O1553" s="25">
        <v>39.33</v>
      </c>
      <c r="P1553" s="25">
        <v>41.375300000000003</v>
      </c>
      <c r="Q1553" s="25">
        <f t="shared" si="48"/>
        <v>0</v>
      </c>
      <c r="R1553" s="25">
        <f t="shared" si="49"/>
        <v>1938.6247000000001</v>
      </c>
    </row>
    <row r="1554" spans="1:18" x14ac:dyDescent="0.25">
      <c r="A1554" s="26">
        <v>41984</v>
      </c>
      <c r="B1554" s="25" t="s">
        <v>100</v>
      </c>
      <c r="C1554" s="25" t="s">
        <v>23</v>
      </c>
      <c r="D1554" s="25">
        <v>200</v>
      </c>
      <c r="E1554" s="25">
        <v>50.2</v>
      </c>
      <c r="F1554" s="25">
        <v>10040</v>
      </c>
      <c r="G1554" s="25" t="s">
        <v>101</v>
      </c>
      <c r="H1554" s="25">
        <v>201415171</v>
      </c>
      <c r="I1554" s="25" t="s">
        <v>19</v>
      </c>
      <c r="J1554" s="25" t="s">
        <v>20</v>
      </c>
      <c r="K1554" s="25" t="s">
        <v>21</v>
      </c>
      <c r="L1554" s="25">
        <v>10.02</v>
      </c>
      <c r="M1554" s="25">
        <v>0.33</v>
      </c>
      <c r="N1554" s="25">
        <v>1.2</v>
      </c>
      <c r="O1554" s="25">
        <v>62.04</v>
      </c>
      <c r="P1554" s="25">
        <v>73.593299999999999</v>
      </c>
      <c r="Q1554" s="25">
        <f t="shared" si="48"/>
        <v>0</v>
      </c>
      <c r="R1554" s="25">
        <f t="shared" si="49"/>
        <v>9966.4066999999995</v>
      </c>
    </row>
    <row r="1555" spans="1:18" hidden="1" x14ac:dyDescent="0.25">
      <c r="A1555" s="26">
        <v>41982</v>
      </c>
      <c r="B1555" s="25" t="s">
        <v>35</v>
      </c>
      <c r="C1555" s="25" t="s">
        <v>17</v>
      </c>
      <c r="D1555" s="25">
        <v>800</v>
      </c>
      <c r="E1555" s="25">
        <v>45</v>
      </c>
      <c r="F1555" s="25">
        <v>36000</v>
      </c>
      <c r="G1555" s="25" t="s">
        <v>102</v>
      </c>
      <c r="H1555" s="25">
        <v>201415169</v>
      </c>
      <c r="I1555" s="25" t="s">
        <v>19</v>
      </c>
      <c r="J1555" s="25" t="s">
        <v>20</v>
      </c>
      <c r="K1555" s="25" t="s">
        <v>21</v>
      </c>
      <c r="L1555" s="25">
        <v>36</v>
      </c>
      <c r="M1555" s="25">
        <v>1.19</v>
      </c>
      <c r="N1555" s="25">
        <v>3.6</v>
      </c>
      <c r="O1555" s="25">
        <v>222.47</v>
      </c>
      <c r="P1555" s="25">
        <v>263.25790000000001</v>
      </c>
      <c r="Q1555" s="25">
        <f t="shared" si="48"/>
        <v>36263.257899999997</v>
      </c>
      <c r="R1555" s="25">
        <f t="shared" si="49"/>
        <v>0</v>
      </c>
    </row>
    <row r="1556" spans="1:18" x14ac:dyDescent="0.25">
      <c r="A1556" s="26">
        <v>41978</v>
      </c>
      <c r="B1556" s="25" t="s">
        <v>100</v>
      </c>
      <c r="C1556" s="25" t="s">
        <v>17</v>
      </c>
      <c r="D1556" s="25">
        <v>200</v>
      </c>
      <c r="E1556" s="25">
        <v>54</v>
      </c>
      <c r="F1556" s="25">
        <v>10800</v>
      </c>
      <c r="G1556" s="25" t="s">
        <v>103</v>
      </c>
      <c r="H1556" s="25">
        <v>201415167</v>
      </c>
      <c r="I1556" s="25" t="s">
        <v>19</v>
      </c>
      <c r="J1556" s="25" t="s">
        <v>20</v>
      </c>
      <c r="K1556" s="25" t="s">
        <v>21</v>
      </c>
      <c r="L1556" s="25">
        <v>11.01</v>
      </c>
      <c r="M1556" s="25">
        <v>0.36</v>
      </c>
      <c r="N1556" s="25">
        <v>0</v>
      </c>
      <c r="O1556" s="25">
        <v>66.739999999999995</v>
      </c>
      <c r="P1556" s="25">
        <v>78.106300000000005</v>
      </c>
      <c r="Q1556" s="25">
        <f t="shared" si="48"/>
        <v>10878.106299999999</v>
      </c>
      <c r="R1556" s="25">
        <f t="shared" si="49"/>
        <v>0</v>
      </c>
    </row>
    <row r="1557" spans="1:18" hidden="1" x14ac:dyDescent="0.25">
      <c r="A1557" s="26">
        <v>41978</v>
      </c>
      <c r="B1557" s="25" t="s">
        <v>98</v>
      </c>
      <c r="C1557" s="25" t="s">
        <v>17</v>
      </c>
      <c r="D1557" s="25">
        <v>25</v>
      </c>
      <c r="E1557" s="25">
        <v>79.5</v>
      </c>
      <c r="F1557" s="25">
        <v>1987.5</v>
      </c>
      <c r="G1557" s="25" t="s">
        <v>104</v>
      </c>
      <c r="H1557" s="25">
        <v>201415167</v>
      </c>
      <c r="I1557" s="25" t="s">
        <v>19</v>
      </c>
      <c r="J1557" s="25" t="s">
        <v>20</v>
      </c>
      <c r="K1557" s="25" t="s">
        <v>21</v>
      </c>
      <c r="L1557" s="25">
        <v>1.99</v>
      </c>
      <c r="M1557" s="25">
        <v>7.0000000000000007E-2</v>
      </c>
      <c r="N1557" s="25">
        <v>1.28</v>
      </c>
      <c r="O1557" s="25">
        <v>39.33</v>
      </c>
      <c r="P1557" s="25">
        <v>42.664400000000001</v>
      </c>
      <c r="Q1557" s="25">
        <f t="shared" si="48"/>
        <v>2030.1644000000001</v>
      </c>
      <c r="R1557" s="25">
        <f t="shared" si="49"/>
        <v>0</v>
      </c>
    </row>
    <row r="1558" spans="1:18" hidden="1" x14ac:dyDescent="0.25">
      <c r="A1558" s="26">
        <v>41977</v>
      </c>
      <c r="B1558" s="25" t="s">
        <v>105</v>
      </c>
      <c r="C1558" s="25" t="s">
        <v>23</v>
      </c>
      <c r="D1558" s="25">
        <v>575</v>
      </c>
      <c r="E1558" s="25">
        <v>66.099999999999994</v>
      </c>
      <c r="F1558" s="25">
        <v>38007.5</v>
      </c>
      <c r="G1558" s="25" t="s">
        <v>106</v>
      </c>
      <c r="H1558" s="25">
        <v>2014225</v>
      </c>
      <c r="I1558" s="25" t="s">
        <v>19</v>
      </c>
      <c r="J1558" s="25" t="s">
        <v>20</v>
      </c>
      <c r="K1558" s="25" t="s">
        <v>25</v>
      </c>
      <c r="L1558" s="25">
        <v>38.01</v>
      </c>
      <c r="M1558" s="25">
        <v>1.41</v>
      </c>
      <c r="N1558" s="25">
        <v>0</v>
      </c>
      <c r="O1558" s="25">
        <v>234.88</v>
      </c>
      <c r="P1558" s="25">
        <v>274.29629999999997</v>
      </c>
      <c r="Q1558" s="25">
        <f t="shared" si="48"/>
        <v>0</v>
      </c>
      <c r="R1558" s="25">
        <f t="shared" si="49"/>
        <v>37733.203699999998</v>
      </c>
    </row>
    <row r="1559" spans="1:18" hidden="1" x14ac:dyDescent="0.25">
      <c r="A1559" s="26">
        <v>41977</v>
      </c>
      <c r="B1559" s="25" t="s">
        <v>89</v>
      </c>
      <c r="C1559" s="25" t="s">
        <v>23</v>
      </c>
      <c r="D1559" s="25">
        <v>1000</v>
      </c>
      <c r="E1559" s="25">
        <v>13.05</v>
      </c>
      <c r="F1559" s="25">
        <v>13050</v>
      </c>
      <c r="G1559" s="25" t="s">
        <v>107</v>
      </c>
      <c r="H1559" s="25">
        <v>2014225</v>
      </c>
      <c r="I1559" s="25" t="s">
        <v>19</v>
      </c>
      <c r="J1559" s="25" t="s">
        <v>20</v>
      </c>
      <c r="K1559" s="25" t="s">
        <v>25</v>
      </c>
      <c r="L1559" s="25">
        <v>12.99</v>
      </c>
      <c r="M1559" s="25">
        <v>0.48</v>
      </c>
      <c r="N1559" s="25">
        <v>5.1100000000000003</v>
      </c>
      <c r="O1559" s="25">
        <v>80.650000000000006</v>
      </c>
      <c r="P1559" s="25">
        <v>99.228700000000003</v>
      </c>
      <c r="Q1559" s="25">
        <f t="shared" si="48"/>
        <v>0</v>
      </c>
      <c r="R1559" s="25">
        <f t="shared" si="49"/>
        <v>12950.7713</v>
      </c>
    </row>
    <row r="1560" spans="1:18" hidden="1" x14ac:dyDescent="0.25">
      <c r="A1560" s="26">
        <v>41823</v>
      </c>
      <c r="B1560" s="25" t="s">
        <v>56</v>
      </c>
      <c r="C1560" s="25" t="s">
        <v>23</v>
      </c>
      <c r="D1560" s="25">
        <v>20</v>
      </c>
      <c r="E1560" s="25">
        <v>870</v>
      </c>
      <c r="F1560" s="25">
        <v>17400</v>
      </c>
      <c r="G1560" s="25" t="s">
        <v>108</v>
      </c>
      <c r="H1560" s="25">
        <v>2014125</v>
      </c>
      <c r="I1560" s="25" t="s">
        <v>19</v>
      </c>
      <c r="J1560" s="25" t="s">
        <v>20</v>
      </c>
      <c r="K1560" s="25" t="s">
        <v>25</v>
      </c>
      <c r="L1560" s="25">
        <v>17.899999999999999</v>
      </c>
      <c r="M1560" s="25">
        <v>0.64</v>
      </c>
      <c r="N1560" s="25">
        <v>5.95</v>
      </c>
      <c r="O1560" s="25">
        <v>107.53</v>
      </c>
      <c r="P1560" s="25">
        <v>132.02379999999999</v>
      </c>
      <c r="Q1560" s="25">
        <f t="shared" si="48"/>
        <v>0</v>
      </c>
      <c r="R1560" s="25">
        <f t="shared" si="49"/>
        <v>17267.976200000001</v>
      </c>
    </row>
    <row r="1561" spans="1:18" hidden="1" x14ac:dyDescent="0.25">
      <c r="A1561" s="26">
        <v>41823</v>
      </c>
      <c r="B1561" s="25" t="s">
        <v>105</v>
      </c>
      <c r="C1561" s="25" t="s">
        <v>17</v>
      </c>
      <c r="D1561" s="25">
        <v>175</v>
      </c>
      <c r="E1561" s="25">
        <v>108</v>
      </c>
      <c r="F1561" s="25">
        <v>18900</v>
      </c>
      <c r="G1561" s="25" t="s">
        <v>109</v>
      </c>
      <c r="H1561" s="25">
        <v>2014125</v>
      </c>
      <c r="I1561" s="25" t="s">
        <v>19</v>
      </c>
      <c r="J1561" s="25" t="s">
        <v>20</v>
      </c>
      <c r="K1561" s="25" t="s">
        <v>25</v>
      </c>
      <c r="L1561" s="25">
        <v>18.899999999999999</v>
      </c>
      <c r="M1561" s="25">
        <v>0.7</v>
      </c>
      <c r="N1561" s="25">
        <v>0</v>
      </c>
      <c r="O1561" s="25">
        <v>116.8</v>
      </c>
      <c r="P1561" s="25">
        <v>136.39930000000001</v>
      </c>
      <c r="Q1561" s="25">
        <f t="shared" si="48"/>
        <v>19036.399300000001</v>
      </c>
      <c r="R1561" s="25">
        <f t="shared" si="49"/>
        <v>0</v>
      </c>
    </row>
    <row r="1562" spans="1:18" hidden="1" x14ac:dyDescent="0.25">
      <c r="A1562" s="26">
        <v>41823</v>
      </c>
      <c r="B1562" s="25" t="s">
        <v>89</v>
      </c>
      <c r="C1562" s="25" t="s">
        <v>17</v>
      </c>
      <c r="D1562" s="25">
        <v>1000</v>
      </c>
      <c r="E1562" s="25">
        <v>23.2</v>
      </c>
      <c r="F1562" s="25">
        <v>23200</v>
      </c>
      <c r="G1562" s="25" t="s">
        <v>110</v>
      </c>
      <c r="H1562" s="25">
        <v>2014125</v>
      </c>
      <c r="I1562" s="25" t="s">
        <v>19</v>
      </c>
      <c r="J1562" s="25" t="s">
        <v>20</v>
      </c>
      <c r="K1562" s="25" t="s">
        <v>25</v>
      </c>
      <c r="L1562" s="25">
        <v>23.2</v>
      </c>
      <c r="M1562" s="25">
        <v>0.86</v>
      </c>
      <c r="N1562" s="25">
        <v>0</v>
      </c>
      <c r="O1562" s="25">
        <v>143.37</v>
      </c>
      <c r="P1562" s="25">
        <v>167.42840000000001</v>
      </c>
      <c r="Q1562" s="25">
        <f t="shared" si="48"/>
        <v>23367.428400000001</v>
      </c>
      <c r="R1562" s="25">
        <f t="shared" si="49"/>
        <v>0</v>
      </c>
    </row>
    <row r="1563" spans="1:18" hidden="1" x14ac:dyDescent="0.25">
      <c r="A1563" s="26">
        <v>41820</v>
      </c>
      <c r="B1563" s="25" t="s">
        <v>111</v>
      </c>
      <c r="C1563" s="25" t="s">
        <v>23</v>
      </c>
      <c r="D1563" s="25">
        <v>40</v>
      </c>
      <c r="E1563" s="25">
        <v>675</v>
      </c>
      <c r="F1563" s="25">
        <v>27000</v>
      </c>
      <c r="G1563" s="25" t="s">
        <v>112</v>
      </c>
      <c r="H1563" s="25">
        <v>2014122</v>
      </c>
      <c r="I1563" s="25" t="s">
        <v>19</v>
      </c>
      <c r="J1563" s="25" t="s">
        <v>20</v>
      </c>
      <c r="K1563" s="25" t="s">
        <v>25</v>
      </c>
      <c r="L1563" s="25">
        <v>27</v>
      </c>
      <c r="M1563" s="25">
        <v>1</v>
      </c>
      <c r="N1563" s="25">
        <v>2.7</v>
      </c>
      <c r="O1563" s="25">
        <v>166.85</v>
      </c>
      <c r="P1563" s="25">
        <v>197.54900000000001</v>
      </c>
      <c r="Q1563" s="25">
        <f t="shared" si="48"/>
        <v>0</v>
      </c>
      <c r="R1563" s="25">
        <f t="shared" si="49"/>
        <v>26802.451000000001</v>
      </c>
    </row>
    <row r="1564" spans="1:18" hidden="1" x14ac:dyDescent="0.25">
      <c r="A1564" s="26">
        <v>41810</v>
      </c>
      <c r="B1564" s="25" t="s">
        <v>111</v>
      </c>
      <c r="C1564" s="25" t="s">
        <v>17</v>
      </c>
      <c r="D1564" s="25">
        <v>40</v>
      </c>
      <c r="E1564" s="25">
        <v>630</v>
      </c>
      <c r="F1564" s="25">
        <v>25200</v>
      </c>
      <c r="G1564" s="25" t="s">
        <v>113</v>
      </c>
      <c r="H1564" s="25">
        <v>2014116</v>
      </c>
      <c r="I1564" s="25" t="s">
        <v>19</v>
      </c>
      <c r="J1564" s="25" t="s">
        <v>20</v>
      </c>
      <c r="K1564" s="25" t="s">
        <v>25</v>
      </c>
      <c r="L1564" s="25">
        <v>25</v>
      </c>
      <c r="M1564" s="25">
        <v>0.93</v>
      </c>
      <c r="N1564" s="25">
        <v>2.52</v>
      </c>
      <c r="O1564" s="25">
        <v>155.72999999999999</v>
      </c>
      <c r="P1564" s="25">
        <v>184.1824</v>
      </c>
      <c r="Q1564" s="25">
        <f t="shared" si="48"/>
        <v>25384.182400000002</v>
      </c>
      <c r="R1564" s="25">
        <f t="shared" si="49"/>
        <v>0</v>
      </c>
    </row>
    <row r="1565" spans="1:18" hidden="1" x14ac:dyDescent="0.25">
      <c r="A1565" s="26">
        <v>41808</v>
      </c>
      <c r="B1565" s="25" t="s">
        <v>98</v>
      </c>
      <c r="C1565" s="25" t="s">
        <v>23</v>
      </c>
      <c r="D1565" s="25">
        <v>324</v>
      </c>
      <c r="E1565" s="25">
        <v>80</v>
      </c>
      <c r="F1565" s="25">
        <v>25920</v>
      </c>
      <c r="G1565" s="25" t="s">
        <v>114</v>
      </c>
      <c r="H1565" s="25">
        <v>201415055</v>
      </c>
      <c r="I1565" s="25" t="s">
        <v>19</v>
      </c>
      <c r="J1565" s="25" t="s">
        <v>20</v>
      </c>
      <c r="K1565" s="25" t="s">
        <v>21</v>
      </c>
      <c r="L1565" s="25">
        <v>26</v>
      </c>
      <c r="M1565" s="25">
        <v>0.86</v>
      </c>
      <c r="N1565" s="25">
        <v>2.59</v>
      </c>
      <c r="O1565" s="25">
        <v>160.18</v>
      </c>
      <c r="P1565" s="25">
        <v>189.62729999999999</v>
      </c>
      <c r="Q1565" s="25">
        <f t="shared" si="48"/>
        <v>0</v>
      </c>
      <c r="R1565" s="25">
        <f t="shared" si="49"/>
        <v>25730.3727</v>
      </c>
    </row>
    <row r="1566" spans="1:18" hidden="1" x14ac:dyDescent="0.25">
      <c r="A1566" s="26">
        <v>41795</v>
      </c>
      <c r="B1566" s="25" t="s">
        <v>115</v>
      </c>
      <c r="C1566" s="25" t="s">
        <v>23</v>
      </c>
      <c r="D1566" s="25">
        <v>500</v>
      </c>
      <c r="E1566" s="25">
        <v>83.5</v>
      </c>
      <c r="F1566" s="25">
        <v>41750</v>
      </c>
      <c r="G1566" s="25" t="s">
        <v>116</v>
      </c>
      <c r="H1566" s="25">
        <v>201415046</v>
      </c>
      <c r="I1566" s="25" t="s">
        <v>19</v>
      </c>
      <c r="J1566" s="25" t="s">
        <v>20</v>
      </c>
      <c r="K1566" s="25" t="s">
        <v>21</v>
      </c>
      <c r="L1566" s="25">
        <v>42</v>
      </c>
      <c r="M1566" s="25">
        <v>1.38</v>
      </c>
      <c r="N1566" s="25">
        <v>4.18</v>
      </c>
      <c r="O1566" s="25">
        <v>258.01</v>
      </c>
      <c r="P1566" s="25">
        <v>305.56270000000001</v>
      </c>
      <c r="Q1566" s="25">
        <f t="shared" si="48"/>
        <v>0</v>
      </c>
      <c r="R1566" s="25">
        <f t="shared" si="49"/>
        <v>41444.437299999998</v>
      </c>
    </row>
    <row r="1567" spans="1:18" hidden="1" x14ac:dyDescent="0.25">
      <c r="A1567" s="26">
        <v>41795</v>
      </c>
      <c r="B1567" s="25" t="s">
        <v>105</v>
      </c>
      <c r="C1567" s="25" t="s">
        <v>17</v>
      </c>
      <c r="D1567" s="25">
        <v>400</v>
      </c>
      <c r="E1567" s="25">
        <v>104</v>
      </c>
      <c r="F1567" s="25">
        <v>41600</v>
      </c>
      <c r="G1567" s="25" t="s">
        <v>117</v>
      </c>
      <c r="H1567" s="25">
        <v>2014105</v>
      </c>
      <c r="I1567" s="25" t="s">
        <v>19</v>
      </c>
      <c r="J1567" s="25" t="s">
        <v>20</v>
      </c>
      <c r="K1567" s="25" t="s">
        <v>25</v>
      </c>
      <c r="L1567" s="25">
        <v>42</v>
      </c>
      <c r="M1567" s="25">
        <v>1.54</v>
      </c>
      <c r="N1567" s="25">
        <v>4.16</v>
      </c>
      <c r="O1567" s="25">
        <v>257.08</v>
      </c>
      <c r="P1567" s="25">
        <v>304.7792</v>
      </c>
      <c r="Q1567" s="25">
        <f t="shared" si="48"/>
        <v>41904.779199999997</v>
      </c>
      <c r="R1567" s="25">
        <f t="shared" si="49"/>
        <v>0</v>
      </c>
    </row>
    <row r="1568" spans="1:18" hidden="1" x14ac:dyDescent="0.25">
      <c r="A1568" s="26">
        <v>41786</v>
      </c>
      <c r="B1568" s="25" t="s">
        <v>98</v>
      </c>
      <c r="C1568" s="25" t="s">
        <v>17</v>
      </c>
      <c r="D1568" s="25">
        <v>100</v>
      </c>
      <c r="E1568" s="25">
        <v>77</v>
      </c>
      <c r="F1568" s="25">
        <v>7700</v>
      </c>
      <c r="G1568" s="25" t="s">
        <v>118</v>
      </c>
      <c r="H1568" s="25">
        <v>2014098</v>
      </c>
      <c r="I1568" s="25" t="s">
        <v>19</v>
      </c>
      <c r="J1568" s="25" t="s">
        <v>20</v>
      </c>
      <c r="K1568" s="25" t="s">
        <v>25</v>
      </c>
      <c r="L1568" s="25">
        <v>8</v>
      </c>
      <c r="M1568" s="25">
        <v>0.28000000000000003</v>
      </c>
      <c r="N1568" s="25">
        <v>0.77</v>
      </c>
      <c r="O1568" s="25">
        <v>47.58</v>
      </c>
      <c r="P1568" s="25">
        <v>56.627200000000002</v>
      </c>
      <c r="Q1568" s="25">
        <f t="shared" si="48"/>
        <v>7756.6271999999999</v>
      </c>
      <c r="R1568" s="25">
        <f t="shared" si="49"/>
        <v>0</v>
      </c>
    </row>
    <row r="1569" spans="1:18" hidden="1" x14ac:dyDescent="0.25">
      <c r="A1569" s="26">
        <v>41775</v>
      </c>
      <c r="B1569" s="25" t="s">
        <v>119</v>
      </c>
      <c r="C1569" s="25" t="s">
        <v>23</v>
      </c>
      <c r="D1569" s="25">
        <v>500</v>
      </c>
      <c r="E1569" s="25">
        <v>81</v>
      </c>
      <c r="F1569" s="25">
        <v>40500</v>
      </c>
      <c r="G1569" s="25" t="s">
        <v>120</v>
      </c>
      <c r="H1569" s="25">
        <v>2014091</v>
      </c>
      <c r="I1569" s="25" t="s">
        <v>19</v>
      </c>
      <c r="J1569" s="25" t="s">
        <v>20</v>
      </c>
      <c r="K1569" s="25" t="s">
        <v>25</v>
      </c>
      <c r="L1569" s="25">
        <v>40.5</v>
      </c>
      <c r="M1569" s="25">
        <v>1.46</v>
      </c>
      <c r="N1569" s="25">
        <v>7.35</v>
      </c>
      <c r="O1569" s="25">
        <v>250.28</v>
      </c>
      <c r="P1569" s="25">
        <v>299.58800000000002</v>
      </c>
      <c r="Q1569" s="25">
        <f t="shared" si="48"/>
        <v>0</v>
      </c>
      <c r="R1569" s="25">
        <f t="shared" si="49"/>
        <v>40200.411999999997</v>
      </c>
    </row>
    <row r="1570" spans="1:18" hidden="1" x14ac:dyDescent="0.25">
      <c r="A1570" s="26">
        <v>41775</v>
      </c>
      <c r="B1570" s="25" t="s">
        <v>115</v>
      </c>
      <c r="C1570" s="25" t="s">
        <v>17</v>
      </c>
      <c r="D1570" s="25">
        <v>500</v>
      </c>
      <c r="E1570" s="25">
        <v>66</v>
      </c>
      <c r="F1570" s="25">
        <v>33000</v>
      </c>
      <c r="G1570" s="25" t="s">
        <v>121</v>
      </c>
      <c r="H1570" s="25">
        <v>2014091</v>
      </c>
      <c r="I1570" s="25" t="s">
        <v>19</v>
      </c>
      <c r="J1570" s="25" t="s">
        <v>20</v>
      </c>
      <c r="K1570" s="25" t="s">
        <v>25</v>
      </c>
      <c r="L1570" s="25">
        <v>33.5</v>
      </c>
      <c r="M1570" s="25">
        <v>1.19</v>
      </c>
      <c r="N1570" s="25">
        <v>0</v>
      </c>
      <c r="O1570" s="25">
        <v>203.93</v>
      </c>
      <c r="P1570" s="25">
        <v>238.61799999999999</v>
      </c>
      <c r="Q1570" s="25">
        <f t="shared" si="48"/>
        <v>33238.618000000002</v>
      </c>
      <c r="R1570" s="25">
        <f t="shared" si="49"/>
        <v>0</v>
      </c>
    </row>
    <row r="1571" spans="1:18" hidden="1" x14ac:dyDescent="0.25">
      <c r="A1571" s="26">
        <v>41774</v>
      </c>
      <c r="B1571" s="25" t="s">
        <v>122</v>
      </c>
      <c r="C1571" s="25" t="s">
        <v>23</v>
      </c>
      <c r="D1571" s="25">
        <v>700</v>
      </c>
      <c r="E1571" s="25">
        <v>20.399999999999999</v>
      </c>
      <c r="F1571" s="25">
        <v>14280</v>
      </c>
      <c r="G1571" s="25" t="s">
        <v>123</v>
      </c>
      <c r="H1571" s="25">
        <v>2014090</v>
      </c>
      <c r="I1571" s="25" t="s">
        <v>19</v>
      </c>
      <c r="J1571" s="25" t="s">
        <v>20</v>
      </c>
      <c r="K1571" s="25" t="s">
        <v>25</v>
      </c>
      <c r="L1571" s="25">
        <v>14.28</v>
      </c>
      <c r="M1571" s="25">
        <v>0.51</v>
      </c>
      <c r="N1571" s="25">
        <v>0</v>
      </c>
      <c r="O1571" s="25">
        <v>88.25</v>
      </c>
      <c r="P1571" s="25">
        <v>103.0441</v>
      </c>
      <c r="Q1571" s="25">
        <f t="shared" si="48"/>
        <v>0</v>
      </c>
      <c r="R1571" s="25">
        <f t="shared" si="49"/>
        <v>14176.955900000001</v>
      </c>
    </row>
    <row r="1572" spans="1:18" hidden="1" x14ac:dyDescent="0.25">
      <c r="A1572" s="26">
        <v>41774</v>
      </c>
      <c r="B1572" s="25" t="s">
        <v>98</v>
      </c>
      <c r="C1572" s="25" t="s">
        <v>17</v>
      </c>
      <c r="D1572" s="25">
        <v>200</v>
      </c>
      <c r="E1572" s="25">
        <v>62</v>
      </c>
      <c r="F1572" s="25">
        <v>12400</v>
      </c>
      <c r="G1572" s="25" t="s">
        <v>124</v>
      </c>
      <c r="H1572" s="25">
        <v>2014090</v>
      </c>
      <c r="I1572" s="25" t="s">
        <v>19</v>
      </c>
      <c r="J1572" s="25" t="s">
        <v>20</v>
      </c>
      <c r="K1572" s="25" t="s">
        <v>25</v>
      </c>
      <c r="L1572" s="25">
        <v>12.72</v>
      </c>
      <c r="M1572" s="25">
        <v>0.45</v>
      </c>
      <c r="N1572" s="25">
        <v>2.67</v>
      </c>
      <c r="O1572" s="25">
        <v>76.63</v>
      </c>
      <c r="P1572" s="25">
        <v>92.464399999999998</v>
      </c>
      <c r="Q1572" s="25">
        <f t="shared" si="48"/>
        <v>12492.464400000001</v>
      </c>
      <c r="R1572" s="25">
        <f t="shared" si="49"/>
        <v>0</v>
      </c>
    </row>
    <row r="1573" spans="1:18" hidden="1" x14ac:dyDescent="0.25">
      <c r="A1573" s="26">
        <v>41752</v>
      </c>
      <c r="B1573" s="25" t="s">
        <v>122</v>
      </c>
      <c r="C1573" s="25" t="s">
        <v>17</v>
      </c>
      <c r="D1573" s="25">
        <v>700</v>
      </c>
      <c r="E1573" s="25">
        <v>20</v>
      </c>
      <c r="F1573" s="25">
        <v>14000</v>
      </c>
      <c r="G1573" s="25" t="s">
        <v>125</v>
      </c>
      <c r="H1573" s="25">
        <v>2014076</v>
      </c>
      <c r="I1573" s="25" t="s">
        <v>19</v>
      </c>
      <c r="J1573" s="25" t="s">
        <v>20</v>
      </c>
      <c r="K1573" s="25" t="s">
        <v>25</v>
      </c>
      <c r="L1573" s="25">
        <v>14</v>
      </c>
      <c r="M1573" s="25">
        <v>0.5</v>
      </c>
      <c r="N1573" s="25">
        <v>1.4</v>
      </c>
      <c r="O1573" s="25">
        <v>86.52</v>
      </c>
      <c r="P1573" s="25">
        <v>102.42400000000001</v>
      </c>
      <c r="Q1573" s="25">
        <f t="shared" si="48"/>
        <v>14102.424000000001</v>
      </c>
      <c r="R1573" s="25">
        <f t="shared" si="49"/>
        <v>0</v>
      </c>
    </row>
    <row r="1574" spans="1:18" hidden="1" x14ac:dyDescent="0.25">
      <c r="A1574" s="26">
        <v>41746</v>
      </c>
      <c r="B1574" s="25" t="s">
        <v>56</v>
      </c>
      <c r="C1574" s="25" t="s">
        <v>17</v>
      </c>
      <c r="D1574" s="25">
        <v>10</v>
      </c>
      <c r="E1574" s="25">
        <v>1428</v>
      </c>
      <c r="F1574" s="25">
        <v>14280</v>
      </c>
      <c r="G1574" s="25" t="s">
        <v>126</v>
      </c>
      <c r="H1574" s="25">
        <v>2014073</v>
      </c>
      <c r="I1574" s="25" t="s">
        <v>19</v>
      </c>
      <c r="J1574" s="25" t="s">
        <v>20</v>
      </c>
      <c r="K1574" s="25" t="s">
        <v>25</v>
      </c>
      <c r="L1574" s="25">
        <v>14</v>
      </c>
      <c r="M1574" s="25">
        <v>0.51</v>
      </c>
      <c r="N1574" s="25">
        <v>1.43</v>
      </c>
      <c r="O1574" s="25">
        <v>88.25</v>
      </c>
      <c r="P1574" s="25">
        <v>104.1921</v>
      </c>
      <c r="Q1574" s="25">
        <f t="shared" si="48"/>
        <v>14384.1921</v>
      </c>
      <c r="R1574" s="25">
        <f t="shared" si="49"/>
        <v>0</v>
      </c>
    </row>
    <row r="1575" spans="1:18" hidden="1" x14ac:dyDescent="0.25">
      <c r="A1575" s="26">
        <v>41740</v>
      </c>
      <c r="B1575" s="25" t="s">
        <v>119</v>
      </c>
      <c r="C1575" s="25" t="s">
        <v>17</v>
      </c>
      <c r="D1575" s="25">
        <v>500</v>
      </c>
      <c r="E1575" s="25">
        <v>77</v>
      </c>
      <c r="F1575" s="25">
        <v>38500</v>
      </c>
      <c r="G1575" s="25" t="s">
        <v>127</v>
      </c>
      <c r="H1575" s="25">
        <v>201415011</v>
      </c>
      <c r="I1575" s="25" t="s">
        <v>19</v>
      </c>
      <c r="J1575" s="25" t="s">
        <v>20</v>
      </c>
      <c r="K1575" s="25" t="s">
        <v>21</v>
      </c>
      <c r="L1575" s="25">
        <v>39</v>
      </c>
      <c r="M1575" s="25">
        <v>1.23</v>
      </c>
      <c r="N1575" s="25">
        <v>3.85</v>
      </c>
      <c r="O1575" s="25">
        <v>237.92</v>
      </c>
      <c r="P1575" s="25">
        <v>282.00189999999998</v>
      </c>
      <c r="Q1575" s="25">
        <f t="shared" si="48"/>
        <v>38782.001900000003</v>
      </c>
      <c r="R1575" s="25">
        <f t="shared" si="49"/>
        <v>0</v>
      </c>
    </row>
    <row r="1576" spans="1:18" hidden="1" x14ac:dyDescent="0.25">
      <c r="A1576" s="26">
        <v>41733</v>
      </c>
      <c r="B1576" s="25" t="s">
        <v>128</v>
      </c>
      <c r="C1576" s="25" t="s">
        <v>23</v>
      </c>
      <c r="D1576" s="25">
        <v>368</v>
      </c>
      <c r="E1576" s="25">
        <v>166.1</v>
      </c>
      <c r="F1576" s="25">
        <v>61124.800000000003</v>
      </c>
      <c r="G1576" s="25" t="s">
        <v>129</v>
      </c>
      <c r="H1576" s="25">
        <v>2014066</v>
      </c>
      <c r="I1576" s="25" t="s">
        <v>19</v>
      </c>
      <c r="J1576" s="25" t="s">
        <v>20</v>
      </c>
      <c r="K1576" s="25" t="s">
        <v>25</v>
      </c>
      <c r="L1576" s="25">
        <v>61</v>
      </c>
      <c r="M1576" s="25">
        <v>2.2000000000000002</v>
      </c>
      <c r="N1576" s="25">
        <v>6.11</v>
      </c>
      <c r="O1576" s="25">
        <v>377.74</v>
      </c>
      <c r="P1576" s="25">
        <v>447.053</v>
      </c>
      <c r="Q1576" s="25">
        <f t="shared" si="48"/>
        <v>0</v>
      </c>
      <c r="R1576" s="25">
        <f t="shared" si="49"/>
        <v>60677.747000000003</v>
      </c>
    </row>
    <row r="1577" spans="1:18" hidden="1" x14ac:dyDescent="0.25">
      <c r="A1577" s="26">
        <v>41687</v>
      </c>
      <c r="B1577" s="25" t="s">
        <v>128</v>
      </c>
      <c r="C1577" s="25" t="s">
        <v>17</v>
      </c>
      <c r="D1577" s="25">
        <v>100</v>
      </c>
      <c r="E1577" s="25">
        <v>166.7</v>
      </c>
      <c r="F1577" s="25">
        <v>16670</v>
      </c>
      <c r="G1577" s="25" t="s">
        <v>130</v>
      </c>
      <c r="H1577" s="25">
        <v>201314224</v>
      </c>
      <c r="I1577" s="25" t="s">
        <v>19</v>
      </c>
      <c r="J1577" s="25" t="s">
        <v>20</v>
      </c>
      <c r="K1577" s="25" t="s">
        <v>21</v>
      </c>
      <c r="L1577" s="25">
        <v>17</v>
      </c>
      <c r="M1577" s="25">
        <v>0.53</v>
      </c>
      <c r="N1577" s="25">
        <v>1.67</v>
      </c>
      <c r="O1577" s="25">
        <v>103.02</v>
      </c>
      <c r="P1577" s="25">
        <v>122.2204</v>
      </c>
      <c r="Q1577" s="25">
        <f t="shared" si="48"/>
        <v>16792.220399999998</v>
      </c>
      <c r="R1577" s="25">
        <f t="shared" si="49"/>
        <v>0</v>
      </c>
    </row>
    <row r="1578" spans="1:18" hidden="1" x14ac:dyDescent="0.25">
      <c r="A1578" s="26">
        <v>41687</v>
      </c>
      <c r="B1578" s="25" t="s">
        <v>131</v>
      </c>
      <c r="C1578" s="25" t="s">
        <v>23</v>
      </c>
      <c r="D1578" s="25">
        <v>2000</v>
      </c>
      <c r="E1578" s="25">
        <v>6.6</v>
      </c>
      <c r="F1578" s="25">
        <v>13200</v>
      </c>
      <c r="G1578" s="25" t="s">
        <v>132</v>
      </c>
      <c r="H1578" s="25">
        <v>2014034</v>
      </c>
      <c r="I1578" s="25" t="s">
        <v>19</v>
      </c>
      <c r="J1578" s="25" t="s">
        <v>20</v>
      </c>
      <c r="K1578" s="25" t="s">
        <v>25</v>
      </c>
      <c r="L1578" s="25">
        <v>13</v>
      </c>
      <c r="M1578" s="25">
        <v>0.48</v>
      </c>
      <c r="N1578" s="25">
        <v>1.32</v>
      </c>
      <c r="O1578" s="25">
        <v>112.36</v>
      </c>
      <c r="P1578" s="25">
        <v>127.15519999999999</v>
      </c>
      <c r="Q1578" s="25">
        <f t="shared" si="48"/>
        <v>0</v>
      </c>
      <c r="R1578" s="25">
        <f t="shared" si="49"/>
        <v>13072.844800000001</v>
      </c>
    </row>
    <row r="1579" spans="1:18" hidden="1" x14ac:dyDescent="0.25">
      <c r="A1579" s="26">
        <v>41635</v>
      </c>
      <c r="B1579" s="25" t="s">
        <v>131</v>
      </c>
      <c r="C1579" s="25" t="s">
        <v>17</v>
      </c>
      <c r="D1579" s="25">
        <v>2000</v>
      </c>
      <c r="E1579" s="25">
        <v>7.75</v>
      </c>
      <c r="F1579" s="25">
        <v>15500</v>
      </c>
      <c r="G1579" s="25" t="s">
        <v>133</v>
      </c>
      <c r="H1579" s="25">
        <v>2013247</v>
      </c>
      <c r="I1579" s="25" t="s">
        <v>19</v>
      </c>
      <c r="J1579" s="25" t="s">
        <v>20</v>
      </c>
      <c r="K1579" s="25" t="s">
        <v>25</v>
      </c>
      <c r="L1579" s="25">
        <v>7.83</v>
      </c>
      <c r="M1579" s="25">
        <v>0.56000000000000005</v>
      </c>
      <c r="N1579" s="25">
        <v>0</v>
      </c>
      <c r="O1579" s="25">
        <v>56.18</v>
      </c>
      <c r="P1579" s="25">
        <v>64.567999999999998</v>
      </c>
      <c r="Q1579" s="25">
        <f t="shared" si="48"/>
        <v>15564.567999999999</v>
      </c>
      <c r="R1579" s="25">
        <f t="shared" si="49"/>
        <v>0</v>
      </c>
    </row>
    <row r="1580" spans="1:18" hidden="1" x14ac:dyDescent="0.25">
      <c r="A1580" s="26">
        <v>41635</v>
      </c>
      <c r="B1580" s="25" t="s">
        <v>131</v>
      </c>
      <c r="C1580" s="25" t="s">
        <v>23</v>
      </c>
      <c r="D1580" s="25">
        <v>1000</v>
      </c>
      <c r="E1580" s="25">
        <v>8</v>
      </c>
      <c r="F1580" s="25">
        <v>8000</v>
      </c>
      <c r="G1580" s="25" t="s">
        <v>134</v>
      </c>
      <c r="H1580" s="25">
        <v>2013247</v>
      </c>
      <c r="I1580" s="25" t="s">
        <v>19</v>
      </c>
      <c r="J1580" s="25" t="s">
        <v>20</v>
      </c>
      <c r="K1580" s="25" t="s">
        <v>25</v>
      </c>
      <c r="L1580" s="25">
        <v>2.17</v>
      </c>
      <c r="M1580" s="25">
        <v>0.28999999999999998</v>
      </c>
      <c r="N1580" s="25">
        <v>2.35</v>
      </c>
      <c r="O1580" s="25">
        <v>56.18</v>
      </c>
      <c r="P1580" s="25">
        <v>60.988</v>
      </c>
      <c r="Q1580" s="25">
        <f t="shared" si="48"/>
        <v>0</v>
      </c>
      <c r="R1580" s="25">
        <f t="shared" si="49"/>
        <v>7939.0119999999997</v>
      </c>
    </row>
    <row r="1581" spans="1:18" hidden="1" x14ac:dyDescent="0.25">
      <c r="A1581" s="26">
        <v>41617</v>
      </c>
      <c r="B1581" s="25" t="s">
        <v>131</v>
      </c>
      <c r="C1581" s="25" t="s">
        <v>17</v>
      </c>
      <c r="D1581" s="25">
        <v>1000</v>
      </c>
      <c r="E1581" s="25">
        <v>6.75</v>
      </c>
      <c r="F1581" s="25">
        <v>6750</v>
      </c>
      <c r="G1581" s="25" t="s">
        <v>135</v>
      </c>
      <c r="H1581" s="25">
        <v>2013234</v>
      </c>
      <c r="I1581" s="25" t="s">
        <v>19</v>
      </c>
      <c r="J1581" s="25" t="s">
        <v>20</v>
      </c>
      <c r="K1581" s="25" t="s">
        <v>25</v>
      </c>
      <c r="L1581" s="25">
        <v>7</v>
      </c>
      <c r="M1581" s="25">
        <v>0.24</v>
      </c>
      <c r="N1581" s="25">
        <v>0.68</v>
      </c>
      <c r="O1581" s="25">
        <v>56.18</v>
      </c>
      <c r="P1581" s="25">
        <v>64.097999999999999</v>
      </c>
      <c r="Q1581" s="25">
        <f t="shared" si="48"/>
        <v>6814.098</v>
      </c>
      <c r="R1581" s="25">
        <f t="shared" si="49"/>
        <v>0</v>
      </c>
    </row>
    <row r="1582" spans="1:18" hidden="1" x14ac:dyDescent="0.25">
      <c r="A1582" s="26">
        <v>41581</v>
      </c>
      <c r="B1582" s="25" t="s">
        <v>29</v>
      </c>
      <c r="C1582" s="25" t="s">
        <v>23</v>
      </c>
      <c r="D1582" s="25">
        <v>250</v>
      </c>
      <c r="E1582" s="25">
        <v>23.15</v>
      </c>
      <c r="F1582" s="25">
        <v>5787.5</v>
      </c>
      <c r="G1582" s="25" t="s">
        <v>136</v>
      </c>
      <c r="H1582" s="25">
        <v>2013210</v>
      </c>
      <c r="I1582" s="25" t="s">
        <v>19</v>
      </c>
      <c r="J1582" s="25" t="s">
        <v>20</v>
      </c>
      <c r="K1582" s="25" t="s">
        <v>25</v>
      </c>
      <c r="L1582" s="25">
        <v>6</v>
      </c>
      <c r="M1582" s="25">
        <v>0.21</v>
      </c>
      <c r="N1582" s="25">
        <v>0.57999999999999996</v>
      </c>
      <c r="O1582" s="25">
        <v>39.33</v>
      </c>
      <c r="P1582" s="25">
        <v>46.117100000000001</v>
      </c>
      <c r="Q1582" s="25">
        <f t="shared" si="48"/>
        <v>0</v>
      </c>
      <c r="R1582" s="25">
        <f t="shared" si="49"/>
        <v>5741.3828999999996</v>
      </c>
    </row>
    <row r="1583" spans="1:18" hidden="1" x14ac:dyDescent="0.25">
      <c r="A1583" s="26">
        <v>41554</v>
      </c>
      <c r="B1583" s="25" t="s">
        <v>29</v>
      </c>
      <c r="C1583" s="25" t="s">
        <v>17</v>
      </c>
      <c r="D1583" s="25">
        <v>250</v>
      </c>
      <c r="E1583" s="25">
        <v>22.25</v>
      </c>
      <c r="F1583" s="25">
        <v>5562.5</v>
      </c>
      <c r="G1583" s="25" t="s">
        <v>137</v>
      </c>
      <c r="H1583" s="25">
        <v>2013191</v>
      </c>
      <c r="I1583" s="25" t="s">
        <v>19</v>
      </c>
      <c r="J1583" s="25" t="s">
        <v>20</v>
      </c>
      <c r="K1583" s="25" t="s">
        <v>25</v>
      </c>
      <c r="L1583" s="25">
        <v>6</v>
      </c>
      <c r="M1583" s="25">
        <v>0.2</v>
      </c>
      <c r="N1583" s="25">
        <v>0.56000000000000005</v>
      </c>
      <c r="O1583" s="25">
        <v>39.33</v>
      </c>
      <c r="P1583" s="25">
        <v>46.086599999999997</v>
      </c>
      <c r="Q1583" s="25">
        <f t="shared" si="48"/>
        <v>5608.5865999999996</v>
      </c>
      <c r="R1583" s="25">
        <f t="shared" si="49"/>
        <v>0</v>
      </c>
    </row>
    <row r="1584" spans="1:18" hidden="1" x14ac:dyDescent="0.25">
      <c r="A1584" s="26">
        <v>41533</v>
      </c>
      <c r="B1584" s="25" t="s">
        <v>138</v>
      </c>
      <c r="C1584" s="25" t="s">
        <v>17</v>
      </c>
      <c r="D1584" s="25">
        <v>475</v>
      </c>
      <c r="E1584" s="25">
        <v>11.15</v>
      </c>
      <c r="F1584" s="25">
        <v>5296.25</v>
      </c>
      <c r="G1584" s="25" t="s">
        <v>139</v>
      </c>
      <c r="H1584" s="25">
        <v>201314118</v>
      </c>
      <c r="I1584" s="25" t="s">
        <v>140</v>
      </c>
      <c r="J1584" s="25" t="s">
        <v>20</v>
      </c>
      <c r="K1584" s="25" t="s">
        <v>21</v>
      </c>
      <c r="L1584" s="25">
        <v>5</v>
      </c>
      <c r="M1584" s="25">
        <v>0.17</v>
      </c>
      <c r="N1584" s="25">
        <v>0.53</v>
      </c>
      <c r="O1584" s="25">
        <v>39.32</v>
      </c>
      <c r="P1584" s="25">
        <v>45.019100000000002</v>
      </c>
      <c r="Q1584" s="25">
        <f t="shared" si="48"/>
        <v>5341.2691000000004</v>
      </c>
      <c r="R1584" s="25">
        <f t="shared" si="49"/>
        <v>0</v>
      </c>
    </row>
    <row r="1585" spans="1:18" hidden="1" x14ac:dyDescent="0.25">
      <c r="A1585" s="26">
        <v>41528</v>
      </c>
      <c r="B1585" s="25" t="s">
        <v>128</v>
      </c>
      <c r="C1585" s="25" t="s">
        <v>17</v>
      </c>
      <c r="D1585" s="25">
        <v>50</v>
      </c>
      <c r="E1585" s="25">
        <v>120.9</v>
      </c>
      <c r="F1585" s="25">
        <v>6045</v>
      </c>
      <c r="G1585" s="25" t="s">
        <v>141</v>
      </c>
      <c r="H1585" s="25">
        <v>201314115</v>
      </c>
      <c r="I1585" s="25" t="s">
        <v>19</v>
      </c>
      <c r="J1585" s="25" t="s">
        <v>20</v>
      </c>
      <c r="K1585" s="25" t="s">
        <v>21</v>
      </c>
      <c r="L1585" s="25">
        <v>6</v>
      </c>
      <c r="M1585" s="25">
        <v>0.19</v>
      </c>
      <c r="N1585" s="25">
        <v>0.6</v>
      </c>
      <c r="O1585" s="25">
        <v>39.35</v>
      </c>
      <c r="P1585" s="25">
        <v>46.147500000000001</v>
      </c>
      <c r="Q1585" s="25">
        <f t="shared" si="48"/>
        <v>6091.1475</v>
      </c>
      <c r="R1585" s="25">
        <f t="shared" si="49"/>
        <v>0</v>
      </c>
    </row>
    <row r="1586" spans="1:18" hidden="1" x14ac:dyDescent="0.25">
      <c r="A1586" s="26">
        <v>41477</v>
      </c>
      <c r="B1586" s="25" t="s">
        <v>128</v>
      </c>
      <c r="C1586" s="25" t="s">
        <v>17</v>
      </c>
      <c r="D1586" s="25">
        <v>100</v>
      </c>
      <c r="E1586" s="25">
        <v>97</v>
      </c>
      <c r="F1586" s="25">
        <v>9700</v>
      </c>
      <c r="G1586" s="25" t="s">
        <v>142</v>
      </c>
      <c r="H1586" s="25">
        <v>2013140</v>
      </c>
      <c r="I1586" s="25" t="s">
        <v>19</v>
      </c>
      <c r="J1586" s="25" t="s">
        <v>20</v>
      </c>
      <c r="K1586" s="25" t="s">
        <v>25</v>
      </c>
      <c r="L1586" s="25">
        <v>10</v>
      </c>
      <c r="M1586" s="25">
        <v>0.35</v>
      </c>
      <c r="N1586" s="25">
        <v>0.97</v>
      </c>
      <c r="O1586" s="25">
        <v>59.94</v>
      </c>
      <c r="P1586" s="25">
        <v>71.259200000000007</v>
      </c>
      <c r="Q1586" s="25">
        <f t="shared" si="48"/>
        <v>9771.2592000000004</v>
      </c>
      <c r="R1586" s="25">
        <f t="shared" si="49"/>
        <v>0</v>
      </c>
    </row>
    <row r="1587" spans="1:18" hidden="1" x14ac:dyDescent="0.25">
      <c r="A1587" s="26">
        <v>41470</v>
      </c>
      <c r="B1587" s="25" t="s">
        <v>128</v>
      </c>
      <c r="C1587" s="25" t="s">
        <v>23</v>
      </c>
      <c r="D1587" s="25">
        <v>50</v>
      </c>
      <c r="E1587" s="25">
        <v>100.1</v>
      </c>
      <c r="F1587" s="25">
        <v>5005</v>
      </c>
      <c r="G1587" s="25" t="s">
        <v>143</v>
      </c>
      <c r="H1587" s="25">
        <v>2013135</v>
      </c>
      <c r="I1587" s="25" t="s">
        <v>19</v>
      </c>
      <c r="J1587" s="25" t="s">
        <v>20</v>
      </c>
      <c r="K1587" s="25" t="s">
        <v>25</v>
      </c>
      <c r="L1587" s="25">
        <v>5</v>
      </c>
      <c r="M1587" s="25">
        <v>0.18</v>
      </c>
      <c r="N1587" s="25">
        <v>0.5</v>
      </c>
      <c r="O1587" s="25">
        <v>39.33</v>
      </c>
      <c r="P1587" s="25">
        <v>45.0107</v>
      </c>
      <c r="Q1587" s="25">
        <f t="shared" si="48"/>
        <v>0</v>
      </c>
      <c r="R1587" s="25">
        <f t="shared" si="49"/>
        <v>4959.9893000000002</v>
      </c>
    </row>
    <row r="1588" spans="1:18" hidden="1" x14ac:dyDescent="0.25">
      <c r="A1588" s="26">
        <v>41463</v>
      </c>
      <c r="B1588" s="25" t="s">
        <v>128</v>
      </c>
      <c r="C1588" s="25" t="s">
        <v>17</v>
      </c>
      <c r="D1588" s="25">
        <v>50</v>
      </c>
      <c r="E1588" s="25">
        <v>95.9</v>
      </c>
      <c r="F1588" s="25">
        <v>4795</v>
      </c>
      <c r="G1588" s="25" t="s">
        <v>144</v>
      </c>
      <c r="H1588" s="25">
        <v>201314071</v>
      </c>
      <c r="I1588" s="25" t="s">
        <v>19</v>
      </c>
      <c r="J1588" s="25" t="s">
        <v>20</v>
      </c>
      <c r="K1588" s="25" t="s">
        <v>21</v>
      </c>
      <c r="L1588" s="25">
        <v>5</v>
      </c>
      <c r="M1588" s="25">
        <v>0.15</v>
      </c>
      <c r="N1588" s="25">
        <v>0.48</v>
      </c>
      <c r="O1588" s="25">
        <v>39.33</v>
      </c>
      <c r="P1588" s="25">
        <v>44.962899999999998</v>
      </c>
      <c r="Q1588" s="25">
        <f t="shared" si="48"/>
        <v>4839.9629000000004</v>
      </c>
      <c r="R1588" s="25">
        <f t="shared" si="49"/>
        <v>0</v>
      </c>
    </row>
    <row r="1589" spans="1:18" hidden="1" x14ac:dyDescent="0.25">
      <c r="A1589" s="26">
        <v>41414</v>
      </c>
      <c r="B1589" s="25" t="s">
        <v>128</v>
      </c>
      <c r="C1589" s="25" t="s">
        <v>17</v>
      </c>
      <c r="D1589" s="25">
        <v>100</v>
      </c>
      <c r="E1589" s="25">
        <v>157.1</v>
      </c>
      <c r="F1589" s="25">
        <v>15710</v>
      </c>
      <c r="G1589" s="25" t="s">
        <v>145</v>
      </c>
      <c r="H1589" s="25">
        <v>201314036</v>
      </c>
      <c r="I1589" s="25" t="s">
        <v>19</v>
      </c>
      <c r="J1589" s="25" t="s">
        <v>20</v>
      </c>
      <c r="K1589" s="25" t="s">
        <v>21</v>
      </c>
      <c r="L1589" s="25">
        <v>16</v>
      </c>
      <c r="M1589" s="25">
        <v>0.5</v>
      </c>
      <c r="N1589" s="25">
        <v>1.57</v>
      </c>
      <c r="O1589" s="25">
        <v>97.08</v>
      </c>
      <c r="P1589" s="25">
        <v>115.1536</v>
      </c>
      <c r="Q1589" s="25">
        <f t="shared" si="48"/>
        <v>15825.1536</v>
      </c>
      <c r="R1589" s="25">
        <f t="shared" si="49"/>
        <v>0</v>
      </c>
    </row>
    <row r="1590" spans="1:18" hidden="1" x14ac:dyDescent="0.25">
      <c r="A1590" s="26">
        <v>41352</v>
      </c>
      <c r="B1590" s="25" t="s">
        <v>29</v>
      </c>
      <c r="C1590" s="25" t="s">
        <v>23</v>
      </c>
      <c r="D1590" s="25">
        <v>75</v>
      </c>
      <c r="E1590" s="25">
        <v>21.5</v>
      </c>
      <c r="F1590" s="25">
        <v>1612.5</v>
      </c>
      <c r="G1590" s="25" t="s">
        <v>146</v>
      </c>
      <c r="H1590" s="25">
        <v>2013056</v>
      </c>
      <c r="I1590" s="25" t="s">
        <v>19</v>
      </c>
      <c r="J1590" s="25" t="s">
        <v>20</v>
      </c>
      <c r="K1590" s="25" t="s">
        <v>25</v>
      </c>
      <c r="L1590" s="25">
        <v>2</v>
      </c>
      <c r="M1590" s="25">
        <v>0.06</v>
      </c>
      <c r="N1590" s="25">
        <v>0.16</v>
      </c>
      <c r="O1590" s="25">
        <v>39.33</v>
      </c>
      <c r="P1590" s="25">
        <v>41.549399999999999</v>
      </c>
      <c r="Q1590" s="25">
        <f t="shared" si="48"/>
        <v>0</v>
      </c>
      <c r="R1590" s="25">
        <f t="shared" si="49"/>
        <v>1570.9505999999999</v>
      </c>
    </row>
    <row r="1591" spans="1:18" hidden="1" x14ac:dyDescent="0.25">
      <c r="A1591" s="26">
        <v>41282</v>
      </c>
      <c r="B1591" s="25" t="s">
        <v>29</v>
      </c>
      <c r="C1591" s="25" t="s">
        <v>17</v>
      </c>
      <c r="D1591" s="25">
        <v>75</v>
      </c>
      <c r="E1591" s="25">
        <v>20.149999999999999</v>
      </c>
      <c r="F1591" s="25">
        <v>1511.25</v>
      </c>
      <c r="G1591" s="25" t="s">
        <v>147</v>
      </c>
      <c r="H1591" s="25">
        <v>2013006</v>
      </c>
      <c r="I1591" s="25" t="s">
        <v>19</v>
      </c>
      <c r="J1591" s="25" t="s">
        <v>20</v>
      </c>
      <c r="K1591" s="25" t="s">
        <v>25</v>
      </c>
      <c r="L1591" s="25">
        <v>2</v>
      </c>
      <c r="M1591" s="25">
        <v>0.05</v>
      </c>
      <c r="N1591" s="25">
        <v>0.15</v>
      </c>
      <c r="O1591" s="25">
        <v>39.33</v>
      </c>
      <c r="P1591" s="25">
        <v>41.535499999999999</v>
      </c>
      <c r="Q1591" s="25">
        <f t="shared" si="48"/>
        <v>1552.7855</v>
      </c>
      <c r="R1591" s="25">
        <f t="shared" si="49"/>
        <v>0</v>
      </c>
    </row>
    <row r="1592" spans="1:18" hidden="1" x14ac:dyDescent="0.25">
      <c r="A1592" s="26">
        <v>41274</v>
      </c>
      <c r="B1592" s="25" t="s">
        <v>98</v>
      </c>
      <c r="C1592" s="25" t="s">
        <v>17</v>
      </c>
      <c r="D1592" s="25">
        <v>12</v>
      </c>
      <c r="E1592" s="25">
        <v>84.1</v>
      </c>
      <c r="F1592" s="25">
        <v>1009.2</v>
      </c>
      <c r="G1592" s="25" t="s">
        <v>148</v>
      </c>
      <c r="H1592" s="25">
        <v>2012247</v>
      </c>
      <c r="I1592" s="25" t="s">
        <v>19</v>
      </c>
      <c r="J1592" s="25" t="s">
        <v>20</v>
      </c>
      <c r="K1592" s="25" t="s">
        <v>25</v>
      </c>
      <c r="L1592" s="25">
        <v>0.99</v>
      </c>
      <c r="M1592" s="25">
        <v>0.04</v>
      </c>
      <c r="N1592" s="25">
        <v>0</v>
      </c>
      <c r="O1592" s="25">
        <v>28.35</v>
      </c>
      <c r="P1592" s="25">
        <v>29.376300000000001</v>
      </c>
      <c r="Q1592" s="25">
        <f t="shared" si="48"/>
        <v>1038.5762999999999</v>
      </c>
      <c r="R1592" s="25">
        <f t="shared" si="49"/>
        <v>0</v>
      </c>
    </row>
    <row r="1593" spans="1:18" hidden="1" x14ac:dyDescent="0.25">
      <c r="A1593" s="26">
        <v>41274</v>
      </c>
      <c r="B1593" s="25" t="s">
        <v>98</v>
      </c>
      <c r="C1593" s="25" t="s">
        <v>17</v>
      </c>
      <c r="D1593" s="25">
        <v>12</v>
      </c>
      <c r="E1593" s="25">
        <v>83.9</v>
      </c>
      <c r="F1593" s="25">
        <v>1006.8</v>
      </c>
      <c r="G1593" s="25" t="s">
        <v>149</v>
      </c>
      <c r="H1593" s="25">
        <v>2012247</v>
      </c>
      <c r="I1593" s="25" t="s">
        <v>19</v>
      </c>
      <c r="J1593" s="25" t="s">
        <v>20</v>
      </c>
      <c r="K1593" s="25" t="s">
        <v>25</v>
      </c>
      <c r="L1593" s="25">
        <v>1.01</v>
      </c>
      <c r="M1593" s="25">
        <v>0.04</v>
      </c>
      <c r="N1593" s="25">
        <v>0.2</v>
      </c>
      <c r="O1593" s="25">
        <v>28.28</v>
      </c>
      <c r="P1593" s="25">
        <v>29.527799999999999</v>
      </c>
      <c r="Q1593" s="25">
        <f t="shared" si="48"/>
        <v>1036.3278</v>
      </c>
      <c r="R1593" s="25">
        <f t="shared" si="49"/>
        <v>0</v>
      </c>
    </row>
    <row r="1594" spans="1:18" hidden="1" x14ac:dyDescent="0.25">
      <c r="A1594" s="26">
        <v>41269</v>
      </c>
      <c r="B1594" s="25" t="s">
        <v>128</v>
      </c>
      <c r="C1594" s="25" t="s">
        <v>17</v>
      </c>
      <c r="D1594" s="25">
        <v>7</v>
      </c>
      <c r="E1594" s="25">
        <v>196.3</v>
      </c>
      <c r="F1594" s="25">
        <v>1374.1</v>
      </c>
      <c r="G1594" s="25" t="s">
        <v>150</v>
      </c>
      <c r="H1594" s="25">
        <v>2012244</v>
      </c>
      <c r="I1594" s="25" t="s">
        <v>19</v>
      </c>
      <c r="J1594" s="25" t="s">
        <v>20</v>
      </c>
      <c r="K1594" s="25" t="s">
        <v>25</v>
      </c>
      <c r="L1594" s="25">
        <v>1</v>
      </c>
      <c r="M1594" s="25">
        <v>0.05</v>
      </c>
      <c r="N1594" s="25">
        <v>0.14000000000000001</v>
      </c>
      <c r="O1594" s="25">
        <v>38.6</v>
      </c>
      <c r="P1594" s="25">
        <v>39.786900000000003</v>
      </c>
      <c r="Q1594" s="25">
        <f t="shared" si="48"/>
        <v>1413.8869</v>
      </c>
      <c r="R1594" s="25">
        <f t="shared" si="49"/>
        <v>0</v>
      </c>
    </row>
    <row r="1595" spans="1:18" hidden="1" x14ac:dyDescent="0.25">
      <c r="A1595" s="26">
        <v>41263</v>
      </c>
      <c r="B1595" s="25" t="s">
        <v>128</v>
      </c>
      <c r="C1595" s="25" t="s">
        <v>17</v>
      </c>
      <c r="D1595" s="25">
        <v>10</v>
      </c>
      <c r="E1595" s="25">
        <v>205.2</v>
      </c>
      <c r="F1595" s="25">
        <v>2052</v>
      </c>
      <c r="G1595" s="25" t="s">
        <v>151</v>
      </c>
      <c r="H1595" s="25">
        <v>2012241</v>
      </c>
      <c r="I1595" s="25" t="s">
        <v>19</v>
      </c>
      <c r="J1595" s="25" t="s">
        <v>20</v>
      </c>
      <c r="K1595" s="25" t="s">
        <v>25</v>
      </c>
      <c r="L1595" s="25">
        <v>2</v>
      </c>
      <c r="M1595" s="25">
        <v>7.0000000000000007E-2</v>
      </c>
      <c r="N1595" s="25">
        <v>0.21</v>
      </c>
      <c r="O1595" s="25">
        <v>39.33</v>
      </c>
      <c r="P1595" s="25">
        <v>41.609099999999998</v>
      </c>
      <c r="Q1595" s="25">
        <f t="shared" si="48"/>
        <v>2093.6091000000001</v>
      </c>
      <c r="R1595" s="25">
        <f t="shared" si="49"/>
        <v>0</v>
      </c>
    </row>
    <row r="1596" spans="1:18" hidden="1" x14ac:dyDescent="0.25">
      <c r="A1596" s="26">
        <v>41079</v>
      </c>
      <c r="B1596" s="25" t="s">
        <v>128</v>
      </c>
      <c r="C1596" s="25" t="s">
        <v>23</v>
      </c>
      <c r="D1596" s="25">
        <v>5</v>
      </c>
      <c r="E1596" s="25">
        <v>121.45</v>
      </c>
      <c r="F1596" s="25">
        <v>607.25</v>
      </c>
      <c r="G1596" s="25" t="s">
        <v>152</v>
      </c>
      <c r="H1596" s="25">
        <v>2012116</v>
      </c>
      <c r="I1596" s="25" t="s">
        <v>19</v>
      </c>
      <c r="J1596" s="25" t="s">
        <v>20</v>
      </c>
      <c r="K1596" s="25" t="s">
        <v>25</v>
      </c>
      <c r="L1596" s="25">
        <v>1</v>
      </c>
      <c r="M1596" s="25">
        <v>0.02</v>
      </c>
      <c r="N1596" s="25">
        <v>0.06</v>
      </c>
      <c r="O1596" s="25">
        <v>17.05</v>
      </c>
      <c r="P1596" s="25">
        <v>18.1325</v>
      </c>
      <c r="Q1596" s="25">
        <f t="shared" si="48"/>
        <v>0</v>
      </c>
      <c r="R1596" s="25">
        <f t="shared" si="49"/>
        <v>589.11749999999995</v>
      </c>
    </row>
    <row r="1597" spans="1:18" hidden="1" x14ac:dyDescent="0.25">
      <c r="A1597" s="26">
        <v>40995</v>
      </c>
      <c r="B1597" s="25" t="s">
        <v>128</v>
      </c>
      <c r="C1597" s="25" t="s">
        <v>17</v>
      </c>
      <c r="D1597" s="25">
        <v>6</v>
      </c>
      <c r="E1597" s="25">
        <v>139.44999999999999</v>
      </c>
      <c r="F1597" s="25">
        <v>836.7</v>
      </c>
      <c r="G1597" s="25" t="s">
        <v>153</v>
      </c>
      <c r="H1597" s="25">
        <v>2012059</v>
      </c>
      <c r="I1597" s="25" t="s">
        <v>19</v>
      </c>
      <c r="J1597" s="25" t="s">
        <v>20</v>
      </c>
      <c r="K1597" s="25" t="s">
        <v>25</v>
      </c>
      <c r="L1597" s="25">
        <v>1</v>
      </c>
      <c r="M1597" s="25">
        <v>0.03</v>
      </c>
      <c r="N1597" s="25">
        <v>0.08</v>
      </c>
      <c r="O1597" s="25">
        <v>23.07</v>
      </c>
      <c r="P1597" s="25">
        <v>24.183</v>
      </c>
      <c r="Q1597" s="25">
        <f t="shared" si="48"/>
        <v>860.88300000000004</v>
      </c>
      <c r="R1597" s="25">
        <f t="shared" si="49"/>
        <v>0</v>
      </c>
    </row>
  </sheetData>
  <autoFilter ref="A1:U1597">
    <filterColumn colId="1">
      <filters>
        <filter val="ASHLEY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9"/>
  <sheetViews>
    <sheetView workbookViewId="0">
      <selection activeCell="H11" sqref="H11"/>
    </sheetView>
  </sheetViews>
  <sheetFormatPr defaultRowHeight="15" x14ac:dyDescent="0.25"/>
  <cols>
    <col min="1" max="1" width="13.7109375" bestFit="1" customWidth="1"/>
    <col min="2" max="2" width="18.42578125" bestFit="1" customWidth="1"/>
    <col min="3" max="3" width="26.42578125" bestFit="1" customWidth="1"/>
    <col min="4" max="4" width="18.42578125" bestFit="1" customWidth="1"/>
    <col min="5" max="5" width="26.42578125" bestFit="1" customWidth="1"/>
    <col min="6" max="6" width="23.42578125" bestFit="1" customWidth="1"/>
    <col min="7" max="7" width="31.42578125" bestFit="1" customWidth="1"/>
    <col min="10" max="10" width="9.140625" style="10"/>
  </cols>
  <sheetData>
    <row r="3" spans="1:10" x14ac:dyDescent="0.25">
      <c r="B3" s="1" t="s">
        <v>1757</v>
      </c>
    </row>
    <row r="4" spans="1:10" x14ac:dyDescent="0.25">
      <c r="B4" s="25" t="s">
        <v>17</v>
      </c>
      <c r="D4" s="25" t="s">
        <v>23</v>
      </c>
      <c r="F4" s="25" t="s">
        <v>1758</v>
      </c>
      <c r="G4" s="25" t="s">
        <v>1759</v>
      </c>
    </row>
    <row r="5" spans="1:10" x14ac:dyDescent="0.25">
      <c r="A5" s="1" t="s">
        <v>154</v>
      </c>
      <c r="B5" s="25" t="s">
        <v>156</v>
      </c>
      <c r="C5" s="25" t="s">
        <v>158</v>
      </c>
      <c r="D5" s="25" t="s">
        <v>156</v>
      </c>
      <c r="E5" s="25" t="s">
        <v>158</v>
      </c>
    </row>
    <row r="6" spans="1:10" x14ac:dyDescent="0.25">
      <c r="A6" s="2" t="s">
        <v>268</v>
      </c>
      <c r="B6" s="3">
        <v>710000</v>
      </c>
      <c r="C6" s="3">
        <v>464.47350000000006</v>
      </c>
      <c r="D6" s="3">
        <v>962550</v>
      </c>
      <c r="E6" s="3">
        <v>853.33609999999999</v>
      </c>
      <c r="F6" s="3">
        <v>1672550</v>
      </c>
      <c r="G6" s="3">
        <v>1317.8096</v>
      </c>
    </row>
    <row r="7" spans="1:10" x14ac:dyDescent="0.25">
      <c r="A7" s="30">
        <v>43125</v>
      </c>
      <c r="B7" s="3">
        <v>327000</v>
      </c>
      <c r="C7" s="3">
        <v>205.4675</v>
      </c>
      <c r="D7" s="3">
        <v>320000</v>
      </c>
      <c r="E7" s="3">
        <v>281.95</v>
      </c>
      <c r="F7" s="3">
        <v>647000</v>
      </c>
      <c r="G7" s="3">
        <v>487.41750000000002</v>
      </c>
      <c r="H7">
        <f>B7+C7</f>
        <v>327205.46750000003</v>
      </c>
      <c r="I7">
        <f>D7-E7</f>
        <v>319718.05</v>
      </c>
      <c r="J7" s="10">
        <f>I7-H7</f>
        <v>-7487.4175000000396</v>
      </c>
    </row>
    <row r="8" spans="1:10" x14ac:dyDescent="0.25">
      <c r="A8" s="30">
        <v>43741</v>
      </c>
      <c r="B8" s="3">
        <v>383000</v>
      </c>
      <c r="C8" s="3">
        <v>259.00600000000003</v>
      </c>
      <c r="D8" s="3">
        <v>383450</v>
      </c>
      <c r="E8" s="3">
        <v>332.19589999999999</v>
      </c>
      <c r="F8" s="3">
        <v>766450</v>
      </c>
      <c r="G8" s="3">
        <v>591.20190000000002</v>
      </c>
      <c r="H8" s="25">
        <f t="shared" ref="H8:H30" si="0">B8+C8</f>
        <v>383259.00599999999</v>
      </c>
      <c r="I8" s="25">
        <f t="shared" ref="I8:I30" si="1">D8-E8</f>
        <v>383117.80410000001</v>
      </c>
      <c r="J8" s="10">
        <f t="shared" ref="J8:J30" si="2">I8-H8</f>
        <v>-141.20189999998547</v>
      </c>
    </row>
    <row r="9" spans="1:10" x14ac:dyDescent="0.25">
      <c r="A9" s="30">
        <v>43742</v>
      </c>
      <c r="B9" s="3"/>
      <c r="C9" s="3"/>
      <c r="D9" s="3">
        <v>259100</v>
      </c>
      <c r="E9" s="3">
        <v>239.1902</v>
      </c>
      <c r="F9" s="3">
        <v>259100</v>
      </c>
      <c r="G9" s="3">
        <v>239.1902</v>
      </c>
      <c r="H9" s="25">
        <f t="shared" si="0"/>
        <v>0</v>
      </c>
      <c r="I9" s="25">
        <f t="shared" si="1"/>
        <v>258860.80979999999</v>
      </c>
      <c r="J9" s="10">
        <f t="shared" si="2"/>
        <v>258860.80979999999</v>
      </c>
    </row>
    <row r="10" spans="1:10" x14ac:dyDescent="0.25">
      <c r="A10" s="2" t="s">
        <v>237</v>
      </c>
      <c r="B10" s="3">
        <v>1839312.7000000002</v>
      </c>
      <c r="C10" s="3">
        <v>401.91500000000002</v>
      </c>
      <c r="D10" s="3">
        <v>1816500</v>
      </c>
      <c r="E10" s="3">
        <v>599.69939999999997</v>
      </c>
      <c r="F10" s="3">
        <v>3655812.7</v>
      </c>
      <c r="G10" s="3">
        <v>1001.6143999999999</v>
      </c>
      <c r="H10" s="25">
        <f t="shared" si="0"/>
        <v>1839714.6150000002</v>
      </c>
      <c r="I10" s="25">
        <f t="shared" si="1"/>
        <v>1815900.3006</v>
      </c>
      <c r="J10" s="10">
        <f t="shared" si="2"/>
        <v>-23814.314400000265</v>
      </c>
    </row>
    <row r="11" spans="1:10" x14ac:dyDescent="0.25">
      <c r="A11" s="30">
        <v>43817</v>
      </c>
      <c r="B11" s="3">
        <v>1186812.7000000002</v>
      </c>
      <c r="C11" s="3">
        <v>0</v>
      </c>
      <c r="D11" s="3">
        <v>1169250</v>
      </c>
      <c r="E11" s="3">
        <v>0</v>
      </c>
      <c r="F11" s="3">
        <v>2356062.7000000002</v>
      </c>
      <c r="G11" s="3">
        <v>0</v>
      </c>
      <c r="H11" s="25">
        <f t="shared" si="0"/>
        <v>1186812.7000000002</v>
      </c>
      <c r="I11" s="25">
        <f t="shared" si="1"/>
        <v>1169250</v>
      </c>
      <c r="J11" s="10">
        <f t="shared" si="2"/>
        <v>-17562.700000000186</v>
      </c>
    </row>
    <row r="12" spans="1:10" x14ac:dyDescent="0.25">
      <c r="A12" s="30">
        <v>43816</v>
      </c>
      <c r="B12" s="3">
        <v>652500</v>
      </c>
      <c r="C12" s="3">
        <v>401.91500000000002</v>
      </c>
      <c r="D12" s="3">
        <v>647250</v>
      </c>
      <c r="E12" s="3">
        <v>599.69939999999997</v>
      </c>
      <c r="F12" s="3">
        <v>1299750</v>
      </c>
      <c r="G12" s="3">
        <v>1001.6143999999999</v>
      </c>
      <c r="H12" s="25">
        <f t="shared" si="0"/>
        <v>652901.91500000004</v>
      </c>
      <c r="I12" s="25">
        <f t="shared" si="1"/>
        <v>646650.30059999996</v>
      </c>
      <c r="J12" s="10">
        <f t="shared" si="2"/>
        <v>-6251.6144000000786</v>
      </c>
    </row>
    <row r="13" spans="1:10" x14ac:dyDescent="0.25">
      <c r="A13" s="2" t="s">
        <v>1476</v>
      </c>
      <c r="B13" s="3">
        <v>5293477.5</v>
      </c>
      <c r="C13" s="3">
        <v>3569.2775999999994</v>
      </c>
      <c r="D13" s="3">
        <v>5315242.4000000004</v>
      </c>
      <c r="E13" s="3">
        <v>4657.4062000000004</v>
      </c>
      <c r="F13" s="3">
        <v>10608719.9</v>
      </c>
      <c r="G13" s="3">
        <v>8226.6838000000007</v>
      </c>
      <c r="H13" s="25">
        <f t="shared" si="0"/>
        <v>5297046.7775999997</v>
      </c>
      <c r="I13" s="25">
        <f t="shared" si="1"/>
        <v>5310584.9938000003</v>
      </c>
      <c r="J13" s="10">
        <f t="shared" si="2"/>
        <v>13538.216200000606</v>
      </c>
    </row>
    <row r="14" spans="1:10" x14ac:dyDescent="0.25">
      <c r="A14" s="30">
        <v>43801</v>
      </c>
      <c r="B14" s="3">
        <v>57801.45</v>
      </c>
      <c r="C14" s="3">
        <v>69.201499999999996</v>
      </c>
      <c r="D14" s="3">
        <v>58270</v>
      </c>
      <c r="E14" s="3">
        <v>50.771999999999998</v>
      </c>
      <c r="F14" s="3">
        <v>116071.45</v>
      </c>
      <c r="G14" s="3">
        <v>119.9735</v>
      </c>
      <c r="H14" s="25">
        <f t="shared" si="0"/>
        <v>57870.6515</v>
      </c>
      <c r="I14" s="25">
        <f t="shared" si="1"/>
        <v>58219.228000000003</v>
      </c>
      <c r="J14" s="10">
        <f t="shared" si="2"/>
        <v>348.57650000000285</v>
      </c>
    </row>
    <row r="15" spans="1:10" x14ac:dyDescent="0.25">
      <c r="A15" s="30">
        <v>43815</v>
      </c>
      <c r="B15" s="3">
        <v>772500</v>
      </c>
      <c r="C15" s="3">
        <v>475.83569999999997</v>
      </c>
      <c r="D15" s="3">
        <v>794511.75</v>
      </c>
      <c r="E15" s="3">
        <v>732.49950000000001</v>
      </c>
      <c r="F15" s="3">
        <v>1567011.75</v>
      </c>
      <c r="G15" s="3">
        <v>1208.3352</v>
      </c>
      <c r="H15" s="25">
        <f t="shared" si="0"/>
        <v>772975.83570000005</v>
      </c>
      <c r="I15" s="25">
        <f t="shared" si="1"/>
        <v>793779.25049999997</v>
      </c>
      <c r="J15" s="10">
        <f t="shared" si="2"/>
        <v>20803.414799999911</v>
      </c>
    </row>
    <row r="16" spans="1:10" x14ac:dyDescent="0.25">
      <c r="A16" s="30">
        <v>43812</v>
      </c>
      <c r="B16" s="3">
        <v>2439528.9</v>
      </c>
      <c r="C16" s="3">
        <v>1665.8698999999999</v>
      </c>
      <c r="D16" s="3">
        <v>2426783</v>
      </c>
      <c r="E16" s="3">
        <v>2103.2098000000001</v>
      </c>
      <c r="F16" s="3">
        <v>4866311.9000000004</v>
      </c>
      <c r="G16" s="3">
        <v>3769.0797000000002</v>
      </c>
      <c r="H16" s="25">
        <f t="shared" si="0"/>
        <v>2441194.7698999997</v>
      </c>
      <c r="I16" s="25">
        <f t="shared" si="1"/>
        <v>2424679.7902000002</v>
      </c>
      <c r="J16" s="10">
        <f t="shared" si="2"/>
        <v>-16514.97969999956</v>
      </c>
    </row>
    <row r="17" spans="1:10" x14ac:dyDescent="0.25">
      <c r="A17" s="30">
        <v>43798</v>
      </c>
      <c r="B17" s="3">
        <v>72800</v>
      </c>
      <c r="C17" s="3">
        <v>54.741599999999998</v>
      </c>
      <c r="D17" s="3">
        <v>72850</v>
      </c>
      <c r="E17" s="3">
        <v>63.082700000000003</v>
      </c>
      <c r="F17" s="3">
        <v>145650</v>
      </c>
      <c r="G17" s="3">
        <v>117.82429999999999</v>
      </c>
      <c r="H17" s="25">
        <f t="shared" si="0"/>
        <v>72854.741599999994</v>
      </c>
      <c r="I17" s="25">
        <f t="shared" si="1"/>
        <v>72786.917300000001</v>
      </c>
      <c r="J17" s="10">
        <f t="shared" si="2"/>
        <v>-67.824299999992945</v>
      </c>
    </row>
    <row r="18" spans="1:10" x14ac:dyDescent="0.25">
      <c r="A18" s="30">
        <v>43797</v>
      </c>
      <c r="B18" s="3">
        <v>149000</v>
      </c>
      <c r="C18" s="3">
        <v>91.778000000000006</v>
      </c>
      <c r="D18" s="3">
        <v>152560.35</v>
      </c>
      <c r="E18" s="3">
        <v>141.28639999999999</v>
      </c>
      <c r="F18" s="3">
        <v>301560.34999999998</v>
      </c>
      <c r="G18" s="3">
        <v>233.06439999999998</v>
      </c>
      <c r="H18" s="25">
        <f t="shared" si="0"/>
        <v>149091.77799999999</v>
      </c>
      <c r="I18" s="25">
        <f t="shared" si="1"/>
        <v>152419.06359999999</v>
      </c>
      <c r="J18" s="10">
        <f t="shared" si="2"/>
        <v>3327.2856000000029</v>
      </c>
    </row>
    <row r="19" spans="1:10" x14ac:dyDescent="0.25">
      <c r="A19" s="30">
        <v>43795</v>
      </c>
      <c r="B19" s="3">
        <v>269425</v>
      </c>
      <c r="C19" s="3">
        <v>165.94749999999999</v>
      </c>
      <c r="D19" s="3">
        <v>265767.3</v>
      </c>
      <c r="E19" s="3">
        <v>230.59680000000003</v>
      </c>
      <c r="F19" s="3">
        <v>535192.30000000005</v>
      </c>
      <c r="G19" s="3">
        <v>396.54430000000002</v>
      </c>
      <c r="H19" s="25">
        <f t="shared" si="0"/>
        <v>269590.94750000001</v>
      </c>
      <c r="I19" s="25">
        <f t="shared" si="1"/>
        <v>265536.70319999999</v>
      </c>
      <c r="J19" s="10">
        <f t="shared" si="2"/>
        <v>-4054.2443000000203</v>
      </c>
    </row>
    <row r="20" spans="1:10" x14ac:dyDescent="0.25">
      <c r="A20" s="30">
        <v>43794</v>
      </c>
      <c r="B20" s="3">
        <v>1532422.1500000001</v>
      </c>
      <c r="C20" s="3">
        <v>1045.9033999999999</v>
      </c>
      <c r="D20" s="3">
        <v>1544500</v>
      </c>
      <c r="E20" s="3">
        <v>1335.9590000000001</v>
      </c>
      <c r="F20" s="3">
        <v>3076922.1500000004</v>
      </c>
      <c r="G20" s="3">
        <v>2381.8624</v>
      </c>
      <c r="H20" s="25">
        <f t="shared" si="0"/>
        <v>1533468.0534000001</v>
      </c>
      <c r="I20" s="25">
        <f t="shared" si="1"/>
        <v>1543164.041</v>
      </c>
      <c r="J20" s="10">
        <f t="shared" si="2"/>
        <v>9695.9875999998767</v>
      </c>
    </row>
    <row r="21" spans="1:10" x14ac:dyDescent="0.25">
      <c r="A21" s="2" t="s">
        <v>1645</v>
      </c>
      <c r="B21" s="3">
        <v>460035.45</v>
      </c>
      <c r="C21" s="3">
        <v>1526.6306000000002</v>
      </c>
      <c r="D21" s="3">
        <v>344977.25</v>
      </c>
      <c r="E21" s="3">
        <v>261.44959999999998</v>
      </c>
      <c r="F21" s="3">
        <v>805012.70000000007</v>
      </c>
      <c r="G21" s="3">
        <v>1788.0802000000001</v>
      </c>
      <c r="H21" s="25">
        <f t="shared" si="0"/>
        <v>461562.08059999999</v>
      </c>
      <c r="I21" s="25">
        <f t="shared" si="1"/>
        <v>344715.80040000001</v>
      </c>
      <c r="J21" s="10">
        <f t="shared" si="2"/>
        <v>-116846.28019999998</v>
      </c>
    </row>
    <row r="22" spans="1:10" x14ac:dyDescent="0.25">
      <c r="A22" s="30">
        <v>43802</v>
      </c>
      <c r="B22" s="3">
        <v>60142.35</v>
      </c>
      <c r="C22" s="3">
        <v>464.8331</v>
      </c>
      <c r="D22" s="3"/>
      <c r="E22" s="3"/>
      <c r="F22" s="3">
        <v>60142.35</v>
      </c>
      <c r="G22" s="3">
        <v>464.8331</v>
      </c>
      <c r="H22" s="25">
        <f t="shared" si="0"/>
        <v>60607.183100000002</v>
      </c>
      <c r="I22" s="25">
        <f t="shared" si="1"/>
        <v>0</v>
      </c>
      <c r="J22" s="10">
        <f t="shared" si="2"/>
        <v>-60607.183100000002</v>
      </c>
    </row>
    <row r="23" spans="1:10" x14ac:dyDescent="0.25">
      <c r="A23" s="30">
        <v>43808</v>
      </c>
      <c r="B23" s="3">
        <v>118431.95</v>
      </c>
      <c r="C23" s="3">
        <v>888.43540000000007</v>
      </c>
      <c r="D23" s="3">
        <v>61500</v>
      </c>
      <c r="E23" s="3">
        <v>16.222999999999999</v>
      </c>
      <c r="F23" s="3">
        <v>179931.95</v>
      </c>
      <c r="G23" s="3">
        <v>904.65840000000003</v>
      </c>
      <c r="H23" s="25">
        <f t="shared" si="0"/>
        <v>119320.3854</v>
      </c>
      <c r="I23" s="25">
        <f t="shared" si="1"/>
        <v>61483.777000000002</v>
      </c>
      <c r="J23" s="10">
        <f t="shared" si="2"/>
        <v>-57836.608399999997</v>
      </c>
    </row>
    <row r="24" spans="1:10" x14ac:dyDescent="0.25">
      <c r="A24" s="30">
        <v>43812</v>
      </c>
      <c r="B24" s="3">
        <v>281461.15000000002</v>
      </c>
      <c r="C24" s="3">
        <v>173.3621</v>
      </c>
      <c r="D24" s="3">
        <v>283477.25</v>
      </c>
      <c r="E24" s="3">
        <v>245.22659999999999</v>
      </c>
      <c r="F24" s="3">
        <v>564938.4</v>
      </c>
      <c r="G24" s="3">
        <v>418.58870000000002</v>
      </c>
      <c r="H24" s="25">
        <f t="shared" si="0"/>
        <v>281634.51210000005</v>
      </c>
      <c r="I24" s="25">
        <f t="shared" si="1"/>
        <v>283232.02340000001</v>
      </c>
      <c r="J24" s="10">
        <f t="shared" si="2"/>
        <v>1597.5112999999546</v>
      </c>
    </row>
    <row r="25" spans="1:10" x14ac:dyDescent="0.25">
      <c r="A25" s="2" t="s">
        <v>433</v>
      </c>
      <c r="B25" s="3">
        <v>6000</v>
      </c>
      <c r="C25" s="3">
        <v>301.452</v>
      </c>
      <c r="D25" s="3"/>
      <c r="E25" s="3"/>
      <c r="F25" s="3">
        <v>6000</v>
      </c>
      <c r="G25" s="3">
        <v>301.452</v>
      </c>
      <c r="H25" s="25">
        <f t="shared" si="0"/>
        <v>6301.4520000000002</v>
      </c>
      <c r="I25" s="25">
        <f t="shared" si="1"/>
        <v>0</v>
      </c>
      <c r="J25" s="10">
        <f t="shared" si="2"/>
        <v>-6301.4520000000002</v>
      </c>
    </row>
    <row r="26" spans="1:10" x14ac:dyDescent="0.25">
      <c r="A26" s="30">
        <v>43805</v>
      </c>
      <c r="B26" s="3">
        <v>6000</v>
      </c>
      <c r="C26" s="3">
        <v>301.452</v>
      </c>
      <c r="D26" s="3"/>
      <c r="E26" s="3"/>
      <c r="F26" s="3">
        <v>6000</v>
      </c>
      <c r="G26" s="3">
        <v>301.452</v>
      </c>
      <c r="H26" s="25">
        <f t="shared" si="0"/>
        <v>6301.4520000000002</v>
      </c>
      <c r="I26" s="25">
        <f t="shared" si="1"/>
        <v>0</v>
      </c>
      <c r="J26" s="10">
        <f t="shared" si="2"/>
        <v>-6301.4520000000002</v>
      </c>
    </row>
    <row r="27" spans="1:10" x14ac:dyDescent="0.25">
      <c r="A27" s="2" t="s">
        <v>1666</v>
      </c>
      <c r="B27" s="3">
        <v>1689393.25</v>
      </c>
      <c r="C27" s="3">
        <v>1040.6167</v>
      </c>
      <c r="D27" s="3">
        <v>1691095.0499999998</v>
      </c>
      <c r="E27" s="3">
        <v>1566.3541</v>
      </c>
      <c r="F27" s="3">
        <v>3380488.3</v>
      </c>
      <c r="G27" s="3">
        <v>2606.9708000000001</v>
      </c>
      <c r="H27" s="25">
        <f t="shared" si="0"/>
        <v>1690433.8666999999</v>
      </c>
      <c r="I27" s="25">
        <f t="shared" si="1"/>
        <v>1689528.6958999997</v>
      </c>
      <c r="J27" s="10">
        <f t="shared" si="2"/>
        <v>-905.17080000019632</v>
      </c>
    </row>
    <row r="28" spans="1:10" x14ac:dyDescent="0.25">
      <c r="A28" s="30">
        <v>43804</v>
      </c>
      <c r="B28" s="3">
        <v>1689393.25</v>
      </c>
      <c r="C28" s="3">
        <v>1040.6167</v>
      </c>
      <c r="D28" s="3">
        <v>1691095.0499999998</v>
      </c>
      <c r="E28" s="3">
        <v>1566.3541</v>
      </c>
      <c r="F28" s="3">
        <v>3380488.3</v>
      </c>
      <c r="G28" s="3">
        <v>2606.9708000000001</v>
      </c>
      <c r="H28" s="25">
        <f t="shared" si="0"/>
        <v>1690433.8666999999</v>
      </c>
      <c r="I28" s="25">
        <f t="shared" si="1"/>
        <v>1689528.6958999997</v>
      </c>
      <c r="J28" s="10">
        <f t="shared" si="2"/>
        <v>-905.17080000019632</v>
      </c>
    </row>
    <row r="29" spans="1:10" x14ac:dyDescent="0.25">
      <c r="A29" s="2" t="s">
        <v>1407</v>
      </c>
      <c r="B29" s="3">
        <v>93161.2</v>
      </c>
      <c r="C29" s="3">
        <v>57.379399999999997</v>
      </c>
      <c r="D29" s="3">
        <v>94527.5</v>
      </c>
      <c r="E29" s="3">
        <v>81.679699999999997</v>
      </c>
      <c r="F29" s="3">
        <v>187688.7</v>
      </c>
      <c r="G29" s="3">
        <v>139.0591</v>
      </c>
      <c r="H29" s="25">
        <f t="shared" si="0"/>
        <v>93218.579400000002</v>
      </c>
      <c r="I29" s="25">
        <f t="shared" si="1"/>
        <v>94445.820300000007</v>
      </c>
      <c r="J29" s="10">
        <f t="shared" si="2"/>
        <v>1227.2409000000043</v>
      </c>
    </row>
    <row r="30" spans="1:10" x14ac:dyDescent="0.25">
      <c r="A30" s="30">
        <v>43802</v>
      </c>
      <c r="B30" s="3">
        <v>93161.2</v>
      </c>
      <c r="C30" s="3">
        <v>57.379399999999997</v>
      </c>
      <c r="D30" s="3">
        <v>94527.5</v>
      </c>
      <c r="E30" s="3">
        <v>81.679699999999997</v>
      </c>
      <c r="F30" s="3">
        <v>187688.7</v>
      </c>
      <c r="G30" s="3">
        <v>139.0591</v>
      </c>
      <c r="H30" s="25">
        <f t="shared" si="0"/>
        <v>93218.579400000002</v>
      </c>
      <c r="I30" s="25">
        <f t="shared" si="1"/>
        <v>94445.820300000007</v>
      </c>
      <c r="J30" s="10">
        <f t="shared" si="2"/>
        <v>1227.2409000000043</v>
      </c>
    </row>
    <row r="31" spans="1:10" x14ac:dyDescent="0.25">
      <c r="A31" s="2" t="s">
        <v>480</v>
      </c>
      <c r="B31" s="3">
        <v>89000</v>
      </c>
      <c r="C31" s="3">
        <v>54.817999999999998</v>
      </c>
      <c r="D31" s="3">
        <v>91100</v>
      </c>
      <c r="E31" s="3">
        <v>78.904200000000003</v>
      </c>
      <c r="F31" s="3">
        <v>180100</v>
      </c>
      <c r="G31" s="3">
        <v>133.72219999999999</v>
      </c>
    </row>
    <row r="32" spans="1:10" x14ac:dyDescent="0.25">
      <c r="A32" s="30">
        <v>43798</v>
      </c>
      <c r="B32" s="3">
        <v>89000</v>
      </c>
      <c r="C32" s="3">
        <v>54.817999999999998</v>
      </c>
      <c r="D32" s="3">
        <v>91100</v>
      </c>
      <c r="E32" s="3">
        <v>78.904200000000003</v>
      </c>
      <c r="F32" s="3">
        <v>180100</v>
      </c>
      <c r="G32" s="3">
        <v>133.72219999999999</v>
      </c>
    </row>
    <row r="33" spans="1:7" x14ac:dyDescent="0.25">
      <c r="A33" s="2" t="s">
        <v>282</v>
      </c>
      <c r="B33" s="3">
        <v>191292.5</v>
      </c>
      <c r="C33" s="3">
        <v>129.52850000000001</v>
      </c>
      <c r="D33" s="3">
        <v>193830</v>
      </c>
      <c r="E33" s="3">
        <v>167.39420000000001</v>
      </c>
      <c r="F33" s="3">
        <v>385122.5</v>
      </c>
      <c r="G33" s="3">
        <v>296.92270000000002</v>
      </c>
    </row>
    <row r="34" spans="1:7" x14ac:dyDescent="0.25">
      <c r="A34" s="30">
        <v>43796</v>
      </c>
      <c r="B34" s="3">
        <v>191292.5</v>
      </c>
      <c r="C34" s="3">
        <v>129.52850000000001</v>
      </c>
      <c r="D34" s="3">
        <v>193830</v>
      </c>
      <c r="E34" s="3">
        <v>167.39420000000001</v>
      </c>
      <c r="F34" s="3">
        <v>385122.5</v>
      </c>
      <c r="G34" s="3">
        <v>296.92270000000002</v>
      </c>
    </row>
    <row r="35" spans="1:7" x14ac:dyDescent="0.25">
      <c r="A35" s="2" t="s">
        <v>16</v>
      </c>
      <c r="B35" s="3">
        <v>2210</v>
      </c>
      <c r="C35" s="3">
        <v>59.6586</v>
      </c>
      <c r="D35" s="3"/>
      <c r="E35" s="3"/>
      <c r="F35" s="3">
        <v>2210</v>
      </c>
      <c r="G35" s="3">
        <v>59.6586</v>
      </c>
    </row>
    <row r="36" spans="1:7" x14ac:dyDescent="0.25">
      <c r="A36" s="30">
        <v>43795</v>
      </c>
      <c r="B36" s="3">
        <v>2210</v>
      </c>
      <c r="C36" s="3">
        <v>59.6586</v>
      </c>
      <c r="D36" s="3"/>
      <c r="E36" s="3"/>
      <c r="F36" s="3">
        <v>2210</v>
      </c>
      <c r="G36" s="3">
        <v>59.6586</v>
      </c>
    </row>
    <row r="37" spans="1:7" x14ac:dyDescent="0.25">
      <c r="A37" s="2" t="s">
        <v>111</v>
      </c>
      <c r="B37" s="3">
        <v>159700</v>
      </c>
      <c r="C37" s="3">
        <v>101.05359999999999</v>
      </c>
      <c r="D37" s="3">
        <v>160650</v>
      </c>
      <c r="E37" s="3">
        <v>141.6944</v>
      </c>
      <c r="F37" s="3">
        <v>320350</v>
      </c>
      <c r="G37" s="3">
        <v>242.74799999999999</v>
      </c>
    </row>
    <row r="38" spans="1:7" x14ac:dyDescent="0.25">
      <c r="A38" s="30">
        <v>43794</v>
      </c>
      <c r="B38" s="3">
        <v>159700</v>
      </c>
      <c r="C38" s="3">
        <v>101.05359999999999</v>
      </c>
      <c r="D38" s="3">
        <v>160650</v>
      </c>
      <c r="E38" s="3">
        <v>141.6944</v>
      </c>
      <c r="F38" s="3">
        <v>320350</v>
      </c>
      <c r="G38" s="3">
        <v>242.74799999999999</v>
      </c>
    </row>
    <row r="39" spans="1:7" x14ac:dyDescent="0.25">
      <c r="A39" s="2" t="s">
        <v>155</v>
      </c>
      <c r="B39" s="3">
        <v>10533582.600000001</v>
      </c>
      <c r="C39" s="3">
        <v>7706.8035000000009</v>
      </c>
      <c r="D39" s="3">
        <v>10670472.199999999</v>
      </c>
      <c r="E39" s="3">
        <v>8407.9179000000004</v>
      </c>
      <c r="F39" s="3">
        <v>21204054.800000001</v>
      </c>
      <c r="G39" s="3">
        <v>16114.721400000002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8502271974_TradeBook</vt:lpstr>
      <vt:lpstr>Buy</vt:lpstr>
      <vt:lpstr>Sell</vt:lpstr>
      <vt:lpstr>P and L</vt:lpstr>
      <vt:lpstr>Sheet1</vt:lpstr>
      <vt:lpstr>StockHistory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Admin</dc:creator>
  <cp:lastModifiedBy>Vasanth Kumar</cp:lastModifiedBy>
  <dcterms:created xsi:type="dcterms:W3CDTF">2017-12-14T08:43:12Z</dcterms:created>
  <dcterms:modified xsi:type="dcterms:W3CDTF">2019-12-24T12:00:15Z</dcterms:modified>
</cp:coreProperties>
</file>