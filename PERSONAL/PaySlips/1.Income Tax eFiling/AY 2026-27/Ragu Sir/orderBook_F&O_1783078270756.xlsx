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af875725a2a030/Documents/VasanthGit/VasanthRepos2/PERSONAL/PaySlips/1.Income Tax eFiling/AY 2026-27/Ragu Sir/"/>
    </mc:Choice>
  </mc:AlternateContent>
  <xr:revisionPtr revIDLastSave="3" documentId="13_ncr:1_{7C21B54B-9F61-4120-A321-E6C554C0DD91}" xr6:coauthVersionLast="47" xr6:coauthVersionMax="47" xr10:uidLastSave="{63AF6D5D-1A2F-4C33-95FE-D7DA4DE3752A}"/>
  <bookViews>
    <workbookView minimized="1" xWindow="3675" yWindow="3015" windowWidth="15375" windowHeight="7785" xr2:uid="{00000000-000D-0000-FFFF-FFFF00000000}"/>
  </bookViews>
  <sheets>
    <sheet name="Sheet4" sheetId="5" r:id="rId1"/>
    <sheet name="Sheet1" sheetId="2" r:id="rId2"/>
    <sheet name="orderBook_F&amp;O_1783078270756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2" i="5" l="1"/>
  <c r="F121" i="5"/>
  <c r="F120" i="5"/>
  <c r="F119" i="5"/>
  <c r="F118" i="5"/>
  <c r="F117" i="5"/>
  <c r="F116" i="5"/>
  <c r="F115" i="5"/>
  <c r="F114" i="5"/>
  <c r="F113" i="5"/>
  <c r="F112" i="5"/>
  <c r="F3" i="5" s="1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E3" i="5"/>
  <c r="E5" i="2"/>
</calcChain>
</file>

<file path=xl/sharedStrings.xml><?xml version="1.0" encoding="utf-8"?>
<sst xmlns="http://schemas.openxmlformats.org/spreadsheetml/2006/main" count="2302" uniqueCount="680">
  <si>
    <t>Trade Date</t>
  </si>
  <si>
    <t>Contract Descriptor</t>
  </si>
  <si>
    <t>Exchange</t>
  </si>
  <si>
    <t>Action</t>
  </si>
  <si>
    <t>Qty</t>
  </si>
  <si>
    <t>Price</t>
  </si>
  <si>
    <t>Value</t>
  </si>
  <si>
    <t>Order Ref.</t>
  </si>
  <si>
    <t>Securities Transaction Tax-STT</t>
  </si>
  <si>
    <t>Transaction Charges</t>
  </si>
  <si>
    <t>Stamp Duty</t>
  </si>
  <si>
    <t>SEBI Turnover Charges</t>
  </si>
  <si>
    <t>Brokerage</t>
  </si>
  <si>
    <t>Service Tax On Brokerage</t>
  </si>
  <si>
    <t>Total Charges</t>
  </si>
  <si>
    <t>OPT-NIFTY-30-Mar-2026-22600-P-E-I</t>
  </si>
  <si>
    <t>NSE</t>
  </si>
  <si>
    <t>Buy</t>
  </si>
  <si>
    <t>#202603302700006130</t>
  </si>
  <si>
    <t>#202603302700005949</t>
  </si>
  <si>
    <t>Sell</t>
  </si>
  <si>
    <t>#202603302700010347</t>
  </si>
  <si>
    <t>OPT-NIFTY-03-Feb-2026-25300-P-E-I</t>
  </si>
  <si>
    <t>#202601302700020593</t>
  </si>
  <si>
    <t>OPT-NIFTY-03-Feb-2026-25250-C-E-I</t>
  </si>
  <si>
    <t>#202601302700032962</t>
  </si>
  <si>
    <t>#202601302700035163</t>
  </si>
  <si>
    <t>#202601302700035394</t>
  </si>
  <si>
    <t>#202601302700020353</t>
  </si>
  <si>
    <t>#202601302700005687</t>
  </si>
  <si>
    <t>#202601302700002911</t>
  </si>
  <si>
    <t>#202601302700033361</t>
  </si>
  <si>
    <t>OPT-NIFTY-29-May-2025-24750-C-E-I</t>
  </si>
  <si>
    <t>#202505293700021886</t>
  </si>
  <si>
    <t>#202505293700021784</t>
  </si>
  <si>
    <t>OPT-NIFTY-29-May-2025-24050-P-E-I</t>
  </si>
  <si>
    <t>#202505293700001341</t>
  </si>
  <si>
    <t>OPT-NIFTY-03-Feb-2026-25400-P-E-I</t>
  </si>
  <si>
    <t>#202601292700028229</t>
  </si>
  <si>
    <t>OPT-NIFTY-03-Feb-2026-25300-C-E-I</t>
  </si>
  <si>
    <t>#202601292700012571</t>
  </si>
  <si>
    <t>#202601292700028824</t>
  </si>
  <si>
    <t>#202601292700003148</t>
  </si>
  <si>
    <t>OPT-NIFTY-02-Dec-2025-26100-P-E-I</t>
  </si>
  <si>
    <t>#202511283700015905</t>
  </si>
  <si>
    <t>#202511283700015879</t>
  </si>
  <si>
    <t>OPT-NIFTY-02-Dec-2025-26200-C-E-I</t>
  </si>
  <si>
    <t>#202511283700015412</t>
  </si>
  <si>
    <t>#202511283700015346</t>
  </si>
  <si>
    <t>#202601282700019168</t>
  </si>
  <si>
    <t>#202601282700019192</t>
  </si>
  <si>
    <t>OPT-NIFTY-03-Feb-2026-25400-C-E-I</t>
  </si>
  <si>
    <t>#202601282700019090</t>
  </si>
  <si>
    <t>#202601282700018753</t>
  </si>
  <si>
    <t>#202601282700017879</t>
  </si>
  <si>
    <t>#202601282700004257</t>
  </si>
  <si>
    <t>#202601282700004408</t>
  </si>
  <si>
    <t>OPT-NIFTY-28-Aug-2025-24550-C-E-I</t>
  </si>
  <si>
    <t>#202508283700004752</t>
  </si>
  <si>
    <t>#202508283700005256</t>
  </si>
  <si>
    <t>OPT-NIFTY-28-Aug-2025-24500-P-E-I</t>
  </si>
  <si>
    <t>#202508283700018912</t>
  </si>
  <si>
    <t>#202508283700019428</t>
  </si>
  <si>
    <t>#202508283700020082</t>
  </si>
  <si>
    <t>OPT-NIFTY-02-Dec-2025-26250-P-E-I</t>
  </si>
  <si>
    <t>#202511273700012267</t>
  </si>
  <si>
    <t>OPT-NIFTY-30-Mar-2026-22950-P-E-I</t>
  </si>
  <si>
    <t>#202603272700003654</t>
  </si>
  <si>
    <t>#202603272700003756</t>
  </si>
  <si>
    <t>#202603272700011616</t>
  </si>
  <si>
    <t>#202603272700013921</t>
  </si>
  <si>
    <t>#202603272700014654</t>
  </si>
  <si>
    <t>#202603272700016911</t>
  </si>
  <si>
    <t>#202603272700003472</t>
  </si>
  <si>
    <t>#202603272700013772</t>
  </si>
  <si>
    <t>OPT-NIFTY-27-Jan-2026-25000-C-E-I</t>
  </si>
  <si>
    <t>#202601272700049123</t>
  </si>
  <si>
    <t>#202601272700053910</t>
  </si>
  <si>
    <t>#202601272700048910</t>
  </si>
  <si>
    <t>OPT-NIFTY-27-Jan-2026-24950-C-E-I</t>
  </si>
  <si>
    <t>#202601272700010103</t>
  </si>
  <si>
    <t>#202601272700009601</t>
  </si>
  <si>
    <t>#202601272700006358</t>
  </si>
  <si>
    <t>#202601272700005475</t>
  </si>
  <si>
    <t>OPT-NIFTY-02-Mar-2026-25300-C-E-I</t>
  </si>
  <si>
    <t>#202602272700008439</t>
  </si>
  <si>
    <t>#202602272700008665</t>
  </si>
  <si>
    <t>#202602272700009169</t>
  </si>
  <si>
    <t>#202602272700010803</t>
  </si>
  <si>
    <t>OPT-NIFTY-02-Mar-2026-25400-P-E-I</t>
  </si>
  <si>
    <t>#202602272700002056</t>
  </si>
  <si>
    <t>#202602272700002589</t>
  </si>
  <si>
    <t>#202602272700007592</t>
  </si>
  <si>
    <t>#202602272700007564</t>
  </si>
  <si>
    <t>#202602272700007494</t>
  </si>
  <si>
    <t>#202602272700007318</t>
  </si>
  <si>
    <t>#202602272700003689</t>
  </si>
  <si>
    <t>#202602272700007738</t>
  </si>
  <si>
    <t>OPT-NIFTY-02-Mar-2026-25550-C-E-I</t>
  </si>
  <si>
    <t>#202602262700000649</t>
  </si>
  <si>
    <t>#202602262700000839</t>
  </si>
  <si>
    <t>#202602262700003535</t>
  </si>
  <si>
    <t>#202602262700003918</t>
  </si>
  <si>
    <t>#202602262700003931</t>
  </si>
  <si>
    <t>#202602262700003942</t>
  </si>
  <si>
    <t>#202602262700009308</t>
  </si>
  <si>
    <t>#202602262700004003</t>
  </si>
  <si>
    <t>#202602262700004113</t>
  </si>
  <si>
    <t>#202602262700007074</t>
  </si>
  <si>
    <t>#202602262700008284</t>
  </si>
  <si>
    <t>#202602262700008745</t>
  </si>
  <si>
    <t>#202602262700003964</t>
  </si>
  <si>
    <t>OPT-NIFTY-25-Nov-2025-25950-P-E-I</t>
  </si>
  <si>
    <t>#202511253700025830</t>
  </si>
  <si>
    <t>#202511253700029325</t>
  </si>
  <si>
    <t>OPT-NIFTY-02-Mar-2026-25600-C-E-I</t>
  </si>
  <si>
    <t>#202602252700001753</t>
  </si>
  <si>
    <t>#202602252700001896</t>
  </si>
  <si>
    <t>#202602252700002066</t>
  </si>
  <si>
    <t>#202602252700002255</t>
  </si>
  <si>
    <t>#202602252700004518</t>
  </si>
  <si>
    <t>#202602252700001642</t>
  </si>
  <si>
    <t>#202602252700000830</t>
  </si>
  <si>
    <t>#202602252700001928</t>
  </si>
  <si>
    <t>OPT-NIFTY-25-Nov-2025-26100-P-E-I</t>
  </si>
  <si>
    <t>#202511243700016998</t>
  </si>
  <si>
    <t>#202511243700017022</t>
  </si>
  <si>
    <t>OPT-NIFTY-24-Mar-2026-22700-P-E-I</t>
  </si>
  <si>
    <t>#202603242700007256</t>
  </si>
  <si>
    <t>#202603242700007429</t>
  </si>
  <si>
    <t>#202603242700008926</t>
  </si>
  <si>
    <t>#202603242700006784</t>
  </si>
  <si>
    <t>OPT-NIFTY-24-Mar-2026-22800-C-E-I</t>
  </si>
  <si>
    <t>#202603242700005097</t>
  </si>
  <si>
    <t>#202603242700006008</t>
  </si>
  <si>
    <t>OPT-NIFTY-24-Feb-2026-25600-P-E-I</t>
  </si>
  <si>
    <t>#202602242700001723</t>
  </si>
  <si>
    <t>#202602242700001766</t>
  </si>
  <si>
    <t>#202602242700002060</t>
  </si>
  <si>
    <t>#202602242700002463</t>
  </si>
  <si>
    <t>OPT-ICICIBANK-30-Mar-2026-1360-P-E-S</t>
  </si>
  <si>
    <t>#202602242700017168</t>
  </si>
  <si>
    <t>#202602242700019972</t>
  </si>
  <si>
    <t>#202602242700001680</t>
  </si>
  <si>
    <t>#202602242700001698</t>
  </si>
  <si>
    <t>#202505233700005571</t>
  </si>
  <si>
    <t>OPT-NIFTY-24-Mar-2026-22650-P-E-I</t>
  </si>
  <si>
    <t>#202603232700004129</t>
  </si>
  <si>
    <t>#202603232700001839</t>
  </si>
  <si>
    <t>#202603232700001941</t>
  </si>
  <si>
    <t>#202603232700002008</t>
  </si>
  <si>
    <t>#202603232700002603</t>
  </si>
  <si>
    <t>#202603232700003231</t>
  </si>
  <si>
    <t>OPT-NIFTY-24-Feb-2026-25650-C-E-I</t>
  </si>
  <si>
    <t>#202602232700006977</t>
  </si>
  <si>
    <t>OPT-NIFTY-24-Feb-2026-25350-P-E-I</t>
  </si>
  <si>
    <t>#202602232700002462</t>
  </si>
  <si>
    <t>OPT-NIFTY-24-Feb-2026-25650-P-E-I</t>
  </si>
  <si>
    <t>#202602232700007682</t>
  </si>
  <si>
    <t>#202602232700007831</t>
  </si>
  <si>
    <t>#202602232700007866</t>
  </si>
  <si>
    <t>#202602232700007889</t>
  </si>
  <si>
    <t>#202602232700009115</t>
  </si>
  <si>
    <t>#202602232700009126</t>
  </si>
  <si>
    <t>#202602232700009465</t>
  </si>
  <si>
    <t>#202602232700007353</t>
  </si>
  <si>
    <t>#202602232700001679</t>
  </si>
  <si>
    <t>#202602232700001112</t>
  </si>
  <si>
    <t>#202511213700007438</t>
  </si>
  <si>
    <t>OPT-NIFTY-22-May-2025-24750-P-E-I</t>
  </si>
  <si>
    <t>#202505213700000977</t>
  </si>
  <si>
    <t>#202505213700006174</t>
  </si>
  <si>
    <t>OPT-NIFTY-21-Aug-2025-25150-C-E-I</t>
  </si>
  <si>
    <t>#202508213700016277</t>
  </si>
  <si>
    <t>#202508213700018285</t>
  </si>
  <si>
    <t>#202508213700018369</t>
  </si>
  <si>
    <t>#202508213700018813</t>
  </si>
  <si>
    <t>#202508213700016581</t>
  </si>
  <si>
    <t>#202508213700015673</t>
  </si>
  <si>
    <t>#202508213700015714</t>
  </si>
  <si>
    <t>#202511203700008974</t>
  </si>
  <si>
    <t>OPT-NIFTY-24-Mar-2026-23300-C-E-I</t>
  </si>
  <si>
    <t>#202603202700015836</t>
  </si>
  <si>
    <t>#202603202700014962</t>
  </si>
  <si>
    <t>#202603202700014872</t>
  </si>
  <si>
    <t>#202603202700012643</t>
  </si>
  <si>
    <t>#202603202700002995</t>
  </si>
  <si>
    <t>#202603202700007930</t>
  </si>
  <si>
    <t>#202603202700008425</t>
  </si>
  <si>
    <t>#202603202700003436</t>
  </si>
  <si>
    <t>#202603202700007864</t>
  </si>
  <si>
    <t>#202602202700008269</t>
  </si>
  <si>
    <t>#202602202700009082</t>
  </si>
  <si>
    <t>OPT-NIFTY-24-Feb-2026-25550-C-E-I</t>
  </si>
  <si>
    <t>#202602202700009377</t>
  </si>
  <si>
    <t>#202602202700010965</t>
  </si>
  <si>
    <t>#202602202700011207</t>
  </si>
  <si>
    <t>#202602202700011860</t>
  </si>
  <si>
    <t>#202602202700001862</t>
  </si>
  <si>
    <t>#202602202700013058</t>
  </si>
  <si>
    <t>#202602202700013548</t>
  </si>
  <si>
    <t>#202602202700016126</t>
  </si>
  <si>
    <t>#202602202700016569</t>
  </si>
  <si>
    <t>#202602202700006057</t>
  </si>
  <si>
    <t>#202602202700003969</t>
  </si>
  <si>
    <t>#202602202700012918</t>
  </si>
  <si>
    <t>OPT-NIFTY-24-Mar-2026-23250-P-E-I</t>
  </si>
  <si>
    <t>#202603192700006373</t>
  </si>
  <si>
    <t>#202603192700002834</t>
  </si>
  <si>
    <t>#202603192700002117</t>
  </si>
  <si>
    <t>#202603192700007010</t>
  </si>
  <si>
    <t>#202603192700006422</t>
  </si>
  <si>
    <t>#202603192700006400</t>
  </si>
  <si>
    <t>OPT-NIFTY-20-Jan-2026-26050-C-E-I</t>
  </si>
  <si>
    <t>#202601193100004090</t>
  </si>
  <si>
    <t>OPT-NIFTY-24-Feb-2026-25800-C-E-I</t>
  </si>
  <si>
    <t>#202602192700003595</t>
  </si>
  <si>
    <t>#202602192700003138</t>
  </si>
  <si>
    <t>#202602192700003666</t>
  </si>
  <si>
    <t>#202602192700004036</t>
  </si>
  <si>
    <t>#202602192700005627</t>
  </si>
  <si>
    <t>#202602192700005810</t>
  </si>
  <si>
    <t>#202602192700013017</t>
  </si>
  <si>
    <t>#202602192700013154</t>
  </si>
  <si>
    <t>#202602192700002784</t>
  </si>
  <si>
    <t>#202602192700014494</t>
  </si>
  <si>
    <t>OPT-NIFTY-18-Nov-2025-26000-P-E-I</t>
  </si>
  <si>
    <t>#202511183700027198</t>
  </si>
  <si>
    <t>#202511183700026903</t>
  </si>
  <si>
    <t>#202511183700022527</t>
  </si>
  <si>
    <t>#202511183700022281</t>
  </si>
  <si>
    <t>#202511183700019883</t>
  </si>
  <si>
    <t>#202511183700019807</t>
  </si>
  <si>
    <t>OPT-NIFTY-18-Nov-2025-26000-C-E-I</t>
  </si>
  <si>
    <t>#202511183700018572</t>
  </si>
  <si>
    <t>#202511183700004571</t>
  </si>
  <si>
    <t>#202511183700004021</t>
  </si>
  <si>
    <t>#202511183700003404</t>
  </si>
  <si>
    <t>OPT-NIFTY-24-Mar-2026-23600-P-E-I</t>
  </si>
  <si>
    <t>#202603182700004244</t>
  </si>
  <si>
    <t>#202603182700012043</t>
  </si>
  <si>
    <t>#202603182700004520</t>
  </si>
  <si>
    <t>#202603182700004497</t>
  </si>
  <si>
    <t>#202603182700004471</t>
  </si>
  <si>
    <t>#202603182700004436</t>
  </si>
  <si>
    <t>OPT-NIFTY-24-Feb-2026-25700-P-E-I</t>
  </si>
  <si>
    <t>#202602182700001612</t>
  </si>
  <si>
    <t>OPT-NIFTY-24-Feb-2026-25750-C-E-I</t>
  </si>
  <si>
    <t>#202602182700007680</t>
  </si>
  <si>
    <t>#202602182700007358</t>
  </si>
  <si>
    <t>#202602182700007719</t>
  </si>
  <si>
    <t>#202602182700007909</t>
  </si>
  <si>
    <t>#202602182700010073</t>
  </si>
  <si>
    <t>#202602182700010968</t>
  </si>
  <si>
    <t>#202602182700007305</t>
  </si>
  <si>
    <t>#202602182700003253</t>
  </si>
  <si>
    <t>#202602182700003132</t>
  </si>
  <si>
    <t>#202602182700001708</t>
  </si>
  <si>
    <t>#202511173700005651</t>
  </si>
  <si>
    <t>#202511173700004824</t>
  </si>
  <si>
    <t>OPT-NIFTY-17-Mar-2026-23200-P-E-I</t>
  </si>
  <si>
    <t>#202603172700019616</t>
  </si>
  <si>
    <t>#202603172700019591</t>
  </si>
  <si>
    <t>#202603172700009989</t>
  </si>
  <si>
    <t>#202603172700015694</t>
  </si>
  <si>
    <t>#202603172700015665</t>
  </si>
  <si>
    <t>#202603172700015651</t>
  </si>
  <si>
    <t>#202603172700015634</t>
  </si>
  <si>
    <t>#202603172700010051</t>
  </si>
  <si>
    <t>#202603172700010012</t>
  </si>
  <si>
    <t>#202603172700009963</t>
  </si>
  <si>
    <t>#202603172700019640</t>
  </si>
  <si>
    <t>#202603172700019570</t>
  </si>
  <si>
    <t>OPT-NIFTY-17-Feb-2026-25750-P-E-I</t>
  </si>
  <si>
    <t>#202602172700022984</t>
  </si>
  <si>
    <t>#202602172700023141</t>
  </si>
  <si>
    <t>OPT-NIFTY-17-Feb-2026-25550-C-E-I</t>
  </si>
  <si>
    <t>#202602172700002118</t>
  </si>
  <si>
    <t>#202602172700002346</t>
  </si>
  <si>
    <t>#202602172700009894</t>
  </si>
  <si>
    <t>#202602172700010664</t>
  </si>
  <si>
    <t>OPT-NIFTY-17-Mar-2026-23500-C-E-I</t>
  </si>
  <si>
    <t>#202603162700006846</t>
  </si>
  <si>
    <t>OPT-ICICIBANK-24-Feb-2026-1380-P-E-S</t>
  </si>
  <si>
    <t>#202602162700016857</t>
  </si>
  <si>
    <t>OPT-NIFTY-15-May-2025-24650-P-E-I</t>
  </si>
  <si>
    <t>#202505153700016057</t>
  </si>
  <si>
    <t>#202505153700020609</t>
  </si>
  <si>
    <t>#202505153700020206</t>
  </si>
  <si>
    <t>OPT-NIFTY-15-May-2025-24550-C-E-I</t>
  </si>
  <si>
    <t>#202505153700012471</t>
  </si>
  <si>
    <t>#202505153700014098</t>
  </si>
  <si>
    <t>#202505153700015627</t>
  </si>
  <si>
    <t>#202505153700021703</t>
  </si>
  <si>
    <t>#202505153700016785</t>
  </si>
  <si>
    <t>#202505153700017843</t>
  </si>
  <si>
    <t>#202505153700019566</t>
  </si>
  <si>
    <t>OPT-NIFTY-17-Apr-2025-22750-P-E-I</t>
  </si>
  <si>
    <t>#202504153700004658</t>
  </si>
  <si>
    <t>#202504153700003201</t>
  </si>
  <si>
    <t>#202504153700003067</t>
  </si>
  <si>
    <t>OPT-NIFTY-18-Nov-2025-25750-P-E-I</t>
  </si>
  <si>
    <t>#202511143700018296</t>
  </si>
  <si>
    <t>#202511143700019554</t>
  </si>
  <si>
    <t>#202511143700018575</t>
  </si>
  <si>
    <t>OPT-NIFTY-18-Nov-2025-25850-P-E-I</t>
  </si>
  <si>
    <t>#202511132600000650</t>
  </si>
  <si>
    <t>OPT-NIFTY-17-Mar-2026-23400-P-E-I</t>
  </si>
  <si>
    <t>#202603132700001651</t>
  </si>
  <si>
    <t>#202603132700003209</t>
  </si>
  <si>
    <t>#202603132700003260</t>
  </si>
  <si>
    <t>#202603132700008018</t>
  </si>
  <si>
    <t>#202603132700008071</t>
  </si>
  <si>
    <t>#202603132700008286</t>
  </si>
  <si>
    <t>#202603132700008321</t>
  </si>
  <si>
    <t>#202603132700008346</t>
  </si>
  <si>
    <t>#202603132700008388</t>
  </si>
  <si>
    <t>#202603132700008446</t>
  </si>
  <si>
    <t>#202603132700008787</t>
  </si>
  <si>
    <t>#202603132700009118</t>
  </si>
  <si>
    <t>#202603132700009380</t>
  </si>
  <si>
    <t>#202603132700001352</t>
  </si>
  <si>
    <t>#202603132700001400</t>
  </si>
  <si>
    <t>#202601133100025909</t>
  </si>
  <si>
    <t>#202511123700013669</t>
  </si>
  <si>
    <t>OPT-NIFTY-18-Nov-2025-25950-C-E-I</t>
  </si>
  <si>
    <t>#202511123700009214</t>
  </si>
  <si>
    <t>#202511123700007622</t>
  </si>
  <si>
    <t>OPT-NIFTY-17-Mar-2026-23650-C-E-I</t>
  </si>
  <si>
    <t>#202603122700003108</t>
  </si>
  <si>
    <t>#202603122700003389</t>
  </si>
  <si>
    <t>#202603122700007367</t>
  </si>
  <si>
    <t>OPT-NIFTY-17-Mar-2026-23650-P-E-I</t>
  </si>
  <si>
    <t>#202603122700008059</t>
  </si>
  <si>
    <t>#202603122700008261</t>
  </si>
  <si>
    <t>#202603122700003072</t>
  </si>
  <si>
    <t>#202603122700003050</t>
  </si>
  <si>
    <t>#202603122700003011</t>
  </si>
  <si>
    <t>#202603122700008040</t>
  </si>
  <si>
    <t>#202602122700002139</t>
  </si>
  <si>
    <t>OPT-NIFTY-16-Dec-2025-25800-P-E-I</t>
  </si>
  <si>
    <t>#202512123700036144</t>
  </si>
  <si>
    <t>#202512123700020712</t>
  </si>
  <si>
    <t>#202512123700018183</t>
  </si>
  <si>
    <t>#202512123700016184</t>
  </si>
  <si>
    <t>#202512122600001017</t>
  </si>
  <si>
    <t>#202512123700010037</t>
  </si>
  <si>
    <t>OPT-NIFTY-14-Aug-2025-24700-C-E-I</t>
  </si>
  <si>
    <t>#202508123700006526</t>
  </si>
  <si>
    <t>#202508123700006900</t>
  </si>
  <si>
    <t>#202508123700010646</t>
  </si>
  <si>
    <t>#202508123700012255</t>
  </si>
  <si>
    <t>OPT-NIFTY-17-Mar-2026-24050-P-E-I</t>
  </si>
  <si>
    <t>#202603112700001848</t>
  </si>
  <si>
    <t>#202603112700001867</t>
  </si>
  <si>
    <t>#202603112700002127</t>
  </si>
  <si>
    <t>#202603112700002841</t>
  </si>
  <si>
    <t>#202602112700002859</t>
  </si>
  <si>
    <t>#202512113700015729</t>
  </si>
  <si>
    <t>#202512113700024410</t>
  </si>
  <si>
    <t>OPT-NIFTY-16-Sep-2025-25000-C-E-I</t>
  </si>
  <si>
    <t>#202509103700012844</t>
  </si>
  <si>
    <t>#202509103700012986</t>
  </si>
  <si>
    <t>#202509103700013364</t>
  </si>
  <si>
    <t>#202509103700013511</t>
  </si>
  <si>
    <t>#202509103700013709</t>
  </si>
  <si>
    <t>OPT-NIFTY-16-Sep-2025-24950-P-E-I</t>
  </si>
  <si>
    <t>#202509103700014737</t>
  </si>
  <si>
    <t>#202509103700014903</t>
  </si>
  <si>
    <t>OPT-NIFTY-11-Nov-2025-25650-P-E-I</t>
  </si>
  <si>
    <t>#202511103700012854</t>
  </si>
  <si>
    <t>#202511103700012959</t>
  </si>
  <si>
    <t>OPT-NIFTY-11-Nov-2025-25600-C-E-I</t>
  </si>
  <si>
    <t>#202511103700015958</t>
  </si>
  <si>
    <t>#202511103700016322</t>
  </si>
  <si>
    <t>OPT-NIFTY-09-Sep-2025-24850-C-E-I</t>
  </si>
  <si>
    <t>#202509093700006739</t>
  </si>
  <si>
    <t>#202509093700005552</t>
  </si>
  <si>
    <t>OPT-NIFTY-09-Sep-2025-24750-P-E-I</t>
  </si>
  <si>
    <t>#202509093700032000</t>
  </si>
  <si>
    <t>#202509093700031951</t>
  </si>
  <si>
    <t>#202509093700031817</t>
  </si>
  <si>
    <t>#202509093700031713</t>
  </si>
  <si>
    <t>#202509093700024548</t>
  </si>
  <si>
    <t>#202509093700022732</t>
  </si>
  <si>
    <t>OPT-NIFTY-09-Sep-2025-24850-P-E-I</t>
  </si>
  <si>
    <t>#202509093700011365</t>
  </si>
  <si>
    <t>#202509093700011440</t>
  </si>
  <si>
    <t>#202509093700021666</t>
  </si>
  <si>
    <t>#202509093700021839</t>
  </si>
  <si>
    <t>OPT-NIFTY-10-Mar-2026-23750-C-E-I</t>
  </si>
  <si>
    <t>#202603092700005636</t>
  </si>
  <si>
    <t>#202603092700005282</t>
  </si>
  <si>
    <t>#202603092700007658</t>
  </si>
  <si>
    <t>#202603092700007700</t>
  </si>
  <si>
    <t>#202603092700012734</t>
  </si>
  <si>
    <t>#202603092700006420</t>
  </si>
  <si>
    <t>#202603092700006559</t>
  </si>
  <si>
    <t>OPT-NIFTY-09-Apr-2025-22400-P-E-I</t>
  </si>
  <si>
    <t>#202504093700020424</t>
  </si>
  <si>
    <t>#202504093700017156</t>
  </si>
  <si>
    <t>OPT-NIFTY-09-Apr-2025-22500-C-E-I</t>
  </si>
  <si>
    <t>#202504093700017088</t>
  </si>
  <si>
    <t>#202504093700017000</t>
  </si>
  <si>
    <t>#202504093700016598</t>
  </si>
  <si>
    <t>#202504093700015487</t>
  </si>
  <si>
    <t>#202504093700014578</t>
  </si>
  <si>
    <t>OPT-NIFTY-09-Apr-2025-22400-C-E-I</t>
  </si>
  <si>
    <t>#202504093700014289</t>
  </si>
  <si>
    <t>#202504093700014210</t>
  </si>
  <si>
    <t>#202504093700013953</t>
  </si>
  <si>
    <t>#202504093700012838</t>
  </si>
  <si>
    <t>#202504093700008064</t>
  </si>
  <si>
    <t>#202504093700007105</t>
  </si>
  <si>
    <t>#202504093700006957</t>
  </si>
  <si>
    <t>#202504093700006200</t>
  </si>
  <si>
    <t>#202504093700006425</t>
  </si>
  <si>
    <t>#202509083700029705</t>
  </si>
  <si>
    <t>#202509083700033845</t>
  </si>
  <si>
    <t>#202509083700029135</t>
  </si>
  <si>
    <t>#202509083700016674</t>
  </si>
  <si>
    <t>#202509083700016156</t>
  </si>
  <si>
    <t>#202509083700014695</t>
  </si>
  <si>
    <t>#202509083700011120</t>
  </si>
  <si>
    <t>#202509083700010728</t>
  </si>
  <si>
    <t>#202509083700010231</t>
  </si>
  <si>
    <t>#202509083700029191</t>
  </si>
  <si>
    <t>OPT-NIFTY-08-May-2025-24400-P-E-I</t>
  </si>
  <si>
    <t>#202505083700011713</t>
  </si>
  <si>
    <t>#202505083700011579</t>
  </si>
  <si>
    <t>#202505083700010422</t>
  </si>
  <si>
    <t>#202505083700009329</t>
  </si>
  <si>
    <t>#202505083700007209</t>
  </si>
  <si>
    <t>#202505083700006575</t>
  </si>
  <si>
    <t>OPT-NIFTY-09-Dec-2025-26100-P-E-I</t>
  </si>
  <si>
    <t>#202512083700013987</t>
  </si>
  <si>
    <t>OPT-NIFTY-09-Apr-2025-22350-C-E-I</t>
  </si>
  <si>
    <t>#202504083700009315</t>
  </si>
  <si>
    <t>#202504083700009580</t>
  </si>
  <si>
    <t>OPT-NIFTY-09-Apr-2025-22350-P-E-I</t>
  </si>
  <si>
    <t>#202504083700011344</t>
  </si>
  <si>
    <t>#202504083700011365</t>
  </si>
  <si>
    <t>#202504083700011844</t>
  </si>
  <si>
    <t>#202504083700012620</t>
  </si>
  <si>
    <t>#202504083700013472</t>
  </si>
  <si>
    <t>#202504083700015587</t>
  </si>
  <si>
    <t>#202504083700016377</t>
  </si>
  <si>
    <t>#202504083700016818</t>
  </si>
  <si>
    <t>#202504083700019480</t>
  </si>
  <si>
    <t>#202504083700019683</t>
  </si>
  <si>
    <t>OPT-NIFTY-09-Apr-2025-22650-C-E-I</t>
  </si>
  <si>
    <t>#202504083700021012</t>
  </si>
  <si>
    <t>#202504083700021049</t>
  </si>
  <si>
    <t>#202504083700022105</t>
  </si>
  <si>
    <t>#202504083700022230</t>
  </si>
  <si>
    <t>OPT-NIFTY-08-May-2025-24300-C-E-I</t>
  </si>
  <si>
    <t>#202505073700009114</t>
  </si>
  <si>
    <t>#202505073700009035</t>
  </si>
  <si>
    <t>#202505073700008527</t>
  </si>
  <si>
    <t>#202505073700008461</t>
  </si>
  <si>
    <t>#202505073700007600</t>
  </si>
  <si>
    <t>#202505073700006263</t>
  </si>
  <si>
    <t>#202505073700009231</t>
  </si>
  <si>
    <t>OPT-NIFTY-09-Apr-2025-22850-C-E-I</t>
  </si>
  <si>
    <t>#202504073700021629</t>
  </si>
  <si>
    <t>OPT-NIFTY-09-Apr-2025-21500-P-E-I</t>
  </si>
  <si>
    <t>#202504073700021653</t>
  </si>
  <si>
    <t>#202504073700022063</t>
  </si>
  <si>
    <t>#202504073700021511</t>
  </si>
  <si>
    <t>#202504073700020729</t>
  </si>
  <si>
    <t>#202504073700007675</t>
  </si>
  <si>
    <t>#202504073700007635</t>
  </si>
  <si>
    <t>#202504073700004058</t>
  </si>
  <si>
    <t>#202504073700003414</t>
  </si>
  <si>
    <t>#202504073700000705</t>
  </si>
  <si>
    <t>#202504073700001225</t>
  </si>
  <si>
    <t>OPT-NIFTY-10-Mar-2026-24500-P-E-I</t>
  </si>
  <si>
    <t>#202603062700001296</t>
  </si>
  <si>
    <t>#202603062700009844</t>
  </si>
  <si>
    <t>#202603062700001414</t>
  </si>
  <si>
    <t>#202603062700001936</t>
  </si>
  <si>
    <t>#202603062700002085</t>
  </si>
  <si>
    <t>#202603062700002462</t>
  </si>
  <si>
    <t>#202603062700002766</t>
  </si>
  <si>
    <t>OPT-NIFTY-10-Mar-2026-24750-C-E-I</t>
  </si>
  <si>
    <t>#202603062700003071</t>
  </si>
  <si>
    <t>#202603062700003157</t>
  </si>
  <si>
    <t>#202603062700003286</t>
  </si>
  <si>
    <t>#202603062700004255</t>
  </si>
  <si>
    <t>#202603062700004704</t>
  </si>
  <si>
    <t>#202603062700005545</t>
  </si>
  <si>
    <t>#202603062700005788</t>
  </si>
  <si>
    <t>#202603062700001365</t>
  </si>
  <si>
    <t>OPT-NIFTY-09-Sep-2025-24650-P-E-I</t>
  </si>
  <si>
    <t>#202509053700010806</t>
  </si>
  <si>
    <t>#202509053700011568</t>
  </si>
  <si>
    <t>#202509053700011699</t>
  </si>
  <si>
    <t>#202509053700011778</t>
  </si>
  <si>
    <t>OPT-NIFTY-09-Sep-2025-24700-C-E-I</t>
  </si>
  <si>
    <t>#202509053700017968</t>
  </si>
  <si>
    <t>#202509053700018058</t>
  </si>
  <si>
    <t>OPT-NIFTY-05-Jun-2025-24850-C-E-I</t>
  </si>
  <si>
    <t>#202506053700018371</t>
  </si>
  <si>
    <t>#202506053700024913</t>
  </si>
  <si>
    <t>OPT-NIFTY-10-Feb-2026-25750-P-E-I</t>
  </si>
  <si>
    <t>#202602052700013503</t>
  </si>
  <si>
    <t>#202602052600001220</t>
  </si>
  <si>
    <t>OPT-NIFTY-10-Feb-2026-25650-C-E-I</t>
  </si>
  <si>
    <t>#202602052700002573</t>
  </si>
  <si>
    <t>#202602052700002983</t>
  </si>
  <si>
    <t>#202602052700004045</t>
  </si>
  <si>
    <t>#202602052700004901</t>
  </si>
  <si>
    <t>#202602052700006177</t>
  </si>
  <si>
    <t>#202602052700013840</t>
  </si>
  <si>
    <t>#202512053700013831</t>
  </si>
  <si>
    <t>#202509043700011524</t>
  </si>
  <si>
    <t>#202509043700011274</t>
  </si>
  <si>
    <t>#202509043700011379</t>
  </si>
  <si>
    <t>#202509043700011561</t>
  </si>
  <si>
    <t>OPT-NIFTY-09-Sep-2025-24700-P-E-I</t>
  </si>
  <si>
    <t>#202509043700014101</t>
  </si>
  <si>
    <t>#202509043700014255</t>
  </si>
  <si>
    <t>#202509043700015846</t>
  </si>
  <si>
    <t>OPT-NIFTY-04-Nov-2025-25750-P-E-I</t>
  </si>
  <si>
    <t>#202511043700005997</t>
  </si>
  <si>
    <t>#202511043700006125</t>
  </si>
  <si>
    <t>OPT-NIFTY-10-Jul-2025-25400-P-E-I</t>
  </si>
  <si>
    <t>#202507043700010841</t>
  </si>
  <si>
    <t>#202507043700010648</t>
  </si>
  <si>
    <t>#202507043700010535</t>
  </si>
  <si>
    <t>#202507043700010716</t>
  </si>
  <si>
    <t>OPT-NIFTY-10-Feb-2026-25700-C-E-I</t>
  </si>
  <si>
    <t>#202602042700014076</t>
  </si>
  <si>
    <t>#202602042700014241</t>
  </si>
  <si>
    <t>OPT-NIFTY-10-Feb-2026-25750-C-E-I</t>
  </si>
  <si>
    <t>#202602042700011441</t>
  </si>
  <si>
    <t>#202602042700011393</t>
  </si>
  <si>
    <t>OPT-NIFTY-10-Feb-2026-25800-P-E-I</t>
  </si>
  <si>
    <t>#202602042700004029</t>
  </si>
  <si>
    <t>#202602042700003717</t>
  </si>
  <si>
    <t>#202602042700003071</t>
  </si>
  <si>
    <t>OPT-NIFTY-09-Dec-2025-26000-P-E-I</t>
  </si>
  <si>
    <t>#202512043700010558</t>
  </si>
  <si>
    <t>OPT-NIFTY-09-Apr-2025-23000-C-E-I</t>
  </si>
  <si>
    <t>#202504043700011100</t>
  </si>
  <si>
    <t>#202504043700010497</t>
  </si>
  <si>
    <t>OPT-NIFTY-09-Apr-2025-22950-P-E-I</t>
  </si>
  <si>
    <t>#202504043700013001</t>
  </si>
  <si>
    <t>OPT-NIFTY-09-Apr-2025-22900-C-E-I</t>
  </si>
  <si>
    <t>#202504043700018117</t>
  </si>
  <si>
    <t>#202504043700014621</t>
  </si>
  <si>
    <t>#202504043700015164</t>
  </si>
  <si>
    <t>#202504043700015765</t>
  </si>
  <si>
    <t>#202504043700018012</t>
  </si>
  <si>
    <t>#202504043700011423</t>
  </si>
  <si>
    <t>#202504043700013703</t>
  </si>
  <si>
    <t>#202509033700015732</t>
  </si>
  <si>
    <t>#202509033700015506</t>
  </si>
  <si>
    <t>#202509033700014916</t>
  </si>
  <si>
    <t>#202509033700014826</t>
  </si>
  <si>
    <t>#202509033700014091</t>
  </si>
  <si>
    <t>#202509033700014568</t>
  </si>
  <si>
    <t>#202509033700014210</t>
  </si>
  <si>
    <t>#202509033700014113</t>
  </si>
  <si>
    <t>#202509033700014620</t>
  </si>
  <si>
    <t>OPT-NIFTY-03-Feb-2026-25850-P-E-I</t>
  </si>
  <si>
    <t>#202602032700024018</t>
  </si>
  <si>
    <t>#202602032700041857</t>
  </si>
  <si>
    <t>#202602032700017343</t>
  </si>
  <si>
    <t>#202602032700004937</t>
  </si>
  <si>
    <t>OPT-NIFTY-09-Dec-2025-25950-C-E-I</t>
  </si>
  <si>
    <t>#202512033700010578</t>
  </si>
  <si>
    <t>#202512033700016479</t>
  </si>
  <si>
    <t>#202512033700010533</t>
  </si>
  <si>
    <t>OPT-SBIN-24-Apr-2025-770-P-E-S</t>
  </si>
  <si>
    <t>#202504033700010526</t>
  </si>
  <si>
    <t>OPT-NIFTY-03-Apr-2025-23300-P-E-I</t>
  </si>
  <si>
    <t>#202504033700016758</t>
  </si>
  <si>
    <t>#202504033700018010</t>
  </si>
  <si>
    <t>#202504033700017781</t>
  </si>
  <si>
    <t>#202504033700015423</t>
  </si>
  <si>
    <t>#202504033700013624</t>
  </si>
  <si>
    <t>#202504033700014083</t>
  </si>
  <si>
    <t>#202504033700014502</t>
  </si>
  <si>
    <t>OPT-NIFTY-02-Sep-2025-24700-P-E-I</t>
  </si>
  <si>
    <t>#202509023700019020</t>
  </si>
  <si>
    <t>#202509023700018665</t>
  </si>
  <si>
    <t>#202509023700018759</t>
  </si>
  <si>
    <t>OPT-NIFTY-08-May-2025-24350-P-E-I</t>
  </si>
  <si>
    <t>#202505023700019157</t>
  </si>
  <si>
    <t>OPT-NIFTY-08-May-2025-24300-P-E-I</t>
  </si>
  <si>
    <t>#202505023700017315</t>
  </si>
  <si>
    <t>#202505023700017303</t>
  </si>
  <si>
    <t>#202505023700014462</t>
  </si>
  <si>
    <t>#202505023700014773</t>
  </si>
  <si>
    <t>OPT-NIFTY-08-May-2025-24450-C-E-I</t>
  </si>
  <si>
    <t>#202505023700002229</t>
  </si>
  <si>
    <t>#202505023700002386</t>
  </si>
  <si>
    <t>OPT-NIFTY-08-May-2025-24450-P-E-I</t>
  </si>
  <si>
    <t>#202505023700008095</t>
  </si>
  <si>
    <t>#202505023700008123</t>
  </si>
  <si>
    <t>OPT-NIFTY-08-May-2025-24500-P-E-I</t>
  </si>
  <si>
    <t>#202505023700010749</t>
  </si>
  <si>
    <t>#202505023700011205</t>
  </si>
  <si>
    <t>#202505023700011548</t>
  </si>
  <si>
    <t>#202505023700012079</t>
  </si>
  <si>
    <t>#202505023700019299</t>
  </si>
  <si>
    <t>#202505023700019371</t>
  </si>
  <si>
    <t>#202505023700019488</t>
  </si>
  <si>
    <t>#202505023700017225</t>
  </si>
  <si>
    <t>OPT-NIFTY-02-Mar-2026-24800-P-E-I</t>
  </si>
  <si>
    <t>#202603022700010487</t>
  </si>
  <si>
    <t>#202603022700012542</t>
  </si>
  <si>
    <t>OPT-NIFTY-02-Mar-2026-24850-C-E-I</t>
  </si>
  <si>
    <t>#202603022700010260</t>
  </si>
  <si>
    <t>#202603022700009926</t>
  </si>
  <si>
    <t>#202603022700009878</t>
  </si>
  <si>
    <t>#202603022700009786</t>
  </si>
  <si>
    <t>#202603022700009771</t>
  </si>
  <si>
    <t>#202603022700009762</t>
  </si>
  <si>
    <t>OPT-NIFTY-03-Feb-2026-24750-C-E-I</t>
  </si>
  <si>
    <t>#202602022700010801</t>
  </si>
  <si>
    <t>OPT-NIFTY-03-Feb-2026-25000-P-E-I</t>
  </si>
  <si>
    <t>#202602022700015225</t>
  </si>
  <si>
    <t>OPT-NIFTY-03-Feb-2026-24900-P-E-I</t>
  </si>
  <si>
    <t>#202602022700004481</t>
  </si>
  <si>
    <t>#202602022700003161</t>
  </si>
  <si>
    <t>#202602022700008155</t>
  </si>
  <si>
    <t>#202602022700010309</t>
  </si>
  <si>
    <t>#202602022700007860</t>
  </si>
  <si>
    <t>#202602022700015491</t>
  </si>
  <si>
    <t>OPT-NIFTY-02-Dec-2025-26050-P-E-I</t>
  </si>
  <si>
    <t>#202512023700015171</t>
  </si>
  <si>
    <t>#202512023700025744</t>
  </si>
  <si>
    <t>#202512023700015551</t>
  </si>
  <si>
    <t>OPT-NIFTY-03-Apr-2025-23150-P-E-I</t>
  </si>
  <si>
    <t>#202504023700014277</t>
  </si>
  <si>
    <t>#202504023700006643</t>
  </si>
  <si>
    <t>#202504023700005458</t>
  </si>
  <si>
    <t>#202504023700004964</t>
  </si>
  <si>
    <t>#202504023700003256</t>
  </si>
  <si>
    <t>#202504023700002403</t>
  </si>
  <si>
    <t>#202504023700001891</t>
  </si>
  <si>
    <t>OPT-NIFTY-03-Apr-2025-23250-C-E-I</t>
  </si>
  <si>
    <t>#202504023700000692</t>
  </si>
  <si>
    <t>OPT-NIFTY-03-Apr-2025-22550-P-E-I</t>
  </si>
  <si>
    <t>#202504023700014292</t>
  </si>
  <si>
    <t>#202504023700001347</t>
  </si>
  <si>
    <t>#202504023700001224</t>
  </si>
  <si>
    <t>#202602012700037006</t>
  </si>
  <si>
    <t>OPT-NIFTY-03-Feb-2026-25000-C-E-I</t>
  </si>
  <si>
    <t>#202602012700051727</t>
  </si>
  <si>
    <t>#202602012700036696</t>
  </si>
  <si>
    <t>OPT-NIFTY-03-Feb-2026-25350-P-E-I</t>
  </si>
  <si>
    <t>#202602012700007743</t>
  </si>
  <si>
    <t>#202602012700006537</t>
  </si>
  <si>
    <t>#202602012700003044</t>
  </si>
  <si>
    <t>#202602012700001323</t>
  </si>
  <si>
    <t>#202602012700051991</t>
  </si>
  <si>
    <t>#202512013700002407</t>
  </si>
  <si>
    <t>#202512013700001235</t>
  </si>
  <si>
    <t>#202512013700004091</t>
  </si>
  <si>
    <t>#202512013700021299</t>
  </si>
  <si>
    <t>#202512013700011531</t>
  </si>
  <si>
    <t>OPT-NIFTY-03-Apr-2025-23500-P-E-I</t>
  </si>
  <si>
    <t>#202504013700006262</t>
  </si>
  <si>
    <t>#202504013700005299</t>
  </si>
  <si>
    <t>#202504013700004870</t>
  </si>
  <si>
    <t>#202504013700004775</t>
  </si>
  <si>
    <t>#202504013700004563</t>
  </si>
  <si>
    <t>OPT-NIFTY-03-Apr-2025-23500-C-E-I</t>
  </si>
  <si>
    <t>#202504013700002731</t>
  </si>
  <si>
    <t>#202504013700003041</t>
  </si>
  <si>
    <t>#202504013700015773</t>
  </si>
  <si>
    <t>Row Labels</t>
  </si>
  <si>
    <t>Grand Total</t>
  </si>
  <si>
    <t>Column Labels</t>
  </si>
  <si>
    <t>Sum of Value</t>
  </si>
  <si>
    <t>Turnover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</si>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</sst>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5" fontId="0" fillId="0" borderId="0" xfId="0" applyNumberFormat="1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pivotButton="1" applyNumberFormat="1" applyFont="1"/>
    <xf numFmtId="164" fontId="0" fillId="0" borderId="0" xfId="0" applyNumberFormat="1"/>
    <xf numFmtId="0" fontId="16" fillId="33" borderId="0" xfId="0" applyFont="1" applyFill="1"/>
    <xf numFmtId="164" fontId="0" fillId="33" borderId="0" xfId="0" applyNumberForma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5"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ghuram" refreshedDate="46212.793349074076" createdVersion="6" refreshedVersion="6" minRefreshableVersion="3" recordCount="538" xr:uid="{00000000-000A-0000-FFFF-FFFF03000000}">
  <cacheSource type="worksheet">
    <worksheetSource ref="A1:O539" sheet="orderBook_F&amp;O_1783078270756"/>
  </cacheSource>
  <cacheFields count="15">
    <cacheField name="Trade Date" numFmtId="15">
      <sharedItems containsSemiMixedTypes="0" containsNonDate="0" containsDate="1" containsString="0" minDate="2025-04-01T00:00:00" maxDate="2026-03-31T00:00:00"/>
    </cacheField>
    <cacheField name="Contract Descriptor" numFmtId="0">
      <sharedItems count="118">
        <s v="OPT-NIFTY-30-Mar-2026-22600-P-E-I"/>
        <s v="OPT-NIFTY-03-Feb-2026-25300-P-E-I"/>
        <s v="OPT-NIFTY-03-Feb-2026-25250-C-E-I"/>
        <s v="OPT-NIFTY-29-May-2025-24750-C-E-I"/>
        <s v="OPT-NIFTY-29-May-2025-24050-P-E-I"/>
        <s v="OPT-NIFTY-03-Feb-2026-25400-P-E-I"/>
        <s v="OPT-NIFTY-03-Feb-2026-25300-C-E-I"/>
        <s v="OPT-NIFTY-02-Dec-2025-26100-P-E-I"/>
        <s v="OPT-NIFTY-02-Dec-2025-26200-C-E-I"/>
        <s v="OPT-NIFTY-03-Feb-2026-25400-C-E-I"/>
        <s v="OPT-NIFTY-28-Aug-2025-24550-C-E-I"/>
        <s v="OPT-NIFTY-28-Aug-2025-24500-P-E-I"/>
        <s v="OPT-NIFTY-02-Dec-2025-26250-P-E-I"/>
        <s v="OPT-NIFTY-30-Mar-2026-22950-P-E-I"/>
        <s v="OPT-NIFTY-27-Jan-2026-25000-C-E-I"/>
        <s v="OPT-NIFTY-27-Jan-2026-24950-C-E-I"/>
        <s v="OPT-NIFTY-02-Mar-2026-25300-C-E-I"/>
        <s v="OPT-NIFTY-02-Mar-2026-25400-P-E-I"/>
        <s v="OPT-NIFTY-02-Mar-2026-25550-C-E-I"/>
        <s v="OPT-NIFTY-25-Nov-2025-25950-P-E-I"/>
        <s v="OPT-NIFTY-02-Mar-2026-25600-C-E-I"/>
        <s v="OPT-NIFTY-25-Nov-2025-26100-P-E-I"/>
        <s v="OPT-NIFTY-24-Mar-2026-22700-P-E-I"/>
        <s v="OPT-NIFTY-24-Mar-2026-22800-C-E-I"/>
        <s v="OPT-NIFTY-24-Feb-2026-25600-P-E-I"/>
        <s v="OPT-ICICIBANK-30-Mar-2026-1360-P-E-S"/>
        <s v="OPT-NIFTY-24-Mar-2026-22650-P-E-I"/>
        <s v="OPT-NIFTY-24-Feb-2026-25650-C-E-I"/>
        <s v="OPT-NIFTY-24-Feb-2026-25350-P-E-I"/>
        <s v="OPT-NIFTY-24-Feb-2026-25650-P-E-I"/>
        <s v="OPT-NIFTY-22-May-2025-24750-P-E-I"/>
        <s v="OPT-NIFTY-21-Aug-2025-25150-C-E-I"/>
        <s v="OPT-NIFTY-24-Mar-2026-23300-C-E-I"/>
        <s v="OPT-NIFTY-24-Feb-2026-25550-C-E-I"/>
        <s v="OPT-NIFTY-24-Mar-2026-23250-P-E-I"/>
        <s v="OPT-NIFTY-20-Jan-2026-26050-C-E-I"/>
        <s v="OPT-NIFTY-24-Feb-2026-25800-C-E-I"/>
        <s v="OPT-NIFTY-18-Nov-2025-26000-P-E-I"/>
        <s v="OPT-NIFTY-18-Nov-2025-26000-C-E-I"/>
        <s v="OPT-NIFTY-24-Mar-2026-23600-P-E-I"/>
        <s v="OPT-NIFTY-24-Feb-2026-25700-P-E-I"/>
        <s v="OPT-NIFTY-24-Feb-2026-25750-C-E-I"/>
        <s v="OPT-NIFTY-17-Mar-2026-23200-P-E-I"/>
        <s v="OPT-NIFTY-17-Feb-2026-25750-P-E-I"/>
        <s v="OPT-NIFTY-17-Feb-2026-25550-C-E-I"/>
        <s v="OPT-NIFTY-17-Mar-2026-23500-C-E-I"/>
        <s v="OPT-ICICIBANK-24-Feb-2026-1380-P-E-S"/>
        <s v="OPT-NIFTY-15-May-2025-24650-P-E-I"/>
        <s v="OPT-NIFTY-15-May-2025-24550-C-E-I"/>
        <s v="OPT-NIFTY-17-Apr-2025-22750-P-E-I"/>
        <s v="OPT-NIFTY-18-Nov-2025-25750-P-E-I"/>
        <s v="OPT-NIFTY-18-Nov-2025-25850-P-E-I"/>
        <s v="OPT-NIFTY-17-Mar-2026-23400-P-E-I"/>
        <s v="OPT-NIFTY-18-Nov-2025-25950-C-E-I"/>
        <s v="OPT-NIFTY-17-Mar-2026-23650-C-E-I"/>
        <s v="OPT-NIFTY-17-Mar-2026-23650-P-E-I"/>
        <s v="OPT-NIFTY-16-Dec-2025-25800-P-E-I"/>
        <s v="OPT-NIFTY-14-Aug-2025-24700-C-E-I"/>
        <s v="OPT-NIFTY-17-Mar-2026-24050-P-E-I"/>
        <s v="OPT-NIFTY-16-Sep-2025-25000-C-E-I"/>
        <s v="OPT-NIFTY-16-Sep-2025-24950-P-E-I"/>
        <s v="OPT-NIFTY-11-Nov-2025-25650-P-E-I"/>
        <s v="OPT-NIFTY-11-Nov-2025-25600-C-E-I"/>
        <s v="OPT-NIFTY-09-Sep-2025-24850-C-E-I"/>
        <s v="OPT-NIFTY-09-Sep-2025-24750-P-E-I"/>
        <s v="OPT-NIFTY-09-Sep-2025-24850-P-E-I"/>
        <s v="OPT-NIFTY-10-Mar-2026-23750-C-E-I"/>
        <s v="OPT-NIFTY-09-Apr-2025-22400-P-E-I"/>
        <s v="OPT-NIFTY-09-Apr-2025-22500-C-E-I"/>
        <s v="OPT-NIFTY-09-Apr-2025-22400-C-E-I"/>
        <s v="OPT-NIFTY-08-May-2025-24400-P-E-I"/>
        <s v="OPT-NIFTY-09-Dec-2025-26100-P-E-I"/>
        <s v="OPT-NIFTY-09-Apr-2025-22350-C-E-I"/>
        <s v="OPT-NIFTY-09-Apr-2025-22350-P-E-I"/>
        <s v="OPT-NIFTY-09-Apr-2025-22650-C-E-I"/>
        <s v="OPT-NIFTY-08-May-2025-24300-C-E-I"/>
        <s v="OPT-NIFTY-09-Apr-2025-22850-C-E-I"/>
        <s v="OPT-NIFTY-09-Apr-2025-21500-P-E-I"/>
        <s v="OPT-NIFTY-10-Mar-2026-24500-P-E-I"/>
        <s v="OPT-NIFTY-10-Mar-2026-24750-C-E-I"/>
        <s v="OPT-NIFTY-09-Sep-2025-24650-P-E-I"/>
        <s v="OPT-NIFTY-09-Sep-2025-24700-C-E-I"/>
        <s v="OPT-NIFTY-05-Jun-2025-24850-C-E-I"/>
        <s v="OPT-NIFTY-10-Feb-2026-25750-P-E-I"/>
        <s v="OPT-NIFTY-10-Feb-2026-25650-C-E-I"/>
        <s v="OPT-NIFTY-09-Sep-2025-24700-P-E-I"/>
        <s v="OPT-NIFTY-04-Nov-2025-25750-P-E-I"/>
        <s v="OPT-NIFTY-10-Jul-2025-25400-P-E-I"/>
        <s v="OPT-NIFTY-10-Feb-2026-25700-C-E-I"/>
        <s v="OPT-NIFTY-10-Feb-2026-25750-C-E-I"/>
        <s v="OPT-NIFTY-10-Feb-2026-25800-P-E-I"/>
        <s v="OPT-NIFTY-09-Dec-2025-26000-P-E-I"/>
        <s v="OPT-NIFTY-09-Apr-2025-23000-C-E-I"/>
        <s v="OPT-NIFTY-09-Apr-2025-22950-P-E-I"/>
        <s v="OPT-NIFTY-09-Apr-2025-22900-C-E-I"/>
        <s v="OPT-NIFTY-03-Feb-2026-25850-P-E-I"/>
        <s v="OPT-NIFTY-09-Dec-2025-25950-C-E-I"/>
        <s v="OPT-SBIN-24-Apr-2025-770-P-E-S"/>
        <s v="OPT-NIFTY-03-Apr-2025-23300-P-E-I"/>
        <s v="OPT-NIFTY-02-Sep-2025-24700-P-E-I"/>
        <s v="OPT-NIFTY-08-May-2025-24350-P-E-I"/>
        <s v="OPT-NIFTY-08-May-2025-24300-P-E-I"/>
        <s v="OPT-NIFTY-08-May-2025-24450-C-E-I"/>
        <s v="OPT-NIFTY-08-May-2025-24450-P-E-I"/>
        <s v="OPT-NIFTY-08-May-2025-24500-P-E-I"/>
        <s v="OPT-NIFTY-02-Mar-2026-24800-P-E-I"/>
        <s v="OPT-NIFTY-02-Mar-2026-24850-C-E-I"/>
        <s v="OPT-NIFTY-03-Feb-2026-24750-C-E-I"/>
        <s v="OPT-NIFTY-03-Feb-2026-25000-P-E-I"/>
        <s v="OPT-NIFTY-03-Feb-2026-24900-P-E-I"/>
        <s v="OPT-NIFTY-02-Dec-2025-26050-P-E-I"/>
        <s v="OPT-NIFTY-03-Apr-2025-23150-P-E-I"/>
        <s v="OPT-NIFTY-03-Apr-2025-23250-C-E-I"/>
        <s v="OPT-NIFTY-03-Apr-2025-22550-P-E-I"/>
        <s v="OPT-NIFTY-03-Feb-2026-25000-C-E-I"/>
        <s v="OPT-NIFTY-03-Feb-2026-25350-P-E-I"/>
        <s v="OPT-NIFTY-03-Apr-2025-23500-P-E-I"/>
        <s v="OPT-NIFTY-03-Apr-2025-23500-C-E-I"/>
      </sharedItems>
    </cacheField>
    <cacheField name="Exchange" numFmtId="0">
      <sharedItems count="1">
        <s v="NSE"/>
      </sharedItems>
    </cacheField>
    <cacheField name="Action" numFmtId="0">
      <sharedItems count="2">
        <s v="Buy"/>
        <s v="Sell"/>
      </sharedItems>
    </cacheField>
    <cacheField name="Qty" numFmtId="0">
      <sharedItems containsSemiMixedTypes="0" containsString="0" containsNumber="1" containsInteger="1" minValue="65" maxValue="2100"/>
    </cacheField>
    <cacheField name="Price" numFmtId="0">
      <sharedItems containsSemiMixedTypes="0" containsString="0" containsNumber="1" minValue="1.2" maxValue="309.89999999999998"/>
    </cacheField>
    <cacheField name="Value" numFmtId="164">
      <sharedItems containsSemiMixedTypes="0" containsString="0" containsNumber="1" minValue="112.5" maxValue="178678.5"/>
    </cacheField>
    <cacheField name="Order Ref." numFmtId="0">
      <sharedItems/>
    </cacheField>
    <cacheField name="Securities Transaction Tax-STT" numFmtId="0">
      <sharedItems containsSemiMixedTypes="0" containsString="0" containsNumber="1" minValue="0" maxValue="178.67"/>
    </cacheField>
    <cacheField name="Transaction Charges" numFmtId="0">
      <sharedItems containsSemiMixedTypes="0" containsString="0" containsNumber="1" minValue="0.04" maxValue="63.47"/>
    </cacheField>
    <cacheField name="Stamp Duty" numFmtId="0">
      <sharedItems containsSemiMixedTypes="0" containsString="0" containsNumber="1" minValue="0" maxValue="10"/>
    </cacheField>
    <cacheField name="SEBI Turnover Charges" numFmtId="0">
      <sharedItems containsSemiMixedTypes="0" containsString="0" containsNumber="1" minValue="0" maxValue="0.19"/>
    </cacheField>
    <cacheField name="Brokerage" numFmtId="0">
      <sharedItems containsSemiMixedTypes="0" containsString="0" containsNumber="1" containsInteger="1" minValue="29" maxValue="696"/>
    </cacheField>
    <cacheField name="Service Tax On Brokerage" numFmtId="0">
      <sharedItems containsSemiMixedTypes="0" containsString="0" containsNumber="1" minValue="5.22" maxValue="129.32"/>
    </cacheField>
    <cacheField name="Total Charges" numFmtId="0">
      <sharedItems containsSemiMixedTypes="0" containsString="0" containsNumber="1" minValue="34.340000000000003" maxValue="910.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8">
  <r>
    <d v="2026-03-30T00:00:00"/>
    <x v="0"/>
    <x v="0"/>
    <x v="0"/>
    <n v="260"/>
    <n v="111.4"/>
    <n v="28964"/>
    <s v="#202603302700006130"/>
    <n v="0"/>
    <n v="10.29"/>
    <n v="0"/>
    <n v="0.03"/>
    <n v="116"/>
    <n v="22.74"/>
    <n v="149.06"/>
  </r>
  <r>
    <d v="2026-03-30T00:00:00"/>
    <x v="0"/>
    <x v="0"/>
    <x v="0"/>
    <n v="260"/>
    <n v="113.2"/>
    <n v="29432"/>
    <s v="#202603302700005949"/>
    <n v="0"/>
    <n v="10.46"/>
    <n v="2"/>
    <n v="0.03"/>
    <n v="116"/>
    <n v="22.76"/>
    <n v="151.25"/>
  </r>
  <r>
    <d v="2026-03-30T00:00:00"/>
    <x v="0"/>
    <x v="0"/>
    <x v="1"/>
    <n v="520"/>
    <n v="159.9"/>
    <n v="83148"/>
    <s v="#202603302700010347"/>
    <n v="83"/>
    <n v="29.54"/>
    <n v="0"/>
    <n v="0.08"/>
    <n v="232"/>
    <n v="47.08"/>
    <n v="391.7"/>
  </r>
  <r>
    <d v="2026-01-30T00:00:00"/>
    <x v="1"/>
    <x v="0"/>
    <x v="1"/>
    <n v="65"/>
    <n v="208.8"/>
    <n v="13572"/>
    <s v="#202601302700020593"/>
    <n v="13.57"/>
    <n v="4.82"/>
    <n v="0"/>
    <n v="0.01"/>
    <n v="29"/>
    <n v="6.1"/>
    <n v="53.5"/>
  </r>
  <r>
    <d v="2026-01-30T00:00:00"/>
    <x v="2"/>
    <x v="0"/>
    <x v="0"/>
    <n v="65"/>
    <n v="234.8"/>
    <n v="15262"/>
    <s v="#202601302700032962"/>
    <n v="0"/>
    <n v="5.42"/>
    <n v="0"/>
    <n v="0.02"/>
    <n v="29"/>
    <n v="6.2"/>
    <n v="40.64"/>
  </r>
  <r>
    <d v="2026-01-30T00:00:00"/>
    <x v="2"/>
    <x v="0"/>
    <x v="0"/>
    <n v="65"/>
    <n v="250.55"/>
    <n v="16285.75"/>
    <s v="#202601302700035163"/>
    <n v="0"/>
    <n v="5.79"/>
    <n v="0"/>
    <n v="0.02"/>
    <n v="29"/>
    <n v="6.26"/>
    <n v="41.07"/>
  </r>
  <r>
    <d v="2026-01-30T00:00:00"/>
    <x v="2"/>
    <x v="0"/>
    <x v="1"/>
    <n v="65"/>
    <n v="251.55"/>
    <n v="16350.75"/>
    <s v="#202601302700035394"/>
    <n v="16"/>
    <n v="5.81"/>
    <n v="0"/>
    <n v="0.02"/>
    <n v="29"/>
    <n v="6.26"/>
    <n v="57.09"/>
  </r>
  <r>
    <d v="2026-01-30T00:00:00"/>
    <x v="1"/>
    <x v="0"/>
    <x v="0"/>
    <n v="65"/>
    <n v="217.6"/>
    <n v="14144"/>
    <s v="#202601302700020353"/>
    <n v="0"/>
    <n v="5.03"/>
    <n v="0.42"/>
    <n v="0.01"/>
    <n v="29"/>
    <n v="6.12"/>
    <n v="40.58"/>
  </r>
  <r>
    <d v="2026-01-30T00:00:00"/>
    <x v="2"/>
    <x v="0"/>
    <x v="1"/>
    <n v="130"/>
    <n v="234.9"/>
    <n v="30537"/>
    <s v="#202601302700005687"/>
    <n v="30.54"/>
    <n v="10.85"/>
    <n v="0"/>
    <n v="0.03"/>
    <n v="58"/>
    <n v="12.4"/>
    <n v="111.82"/>
  </r>
  <r>
    <d v="2026-01-30T00:00:00"/>
    <x v="2"/>
    <x v="0"/>
    <x v="0"/>
    <n v="130"/>
    <n v="201.25"/>
    <n v="26162.5"/>
    <s v="#202601302700002911"/>
    <n v="0"/>
    <n v="9.3000000000000007"/>
    <n v="1.58"/>
    <n v="0.02"/>
    <n v="58"/>
    <n v="12.12"/>
    <n v="81.02"/>
  </r>
  <r>
    <d v="2026-01-30T00:00:00"/>
    <x v="2"/>
    <x v="0"/>
    <x v="1"/>
    <n v="65"/>
    <n v="259.89999999999998"/>
    <n v="16893.5"/>
    <s v="#202601302700033361"/>
    <n v="16.89"/>
    <n v="6"/>
    <n v="0"/>
    <n v="0.02"/>
    <n v="29"/>
    <n v="6.3"/>
    <n v="58.21"/>
  </r>
  <r>
    <d v="2025-05-29T00:00:00"/>
    <x v="3"/>
    <x v="0"/>
    <x v="1"/>
    <n v="150"/>
    <n v="29.25"/>
    <n v="4387.5"/>
    <s v="#202505293700021886"/>
    <n v="4.38"/>
    <n v="1.56"/>
    <n v="0"/>
    <n v="0"/>
    <n v="58"/>
    <n v="10.72"/>
    <n v="74.66"/>
  </r>
  <r>
    <d v="2025-05-29T00:00:00"/>
    <x v="3"/>
    <x v="0"/>
    <x v="0"/>
    <n v="150"/>
    <n v="28.15"/>
    <n v="4222.5"/>
    <s v="#202505293700021784"/>
    <n v="0"/>
    <n v="1.5"/>
    <n v="0"/>
    <n v="0"/>
    <n v="58"/>
    <n v="10.72"/>
    <n v="70.22"/>
  </r>
  <r>
    <d v="2025-05-29T00:00:00"/>
    <x v="4"/>
    <x v="0"/>
    <x v="1"/>
    <n v="75"/>
    <n v="1.5"/>
    <n v="112.5"/>
    <s v="#202505293700001341"/>
    <n v="0.61"/>
    <n v="0.04"/>
    <n v="0"/>
    <n v="0"/>
    <n v="29"/>
    <n v="5.22"/>
    <n v="34.869999999999997"/>
  </r>
  <r>
    <d v="2026-01-29T00:00:00"/>
    <x v="5"/>
    <x v="0"/>
    <x v="0"/>
    <n v="130"/>
    <n v="178.75"/>
    <n v="23237.5"/>
    <s v="#202601292700028229"/>
    <n v="0"/>
    <n v="8.26"/>
    <n v="0.61"/>
    <n v="0.02"/>
    <n v="58"/>
    <n v="11.92"/>
    <n v="78.81"/>
  </r>
  <r>
    <d v="2026-01-29T00:00:00"/>
    <x v="6"/>
    <x v="0"/>
    <x v="1"/>
    <n v="65"/>
    <n v="161.55000000000001"/>
    <n v="10500.75"/>
    <s v="#202601292700012571"/>
    <n v="10.19"/>
    <n v="3.73"/>
    <n v="0"/>
    <n v="0.01"/>
    <n v="29"/>
    <n v="5.9"/>
    <n v="48.83"/>
  </r>
  <r>
    <d v="2026-01-29T00:00:00"/>
    <x v="5"/>
    <x v="0"/>
    <x v="1"/>
    <n v="130"/>
    <n v="167.8"/>
    <n v="21814"/>
    <s v="#202601292700028824"/>
    <n v="21.81"/>
    <n v="7.75"/>
    <n v="0"/>
    <n v="0.02"/>
    <n v="58"/>
    <n v="11.84"/>
    <n v="99.42"/>
  </r>
  <r>
    <d v="2026-01-29T00:00:00"/>
    <x v="6"/>
    <x v="0"/>
    <x v="0"/>
    <n v="65"/>
    <n v="199.6"/>
    <n v="12974"/>
    <s v="#202601292700003148"/>
    <n v="0"/>
    <n v="4.6100000000000003"/>
    <n v="0.39"/>
    <n v="0.01"/>
    <n v="29"/>
    <n v="6.06"/>
    <n v="40.07"/>
  </r>
  <r>
    <d v="2025-11-28T00:00:00"/>
    <x v="7"/>
    <x v="0"/>
    <x v="0"/>
    <n v="375"/>
    <n v="44.1"/>
    <n v="16537.5"/>
    <s v="#202511283700015905"/>
    <n v="0"/>
    <n v="5.88"/>
    <n v="0.76"/>
    <n v="0.02"/>
    <n v="145"/>
    <n v="27.16"/>
    <n v="178.82"/>
  </r>
  <r>
    <d v="2025-11-28T00:00:00"/>
    <x v="7"/>
    <x v="0"/>
    <x v="0"/>
    <n v="75"/>
    <n v="44.1"/>
    <n v="3307.5"/>
    <s v="#202511283700015879"/>
    <n v="0"/>
    <n v="1.18"/>
    <n v="0"/>
    <n v="0"/>
    <n v="29"/>
    <n v="5.44"/>
    <n v="35.619999999999997"/>
  </r>
  <r>
    <d v="2025-11-28T00:00:00"/>
    <x v="8"/>
    <x v="0"/>
    <x v="1"/>
    <n v="75"/>
    <n v="105"/>
    <n v="7875"/>
    <s v="#202511283700015412"/>
    <n v="8"/>
    <n v="2.8"/>
    <n v="0"/>
    <n v="0.01"/>
    <n v="29"/>
    <n v="5.72"/>
    <n v="45.53"/>
  </r>
  <r>
    <d v="2025-11-28T00:00:00"/>
    <x v="8"/>
    <x v="0"/>
    <x v="0"/>
    <n v="75"/>
    <n v="105.85"/>
    <n v="7938.75"/>
    <s v="#202511283700015346"/>
    <n v="0"/>
    <n v="2.82"/>
    <n v="0.24"/>
    <n v="0.01"/>
    <n v="29"/>
    <n v="5.72"/>
    <n v="37.79"/>
  </r>
  <r>
    <d v="2026-01-28T00:00:00"/>
    <x v="1"/>
    <x v="0"/>
    <x v="0"/>
    <n v="195"/>
    <n v="202.4"/>
    <n v="39468"/>
    <s v="#202601282700019168"/>
    <n v="0"/>
    <n v="14.01"/>
    <n v="0"/>
    <n v="0.03"/>
    <n v="87"/>
    <n v="18.18"/>
    <n v="119.22"/>
  </r>
  <r>
    <d v="2026-01-28T00:00:00"/>
    <x v="1"/>
    <x v="0"/>
    <x v="1"/>
    <n v="195"/>
    <n v="209.9"/>
    <n v="40930.5"/>
    <s v="#202601282700019192"/>
    <n v="40.93"/>
    <n v="14.54"/>
    <n v="0"/>
    <n v="0.04"/>
    <n v="87"/>
    <n v="18.28"/>
    <n v="160.79"/>
  </r>
  <r>
    <d v="2026-01-28T00:00:00"/>
    <x v="9"/>
    <x v="0"/>
    <x v="1"/>
    <n v="195"/>
    <n v="179.25"/>
    <n v="34953.75"/>
    <s v="#202601282700019090"/>
    <n v="34.950000000000003"/>
    <n v="12.42"/>
    <n v="0"/>
    <n v="0.04"/>
    <n v="87"/>
    <n v="17.899999999999999"/>
    <n v="152.31"/>
  </r>
  <r>
    <d v="2026-01-28T00:00:00"/>
    <x v="9"/>
    <x v="0"/>
    <x v="0"/>
    <n v="65"/>
    <n v="190.25"/>
    <n v="12366.25"/>
    <s v="#202601282700018753"/>
    <n v="0"/>
    <n v="4.3899999999999997"/>
    <n v="0"/>
    <n v="0.01"/>
    <n v="29"/>
    <n v="6.02"/>
    <n v="39.42"/>
  </r>
  <r>
    <d v="2026-01-28T00:00:00"/>
    <x v="9"/>
    <x v="0"/>
    <x v="0"/>
    <n v="130"/>
    <n v="200.4"/>
    <n v="26052"/>
    <s v="#202601282700017879"/>
    <n v="0"/>
    <n v="9.26"/>
    <n v="1.1499999999999999"/>
    <n v="0.03"/>
    <n v="58"/>
    <n v="12.12"/>
    <n v="80.56"/>
  </r>
  <r>
    <d v="2026-01-28T00:00:00"/>
    <x v="1"/>
    <x v="0"/>
    <x v="0"/>
    <n v="65"/>
    <n v="203.1"/>
    <n v="13201.5"/>
    <s v="#202601282700004257"/>
    <n v="0"/>
    <n v="4.6900000000000004"/>
    <n v="1.85"/>
    <n v="0.01"/>
    <n v="29"/>
    <n v="6.06"/>
    <n v="41.61"/>
  </r>
  <r>
    <d v="2026-01-28T00:00:00"/>
    <x v="1"/>
    <x v="0"/>
    <x v="1"/>
    <n v="65"/>
    <n v="219.9"/>
    <n v="14293.5"/>
    <s v="#202601282700004408"/>
    <n v="14.12"/>
    <n v="5.08"/>
    <n v="0"/>
    <n v="0.01"/>
    <n v="29"/>
    <n v="6.14"/>
    <n v="54.35"/>
  </r>
  <r>
    <d v="2025-08-28T00:00:00"/>
    <x v="10"/>
    <x v="0"/>
    <x v="0"/>
    <n v="675"/>
    <n v="40.07"/>
    <n v="27048.75"/>
    <s v="#202508283700004752"/>
    <n v="0"/>
    <n v="9.6199999999999992"/>
    <n v="0.68"/>
    <n v="0.01"/>
    <n v="261"/>
    <n v="48.76"/>
    <n v="320.07"/>
  </r>
  <r>
    <d v="2025-08-28T00:00:00"/>
    <x v="10"/>
    <x v="0"/>
    <x v="1"/>
    <n v="675"/>
    <n v="49.55"/>
    <n v="33446.25"/>
    <s v="#202508283700005256"/>
    <n v="33.450000000000003"/>
    <n v="11.88"/>
    <n v="0"/>
    <n v="0.03"/>
    <n v="261"/>
    <n v="49.14"/>
    <n v="355.5"/>
  </r>
  <r>
    <d v="2025-08-28T00:00:00"/>
    <x v="11"/>
    <x v="0"/>
    <x v="0"/>
    <n v="600"/>
    <n v="9.6"/>
    <n v="5760"/>
    <s v="#202508283700018912"/>
    <n v="0"/>
    <n v="2.0499999999999998"/>
    <n v="0"/>
    <n v="0"/>
    <n v="232"/>
    <n v="42.12"/>
    <n v="276.17"/>
  </r>
  <r>
    <d v="2025-08-28T00:00:00"/>
    <x v="11"/>
    <x v="0"/>
    <x v="0"/>
    <n v="600"/>
    <n v="8.25"/>
    <n v="4950"/>
    <s v="#202508283700019428"/>
    <n v="0"/>
    <n v="1.76"/>
    <n v="0.32"/>
    <n v="0"/>
    <n v="232"/>
    <n v="42.08"/>
    <n v="276.16000000000003"/>
  </r>
  <r>
    <d v="2025-08-28T00:00:00"/>
    <x v="11"/>
    <x v="0"/>
    <x v="1"/>
    <n v="1200"/>
    <n v="17.649999999999999"/>
    <n v="21180"/>
    <s v="#202508283700020082"/>
    <n v="21.55"/>
    <n v="7.53"/>
    <n v="0"/>
    <n v="0.02"/>
    <n v="464"/>
    <n v="84.88"/>
    <n v="577.98"/>
  </r>
  <r>
    <d v="2025-11-27T00:00:00"/>
    <x v="12"/>
    <x v="0"/>
    <x v="0"/>
    <n v="75"/>
    <n v="109"/>
    <n v="8175"/>
    <s v="#202511273700012267"/>
    <n v="0"/>
    <n v="2.9"/>
    <n v="0"/>
    <n v="0.01"/>
    <n v="29"/>
    <n v="5.74"/>
    <n v="37.65"/>
  </r>
  <r>
    <d v="2026-03-27T00:00:00"/>
    <x v="13"/>
    <x v="0"/>
    <x v="0"/>
    <n v="260"/>
    <n v="205.25"/>
    <n v="53365"/>
    <s v="#202603272700003654"/>
    <n v="0"/>
    <n v="18.96"/>
    <n v="0"/>
    <n v="0.05"/>
    <n v="116"/>
    <n v="24.3"/>
    <n v="159.31"/>
  </r>
  <r>
    <d v="2026-03-27T00:00:00"/>
    <x v="13"/>
    <x v="0"/>
    <x v="0"/>
    <n v="195"/>
    <n v="205.4"/>
    <n v="40053"/>
    <s v="#202603272700003756"/>
    <n v="0"/>
    <n v="14.23"/>
    <n v="0"/>
    <n v="0.04"/>
    <n v="87"/>
    <n v="18.22"/>
    <n v="119.49"/>
  </r>
  <r>
    <d v="2026-03-27T00:00:00"/>
    <x v="13"/>
    <x v="0"/>
    <x v="1"/>
    <n v="520"/>
    <n v="229.9"/>
    <n v="119548"/>
    <s v="#202603272700011616"/>
    <n v="120.02"/>
    <n v="42.48"/>
    <n v="0"/>
    <n v="0.11"/>
    <n v="232"/>
    <n v="49.42"/>
    <n v="444.03"/>
  </r>
  <r>
    <d v="2026-03-27T00:00:00"/>
    <x v="13"/>
    <x v="0"/>
    <x v="1"/>
    <n v="390"/>
    <n v="249.9"/>
    <n v="97461"/>
    <s v="#202603272700013921"/>
    <n v="97.45"/>
    <n v="34.619999999999997"/>
    <n v="0"/>
    <n v="0.11"/>
    <n v="174"/>
    <n v="37.56"/>
    <n v="343.74"/>
  </r>
  <r>
    <d v="2026-03-27T00:00:00"/>
    <x v="13"/>
    <x v="0"/>
    <x v="0"/>
    <n v="130"/>
    <n v="251.25"/>
    <n v="32662.5"/>
    <s v="#202603272700014654"/>
    <n v="0"/>
    <n v="11.6"/>
    <n v="0"/>
    <n v="0.04"/>
    <n v="58"/>
    <n v="12.52"/>
    <n v="82.16"/>
  </r>
  <r>
    <d v="2026-03-27T00:00:00"/>
    <x v="13"/>
    <x v="0"/>
    <x v="1"/>
    <n v="130"/>
    <n v="280.89999999999998"/>
    <n v="36517"/>
    <s v="#202603272700016911"/>
    <n v="36.520000000000003"/>
    <n v="12.97"/>
    <n v="0"/>
    <n v="0.04"/>
    <n v="58"/>
    <n v="12.78"/>
    <n v="120.31"/>
  </r>
  <r>
    <d v="2026-03-27T00:00:00"/>
    <x v="13"/>
    <x v="0"/>
    <x v="0"/>
    <n v="65"/>
    <n v="215.3"/>
    <n v="13994.5"/>
    <s v="#202603272700003472"/>
    <n v="0"/>
    <n v="4.97"/>
    <n v="0"/>
    <n v="0.01"/>
    <n v="29"/>
    <n v="6.12"/>
    <n v="40.1"/>
  </r>
  <r>
    <d v="2026-03-27T00:00:00"/>
    <x v="13"/>
    <x v="0"/>
    <x v="0"/>
    <n v="390"/>
    <n v="231.25"/>
    <n v="90187.5"/>
    <s v="#202603272700013772"/>
    <n v="0"/>
    <n v="32.04"/>
    <n v="7"/>
    <n v="0.09"/>
    <n v="174"/>
    <n v="37.1"/>
    <n v="250.23"/>
  </r>
  <r>
    <d v="2026-01-27T00:00:00"/>
    <x v="14"/>
    <x v="0"/>
    <x v="0"/>
    <n v="65"/>
    <n v="82"/>
    <n v="5330"/>
    <s v="#202601272700049123"/>
    <n v="0"/>
    <n v="1.89"/>
    <n v="0.34"/>
    <n v="0.01"/>
    <n v="29"/>
    <n v="5.56"/>
    <n v="36.799999999999997"/>
  </r>
  <r>
    <d v="2026-01-27T00:00:00"/>
    <x v="14"/>
    <x v="0"/>
    <x v="1"/>
    <n v="130"/>
    <n v="89.9"/>
    <n v="11687"/>
    <s v="#202601272700053910"/>
    <n v="11.69"/>
    <n v="4.1500000000000004"/>
    <n v="0"/>
    <n v="0.01"/>
    <n v="58"/>
    <n v="11.18"/>
    <n v="85.03"/>
  </r>
  <r>
    <d v="2026-01-27T00:00:00"/>
    <x v="14"/>
    <x v="0"/>
    <x v="0"/>
    <n v="65"/>
    <n v="91"/>
    <n v="5915"/>
    <s v="#202601272700048910"/>
    <n v="0"/>
    <n v="2.1"/>
    <n v="0"/>
    <n v="0.01"/>
    <n v="29"/>
    <n v="5.6"/>
    <n v="36.71"/>
  </r>
  <r>
    <d v="2026-01-27T00:00:00"/>
    <x v="15"/>
    <x v="0"/>
    <x v="1"/>
    <n v="65"/>
    <n v="195.25"/>
    <n v="12691.25"/>
    <s v="#202601272700010103"/>
    <n v="12.69"/>
    <n v="4.51"/>
    <n v="0"/>
    <n v="0.01"/>
    <n v="29"/>
    <n v="6.04"/>
    <n v="52.25"/>
  </r>
  <r>
    <d v="2026-01-27T00:00:00"/>
    <x v="15"/>
    <x v="0"/>
    <x v="1"/>
    <n v="65"/>
    <n v="181.25"/>
    <n v="11781.25"/>
    <s v="#202601272700009601"/>
    <n v="11.62"/>
    <n v="4.1900000000000004"/>
    <n v="0"/>
    <n v="0.01"/>
    <n v="29"/>
    <n v="5.98"/>
    <n v="50.8"/>
  </r>
  <r>
    <d v="2026-01-27T00:00:00"/>
    <x v="15"/>
    <x v="0"/>
    <x v="0"/>
    <n v="65"/>
    <n v="191.25"/>
    <n v="12431.25"/>
    <s v="#202601272700006358"/>
    <n v="0"/>
    <n v="4.42"/>
    <n v="0"/>
    <n v="0.01"/>
    <n v="29"/>
    <n v="6.02"/>
    <n v="39.450000000000003"/>
  </r>
  <r>
    <d v="2026-01-27T00:00:00"/>
    <x v="15"/>
    <x v="0"/>
    <x v="0"/>
    <n v="65"/>
    <n v="109.3"/>
    <n v="7104.5"/>
    <s v="#202601272700005475"/>
    <n v="0"/>
    <n v="2.52"/>
    <n v="0.66"/>
    <n v="0.01"/>
    <n v="29"/>
    <n v="5.68"/>
    <n v="37.869999999999997"/>
  </r>
  <r>
    <d v="2026-02-27T00:00:00"/>
    <x v="16"/>
    <x v="0"/>
    <x v="0"/>
    <n v="65"/>
    <n v="111.55"/>
    <n v="7250.75"/>
    <s v="#202602272700008439"/>
    <n v="0"/>
    <n v="2.58"/>
    <n v="0.62"/>
    <n v="0.01"/>
    <n v="29"/>
    <n v="5.68"/>
    <n v="37.89"/>
  </r>
  <r>
    <d v="2026-02-27T00:00:00"/>
    <x v="16"/>
    <x v="0"/>
    <x v="0"/>
    <n v="65"/>
    <n v="102.6"/>
    <n v="6669"/>
    <s v="#202602272700008665"/>
    <n v="0"/>
    <n v="2.37"/>
    <n v="0"/>
    <n v="0.01"/>
    <n v="29"/>
    <n v="5.64"/>
    <n v="37.020000000000003"/>
  </r>
  <r>
    <d v="2026-02-27T00:00:00"/>
    <x v="16"/>
    <x v="0"/>
    <x v="0"/>
    <n v="65"/>
    <n v="101.75"/>
    <n v="6613.75"/>
    <s v="#202602272700009169"/>
    <n v="0"/>
    <n v="2.35"/>
    <n v="0"/>
    <n v="0.01"/>
    <n v="29"/>
    <n v="5.64"/>
    <n v="37"/>
  </r>
  <r>
    <d v="2026-02-27T00:00:00"/>
    <x v="16"/>
    <x v="0"/>
    <x v="1"/>
    <n v="195"/>
    <n v="129.9"/>
    <n v="25330.5"/>
    <s v="#202602272700010803"/>
    <n v="25.33"/>
    <n v="9"/>
    <n v="0"/>
    <n v="0.03"/>
    <n v="87"/>
    <n v="17.28"/>
    <n v="138.63999999999999"/>
  </r>
  <r>
    <d v="2026-02-27T00:00:00"/>
    <x v="17"/>
    <x v="0"/>
    <x v="0"/>
    <n v="130"/>
    <n v="119.4"/>
    <n v="15522"/>
    <s v="#202602272700002056"/>
    <n v="0"/>
    <n v="5.52"/>
    <n v="0"/>
    <n v="0.02"/>
    <n v="58"/>
    <n v="11.44"/>
    <n v="74.98"/>
  </r>
  <r>
    <d v="2026-02-27T00:00:00"/>
    <x v="17"/>
    <x v="0"/>
    <x v="0"/>
    <n v="650"/>
    <n v="123.4"/>
    <n v="80210"/>
    <s v="#202602272700002589"/>
    <n v="0"/>
    <n v="28.5"/>
    <n v="6.38"/>
    <n v="0.08"/>
    <n v="290"/>
    <n v="57.36"/>
    <n v="382.32"/>
  </r>
  <r>
    <d v="2026-02-27T00:00:00"/>
    <x v="17"/>
    <x v="0"/>
    <x v="0"/>
    <n v="130"/>
    <n v="165.35"/>
    <n v="21495.5"/>
    <s v="#202602272700007592"/>
    <n v="0"/>
    <n v="7.64"/>
    <n v="0"/>
    <n v="0.02"/>
    <n v="58"/>
    <n v="11.8"/>
    <n v="77.459999999999994"/>
  </r>
  <r>
    <d v="2026-02-27T00:00:00"/>
    <x v="17"/>
    <x v="0"/>
    <x v="0"/>
    <n v="130"/>
    <n v="164.62"/>
    <n v="21401.25"/>
    <s v="#202602272700007564"/>
    <n v="0"/>
    <n v="7.6"/>
    <n v="0"/>
    <n v="0.02"/>
    <n v="58"/>
    <n v="11.8"/>
    <n v="77.42"/>
  </r>
  <r>
    <d v="2026-02-27T00:00:00"/>
    <x v="17"/>
    <x v="0"/>
    <x v="0"/>
    <n v="130"/>
    <n v="174.9"/>
    <n v="22737"/>
    <s v="#202602272700007494"/>
    <n v="0"/>
    <n v="8.08"/>
    <n v="0"/>
    <n v="0.02"/>
    <n v="58"/>
    <n v="11.88"/>
    <n v="77.98"/>
  </r>
  <r>
    <d v="2026-02-27T00:00:00"/>
    <x v="17"/>
    <x v="0"/>
    <x v="0"/>
    <n v="325"/>
    <n v="173.43"/>
    <n v="56364.75"/>
    <s v="#202602272700007318"/>
    <n v="0"/>
    <n v="20.03"/>
    <n v="0"/>
    <n v="0.05"/>
    <n v="145"/>
    <n v="29.7"/>
    <n v="194.78"/>
  </r>
  <r>
    <d v="2026-02-27T00:00:00"/>
    <x v="17"/>
    <x v="0"/>
    <x v="1"/>
    <n v="780"/>
    <n v="144.9"/>
    <n v="113022"/>
    <s v="#202602272700003689"/>
    <n v="113.42"/>
    <n v="40.159999999999997"/>
    <n v="0"/>
    <n v="0.12"/>
    <n v="348"/>
    <n v="69.900000000000006"/>
    <n v="571.6"/>
  </r>
  <r>
    <d v="2026-02-27T00:00:00"/>
    <x v="17"/>
    <x v="0"/>
    <x v="1"/>
    <n v="715"/>
    <n v="164"/>
    <n v="117260"/>
    <s v="#202602272700007738"/>
    <n v="117.26"/>
    <n v="41.65"/>
    <n v="0"/>
    <n v="0.11"/>
    <n v="319"/>
    <n v="64.94"/>
    <n v="542.96"/>
  </r>
  <r>
    <d v="2026-02-26T00:00:00"/>
    <x v="18"/>
    <x v="0"/>
    <x v="0"/>
    <n v="325"/>
    <n v="136.75"/>
    <n v="44443.75"/>
    <s v="#202602262700000649"/>
    <n v="0"/>
    <n v="15.79"/>
    <n v="0"/>
    <n v="0.04"/>
    <n v="145"/>
    <n v="28.96"/>
    <n v="189.79"/>
  </r>
  <r>
    <d v="2026-02-26T00:00:00"/>
    <x v="18"/>
    <x v="0"/>
    <x v="0"/>
    <n v="390"/>
    <n v="124.76"/>
    <n v="48655.75"/>
    <s v="#202602262700000839"/>
    <n v="0"/>
    <n v="17.28"/>
    <n v="0"/>
    <n v="0.05"/>
    <n v="174"/>
    <n v="34.44"/>
    <n v="225.77"/>
  </r>
  <r>
    <d v="2026-02-26T00:00:00"/>
    <x v="18"/>
    <x v="0"/>
    <x v="1"/>
    <n v="715"/>
    <n v="124.49"/>
    <n v="89011"/>
    <s v="#202602262700003535"/>
    <n v="89.27"/>
    <n v="31.64"/>
    <n v="0"/>
    <n v="0.1"/>
    <n v="319"/>
    <n v="63.14"/>
    <n v="503.15"/>
  </r>
  <r>
    <d v="2026-02-26T00:00:00"/>
    <x v="18"/>
    <x v="0"/>
    <x v="0"/>
    <n v="65"/>
    <n v="132.30000000000001"/>
    <n v="8599.5"/>
    <s v="#202602262700003918"/>
    <n v="0"/>
    <n v="3.06"/>
    <n v="0"/>
    <n v="0.01"/>
    <n v="29"/>
    <n v="5.78"/>
    <n v="37.85"/>
  </r>
  <r>
    <d v="2026-02-26T00:00:00"/>
    <x v="18"/>
    <x v="0"/>
    <x v="0"/>
    <n v="195"/>
    <n v="130.30000000000001"/>
    <n v="25408.5"/>
    <s v="#202602262700003931"/>
    <n v="0"/>
    <n v="9.0299999999999994"/>
    <n v="0"/>
    <n v="0.03"/>
    <n v="87"/>
    <n v="17.28"/>
    <n v="113.34"/>
  </r>
  <r>
    <d v="2026-02-26T00:00:00"/>
    <x v="18"/>
    <x v="0"/>
    <x v="0"/>
    <n v="195"/>
    <n v="129.65"/>
    <n v="25281.75"/>
    <s v="#202602262700003942"/>
    <n v="0"/>
    <n v="8.9700000000000006"/>
    <n v="0"/>
    <n v="0.03"/>
    <n v="87"/>
    <n v="17.28"/>
    <n v="113.28"/>
  </r>
  <r>
    <d v="2026-02-26T00:00:00"/>
    <x v="18"/>
    <x v="0"/>
    <x v="1"/>
    <n v="780"/>
    <n v="109.9"/>
    <n v="85722"/>
    <s v="#202602262700009308"/>
    <n v="85.72"/>
    <n v="30.46"/>
    <n v="0"/>
    <n v="0.09"/>
    <n v="348"/>
    <n v="68.14"/>
    <n v="532.41"/>
  </r>
  <r>
    <d v="2026-02-26T00:00:00"/>
    <x v="18"/>
    <x v="0"/>
    <x v="0"/>
    <n v="130"/>
    <n v="122.7"/>
    <n v="15951"/>
    <s v="#202602262700004003"/>
    <n v="0"/>
    <n v="5.66"/>
    <n v="0"/>
    <n v="0.02"/>
    <n v="58"/>
    <n v="11.48"/>
    <n v="75.16"/>
  </r>
  <r>
    <d v="2026-02-26T00:00:00"/>
    <x v="18"/>
    <x v="0"/>
    <x v="1"/>
    <n v="780"/>
    <n v="115.15"/>
    <n v="89817"/>
    <s v="#202602262700004113"/>
    <n v="89.81"/>
    <n v="31.91"/>
    <n v="0"/>
    <n v="0.09"/>
    <n v="348"/>
    <n v="68.400000000000006"/>
    <n v="538.21"/>
  </r>
  <r>
    <d v="2026-02-26T00:00:00"/>
    <x v="18"/>
    <x v="0"/>
    <x v="0"/>
    <n v="715"/>
    <n v="84.15"/>
    <n v="60167.25"/>
    <s v="#202602262700007074"/>
    <n v="0"/>
    <n v="21.37"/>
    <n v="10"/>
    <n v="7.0000000000000007E-2"/>
    <n v="319"/>
    <n v="61.3"/>
    <n v="411.74"/>
  </r>
  <r>
    <d v="2026-02-26T00:00:00"/>
    <x v="18"/>
    <x v="0"/>
    <x v="1"/>
    <n v="715"/>
    <n v="80"/>
    <n v="57200"/>
    <s v="#202602262700008284"/>
    <n v="57.2"/>
    <n v="20.32"/>
    <n v="0"/>
    <n v="0.06"/>
    <n v="319"/>
    <n v="61.08"/>
    <n v="457.66"/>
  </r>
  <r>
    <d v="2026-02-26T00:00:00"/>
    <x v="18"/>
    <x v="0"/>
    <x v="0"/>
    <n v="780"/>
    <n v="81.180000000000007"/>
    <n v="63323"/>
    <s v="#202602262700008745"/>
    <n v="0"/>
    <n v="22.5"/>
    <n v="0"/>
    <n v="0.08"/>
    <n v="348"/>
    <n v="66.72"/>
    <n v="437.3"/>
  </r>
  <r>
    <d v="2026-02-26T00:00:00"/>
    <x v="18"/>
    <x v="0"/>
    <x v="0"/>
    <n v="195"/>
    <n v="130.35"/>
    <n v="25418.25"/>
    <s v="#202602262700003964"/>
    <n v="0"/>
    <n v="9.0299999999999994"/>
    <n v="0"/>
    <n v="0.03"/>
    <n v="87"/>
    <n v="17.3"/>
    <n v="113.36"/>
  </r>
  <r>
    <d v="2025-11-25T00:00:00"/>
    <x v="19"/>
    <x v="0"/>
    <x v="0"/>
    <n v="450"/>
    <n v="14.75"/>
    <n v="6637.5"/>
    <s v="#202511253700025830"/>
    <n v="0"/>
    <n v="2.36"/>
    <n v="0"/>
    <n v="0"/>
    <n v="174"/>
    <n v="31.76"/>
    <n v="208.12"/>
  </r>
  <r>
    <d v="2025-11-25T00:00:00"/>
    <x v="19"/>
    <x v="0"/>
    <x v="1"/>
    <n v="450"/>
    <n v="19.75"/>
    <n v="8887.5"/>
    <s v="#202511253700029325"/>
    <n v="9"/>
    <n v="3.16"/>
    <n v="0"/>
    <n v="0.01"/>
    <n v="174"/>
    <n v="31.9"/>
    <n v="218.07"/>
  </r>
  <r>
    <d v="2026-02-25T00:00:00"/>
    <x v="20"/>
    <x v="0"/>
    <x v="0"/>
    <n v="65"/>
    <n v="153.25"/>
    <n v="9961.25"/>
    <s v="#202602252700001753"/>
    <n v="0"/>
    <n v="3.54"/>
    <n v="0"/>
    <n v="0.01"/>
    <n v="29"/>
    <n v="5.86"/>
    <n v="38.409999999999997"/>
  </r>
  <r>
    <d v="2026-02-25T00:00:00"/>
    <x v="20"/>
    <x v="0"/>
    <x v="0"/>
    <n v="65"/>
    <n v="150.55000000000001"/>
    <n v="9785.75"/>
    <s v="#202602252700001896"/>
    <n v="0"/>
    <n v="3.48"/>
    <n v="0"/>
    <n v="0.01"/>
    <n v="29"/>
    <n v="5.84"/>
    <n v="38.33"/>
  </r>
  <r>
    <d v="2026-02-25T00:00:00"/>
    <x v="20"/>
    <x v="0"/>
    <x v="0"/>
    <n v="65"/>
    <n v="147.85"/>
    <n v="9610.25"/>
    <s v="#202602252700002066"/>
    <n v="0"/>
    <n v="3.41"/>
    <n v="0"/>
    <n v="0.01"/>
    <n v="29"/>
    <n v="5.84"/>
    <n v="38.26"/>
  </r>
  <r>
    <d v="2026-02-25T00:00:00"/>
    <x v="20"/>
    <x v="0"/>
    <x v="0"/>
    <n v="65"/>
    <n v="142.25"/>
    <n v="9246.25"/>
    <s v="#202602252700002255"/>
    <n v="0"/>
    <n v="3.29"/>
    <n v="0"/>
    <n v="0.01"/>
    <n v="29"/>
    <n v="5.82"/>
    <n v="38.119999999999997"/>
  </r>
  <r>
    <d v="2026-02-25T00:00:00"/>
    <x v="20"/>
    <x v="0"/>
    <x v="1"/>
    <n v="455"/>
    <n v="175.82"/>
    <n v="80002"/>
    <s v="#202602252700004518"/>
    <n v="80"/>
    <n v="28.42"/>
    <n v="0"/>
    <n v="0.08"/>
    <n v="203"/>
    <n v="41.68"/>
    <n v="353.18"/>
  </r>
  <r>
    <d v="2026-02-25T00:00:00"/>
    <x v="20"/>
    <x v="0"/>
    <x v="0"/>
    <n v="65"/>
    <n v="151.25"/>
    <n v="9831.25"/>
    <s v="#202602252700001642"/>
    <n v="0"/>
    <n v="3.49"/>
    <n v="0"/>
    <n v="0.01"/>
    <n v="29"/>
    <n v="5.86"/>
    <n v="38.36"/>
  </r>
  <r>
    <d v="2026-02-25T00:00:00"/>
    <x v="20"/>
    <x v="0"/>
    <x v="0"/>
    <n v="65"/>
    <n v="153.30000000000001"/>
    <n v="9964.5"/>
    <s v="#202602252700000830"/>
    <n v="0"/>
    <n v="3.54"/>
    <n v="2"/>
    <n v="0.01"/>
    <n v="29"/>
    <n v="5.86"/>
    <n v="40.409999999999997"/>
  </r>
  <r>
    <d v="2026-02-25T00:00:00"/>
    <x v="20"/>
    <x v="0"/>
    <x v="0"/>
    <n v="65"/>
    <n v="154.44999999999999"/>
    <n v="10039.25"/>
    <s v="#202602252700001928"/>
    <n v="0"/>
    <n v="3.57"/>
    <n v="0"/>
    <n v="0.01"/>
    <n v="29"/>
    <n v="5.86"/>
    <n v="38.44"/>
  </r>
  <r>
    <d v="2025-11-24T00:00:00"/>
    <x v="21"/>
    <x v="0"/>
    <x v="0"/>
    <n v="75"/>
    <n v="71.75"/>
    <n v="5381.25"/>
    <s v="#202511243700016998"/>
    <n v="0"/>
    <n v="1.91"/>
    <n v="0"/>
    <n v="0.01"/>
    <n v="29"/>
    <n v="5.56"/>
    <n v="36.479999999999997"/>
  </r>
  <r>
    <d v="2025-11-24T00:00:00"/>
    <x v="21"/>
    <x v="0"/>
    <x v="1"/>
    <n v="75"/>
    <n v="74.75"/>
    <n v="5606.25"/>
    <s v="#202511243700017022"/>
    <n v="6"/>
    <n v="1.99"/>
    <n v="0"/>
    <n v="0.01"/>
    <n v="29"/>
    <n v="5.58"/>
    <n v="42.58"/>
  </r>
  <r>
    <d v="2026-03-24T00:00:00"/>
    <x v="22"/>
    <x v="0"/>
    <x v="0"/>
    <n v="390"/>
    <n v="91.25"/>
    <n v="35587.5"/>
    <s v="#202603242700007256"/>
    <n v="0"/>
    <n v="12.65"/>
    <n v="2.87"/>
    <n v="0.04"/>
    <n v="174"/>
    <n v="33.6"/>
    <n v="223.16"/>
  </r>
  <r>
    <d v="2026-03-24T00:00:00"/>
    <x v="22"/>
    <x v="0"/>
    <x v="0"/>
    <n v="390"/>
    <n v="78.819999999999993"/>
    <n v="30738.5"/>
    <s v="#202603242700007429"/>
    <n v="0"/>
    <n v="10.92"/>
    <n v="0"/>
    <n v="0.05"/>
    <n v="174"/>
    <n v="33.26"/>
    <n v="218.23"/>
  </r>
  <r>
    <d v="2026-03-24T00:00:00"/>
    <x v="22"/>
    <x v="0"/>
    <x v="1"/>
    <n v="1170"/>
    <n v="139.9"/>
    <n v="163683"/>
    <s v="#202603242700008926"/>
    <n v="163.68"/>
    <n v="58.15"/>
    <n v="0"/>
    <n v="0.17"/>
    <n v="522"/>
    <n v="104.46"/>
    <n v="848.46"/>
  </r>
  <r>
    <d v="2026-03-24T00:00:00"/>
    <x v="22"/>
    <x v="0"/>
    <x v="0"/>
    <n v="390"/>
    <n v="104.67"/>
    <n v="40826.5"/>
    <s v="#202603242700006784"/>
    <n v="0"/>
    <n v="14.51"/>
    <n v="0"/>
    <n v="0.05"/>
    <n v="174"/>
    <n v="33.94"/>
    <n v="222.5"/>
  </r>
  <r>
    <d v="2026-03-24T00:00:00"/>
    <x v="23"/>
    <x v="0"/>
    <x v="0"/>
    <n v="65"/>
    <n v="69.150000000000006"/>
    <n v="4494.75"/>
    <s v="#202603242700005097"/>
    <n v="0"/>
    <n v="1.6"/>
    <n v="0.13"/>
    <n v="0"/>
    <n v="29"/>
    <n v="5.5"/>
    <n v="36.229999999999997"/>
  </r>
  <r>
    <d v="2026-03-24T00:00:00"/>
    <x v="23"/>
    <x v="0"/>
    <x v="1"/>
    <n v="65"/>
    <n v="74.8"/>
    <n v="4862"/>
    <s v="#202603242700006008"/>
    <n v="5.32"/>
    <n v="1.73"/>
    <n v="0"/>
    <n v="0"/>
    <n v="29"/>
    <n v="5.54"/>
    <n v="41.59"/>
  </r>
  <r>
    <d v="2026-02-24T00:00:00"/>
    <x v="24"/>
    <x v="0"/>
    <x v="0"/>
    <n v="325"/>
    <n v="86.05"/>
    <n v="27966.25"/>
    <s v="#202602242700001723"/>
    <n v="0"/>
    <n v="9.93"/>
    <n v="1.77"/>
    <n v="0.03"/>
    <n v="145"/>
    <n v="27.9"/>
    <n v="184.63"/>
  </r>
  <r>
    <d v="2026-02-24T00:00:00"/>
    <x v="24"/>
    <x v="0"/>
    <x v="0"/>
    <n v="195"/>
    <n v="85.75"/>
    <n v="16721.25"/>
    <s v="#202602242700001766"/>
    <n v="0"/>
    <n v="5.94"/>
    <n v="0"/>
    <n v="0.03"/>
    <n v="87"/>
    <n v="16.739999999999998"/>
    <n v="109.71"/>
  </r>
  <r>
    <d v="2026-02-24T00:00:00"/>
    <x v="24"/>
    <x v="0"/>
    <x v="0"/>
    <n v="195"/>
    <n v="81.37"/>
    <n v="15869.75"/>
    <s v="#202602242700002060"/>
    <n v="0"/>
    <n v="5.64"/>
    <n v="0"/>
    <n v="0.02"/>
    <n v="87"/>
    <n v="16.68"/>
    <n v="109.34"/>
  </r>
  <r>
    <d v="2026-02-24T00:00:00"/>
    <x v="24"/>
    <x v="0"/>
    <x v="1"/>
    <n v="845"/>
    <n v="106.9"/>
    <n v="90330.5"/>
    <s v="#202602242700002463"/>
    <n v="90.45"/>
    <n v="32.1"/>
    <n v="0"/>
    <n v="0.08"/>
    <n v="377"/>
    <n v="73.680000000000007"/>
    <n v="573.30999999999995"/>
  </r>
  <r>
    <d v="2026-02-24T00:00:00"/>
    <x v="25"/>
    <x v="0"/>
    <x v="0"/>
    <n v="700"/>
    <n v="10.95"/>
    <n v="7665"/>
    <s v="#202602242700017168"/>
    <n v="0"/>
    <n v="2.72"/>
    <n v="0.23"/>
    <n v="0.01"/>
    <n v="29"/>
    <n v="5.72"/>
    <n v="37.68"/>
  </r>
  <r>
    <d v="2026-02-24T00:00:00"/>
    <x v="25"/>
    <x v="0"/>
    <x v="1"/>
    <n v="700"/>
    <n v="10.8"/>
    <n v="7560"/>
    <s v="#202602242700019972"/>
    <n v="7.56"/>
    <n v="2.69"/>
    <n v="0"/>
    <n v="0.01"/>
    <n v="29"/>
    <n v="5.7"/>
    <n v="44.96"/>
  </r>
  <r>
    <d v="2026-02-24T00:00:00"/>
    <x v="24"/>
    <x v="0"/>
    <x v="0"/>
    <n v="65"/>
    <n v="87.95"/>
    <n v="5716.75"/>
    <s v="#202602242700001680"/>
    <n v="0"/>
    <n v="2.0299999999999998"/>
    <n v="0"/>
    <n v="0.01"/>
    <n v="29"/>
    <n v="5.58"/>
    <n v="36.619999999999997"/>
  </r>
  <r>
    <d v="2026-02-24T00:00:00"/>
    <x v="24"/>
    <x v="0"/>
    <x v="0"/>
    <n v="65"/>
    <n v="86.3"/>
    <n v="5609.5"/>
    <s v="#202602242700001698"/>
    <n v="0"/>
    <n v="1.99"/>
    <n v="0"/>
    <n v="0.01"/>
    <n v="29"/>
    <n v="5.58"/>
    <n v="36.58"/>
  </r>
  <r>
    <d v="2025-05-23T00:00:00"/>
    <x v="4"/>
    <x v="0"/>
    <x v="0"/>
    <n v="75"/>
    <n v="24.65"/>
    <n v="1848.75"/>
    <s v="#202505233700005571"/>
    <n v="0"/>
    <n v="0.66"/>
    <n v="0"/>
    <n v="0"/>
    <n v="29"/>
    <n v="5.34"/>
    <n v="35"/>
  </r>
  <r>
    <d v="2026-03-23T00:00:00"/>
    <x v="26"/>
    <x v="0"/>
    <x v="1"/>
    <n v="650"/>
    <n v="229.9"/>
    <n v="149435"/>
    <s v="#202603232700004129"/>
    <n v="148.99"/>
    <n v="53.1"/>
    <n v="0"/>
    <n v="0.13"/>
    <n v="290"/>
    <n v="61.8"/>
    <n v="554.02"/>
  </r>
  <r>
    <d v="2026-03-23T00:00:00"/>
    <x v="26"/>
    <x v="0"/>
    <x v="0"/>
    <n v="65"/>
    <n v="191.5"/>
    <n v="12447.5"/>
    <s v="#202603232700001839"/>
    <n v="0"/>
    <n v="4.42"/>
    <n v="0"/>
    <n v="0.01"/>
    <n v="29"/>
    <n v="6.02"/>
    <n v="39.450000000000003"/>
  </r>
  <r>
    <d v="2026-03-23T00:00:00"/>
    <x v="26"/>
    <x v="0"/>
    <x v="0"/>
    <n v="130"/>
    <n v="202.35"/>
    <n v="26305.5"/>
    <s v="#202603232700001941"/>
    <n v="0"/>
    <n v="9.35"/>
    <n v="0"/>
    <n v="0.03"/>
    <n v="58"/>
    <n v="12.12"/>
    <n v="79.5"/>
  </r>
  <r>
    <d v="2026-03-23T00:00:00"/>
    <x v="26"/>
    <x v="0"/>
    <x v="0"/>
    <n v="130"/>
    <n v="197.9"/>
    <n v="25727"/>
    <s v="#202603232700002008"/>
    <n v="0"/>
    <n v="9.14"/>
    <n v="0"/>
    <n v="0.02"/>
    <n v="58"/>
    <n v="12.08"/>
    <n v="79.239999999999995"/>
  </r>
  <r>
    <d v="2026-03-23T00:00:00"/>
    <x v="26"/>
    <x v="0"/>
    <x v="0"/>
    <n v="195"/>
    <n v="199.25"/>
    <n v="38853.75"/>
    <s v="#202603232700002603"/>
    <n v="0"/>
    <n v="13.8"/>
    <n v="4"/>
    <n v="0.04"/>
    <n v="87"/>
    <n v="18.16"/>
    <n v="123"/>
  </r>
  <r>
    <d v="2026-03-23T00:00:00"/>
    <x v="26"/>
    <x v="0"/>
    <x v="0"/>
    <n v="130"/>
    <n v="200.3"/>
    <n v="26039"/>
    <s v="#202603232700003231"/>
    <n v="0"/>
    <n v="9.25"/>
    <n v="0"/>
    <n v="0.03"/>
    <n v="58"/>
    <n v="12.1"/>
    <n v="79.38"/>
  </r>
  <r>
    <d v="2026-02-23T00:00:00"/>
    <x v="27"/>
    <x v="0"/>
    <x v="0"/>
    <n v="260"/>
    <n v="106.9"/>
    <n v="27794"/>
    <s v="#202602232700006977"/>
    <n v="0"/>
    <n v="9.8800000000000008"/>
    <n v="0.83"/>
    <n v="0.03"/>
    <n v="116"/>
    <n v="22.66"/>
    <n v="149.4"/>
  </r>
  <r>
    <d v="2026-02-23T00:00:00"/>
    <x v="28"/>
    <x v="0"/>
    <x v="1"/>
    <n v="650"/>
    <n v="18.399999999999999"/>
    <n v="11960"/>
    <s v="#202602232700002462"/>
    <n v="11.96"/>
    <n v="4.25"/>
    <n v="0"/>
    <n v="0.01"/>
    <n v="290"/>
    <n v="52.96"/>
    <n v="359.18"/>
  </r>
  <r>
    <d v="2026-02-23T00:00:00"/>
    <x v="29"/>
    <x v="0"/>
    <x v="0"/>
    <n v="260"/>
    <n v="94.7"/>
    <n v="24622"/>
    <s v="#202602232700007682"/>
    <n v="0"/>
    <n v="8.74"/>
    <n v="1.79"/>
    <n v="0.02"/>
    <n v="116"/>
    <n v="22.44"/>
    <n v="148.99"/>
  </r>
  <r>
    <d v="2026-02-23T00:00:00"/>
    <x v="29"/>
    <x v="0"/>
    <x v="0"/>
    <n v="65"/>
    <n v="84.2"/>
    <n v="5473"/>
    <s v="#202602232700007831"/>
    <n v="0"/>
    <n v="1.94"/>
    <n v="0"/>
    <n v="0.01"/>
    <n v="29"/>
    <n v="5.58"/>
    <n v="36.53"/>
  </r>
  <r>
    <d v="2026-02-23T00:00:00"/>
    <x v="29"/>
    <x v="0"/>
    <x v="0"/>
    <n v="65"/>
    <n v="81.650000000000006"/>
    <n v="5307.25"/>
    <s v="#202602232700007866"/>
    <n v="0"/>
    <n v="1.89"/>
    <n v="0"/>
    <n v="0.01"/>
    <n v="29"/>
    <n v="5.56"/>
    <n v="36.46"/>
  </r>
  <r>
    <d v="2026-02-23T00:00:00"/>
    <x v="29"/>
    <x v="0"/>
    <x v="0"/>
    <n v="65"/>
    <n v="79.3"/>
    <n v="5154.5"/>
    <s v="#202602232700007889"/>
    <n v="0"/>
    <n v="1.83"/>
    <n v="0"/>
    <n v="0.01"/>
    <n v="29"/>
    <n v="5.56"/>
    <n v="36.4"/>
  </r>
  <r>
    <d v="2026-02-23T00:00:00"/>
    <x v="29"/>
    <x v="0"/>
    <x v="0"/>
    <n v="130"/>
    <n v="89.55"/>
    <n v="11641.5"/>
    <s v="#202602232700009115"/>
    <n v="0"/>
    <n v="4.1399999999999997"/>
    <n v="0"/>
    <n v="0.01"/>
    <n v="58"/>
    <n v="11.18"/>
    <n v="73.33"/>
  </r>
  <r>
    <d v="2026-02-23T00:00:00"/>
    <x v="29"/>
    <x v="0"/>
    <x v="0"/>
    <n v="130"/>
    <n v="89.65"/>
    <n v="11654.5"/>
    <s v="#202602232700009126"/>
    <n v="0"/>
    <n v="4.1399999999999997"/>
    <n v="0"/>
    <n v="0.02"/>
    <n v="58"/>
    <n v="11.2"/>
    <n v="73.36"/>
  </r>
  <r>
    <d v="2026-02-23T00:00:00"/>
    <x v="29"/>
    <x v="0"/>
    <x v="1"/>
    <n v="715"/>
    <n v="109.9"/>
    <n v="78578.5"/>
    <s v="#202602232700009465"/>
    <n v="78.56"/>
    <n v="27.92"/>
    <n v="0"/>
    <n v="0.09"/>
    <n v="319"/>
    <n v="62.48"/>
    <n v="488.05"/>
  </r>
  <r>
    <d v="2026-02-23T00:00:00"/>
    <x v="27"/>
    <x v="0"/>
    <x v="1"/>
    <n v="260"/>
    <n v="114.9"/>
    <n v="29874"/>
    <s v="#202602232700007353"/>
    <n v="29.88"/>
    <n v="10.62"/>
    <n v="0"/>
    <n v="0.02"/>
    <n v="116"/>
    <n v="22.8"/>
    <n v="179.32"/>
  </r>
  <r>
    <d v="2026-02-23T00:00:00"/>
    <x v="28"/>
    <x v="0"/>
    <x v="0"/>
    <n v="650"/>
    <n v="19.7"/>
    <n v="12805"/>
    <s v="#202602232700001679"/>
    <n v="0"/>
    <n v="4.54"/>
    <n v="0.38"/>
    <n v="0.02"/>
    <n v="290"/>
    <n v="53"/>
    <n v="347.94"/>
  </r>
  <r>
    <d v="2026-02-23T00:00:00"/>
    <x v="28"/>
    <x v="0"/>
    <x v="1"/>
    <n v="650"/>
    <n v="22"/>
    <n v="14300"/>
    <s v="#202602232700001112"/>
    <n v="14.59"/>
    <n v="5.08"/>
    <n v="0"/>
    <n v="0.01"/>
    <n v="290"/>
    <n v="53.12"/>
    <n v="362.8"/>
  </r>
  <r>
    <d v="2025-11-21T00:00:00"/>
    <x v="21"/>
    <x v="0"/>
    <x v="1"/>
    <n v="75"/>
    <n v="119.9"/>
    <n v="8992.5"/>
    <s v="#202511213700007438"/>
    <n v="9"/>
    <n v="3.2"/>
    <n v="0"/>
    <n v="0.01"/>
    <n v="29"/>
    <n v="5.8"/>
    <n v="47.01"/>
  </r>
  <r>
    <d v="2025-05-21T00:00:00"/>
    <x v="30"/>
    <x v="0"/>
    <x v="0"/>
    <n v="150"/>
    <n v="125.6"/>
    <n v="18840"/>
    <s v="#202505213700000977"/>
    <n v="0"/>
    <n v="6.69"/>
    <n v="1"/>
    <n v="0.02"/>
    <n v="58"/>
    <n v="11.64"/>
    <n v="77.349999999999994"/>
  </r>
  <r>
    <d v="2025-05-21T00:00:00"/>
    <x v="30"/>
    <x v="0"/>
    <x v="1"/>
    <n v="150"/>
    <n v="77.349999999999994"/>
    <n v="11602.5"/>
    <s v="#202505213700006174"/>
    <n v="12"/>
    <n v="4.12"/>
    <n v="0"/>
    <n v="0.01"/>
    <n v="58"/>
    <n v="11.18"/>
    <n v="85.31"/>
  </r>
  <r>
    <d v="2025-08-21T00:00:00"/>
    <x v="31"/>
    <x v="0"/>
    <x v="0"/>
    <n v="1500"/>
    <n v="9.9"/>
    <n v="14850"/>
    <s v="#202508213700016277"/>
    <n v="0"/>
    <n v="5.28"/>
    <n v="1"/>
    <n v="0.01"/>
    <n v="580"/>
    <n v="105.36"/>
    <n v="691.65"/>
  </r>
  <r>
    <d v="2025-08-21T00:00:00"/>
    <x v="31"/>
    <x v="0"/>
    <x v="1"/>
    <n v="450"/>
    <n v="3.8"/>
    <n v="1710"/>
    <s v="#202508213700018285"/>
    <n v="1.71"/>
    <n v="0.61"/>
    <n v="0"/>
    <n v="0"/>
    <n v="174"/>
    <n v="31.42"/>
    <n v="207.74"/>
  </r>
  <r>
    <d v="2025-08-21T00:00:00"/>
    <x v="31"/>
    <x v="0"/>
    <x v="1"/>
    <n v="1500"/>
    <n v="3.8"/>
    <n v="5700"/>
    <s v="#202508213700018369"/>
    <n v="5.72"/>
    <n v="2.02"/>
    <n v="0"/>
    <n v="0"/>
    <n v="580"/>
    <n v="104.76"/>
    <n v="692.5"/>
  </r>
  <r>
    <d v="2025-08-21T00:00:00"/>
    <x v="31"/>
    <x v="0"/>
    <x v="1"/>
    <n v="900"/>
    <n v="4.1500000000000004"/>
    <n v="3735"/>
    <s v="#202508213700018813"/>
    <n v="3.73"/>
    <n v="1.33"/>
    <n v="0"/>
    <n v="0"/>
    <n v="348"/>
    <n v="62.88"/>
    <n v="415.94"/>
  </r>
  <r>
    <d v="2025-08-21T00:00:00"/>
    <x v="31"/>
    <x v="0"/>
    <x v="1"/>
    <n v="150"/>
    <n v="12.05"/>
    <n v="1807.5"/>
    <s v="#202508213700016581"/>
    <n v="1.86"/>
    <n v="0.64"/>
    <n v="0"/>
    <n v="0"/>
    <n v="58"/>
    <n v="10.56"/>
    <n v="71.06"/>
  </r>
  <r>
    <d v="2025-08-21T00:00:00"/>
    <x v="31"/>
    <x v="0"/>
    <x v="0"/>
    <n v="750"/>
    <n v="13.45"/>
    <n v="10087.5"/>
    <s v="#202508213700015673"/>
    <n v="0"/>
    <n v="3.58"/>
    <n v="0"/>
    <n v="0.01"/>
    <n v="290"/>
    <n v="52.84"/>
    <n v="346.43"/>
  </r>
  <r>
    <d v="2025-08-21T00:00:00"/>
    <x v="31"/>
    <x v="0"/>
    <x v="0"/>
    <n v="750"/>
    <n v="14.68"/>
    <n v="11017.5"/>
    <s v="#202508213700015714"/>
    <n v="0"/>
    <n v="3.91"/>
    <n v="0"/>
    <n v="0.01"/>
    <n v="290"/>
    <n v="52.92"/>
    <n v="346.84"/>
  </r>
  <r>
    <d v="2025-11-20T00:00:00"/>
    <x v="21"/>
    <x v="0"/>
    <x v="0"/>
    <n v="75"/>
    <n v="103.15"/>
    <n v="7736.25"/>
    <s v="#202511203700008974"/>
    <n v="0"/>
    <n v="2.75"/>
    <n v="0"/>
    <n v="0.01"/>
    <n v="29"/>
    <n v="5.72"/>
    <n v="37.479999999999997"/>
  </r>
  <r>
    <d v="2026-03-20T00:00:00"/>
    <x v="32"/>
    <x v="0"/>
    <x v="1"/>
    <n v="260"/>
    <n v="177.36"/>
    <n v="46114.25"/>
    <s v="#202603202700015836"/>
    <n v="45.85"/>
    <n v="16.39"/>
    <n v="0"/>
    <n v="0.04"/>
    <n v="116"/>
    <n v="23.84"/>
    <n v="202.12"/>
  </r>
  <r>
    <d v="2026-03-20T00:00:00"/>
    <x v="32"/>
    <x v="0"/>
    <x v="0"/>
    <n v="65"/>
    <n v="206.05"/>
    <n v="13393.25"/>
    <s v="#202603202700014962"/>
    <n v="0"/>
    <n v="4.76"/>
    <n v="0"/>
    <n v="0.01"/>
    <n v="29"/>
    <n v="6.08"/>
    <n v="39.85"/>
  </r>
  <r>
    <d v="2026-03-20T00:00:00"/>
    <x v="32"/>
    <x v="0"/>
    <x v="0"/>
    <n v="65"/>
    <n v="213.35"/>
    <n v="13867.75"/>
    <s v="#202603202700014872"/>
    <n v="0"/>
    <n v="4.93"/>
    <n v="0"/>
    <n v="0.01"/>
    <n v="29"/>
    <n v="6.12"/>
    <n v="40.06"/>
  </r>
  <r>
    <d v="2026-03-20T00:00:00"/>
    <x v="32"/>
    <x v="0"/>
    <x v="0"/>
    <n v="65"/>
    <n v="209.45"/>
    <n v="13614.25"/>
    <s v="#202603202700012643"/>
    <n v="0"/>
    <n v="4.84"/>
    <n v="0"/>
    <n v="0.01"/>
    <n v="29"/>
    <n v="6.1"/>
    <n v="39.950000000000003"/>
  </r>
  <r>
    <d v="2026-03-20T00:00:00"/>
    <x v="32"/>
    <x v="0"/>
    <x v="0"/>
    <n v="325"/>
    <n v="238.83"/>
    <n v="77623"/>
    <s v="#202603202700002995"/>
    <n v="0"/>
    <n v="27.57"/>
    <n v="5"/>
    <n v="0.08"/>
    <n v="145"/>
    <n v="31.1"/>
    <n v="208.75"/>
  </r>
  <r>
    <d v="2026-03-20T00:00:00"/>
    <x v="32"/>
    <x v="0"/>
    <x v="1"/>
    <n v="390"/>
    <n v="269.89999999999998"/>
    <n v="105261"/>
    <s v="#202603202700007930"/>
    <n v="105.26"/>
    <n v="37.4"/>
    <n v="0"/>
    <n v="0.12"/>
    <n v="174"/>
    <n v="38.08"/>
    <n v="354.86"/>
  </r>
  <r>
    <d v="2026-03-20T00:00:00"/>
    <x v="32"/>
    <x v="0"/>
    <x v="0"/>
    <n v="65"/>
    <n v="251.55"/>
    <n v="16350.75"/>
    <s v="#202603202700008425"/>
    <n v="0"/>
    <n v="5.81"/>
    <n v="0"/>
    <n v="0.02"/>
    <n v="29"/>
    <n v="6.26"/>
    <n v="41.09"/>
  </r>
  <r>
    <d v="2026-03-20T00:00:00"/>
    <x v="32"/>
    <x v="0"/>
    <x v="0"/>
    <n v="130"/>
    <n v="216.2"/>
    <n v="28106"/>
    <s v="#202603202700003436"/>
    <n v="0"/>
    <n v="9.98"/>
    <n v="0"/>
    <n v="0.02"/>
    <n v="58"/>
    <n v="12.24"/>
    <n v="80.239999999999995"/>
  </r>
  <r>
    <d v="2026-03-20T00:00:00"/>
    <x v="32"/>
    <x v="0"/>
    <x v="1"/>
    <n v="65"/>
    <n v="259.89999999999998"/>
    <n v="16893.5"/>
    <s v="#202603202700007864"/>
    <n v="16.89"/>
    <n v="6"/>
    <n v="0"/>
    <n v="0.02"/>
    <n v="29"/>
    <n v="6.3"/>
    <n v="58.21"/>
  </r>
  <r>
    <d v="2026-02-20T00:00:00"/>
    <x v="28"/>
    <x v="0"/>
    <x v="0"/>
    <n v="65"/>
    <n v="55.8"/>
    <n v="3627"/>
    <s v="#202602202700008269"/>
    <n v="0"/>
    <n v="1.29"/>
    <n v="0"/>
    <n v="0"/>
    <n v="29"/>
    <n v="5.46"/>
    <n v="35.75"/>
  </r>
  <r>
    <d v="2026-02-20T00:00:00"/>
    <x v="28"/>
    <x v="0"/>
    <x v="0"/>
    <n v="65"/>
    <n v="60.55"/>
    <n v="3935.75"/>
    <s v="#202602202700009082"/>
    <n v="0"/>
    <n v="1.4"/>
    <n v="0"/>
    <n v="0"/>
    <n v="29"/>
    <n v="5.48"/>
    <n v="35.880000000000003"/>
  </r>
  <r>
    <d v="2026-02-20T00:00:00"/>
    <x v="33"/>
    <x v="0"/>
    <x v="0"/>
    <n v="195"/>
    <n v="176.45"/>
    <n v="34407.75"/>
    <s v="#202602202700009377"/>
    <n v="0"/>
    <n v="12.23"/>
    <n v="1.61"/>
    <n v="0.03"/>
    <n v="87"/>
    <n v="17.88"/>
    <n v="118.75"/>
  </r>
  <r>
    <d v="2026-02-20T00:00:00"/>
    <x v="28"/>
    <x v="0"/>
    <x v="0"/>
    <n v="65"/>
    <n v="50.4"/>
    <n v="3276"/>
    <s v="#202602202700010965"/>
    <n v="0"/>
    <n v="1.1599999999999999"/>
    <n v="0"/>
    <n v="0"/>
    <n v="29"/>
    <n v="5.42"/>
    <n v="35.58"/>
  </r>
  <r>
    <d v="2026-02-20T00:00:00"/>
    <x v="33"/>
    <x v="0"/>
    <x v="1"/>
    <n v="195"/>
    <n v="199.9"/>
    <n v="38980.5"/>
    <s v="#202602202700011207"/>
    <n v="38.979999999999997"/>
    <n v="13.85"/>
    <n v="0"/>
    <n v="0.04"/>
    <n v="87"/>
    <n v="18.16"/>
    <n v="158.03"/>
  </r>
  <r>
    <d v="2026-02-20T00:00:00"/>
    <x v="28"/>
    <x v="0"/>
    <x v="0"/>
    <n v="65"/>
    <n v="54.35"/>
    <n v="3532.75"/>
    <s v="#202602202700011860"/>
    <n v="0"/>
    <n v="1.26"/>
    <n v="0"/>
    <n v="0"/>
    <n v="29"/>
    <n v="5.44"/>
    <n v="35.700000000000003"/>
  </r>
  <r>
    <d v="2026-02-20T00:00:00"/>
    <x v="28"/>
    <x v="0"/>
    <x v="0"/>
    <n v="195"/>
    <n v="102.85"/>
    <n v="20055.75"/>
    <s v="#202602202700001862"/>
    <n v="0"/>
    <n v="7.14"/>
    <n v="0"/>
    <n v="0.03"/>
    <n v="87"/>
    <n v="16.920000000000002"/>
    <n v="111.09"/>
  </r>
  <r>
    <d v="2026-02-20T00:00:00"/>
    <x v="33"/>
    <x v="0"/>
    <x v="1"/>
    <n v="65"/>
    <n v="172"/>
    <n v="11180"/>
    <s v="#202602202700013058"/>
    <n v="11.18"/>
    <n v="3.97"/>
    <n v="0"/>
    <n v="0.01"/>
    <n v="29"/>
    <n v="5.94"/>
    <n v="50.1"/>
  </r>
  <r>
    <d v="2026-02-20T00:00:00"/>
    <x v="28"/>
    <x v="0"/>
    <x v="0"/>
    <n v="65"/>
    <n v="55.35"/>
    <n v="3597.75"/>
    <s v="#202602202700013548"/>
    <n v="0"/>
    <n v="1.28"/>
    <n v="0"/>
    <n v="0"/>
    <n v="29"/>
    <n v="5.46"/>
    <n v="35.74"/>
  </r>
  <r>
    <d v="2026-02-20T00:00:00"/>
    <x v="33"/>
    <x v="0"/>
    <x v="0"/>
    <n v="130"/>
    <n v="169.75"/>
    <n v="22067.5"/>
    <s v="#202602202700016126"/>
    <n v="0"/>
    <n v="7.84"/>
    <n v="0"/>
    <n v="0.02"/>
    <n v="58"/>
    <n v="11.84"/>
    <n v="77.7"/>
  </r>
  <r>
    <d v="2026-02-20T00:00:00"/>
    <x v="33"/>
    <x v="0"/>
    <x v="1"/>
    <n v="130"/>
    <n v="169.25"/>
    <n v="22002.5"/>
    <s v="#202602202700016569"/>
    <n v="22"/>
    <n v="7.82"/>
    <n v="0"/>
    <n v="0.02"/>
    <n v="58"/>
    <n v="11.86"/>
    <n v="99.7"/>
  </r>
  <r>
    <d v="2026-02-20T00:00:00"/>
    <x v="28"/>
    <x v="0"/>
    <x v="0"/>
    <n v="130"/>
    <n v="63"/>
    <n v="8190"/>
    <s v="#202602202700006057"/>
    <n v="0"/>
    <n v="2.91"/>
    <n v="1.39"/>
    <n v="0.01"/>
    <n v="58"/>
    <n v="10.96"/>
    <n v="73.27"/>
  </r>
  <r>
    <d v="2026-02-20T00:00:00"/>
    <x v="33"/>
    <x v="0"/>
    <x v="1"/>
    <n v="130"/>
    <n v="114.8"/>
    <n v="14924"/>
    <s v="#202602202700003969"/>
    <n v="14.84"/>
    <n v="5.3"/>
    <n v="0"/>
    <n v="0.01"/>
    <n v="58"/>
    <n v="11.4"/>
    <n v="89.55"/>
  </r>
  <r>
    <d v="2026-02-20T00:00:00"/>
    <x v="33"/>
    <x v="0"/>
    <x v="0"/>
    <n v="65"/>
    <n v="182.25"/>
    <n v="11846.25"/>
    <s v="#202602202700012918"/>
    <n v="0"/>
    <n v="4.21"/>
    <n v="0"/>
    <n v="0.01"/>
    <n v="29"/>
    <n v="5.98"/>
    <n v="39.200000000000003"/>
  </r>
  <r>
    <d v="2026-03-19T00:00:00"/>
    <x v="34"/>
    <x v="0"/>
    <x v="0"/>
    <n v="65"/>
    <n v="237.7"/>
    <n v="15450.5"/>
    <s v="#202603192700006373"/>
    <n v="0"/>
    <n v="5.49"/>
    <n v="0"/>
    <n v="0.02"/>
    <n v="29"/>
    <n v="6.22"/>
    <n v="40.729999999999997"/>
  </r>
  <r>
    <d v="2026-03-19T00:00:00"/>
    <x v="34"/>
    <x v="0"/>
    <x v="1"/>
    <n v="390"/>
    <n v="249.9"/>
    <n v="97461"/>
    <s v="#202603192700002834"/>
    <n v="97.21"/>
    <n v="34.619999999999997"/>
    <n v="0"/>
    <n v="0.11"/>
    <n v="174"/>
    <n v="37.56"/>
    <n v="343.5"/>
  </r>
  <r>
    <d v="2026-03-19T00:00:00"/>
    <x v="34"/>
    <x v="0"/>
    <x v="0"/>
    <n v="390"/>
    <n v="202.61"/>
    <n v="79020.5"/>
    <s v="#202603192700002117"/>
    <n v="0"/>
    <n v="28.08"/>
    <n v="5"/>
    <n v="7.0000000000000007E-2"/>
    <n v="174"/>
    <n v="36.36"/>
    <n v="243.51"/>
  </r>
  <r>
    <d v="2026-03-19T00:00:00"/>
    <x v="34"/>
    <x v="0"/>
    <x v="1"/>
    <n v="325"/>
    <n v="270.08"/>
    <n v="87779.25"/>
    <s v="#202603192700007010"/>
    <n v="87.78"/>
    <n v="31.2"/>
    <n v="0"/>
    <n v="0.1"/>
    <n v="145"/>
    <n v="31.72"/>
    <n v="295.8"/>
  </r>
  <r>
    <d v="2026-03-19T00:00:00"/>
    <x v="34"/>
    <x v="0"/>
    <x v="0"/>
    <n v="130"/>
    <n v="231.6"/>
    <n v="30108"/>
    <s v="#202603192700006422"/>
    <n v="0"/>
    <n v="10.7"/>
    <n v="0"/>
    <n v="0.04"/>
    <n v="58"/>
    <n v="12.36"/>
    <n v="81.099999999999994"/>
  </r>
  <r>
    <d v="2026-03-19T00:00:00"/>
    <x v="34"/>
    <x v="0"/>
    <x v="0"/>
    <n v="130"/>
    <n v="231.25"/>
    <n v="30062.5"/>
    <s v="#202603192700006400"/>
    <n v="0"/>
    <n v="10.68"/>
    <n v="0"/>
    <n v="0.03"/>
    <n v="58"/>
    <n v="12.36"/>
    <n v="81.069999999999993"/>
  </r>
  <r>
    <d v="2026-01-19T00:00:00"/>
    <x v="35"/>
    <x v="0"/>
    <x v="1"/>
    <n v="65"/>
    <n v="4.4000000000000004"/>
    <n v="286"/>
    <s v="#202601193100004090"/>
    <n v="0"/>
    <n v="0.1"/>
    <n v="0"/>
    <n v="0"/>
    <n v="29"/>
    <n v="5.24"/>
    <n v="34.340000000000003"/>
  </r>
  <r>
    <d v="2026-02-19T00:00:00"/>
    <x v="36"/>
    <x v="0"/>
    <x v="0"/>
    <n v="130"/>
    <n v="115.45"/>
    <n v="15008.5"/>
    <s v="#202602192700003595"/>
    <n v="0"/>
    <n v="5.33"/>
    <n v="1.2"/>
    <n v="0.02"/>
    <n v="58"/>
    <n v="11.4"/>
    <n v="75.95"/>
  </r>
  <r>
    <d v="2026-02-19T00:00:00"/>
    <x v="36"/>
    <x v="0"/>
    <x v="1"/>
    <n v="65"/>
    <n v="115.9"/>
    <n v="7533.5"/>
    <s v="#202602192700003138"/>
    <n v="7.26"/>
    <n v="2.68"/>
    <n v="0"/>
    <n v="0.01"/>
    <n v="29"/>
    <n v="5.7"/>
    <n v="44.65"/>
  </r>
  <r>
    <d v="2026-02-19T00:00:00"/>
    <x v="36"/>
    <x v="0"/>
    <x v="1"/>
    <n v="65"/>
    <n v="113.9"/>
    <n v="7403.5"/>
    <s v="#202602192700003666"/>
    <n v="7.4"/>
    <n v="2.63"/>
    <n v="0"/>
    <n v="0.01"/>
    <n v="29"/>
    <n v="5.7"/>
    <n v="44.74"/>
  </r>
  <r>
    <d v="2026-02-19T00:00:00"/>
    <x v="36"/>
    <x v="0"/>
    <x v="1"/>
    <n v="65"/>
    <n v="107.75"/>
    <n v="7003.75"/>
    <s v="#202602192700004036"/>
    <n v="7"/>
    <n v="2.4900000000000002"/>
    <n v="0"/>
    <n v="0.01"/>
    <n v="29"/>
    <n v="5.66"/>
    <n v="44.16"/>
  </r>
  <r>
    <d v="2026-02-19T00:00:00"/>
    <x v="36"/>
    <x v="0"/>
    <x v="0"/>
    <n v="130"/>
    <n v="97.7"/>
    <n v="12701"/>
    <s v="#202602192700005627"/>
    <n v="0"/>
    <n v="4.5199999999999996"/>
    <n v="0"/>
    <n v="0.02"/>
    <n v="58"/>
    <n v="11.24"/>
    <n v="73.78"/>
  </r>
  <r>
    <d v="2026-02-19T00:00:00"/>
    <x v="36"/>
    <x v="0"/>
    <x v="1"/>
    <n v="130"/>
    <n v="99.9"/>
    <n v="12987"/>
    <s v="#202602192700005810"/>
    <n v="12.98"/>
    <n v="4.62"/>
    <n v="0"/>
    <n v="0.02"/>
    <n v="58"/>
    <n v="11.28"/>
    <n v="86.9"/>
  </r>
  <r>
    <d v="2026-02-19T00:00:00"/>
    <x v="29"/>
    <x v="0"/>
    <x v="0"/>
    <n v="65"/>
    <n v="162.25"/>
    <n v="10546.25"/>
    <s v="#202602192700013017"/>
    <n v="0"/>
    <n v="3.75"/>
    <n v="0.32"/>
    <n v="0.01"/>
    <n v="29"/>
    <n v="5.9"/>
    <n v="38.979999999999997"/>
  </r>
  <r>
    <d v="2026-02-19T00:00:00"/>
    <x v="29"/>
    <x v="0"/>
    <x v="1"/>
    <n v="65"/>
    <n v="189.9"/>
    <n v="12343.5"/>
    <s v="#202602192700013154"/>
    <n v="12.34"/>
    <n v="4.3899999999999997"/>
    <n v="0"/>
    <n v="0.01"/>
    <n v="29"/>
    <n v="6.02"/>
    <n v="51.76"/>
  </r>
  <r>
    <d v="2026-02-19T00:00:00"/>
    <x v="36"/>
    <x v="0"/>
    <x v="0"/>
    <n v="65"/>
    <n v="118.8"/>
    <n v="7722"/>
    <s v="#202602192700002784"/>
    <n v="0"/>
    <n v="2.74"/>
    <n v="0"/>
    <n v="0.01"/>
    <n v="29"/>
    <n v="5.72"/>
    <n v="37.47"/>
  </r>
  <r>
    <d v="2026-02-19T00:00:00"/>
    <x v="33"/>
    <x v="0"/>
    <x v="0"/>
    <n v="130"/>
    <n v="122.3"/>
    <n v="15899"/>
    <s v="#202602192700014494"/>
    <n v="0"/>
    <n v="5.64"/>
    <n v="0.48"/>
    <n v="0.02"/>
    <n v="58"/>
    <n v="11.44"/>
    <n v="75.58"/>
  </r>
  <r>
    <d v="2025-11-18T00:00:00"/>
    <x v="37"/>
    <x v="0"/>
    <x v="1"/>
    <n v="300"/>
    <n v="28.85"/>
    <n v="8655"/>
    <s v="#202511183700027198"/>
    <n v="8.66"/>
    <n v="3.08"/>
    <n v="0"/>
    <n v="0"/>
    <n v="116"/>
    <n v="21.44"/>
    <n v="149.18"/>
  </r>
  <r>
    <d v="2025-11-18T00:00:00"/>
    <x v="37"/>
    <x v="0"/>
    <x v="1"/>
    <n v="75"/>
    <n v="45.25"/>
    <n v="3393.75"/>
    <s v="#202511183700026903"/>
    <n v="3.39"/>
    <n v="1.21"/>
    <n v="0"/>
    <n v="0"/>
    <n v="29"/>
    <n v="5.44"/>
    <n v="39.04"/>
  </r>
  <r>
    <d v="2025-11-18T00:00:00"/>
    <x v="37"/>
    <x v="0"/>
    <x v="0"/>
    <n v="75"/>
    <n v="76.650000000000006"/>
    <n v="5748.75"/>
    <s v="#202511183700022527"/>
    <n v="0"/>
    <n v="2.04"/>
    <n v="0"/>
    <n v="0.01"/>
    <n v="29"/>
    <n v="5.58"/>
    <n v="36.630000000000003"/>
  </r>
  <r>
    <d v="2025-11-18T00:00:00"/>
    <x v="37"/>
    <x v="0"/>
    <x v="0"/>
    <n v="300"/>
    <n v="79.7"/>
    <n v="23910"/>
    <s v="#202511183700022281"/>
    <n v="0"/>
    <n v="8.49"/>
    <n v="0"/>
    <n v="0.03"/>
    <n v="116"/>
    <n v="22.4"/>
    <n v="146.91999999999999"/>
  </r>
  <r>
    <d v="2025-11-18T00:00:00"/>
    <x v="37"/>
    <x v="0"/>
    <x v="1"/>
    <n v="375"/>
    <n v="59.9"/>
    <n v="22462.5"/>
    <s v="#202511183700019883"/>
    <n v="22.46"/>
    <n v="7.99"/>
    <n v="0"/>
    <n v="0.01"/>
    <n v="145"/>
    <n v="27.52"/>
    <n v="202.98"/>
  </r>
  <r>
    <d v="2025-11-18T00:00:00"/>
    <x v="37"/>
    <x v="0"/>
    <x v="0"/>
    <n v="375"/>
    <n v="52.25"/>
    <n v="19593.75"/>
    <s v="#202511183700019807"/>
    <n v="0"/>
    <n v="6.96"/>
    <n v="1.0900000000000001"/>
    <n v="0.01"/>
    <n v="145"/>
    <n v="27.38"/>
    <n v="180.44"/>
  </r>
  <r>
    <d v="2025-11-18T00:00:00"/>
    <x v="38"/>
    <x v="0"/>
    <x v="1"/>
    <n v="750"/>
    <n v="30.1"/>
    <n v="22575"/>
    <s v="#202511183700018572"/>
    <n v="22.49"/>
    <n v="8.02"/>
    <n v="0"/>
    <n v="0.02"/>
    <n v="290"/>
    <n v="53.64"/>
    <n v="374.17"/>
  </r>
  <r>
    <d v="2025-11-18T00:00:00"/>
    <x v="38"/>
    <x v="0"/>
    <x v="0"/>
    <n v="75"/>
    <n v="37.9"/>
    <n v="2842.5"/>
    <s v="#202511183700004571"/>
    <n v="0"/>
    <n v="1.01"/>
    <n v="0"/>
    <n v="0"/>
    <n v="29"/>
    <n v="5.4"/>
    <n v="35.409999999999997"/>
  </r>
  <r>
    <d v="2025-11-18T00:00:00"/>
    <x v="38"/>
    <x v="0"/>
    <x v="0"/>
    <n v="225"/>
    <n v="39.6"/>
    <n v="8910"/>
    <s v="#202511183700004021"/>
    <n v="0"/>
    <n v="3.17"/>
    <n v="0"/>
    <n v="0.01"/>
    <n v="87"/>
    <n v="16.239999999999998"/>
    <n v="106.42"/>
  </r>
  <r>
    <d v="2025-11-18T00:00:00"/>
    <x v="38"/>
    <x v="0"/>
    <x v="0"/>
    <n v="450"/>
    <n v="40.97"/>
    <n v="18438.75"/>
    <s v="#202511183700003404"/>
    <n v="0"/>
    <n v="6.55"/>
    <n v="0.91"/>
    <n v="0.02"/>
    <n v="174"/>
    <n v="32.520000000000003"/>
    <n v="214"/>
  </r>
  <r>
    <d v="2026-03-18T00:00:00"/>
    <x v="39"/>
    <x v="0"/>
    <x v="0"/>
    <n v="65"/>
    <n v="185.25"/>
    <n v="12041.25"/>
    <s v="#202603182700004244"/>
    <n v="0"/>
    <n v="4.28"/>
    <n v="0"/>
    <n v="0.01"/>
    <n v="29"/>
    <n v="6"/>
    <n v="39.29"/>
  </r>
  <r>
    <d v="2026-03-18T00:00:00"/>
    <x v="39"/>
    <x v="0"/>
    <x v="1"/>
    <n v="325"/>
    <n v="129.28"/>
    <n v="42012.75"/>
    <s v="#202603182700012043"/>
    <n v="42"/>
    <n v="14.93"/>
    <n v="0"/>
    <n v="0.05"/>
    <n v="145"/>
    <n v="28.8"/>
    <n v="230.78"/>
  </r>
  <r>
    <d v="2026-03-18T00:00:00"/>
    <x v="39"/>
    <x v="0"/>
    <x v="0"/>
    <n v="65"/>
    <n v="185"/>
    <n v="12025"/>
    <s v="#202603182700004520"/>
    <n v="0"/>
    <n v="4.2699999999999996"/>
    <n v="0"/>
    <n v="0.01"/>
    <n v="29"/>
    <n v="6"/>
    <n v="39.28"/>
  </r>
  <r>
    <d v="2026-03-18T00:00:00"/>
    <x v="39"/>
    <x v="0"/>
    <x v="0"/>
    <n v="65"/>
    <n v="182.7"/>
    <n v="11875.5"/>
    <s v="#202603182700004497"/>
    <n v="0"/>
    <n v="4.22"/>
    <n v="0"/>
    <n v="0.01"/>
    <n v="29"/>
    <n v="5.98"/>
    <n v="39.21"/>
  </r>
  <r>
    <d v="2026-03-18T00:00:00"/>
    <x v="39"/>
    <x v="0"/>
    <x v="0"/>
    <n v="65"/>
    <n v="181.3"/>
    <n v="11784.5"/>
    <s v="#202603182700004471"/>
    <n v="0"/>
    <n v="4.1900000000000004"/>
    <n v="2"/>
    <n v="0.01"/>
    <n v="29"/>
    <n v="5.98"/>
    <n v="41.18"/>
  </r>
  <r>
    <d v="2026-03-18T00:00:00"/>
    <x v="39"/>
    <x v="0"/>
    <x v="0"/>
    <n v="65"/>
    <n v="185.2"/>
    <n v="12038"/>
    <s v="#202603182700004436"/>
    <n v="0"/>
    <n v="4.28"/>
    <n v="0"/>
    <n v="0.01"/>
    <n v="29"/>
    <n v="6"/>
    <n v="39.29"/>
  </r>
  <r>
    <d v="2026-02-18T00:00:00"/>
    <x v="40"/>
    <x v="0"/>
    <x v="0"/>
    <n v="65"/>
    <n v="116.25"/>
    <n v="7556.25"/>
    <s v="#202602182700001612"/>
    <n v="0"/>
    <n v="2.68"/>
    <n v="0"/>
    <n v="0.01"/>
    <n v="29"/>
    <n v="5.7"/>
    <n v="37.39"/>
  </r>
  <r>
    <d v="2026-02-18T00:00:00"/>
    <x v="41"/>
    <x v="0"/>
    <x v="0"/>
    <n v="65"/>
    <n v="110.4"/>
    <n v="7176"/>
    <s v="#202602182700007680"/>
    <n v="0"/>
    <n v="2.5499999999999998"/>
    <n v="0"/>
    <n v="0.01"/>
    <n v="29"/>
    <n v="5.68"/>
    <n v="37.24"/>
  </r>
  <r>
    <d v="2026-02-18T00:00:00"/>
    <x v="40"/>
    <x v="0"/>
    <x v="1"/>
    <n v="65"/>
    <n v="132"/>
    <n v="8580"/>
    <s v="#202602182700007358"/>
    <n v="8.58"/>
    <n v="3.05"/>
    <n v="0"/>
    <n v="0.01"/>
    <n v="29"/>
    <n v="5.78"/>
    <n v="46.42"/>
  </r>
  <r>
    <d v="2026-02-18T00:00:00"/>
    <x v="41"/>
    <x v="0"/>
    <x v="0"/>
    <n v="65"/>
    <n v="109.5"/>
    <n v="7117.5"/>
    <s v="#202602182700007719"/>
    <n v="0"/>
    <n v="2.5299999999999998"/>
    <n v="0.43"/>
    <n v="0.01"/>
    <n v="29"/>
    <n v="5.68"/>
    <n v="37.65"/>
  </r>
  <r>
    <d v="2026-02-18T00:00:00"/>
    <x v="41"/>
    <x v="0"/>
    <x v="1"/>
    <n v="130"/>
    <n v="114.9"/>
    <n v="14937"/>
    <s v="#202602182700007909"/>
    <n v="14.94"/>
    <n v="5.31"/>
    <n v="0"/>
    <n v="0.01"/>
    <n v="58"/>
    <n v="11.4"/>
    <n v="89.66"/>
  </r>
  <r>
    <d v="2026-02-18T00:00:00"/>
    <x v="40"/>
    <x v="0"/>
    <x v="0"/>
    <n v="130"/>
    <n v="103.8"/>
    <n v="13494"/>
    <s v="#202602182700010073"/>
    <n v="0"/>
    <n v="4.79"/>
    <n v="1.57"/>
    <n v="0.01"/>
    <n v="58"/>
    <n v="11.3"/>
    <n v="75.67"/>
  </r>
  <r>
    <d v="2026-02-18T00:00:00"/>
    <x v="40"/>
    <x v="0"/>
    <x v="1"/>
    <n v="130"/>
    <n v="106.05"/>
    <n v="13786.5"/>
    <s v="#202602182700010968"/>
    <n v="13.79"/>
    <n v="4.9000000000000004"/>
    <n v="0"/>
    <n v="0.01"/>
    <n v="58"/>
    <n v="11.32"/>
    <n v="88.02"/>
  </r>
  <r>
    <d v="2026-02-18T00:00:00"/>
    <x v="40"/>
    <x v="0"/>
    <x v="0"/>
    <n v="65"/>
    <n v="125.35"/>
    <n v="8147.75"/>
    <s v="#202602182700007305"/>
    <n v="0"/>
    <n v="2.89"/>
    <n v="0"/>
    <n v="0.01"/>
    <n v="29"/>
    <n v="5.74"/>
    <n v="37.64"/>
  </r>
  <r>
    <d v="2026-02-18T00:00:00"/>
    <x v="40"/>
    <x v="0"/>
    <x v="1"/>
    <n v="65"/>
    <n v="139.9"/>
    <n v="9093.5"/>
    <s v="#202602182700003253"/>
    <n v="9.09"/>
    <n v="3.23"/>
    <n v="0"/>
    <n v="0.01"/>
    <n v="29"/>
    <n v="5.8"/>
    <n v="47.13"/>
  </r>
  <r>
    <d v="2026-02-18T00:00:00"/>
    <x v="40"/>
    <x v="0"/>
    <x v="1"/>
    <n v="65"/>
    <n v="127.9"/>
    <n v="8313.5"/>
    <s v="#202602182700003132"/>
    <n v="8.6"/>
    <n v="2.95"/>
    <n v="0"/>
    <n v="0.01"/>
    <n v="29"/>
    <n v="5.76"/>
    <n v="46.32"/>
  </r>
  <r>
    <d v="2026-02-18T00:00:00"/>
    <x v="40"/>
    <x v="0"/>
    <x v="0"/>
    <n v="65"/>
    <n v="118.95"/>
    <n v="7731.75"/>
    <s v="#202602182700001708"/>
    <n v="0"/>
    <n v="2.75"/>
    <n v="0"/>
    <n v="0.01"/>
    <n v="29"/>
    <n v="5.72"/>
    <n v="37.479999999999997"/>
  </r>
  <r>
    <d v="2025-11-17T00:00:00"/>
    <x v="37"/>
    <x v="0"/>
    <x v="1"/>
    <n v="75"/>
    <n v="97.25"/>
    <n v="7293.75"/>
    <s v="#202511173700005651"/>
    <n v="7"/>
    <n v="2.59"/>
    <n v="0"/>
    <n v="0.01"/>
    <n v="29"/>
    <n v="5.68"/>
    <n v="44.28"/>
  </r>
  <r>
    <d v="2025-11-17T00:00:00"/>
    <x v="37"/>
    <x v="0"/>
    <x v="0"/>
    <n v="75"/>
    <n v="87.1"/>
    <n v="6532.5"/>
    <s v="#202511173700004824"/>
    <n v="0"/>
    <n v="2.3199999999999998"/>
    <n v="0"/>
    <n v="0.01"/>
    <n v="29"/>
    <n v="5.64"/>
    <n v="36.97"/>
  </r>
  <r>
    <d v="2026-03-17T00:00:00"/>
    <x v="42"/>
    <x v="0"/>
    <x v="1"/>
    <n v="1300"/>
    <n v="1.4"/>
    <n v="1820"/>
    <s v="#202603172700019616"/>
    <n v="1.82"/>
    <n v="0.64"/>
    <n v="0"/>
    <n v="0"/>
    <n v="580"/>
    <n v="104.54"/>
    <n v="687"/>
  </r>
  <r>
    <d v="2026-03-17T00:00:00"/>
    <x v="42"/>
    <x v="0"/>
    <x v="1"/>
    <n v="1300"/>
    <n v="1.4"/>
    <n v="1820"/>
    <s v="#202603172700019591"/>
    <n v="1.82"/>
    <n v="0.65"/>
    <n v="0"/>
    <n v="0"/>
    <n v="580"/>
    <n v="104.52"/>
    <n v="686.99"/>
  </r>
  <r>
    <d v="2026-03-17T00:00:00"/>
    <x v="42"/>
    <x v="0"/>
    <x v="0"/>
    <n v="650"/>
    <n v="4.8"/>
    <n v="3120"/>
    <s v="#202603172700009989"/>
    <n v="0"/>
    <n v="1.1100000000000001"/>
    <n v="0"/>
    <n v="0"/>
    <n v="290"/>
    <n v="52.4"/>
    <n v="343.51"/>
  </r>
  <r>
    <d v="2026-03-17T00:00:00"/>
    <x v="42"/>
    <x v="0"/>
    <x v="0"/>
    <n v="650"/>
    <n v="4.25"/>
    <n v="2762.5"/>
    <s v="#202603172700015694"/>
    <n v="0"/>
    <n v="0.98"/>
    <n v="0"/>
    <n v="0"/>
    <n v="290"/>
    <n v="52.38"/>
    <n v="343.36"/>
  </r>
  <r>
    <d v="2026-03-17T00:00:00"/>
    <x v="42"/>
    <x v="0"/>
    <x v="0"/>
    <n v="650"/>
    <n v="4.3"/>
    <n v="2795"/>
    <s v="#202603172700015665"/>
    <n v="0"/>
    <n v="1"/>
    <n v="0"/>
    <n v="0"/>
    <n v="290"/>
    <n v="52.38"/>
    <n v="343.38"/>
  </r>
  <r>
    <d v="2026-03-17T00:00:00"/>
    <x v="42"/>
    <x v="0"/>
    <x v="0"/>
    <n v="650"/>
    <n v="4.3"/>
    <n v="2795"/>
    <s v="#202603172700015651"/>
    <n v="0"/>
    <n v="0.99"/>
    <n v="0"/>
    <n v="0"/>
    <n v="290"/>
    <n v="52.38"/>
    <n v="343.37"/>
  </r>
  <r>
    <d v="2026-03-17T00:00:00"/>
    <x v="42"/>
    <x v="0"/>
    <x v="0"/>
    <n v="650"/>
    <n v="4.3499999999999996"/>
    <n v="2827.5"/>
    <s v="#202603172700015634"/>
    <n v="0"/>
    <n v="1"/>
    <n v="1"/>
    <n v="0"/>
    <n v="290"/>
    <n v="52.38"/>
    <n v="344.38"/>
  </r>
  <r>
    <d v="2026-03-17T00:00:00"/>
    <x v="42"/>
    <x v="0"/>
    <x v="0"/>
    <n v="650"/>
    <n v="4.8"/>
    <n v="3120"/>
    <s v="#202603172700010051"/>
    <n v="0"/>
    <n v="1.1100000000000001"/>
    <n v="0"/>
    <n v="0"/>
    <n v="290"/>
    <n v="52.4"/>
    <n v="343.51"/>
  </r>
  <r>
    <d v="2026-03-17T00:00:00"/>
    <x v="42"/>
    <x v="0"/>
    <x v="0"/>
    <n v="650"/>
    <n v="4.6500000000000004"/>
    <n v="3022.5"/>
    <s v="#202603172700010012"/>
    <n v="0"/>
    <n v="1.08"/>
    <n v="0"/>
    <n v="0"/>
    <n v="290"/>
    <n v="52.4"/>
    <n v="343.48"/>
  </r>
  <r>
    <d v="2026-03-17T00:00:00"/>
    <x v="42"/>
    <x v="0"/>
    <x v="0"/>
    <n v="650"/>
    <n v="4.8"/>
    <n v="3120"/>
    <s v="#202603172700009963"/>
    <n v="0"/>
    <n v="1.1100000000000001"/>
    <n v="0"/>
    <n v="0"/>
    <n v="290"/>
    <n v="52.4"/>
    <n v="343.51"/>
  </r>
  <r>
    <d v="2026-03-17T00:00:00"/>
    <x v="42"/>
    <x v="0"/>
    <x v="1"/>
    <n v="1300"/>
    <n v="1.2"/>
    <n v="1560"/>
    <s v="#202603172700019640"/>
    <n v="1.56"/>
    <n v="0.55000000000000004"/>
    <n v="0"/>
    <n v="0"/>
    <n v="580"/>
    <n v="104.5"/>
    <n v="686.61"/>
  </r>
  <r>
    <d v="2026-03-17T00:00:00"/>
    <x v="42"/>
    <x v="0"/>
    <x v="1"/>
    <n v="1300"/>
    <n v="1.4"/>
    <n v="1820"/>
    <s v="#202603172700019570"/>
    <n v="1.8"/>
    <n v="0.65"/>
    <n v="0"/>
    <n v="0"/>
    <n v="580"/>
    <n v="104.52"/>
    <n v="686.97"/>
  </r>
  <r>
    <d v="2026-02-17T00:00:00"/>
    <x v="43"/>
    <x v="0"/>
    <x v="0"/>
    <n v="130"/>
    <n v="37.5"/>
    <n v="4875"/>
    <s v="#202602172700022984"/>
    <n v="0"/>
    <n v="1.73"/>
    <n v="0.15"/>
    <n v="0"/>
    <n v="58"/>
    <n v="10.76"/>
    <n v="70.64"/>
  </r>
  <r>
    <d v="2026-02-17T00:00:00"/>
    <x v="43"/>
    <x v="0"/>
    <x v="1"/>
    <n v="130"/>
    <n v="13.05"/>
    <n v="1696.5"/>
    <s v="#202602172700023141"/>
    <n v="1.7"/>
    <n v="0.6"/>
    <n v="0"/>
    <n v="0"/>
    <n v="58"/>
    <n v="10.54"/>
    <n v="70.84"/>
  </r>
  <r>
    <d v="2026-02-17T00:00:00"/>
    <x v="44"/>
    <x v="0"/>
    <x v="0"/>
    <n v="65"/>
    <n v="65.8"/>
    <n v="4277"/>
    <s v="#202602172700002118"/>
    <n v="0"/>
    <n v="1.52"/>
    <n v="0.85"/>
    <n v="0"/>
    <n v="29"/>
    <n v="5.5"/>
    <n v="36.869999999999997"/>
  </r>
  <r>
    <d v="2026-02-17T00:00:00"/>
    <x v="44"/>
    <x v="0"/>
    <x v="1"/>
    <n v="65"/>
    <n v="76.45"/>
    <n v="4969.25"/>
    <s v="#202602172700002346"/>
    <n v="4.6900000000000004"/>
    <n v="1.77"/>
    <n v="0"/>
    <n v="0.01"/>
    <n v="29"/>
    <n v="5.54"/>
    <n v="41.01"/>
  </r>
  <r>
    <d v="2026-02-17T00:00:00"/>
    <x v="44"/>
    <x v="0"/>
    <x v="0"/>
    <n v="65"/>
    <n v="116.9"/>
    <n v="7598.5"/>
    <s v="#202602172700009894"/>
    <n v="0"/>
    <n v="2.7"/>
    <n v="0"/>
    <n v="0.01"/>
    <n v="29"/>
    <n v="5.7"/>
    <n v="37.409999999999997"/>
  </r>
  <r>
    <d v="2026-02-17T00:00:00"/>
    <x v="44"/>
    <x v="0"/>
    <x v="1"/>
    <n v="65"/>
    <n v="147.9"/>
    <n v="9613.5"/>
    <s v="#202602172700010664"/>
    <n v="9.61"/>
    <n v="3.42"/>
    <n v="0"/>
    <n v="0.01"/>
    <n v="29"/>
    <n v="5.84"/>
    <n v="47.88"/>
  </r>
  <r>
    <d v="2026-03-16T00:00:00"/>
    <x v="45"/>
    <x v="0"/>
    <x v="1"/>
    <n v="1040"/>
    <n v="31.65"/>
    <n v="32916"/>
    <s v="#202603162700006846"/>
    <n v="33"/>
    <n v="11.7"/>
    <n v="0"/>
    <n v="0.03"/>
    <n v="464"/>
    <n v="85.64"/>
    <n v="594.37"/>
  </r>
  <r>
    <d v="2026-02-16T00:00:00"/>
    <x v="46"/>
    <x v="0"/>
    <x v="1"/>
    <n v="2100"/>
    <n v="3.9"/>
    <n v="8190"/>
    <s v="#202602162700016857"/>
    <n v="8"/>
    <n v="2.91"/>
    <n v="0"/>
    <n v="0"/>
    <n v="87"/>
    <n v="16.2"/>
    <n v="114.11"/>
  </r>
  <r>
    <d v="2025-05-15T00:00:00"/>
    <x v="47"/>
    <x v="0"/>
    <x v="0"/>
    <n v="75"/>
    <n v="73"/>
    <n v="5475"/>
    <s v="#202505153700016057"/>
    <n v="0"/>
    <n v="1.95"/>
    <n v="0"/>
    <n v="0.01"/>
    <n v="29"/>
    <n v="5.58"/>
    <n v="36.54"/>
  </r>
  <r>
    <d v="2025-05-15T00:00:00"/>
    <x v="47"/>
    <x v="0"/>
    <x v="0"/>
    <n v="750"/>
    <n v="21.25"/>
    <n v="15937.5"/>
    <s v="#202505153700020609"/>
    <n v="0"/>
    <n v="5.67"/>
    <n v="1.74"/>
    <n v="0.02"/>
    <n v="290"/>
    <n v="53.24"/>
    <n v="350.67"/>
  </r>
  <r>
    <d v="2025-05-15T00:00:00"/>
    <x v="47"/>
    <x v="0"/>
    <x v="1"/>
    <n v="300"/>
    <n v="18.850000000000001"/>
    <n v="5655"/>
    <s v="#202505153700020206"/>
    <n v="5.65"/>
    <n v="2"/>
    <n v="0"/>
    <n v="0"/>
    <n v="116"/>
    <n v="21.26"/>
    <n v="144.91"/>
  </r>
  <r>
    <d v="2025-05-15T00:00:00"/>
    <x v="48"/>
    <x v="0"/>
    <x v="0"/>
    <n v="75"/>
    <n v="114.9"/>
    <n v="8617.5"/>
    <s v="#202505153700012471"/>
    <n v="0"/>
    <n v="3.06"/>
    <n v="0.26"/>
    <n v="0.01"/>
    <n v="29"/>
    <n v="5.78"/>
    <n v="38.11"/>
  </r>
  <r>
    <d v="2025-05-15T00:00:00"/>
    <x v="48"/>
    <x v="0"/>
    <x v="1"/>
    <n v="75"/>
    <n v="131.5"/>
    <n v="9862.5"/>
    <s v="#202505153700014098"/>
    <n v="9.8699999999999992"/>
    <n v="3.5"/>
    <n v="0"/>
    <n v="0.01"/>
    <n v="29"/>
    <n v="5.86"/>
    <n v="48.24"/>
  </r>
  <r>
    <d v="2025-05-15T00:00:00"/>
    <x v="47"/>
    <x v="0"/>
    <x v="0"/>
    <n v="75"/>
    <n v="99.2"/>
    <n v="7440"/>
    <s v="#202505153700015627"/>
    <n v="0"/>
    <n v="2.64"/>
    <n v="0"/>
    <n v="0.01"/>
    <n v="29"/>
    <n v="5.7"/>
    <n v="37.35"/>
  </r>
  <r>
    <d v="2025-05-15T00:00:00"/>
    <x v="47"/>
    <x v="0"/>
    <x v="1"/>
    <n v="750"/>
    <n v="16.25"/>
    <n v="12187.5"/>
    <s v="#202505153700021703"/>
    <n v="12.19"/>
    <n v="4.33"/>
    <n v="0"/>
    <n v="0.01"/>
    <n v="290"/>
    <n v="52.98"/>
    <n v="359.51"/>
  </r>
  <r>
    <d v="2025-05-15T00:00:00"/>
    <x v="47"/>
    <x v="0"/>
    <x v="1"/>
    <n v="150"/>
    <n v="95.25"/>
    <n v="14287.5"/>
    <s v="#202505153700016785"/>
    <n v="14.29"/>
    <n v="5.08"/>
    <n v="0"/>
    <n v="0.01"/>
    <n v="58"/>
    <n v="11.36"/>
    <n v="88.74"/>
  </r>
  <r>
    <d v="2025-05-15T00:00:00"/>
    <x v="47"/>
    <x v="0"/>
    <x v="0"/>
    <n v="150"/>
    <n v="81"/>
    <n v="12150"/>
    <s v="#202505153700017843"/>
    <n v="0"/>
    <n v="4.32"/>
    <n v="0"/>
    <n v="0.01"/>
    <n v="58"/>
    <n v="11.22"/>
    <n v="73.55"/>
  </r>
  <r>
    <d v="2025-05-15T00:00:00"/>
    <x v="47"/>
    <x v="0"/>
    <x v="0"/>
    <n v="150"/>
    <n v="38.25"/>
    <n v="5737.5"/>
    <s v="#202505153700019566"/>
    <n v="0"/>
    <n v="2.04"/>
    <n v="0"/>
    <n v="0.01"/>
    <n v="58"/>
    <n v="10.8"/>
    <n v="70.849999999999994"/>
  </r>
  <r>
    <d v="2025-04-15T00:00:00"/>
    <x v="49"/>
    <x v="0"/>
    <x v="1"/>
    <n v="150"/>
    <n v="17.7"/>
    <n v="2655"/>
    <s v="#202504153700004658"/>
    <n v="3"/>
    <n v="0.94"/>
    <n v="0"/>
    <n v="0"/>
    <n v="58"/>
    <n v="10.6"/>
    <n v="72.540000000000006"/>
  </r>
  <r>
    <d v="2025-04-15T00:00:00"/>
    <x v="49"/>
    <x v="0"/>
    <x v="0"/>
    <n v="75"/>
    <n v="23"/>
    <n v="1725"/>
    <s v="#202504153700003201"/>
    <n v="0"/>
    <n v="0.61"/>
    <n v="0"/>
    <n v="0"/>
    <n v="29"/>
    <n v="5.32"/>
    <n v="34.93"/>
  </r>
  <r>
    <d v="2025-04-15T00:00:00"/>
    <x v="49"/>
    <x v="0"/>
    <x v="0"/>
    <n v="75"/>
    <n v="23.5"/>
    <n v="1762.5"/>
    <s v="#202504153700003067"/>
    <n v="0"/>
    <n v="0.63"/>
    <n v="0"/>
    <n v="0"/>
    <n v="29"/>
    <n v="5.34"/>
    <n v="34.97"/>
  </r>
  <r>
    <d v="2025-11-14T00:00:00"/>
    <x v="50"/>
    <x v="0"/>
    <x v="0"/>
    <n v="75"/>
    <n v="76.349999999999994"/>
    <n v="5726.25"/>
    <s v="#202511143700018296"/>
    <n v="0"/>
    <n v="2.0299999999999998"/>
    <n v="0"/>
    <n v="0.01"/>
    <n v="29"/>
    <n v="5.58"/>
    <n v="36.619999999999997"/>
  </r>
  <r>
    <d v="2025-11-14T00:00:00"/>
    <x v="50"/>
    <x v="0"/>
    <x v="1"/>
    <n v="150"/>
    <n v="74.900000000000006"/>
    <n v="11235"/>
    <s v="#202511143700019554"/>
    <n v="11"/>
    <n v="4"/>
    <n v="0"/>
    <n v="0.02"/>
    <n v="58"/>
    <n v="11.16"/>
    <n v="84.18"/>
  </r>
  <r>
    <d v="2025-11-14T00:00:00"/>
    <x v="50"/>
    <x v="0"/>
    <x v="0"/>
    <n v="75"/>
    <n v="62.95"/>
    <n v="4721.25"/>
    <s v="#202511143700018575"/>
    <n v="0"/>
    <n v="1.68"/>
    <n v="0"/>
    <n v="0"/>
    <n v="29"/>
    <n v="5.52"/>
    <n v="36.200000000000003"/>
  </r>
  <r>
    <d v="2025-11-13T00:00:00"/>
    <x v="51"/>
    <x v="0"/>
    <x v="1"/>
    <n v="75"/>
    <n v="119"/>
    <n v="8925"/>
    <s v="#202511132600000650"/>
    <n v="9"/>
    <n v="3.17"/>
    <n v="0"/>
    <n v="0.01"/>
    <n v="29"/>
    <n v="5.8"/>
    <n v="46.98"/>
  </r>
  <r>
    <d v="2026-03-13T00:00:00"/>
    <x v="52"/>
    <x v="0"/>
    <x v="0"/>
    <n v="130"/>
    <n v="197.8"/>
    <n v="25714"/>
    <s v="#202603132700001651"/>
    <n v="0"/>
    <n v="9.14"/>
    <n v="0"/>
    <n v="0.03"/>
    <n v="58"/>
    <n v="12.08"/>
    <n v="79.25"/>
  </r>
  <r>
    <d v="2026-03-13T00:00:00"/>
    <x v="52"/>
    <x v="0"/>
    <x v="1"/>
    <n v="65"/>
    <n v="244.9"/>
    <n v="15918.5"/>
    <s v="#202603132700003209"/>
    <n v="15.57"/>
    <n v="5.66"/>
    <n v="0"/>
    <n v="0.02"/>
    <n v="29"/>
    <n v="6.24"/>
    <n v="56.49"/>
  </r>
  <r>
    <d v="2026-03-13T00:00:00"/>
    <x v="52"/>
    <x v="0"/>
    <x v="1"/>
    <n v="715"/>
    <n v="249.9"/>
    <n v="178678.5"/>
    <s v="#202603132700003260"/>
    <n v="178.67"/>
    <n v="63.47"/>
    <n v="0"/>
    <n v="0.19"/>
    <n v="319"/>
    <n v="68.86"/>
    <n v="630.19000000000005"/>
  </r>
  <r>
    <d v="2026-03-13T00:00:00"/>
    <x v="45"/>
    <x v="0"/>
    <x v="0"/>
    <n v="130"/>
    <n v="192.25"/>
    <n v="24992.5"/>
    <s v="#202603132700008018"/>
    <n v="0"/>
    <n v="8.8800000000000008"/>
    <n v="0"/>
    <n v="0.03"/>
    <n v="58"/>
    <n v="12.04"/>
    <n v="78.95"/>
  </r>
  <r>
    <d v="2026-03-13T00:00:00"/>
    <x v="45"/>
    <x v="0"/>
    <x v="0"/>
    <n v="130"/>
    <n v="189.25"/>
    <n v="24602.5"/>
    <s v="#202603132700008071"/>
    <n v="0"/>
    <n v="8.74"/>
    <n v="0"/>
    <n v="0.02"/>
    <n v="58"/>
    <n v="12.02"/>
    <n v="78.78"/>
  </r>
  <r>
    <d v="2026-03-13T00:00:00"/>
    <x v="45"/>
    <x v="0"/>
    <x v="0"/>
    <n v="130"/>
    <n v="176"/>
    <n v="22880"/>
    <s v="#202603132700008286"/>
    <n v="0"/>
    <n v="8.1199999999999992"/>
    <n v="0"/>
    <n v="0.02"/>
    <n v="58"/>
    <n v="11.92"/>
    <n v="78.06"/>
  </r>
  <r>
    <d v="2026-03-13T00:00:00"/>
    <x v="45"/>
    <x v="0"/>
    <x v="0"/>
    <n v="130"/>
    <n v="174.35"/>
    <n v="22665.5"/>
    <s v="#202603132700008321"/>
    <n v="0"/>
    <n v="8.06"/>
    <n v="0"/>
    <n v="0.02"/>
    <n v="58"/>
    <n v="11.88"/>
    <n v="77.959999999999994"/>
  </r>
  <r>
    <d v="2026-03-13T00:00:00"/>
    <x v="45"/>
    <x v="0"/>
    <x v="0"/>
    <n v="130"/>
    <n v="174.45"/>
    <n v="22678.5"/>
    <s v="#202603132700008346"/>
    <n v="0"/>
    <n v="8.06"/>
    <n v="0"/>
    <n v="0.02"/>
    <n v="58"/>
    <n v="11.88"/>
    <n v="77.959999999999994"/>
  </r>
  <r>
    <d v="2026-03-13T00:00:00"/>
    <x v="45"/>
    <x v="0"/>
    <x v="0"/>
    <n v="130"/>
    <n v="172.3"/>
    <n v="22399"/>
    <s v="#202603132700008388"/>
    <n v="0"/>
    <n v="7.96"/>
    <n v="0"/>
    <n v="0.02"/>
    <n v="58"/>
    <n v="11.88"/>
    <n v="77.86"/>
  </r>
  <r>
    <d v="2026-03-13T00:00:00"/>
    <x v="45"/>
    <x v="0"/>
    <x v="0"/>
    <n v="130"/>
    <n v="167.35"/>
    <n v="21755.5"/>
    <s v="#202603132700008446"/>
    <n v="0"/>
    <n v="7.72"/>
    <n v="0"/>
    <n v="0.02"/>
    <n v="58"/>
    <n v="11.84"/>
    <n v="77.58"/>
  </r>
  <r>
    <d v="2026-03-13T00:00:00"/>
    <x v="45"/>
    <x v="0"/>
    <x v="0"/>
    <n v="130"/>
    <n v="163.35"/>
    <n v="21235.5"/>
    <s v="#202603132700008787"/>
    <n v="0"/>
    <n v="7.54"/>
    <n v="0"/>
    <n v="0.02"/>
    <n v="58"/>
    <n v="11.8"/>
    <n v="77.36"/>
  </r>
  <r>
    <d v="2026-03-13T00:00:00"/>
    <x v="45"/>
    <x v="0"/>
    <x v="1"/>
    <n v="1040"/>
    <n v="143.05000000000001"/>
    <n v="148755.75"/>
    <s v="#202603132700009118"/>
    <n v="148.77000000000001"/>
    <n v="52.84"/>
    <n v="0"/>
    <n v="0.16"/>
    <n v="464"/>
    <n v="93.1"/>
    <n v="758.87"/>
  </r>
  <r>
    <d v="2026-03-13T00:00:00"/>
    <x v="45"/>
    <x v="0"/>
    <x v="0"/>
    <n v="1040"/>
    <n v="148.4"/>
    <n v="154336"/>
    <s v="#202603132700009380"/>
    <n v="0"/>
    <n v="54.84"/>
    <n v="9.99"/>
    <n v="0.15"/>
    <n v="464"/>
    <n v="93.42"/>
    <n v="622.4"/>
  </r>
  <r>
    <d v="2026-03-13T00:00:00"/>
    <x v="52"/>
    <x v="0"/>
    <x v="0"/>
    <n v="325"/>
    <n v="219.76"/>
    <n v="71425.25"/>
    <s v="#202603132700001352"/>
    <n v="0"/>
    <n v="25.38"/>
    <n v="0"/>
    <n v="7.0000000000000007E-2"/>
    <n v="145"/>
    <n v="30.7"/>
    <n v="201.15"/>
  </r>
  <r>
    <d v="2026-03-13T00:00:00"/>
    <x v="52"/>
    <x v="0"/>
    <x v="0"/>
    <n v="325"/>
    <n v="214.81"/>
    <n v="69819.75"/>
    <s v="#202603132700001400"/>
    <n v="0"/>
    <n v="24.81"/>
    <n v="5.01"/>
    <n v="0.06"/>
    <n v="145"/>
    <n v="30.58"/>
    <n v="205.46"/>
  </r>
  <r>
    <d v="2026-01-13T00:00:00"/>
    <x v="35"/>
    <x v="0"/>
    <x v="0"/>
    <n v="65"/>
    <n v="67.25"/>
    <n v="4371.25"/>
    <s v="#202601133100025909"/>
    <n v="0"/>
    <n v="1.55"/>
    <n v="0"/>
    <n v="0"/>
    <n v="29"/>
    <n v="5.5"/>
    <n v="36.049999999999997"/>
  </r>
  <r>
    <d v="2025-11-12T00:00:00"/>
    <x v="51"/>
    <x v="0"/>
    <x v="0"/>
    <n v="75"/>
    <n v="97.35"/>
    <n v="7301.25"/>
    <s v="#202511123700013669"/>
    <n v="0"/>
    <n v="2.59"/>
    <n v="0"/>
    <n v="0.01"/>
    <n v="29"/>
    <n v="5.68"/>
    <n v="37.28"/>
  </r>
  <r>
    <d v="2025-11-12T00:00:00"/>
    <x v="53"/>
    <x v="0"/>
    <x v="1"/>
    <n v="75"/>
    <n v="102.1"/>
    <n v="7657.5"/>
    <s v="#202511123700009214"/>
    <n v="8"/>
    <n v="2.72"/>
    <n v="0"/>
    <n v="0.01"/>
    <n v="29"/>
    <n v="5.72"/>
    <n v="45.45"/>
  </r>
  <r>
    <d v="2025-11-12T00:00:00"/>
    <x v="53"/>
    <x v="0"/>
    <x v="0"/>
    <n v="75"/>
    <n v="113.35"/>
    <n v="8501.25"/>
    <s v="#202511123700007622"/>
    <n v="0"/>
    <n v="3.02"/>
    <n v="0"/>
    <n v="0.01"/>
    <n v="29"/>
    <n v="5.76"/>
    <n v="37.79"/>
  </r>
  <r>
    <d v="2026-03-12T00:00:00"/>
    <x v="54"/>
    <x v="0"/>
    <x v="0"/>
    <n v="130"/>
    <n v="282.10000000000002"/>
    <n v="36673"/>
    <s v="#202603122700003108"/>
    <n v="0"/>
    <n v="13.02"/>
    <n v="0"/>
    <n v="0.04"/>
    <n v="58"/>
    <n v="12.8"/>
    <n v="83.86"/>
  </r>
  <r>
    <d v="2026-03-12T00:00:00"/>
    <x v="54"/>
    <x v="0"/>
    <x v="0"/>
    <n v="65"/>
    <n v="265.25"/>
    <n v="17241.25"/>
    <s v="#202603122700003389"/>
    <n v="0"/>
    <n v="6.13"/>
    <n v="0"/>
    <n v="0.02"/>
    <n v="29"/>
    <n v="6.32"/>
    <n v="41.47"/>
  </r>
  <r>
    <d v="2026-03-12T00:00:00"/>
    <x v="54"/>
    <x v="0"/>
    <x v="1"/>
    <n v="585"/>
    <n v="299.89999999999998"/>
    <n v="175441.5"/>
    <s v="#202603122700007367"/>
    <n v="175.39"/>
    <n v="62.34"/>
    <n v="0"/>
    <n v="0.18"/>
    <n v="261"/>
    <n v="58.24"/>
    <n v="557.15"/>
  </r>
  <r>
    <d v="2026-03-12T00:00:00"/>
    <x v="55"/>
    <x v="0"/>
    <x v="0"/>
    <n v="65"/>
    <n v="202"/>
    <n v="13130"/>
    <s v="#202603122700008059"/>
    <n v="0"/>
    <n v="4.67"/>
    <n v="0"/>
    <n v="0.01"/>
    <n v="29"/>
    <n v="6.06"/>
    <n v="39.74"/>
  </r>
  <r>
    <d v="2026-03-12T00:00:00"/>
    <x v="55"/>
    <x v="0"/>
    <x v="1"/>
    <n v="130"/>
    <n v="197.05"/>
    <n v="25616.5"/>
    <s v="#202603122700008261"/>
    <n v="25.62"/>
    <n v="9.1"/>
    <n v="0"/>
    <n v="0.02"/>
    <n v="58"/>
    <n v="12.08"/>
    <n v="104.82"/>
  </r>
  <r>
    <d v="2026-03-12T00:00:00"/>
    <x v="54"/>
    <x v="0"/>
    <x v="0"/>
    <n v="130"/>
    <n v="282.10000000000002"/>
    <n v="36673"/>
    <s v="#202603122700003072"/>
    <n v="0"/>
    <n v="13.03"/>
    <n v="5.2"/>
    <n v="0.04"/>
    <n v="58"/>
    <n v="12.8"/>
    <n v="89.07"/>
  </r>
  <r>
    <d v="2026-03-12T00:00:00"/>
    <x v="54"/>
    <x v="0"/>
    <x v="0"/>
    <n v="130"/>
    <n v="291.7"/>
    <n v="37921"/>
    <s v="#202603122700003050"/>
    <n v="0"/>
    <n v="13.48"/>
    <n v="0"/>
    <n v="0.04"/>
    <n v="58"/>
    <n v="12.88"/>
    <n v="84.4"/>
  </r>
  <r>
    <d v="2026-03-12T00:00:00"/>
    <x v="54"/>
    <x v="0"/>
    <x v="0"/>
    <n v="130"/>
    <n v="292.14999999999998"/>
    <n v="37979.5"/>
    <s v="#202603122700003011"/>
    <n v="0"/>
    <n v="13.5"/>
    <n v="0"/>
    <n v="0.04"/>
    <n v="58"/>
    <n v="12.88"/>
    <n v="84.42"/>
  </r>
  <r>
    <d v="2026-03-12T00:00:00"/>
    <x v="55"/>
    <x v="0"/>
    <x v="0"/>
    <n v="65"/>
    <n v="209.85"/>
    <n v="13640.25"/>
    <s v="#202603122700008040"/>
    <n v="0"/>
    <n v="4.8499999999999996"/>
    <n v="0.8"/>
    <n v="0.01"/>
    <n v="29"/>
    <n v="6.1"/>
    <n v="40.76"/>
  </r>
  <r>
    <d v="2026-02-12T00:00:00"/>
    <x v="46"/>
    <x v="0"/>
    <x v="0"/>
    <n v="1400"/>
    <n v="3.1"/>
    <n v="4340"/>
    <s v="#202602122700002139"/>
    <n v="0"/>
    <n v="1.54"/>
    <n v="0"/>
    <n v="0"/>
    <n v="58"/>
    <n v="10.72"/>
    <n v="70.260000000000005"/>
  </r>
  <r>
    <d v="2025-12-12T00:00:00"/>
    <x v="56"/>
    <x v="0"/>
    <x v="1"/>
    <n v="750"/>
    <n v="13"/>
    <n v="9750"/>
    <s v="#202512123700036144"/>
    <n v="10"/>
    <n v="3.46"/>
    <n v="0"/>
    <n v="0.01"/>
    <n v="290"/>
    <n v="52.82"/>
    <n v="356.29"/>
  </r>
  <r>
    <d v="2025-12-12T00:00:00"/>
    <x v="56"/>
    <x v="0"/>
    <x v="0"/>
    <n v="150"/>
    <n v="18.100000000000001"/>
    <n v="2715"/>
    <s v="#202512123700020712"/>
    <n v="0"/>
    <n v="0.96"/>
    <n v="0"/>
    <n v="0"/>
    <n v="58"/>
    <n v="10.62"/>
    <n v="69.58"/>
  </r>
  <r>
    <d v="2025-12-12T00:00:00"/>
    <x v="56"/>
    <x v="0"/>
    <x v="0"/>
    <n v="150"/>
    <n v="19.25"/>
    <n v="2887.5"/>
    <s v="#202512123700018183"/>
    <n v="0"/>
    <n v="1.02"/>
    <n v="0"/>
    <n v="0"/>
    <n v="58"/>
    <n v="10.64"/>
    <n v="69.66"/>
  </r>
  <r>
    <d v="2025-12-12T00:00:00"/>
    <x v="56"/>
    <x v="0"/>
    <x v="0"/>
    <n v="150"/>
    <n v="21.25"/>
    <n v="3187.5"/>
    <s v="#202512123700016184"/>
    <n v="0"/>
    <n v="1.1299999999999999"/>
    <n v="0"/>
    <n v="0"/>
    <n v="58"/>
    <n v="10.64"/>
    <n v="69.77"/>
  </r>
  <r>
    <d v="2025-12-12T00:00:00"/>
    <x v="56"/>
    <x v="0"/>
    <x v="0"/>
    <n v="75"/>
    <n v="29.1"/>
    <n v="2182.5"/>
    <s v="#202512122600001017"/>
    <n v="0"/>
    <n v="0.78"/>
    <n v="0"/>
    <n v="0"/>
    <n v="29"/>
    <n v="5.36"/>
    <n v="35.14"/>
  </r>
  <r>
    <d v="2025-12-12T00:00:00"/>
    <x v="56"/>
    <x v="0"/>
    <x v="0"/>
    <n v="75"/>
    <n v="21.25"/>
    <n v="1593.75"/>
    <s v="#202512123700010037"/>
    <n v="0"/>
    <n v="0.56999999999999995"/>
    <n v="0"/>
    <n v="0"/>
    <n v="29"/>
    <n v="5.32"/>
    <n v="34.89"/>
  </r>
  <r>
    <d v="2025-08-12T00:00:00"/>
    <x v="57"/>
    <x v="0"/>
    <x v="0"/>
    <n v="75"/>
    <n v="82.3"/>
    <n v="6172.5"/>
    <s v="#202508123700006526"/>
    <n v="0"/>
    <n v="2.19"/>
    <n v="0"/>
    <n v="0.01"/>
    <n v="29"/>
    <n v="5.62"/>
    <n v="36.82"/>
  </r>
  <r>
    <d v="2025-08-12T00:00:00"/>
    <x v="57"/>
    <x v="0"/>
    <x v="0"/>
    <n v="150"/>
    <n v="66.05"/>
    <n v="9907.5"/>
    <s v="#202508123700006900"/>
    <n v="0"/>
    <n v="3.52"/>
    <n v="1"/>
    <n v="0.01"/>
    <n v="58"/>
    <n v="11.08"/>
    <n v="73.61"/>
  </r>
  <r>
    <d v="2025-08-12T00:00:00"/>
    <x v="57"/>
    <x v="0"/>
    <x v="0"/>
    <n v="225"/>
    <n v="44.3"/>
    <n v="9967.5"/>
    <s v="#202508123700010646"/>
    <n v="0"/>
    <n v="3.54"/>
    <n v="0"/>
    <n v="0.01"/>
    <n v="87"/>
    <n v="16.3"/>
    <n v="106.85"/>
  </r>
  <r>
    <d v="2025-08-12T00:00:00"/>
    <x v="57"/>
    <x v="0"/>
    <x v="1"/>
    <n v="450"/>
    <n v="59.65"/>
    <n v="26842.5"/>
    <s v="#202508123700012255"/>
    <n v="27"/>
    <n v="9.5399999999999991"/>
    <n v="0"/>
    <n v="0.02"/>
    <n v="174"/>
    <n v="33.04"/>
    <n v="243.6"/>
  </r>
  <r>
    <d v="2026-03-11T00:00:00"/>
    <x v="58"/>
    <x v="0"/>
    <x v="0"/>
    <n v="65"/>
    <n v="190.4"/>
    <n v="12376"/>
    <s v="#202603112700001848"/>
    <n v="0"/>
    <n v="4.4000000000000004"/>
    <n v="0"/>
    <n v="0.01"/>
    <n v="29"/>
    <n v="6.02"/>
    <n v="39.43"/>
  </r>
  <r>
    <d v="2026-03-11T00:00:00"/>
    <x v="58"/>
    <x v="0"/>
    <x v="0"/>
    <n v="325"/>
    <n v="190"/>
    <n v="61750"/>
    <s v="#202603112700001867"/>
    <n v="0"/>
    <n v="21.94"/>
    <n v="3"/>
    <n v="0.06"/>
    <n v="145"/>
    <n v="30.08"/>
    <n v="200.08"/>
  </r>
  <r>
    <d v="2026-03-11T00:00:00"/>
    <x v="58"/>
    <x v="0"/>
    <x v="0"/>
    <n v="195"/>
    <n v="188.32"/>
    <n v="36728.25"/>
    <s v="#202603112700002127"/>
    <n v="0"/>
    <n v="13.05"/>
    <n v="0"/>
    <n v="0.03"/>
    <n v="87"/>
    <n v="18.02"/>
    <n v="118.1"/>
  </r>
  <r>
    <d v="2026-03-11T00:00:00"/>
    <x v="58"/>
    <x v="0"/>
    <x v="1"/>
    <n v="585"/>
    <n v="219.9"/>
    <n v="128641.5"/>
    <s v="#202603112700002841"/>
    <n v="129"/>
    <n v="45.72"/>
    <n v="0"/>
    <n v="0.12"/>
    <n v="261"/>
    <n v="55.26"/>
    <n v="491.1"/>
  </r>
  <r>
    <d v="2026-02-11T00:00:00"/>
    <x v="46"/>
    <x v="0"/>
    <x v="0"/>
    <n v="700"/>
    <n v="5.15"/>
    <n v="3605"/>
    <s v="#202602112700002859"/>
    <n v="0"/>
    <n v="1.28"/>
    <n v="0"/>
    <n v="0"/>
    <n v="29"/>
    <n v="5.46"/>
    <n v="35.74"/>
  </r>
  <r>
    <d v="2025-12-11T00:00:00"/>
    <x v="56"/>
    <x v="0"/>
    <x v="0"/>
    <n v="75"/>
    <n v="82.25"/>
    <n v="6168.75"/>
    <s v="#202512113700015729"/>
    <n v="0"/>
    <n v="2.19"/>
    <n v="0"/>
    <n v="0.01"/>
    <n v="29"/>
    <n v="5.62"/>
    <n v="36.82"/>
  </r>
  <r>
    <d v="2025-12-11T00:00:00"/>
    <x v="56"/>
    <x v="0"/>
    <x v="0"/>
    <n v="75"/>
    <n v="61.25"/>
    <n v="4593.75"/>
    <s v="#202512113700024410"/>
    <n v="0"/>
    <n v="1.63"/>
    <n v="0"/>
    <n v="0"/>
    <n v="29"/>
    <n v="5.52"/>
    <n v="36.15"/>
  </r>
  <r>
    <d v="2025-09-10T00:00:00"/>
    <x v="59"/>
    <x v="0"/>
    <x v="0"/>
    <n v="75"/>
    <n v="128.5"/>
    <n v="9637.5"/>
    <s v="#202509103700012844"/>
    <n v="0"/>
    <n v="3.42"/>
    <n v="0"/>
    <n v="0.01"/>
    <n v="29"/>
    <n v="5.84"/>
    <n v="38.270000000000003"/>
  </r>
  <r>
    <d v="2025-09-10T00:00:00"/>
    <x v="59"/>
    <x v="0"/>
    <x v="0"/>
    <n v="75"/>
    <n v="125.05"/>
    <n v="9378.75"/>
    <s v="#202509103700012986"/>
    <n v="0"/>
    <n v="3.33"/>
    <n v="0"/>
    <n v="0.01"/>
    <n v="29"/>
    <n v="5.82"/>
    <n v="38.159999999999997"/>
  </r>
  <r>
    <d v="2025-09-10T00:00:00"/>
    <x v="59"/>
    <x v="0"/>
    <x v="1"/>
    <n v="150"/>
    <n v="118.7"/>
    <n v="17805"/>
    <s v="#202509103700013364"/>
    <n v="17.399999999999999"/>
    <n v="6.33"/>
    <n v="0"/>
    <n v="0.02"/>
    <n v="58"/>
    <n v="11.58"/>
    <n v="93.33"/>
  </r>
  <r>
    <d v="2025-09-10T00:00:00"/>
    <x v="59"/>
    <x v="0"/>
    <x v="0"/>
    <n v="150"/>
    <n v="121.9"/>
    <n v="18285"/>
    <s v="#202509103700013511"/>
    <n v="0"/>
    <n v="6.5"/>
    <n v="1.39"/>
    <n v="0.02"/>
    <n v="58"/>
    <n v="11.62"/>
    <n v="77.53"/>
  </r>
  <r>
    <d v="2025-09-10T00:00:00"/>
    <x v="59"/>
    <x v="0"/>
    <x v="1"/>
    <n v="150"/>
    <n v="119"/>
    <n v="17850"/>
    <s v="#202509103700013709"/>
    <n v="17.850000000000001"/>
    <n v="6.34"/>
    <n v="0"/>
    <n v="0.02"/>
    <n v="58"/>
    <n v="11.58"/>
    <n v="93.79"/>
  </r>
  <r>
    <d v="2025-09-10T00:00:00"/>
    <x v="60"/>
    <x v="0"/>
    <x v="0"/>
    <n v="225"/>
    <n v="90.8"/>
    <n v="20430"/>
    <s v="#202509103700014737"/>
    <n v="0"/>
    <n v="7.26"/>
    <n v="0.61"/>
    <n v="0.02"/>
    <n v="87"/>
    <n v="16.98"/>
    <n v="111.87"/>
  </r>
  <r>
    <d v="2025-09-10T00:00:00"/>
    <x v="60"/>
    <x v="0"/>
    <x v="1"/>
    <n v="225"/>
    <n v="87.8"/>
    <n v="19755"/>
    <s v="#202509103700014903"/>
    <n v="19.760000000000002"/>
    <n v="7.02"/>
    <n v="0"/>
    <n v="0.02"/>
    <n v="87"/>
    <n v="16.920000000000002"/>
    <n v="130.72"/>
  </r>
  <r>
    <d v="2025-11-10T00:00:00"/>
    <x v="61"/>
    <x v="0"/>
    <x v="0"/>
    <n v="75"/>
    <n v="68.3"/>
    <n v="5122.5"/>
    <s v="#202511103700012854"/>
    <n v="0"/>
    <n v="1.82"/>
    <n v="0"/>
    <n v="0.01"/>
    <n v="29"/>
    <n v="5.54"/>
    <n v="36.369999999999997"/>
  </r>
  <r>
    <d v="2025-11-10T00:00:00"/>
    <x v="61"/>
    <x v="0"/>
    <x v="1"/>
    <n v="75"/>
    <n v="64.25"/>
    <n v="4818.75"/>
    <s v="#202511103700012959"/>
    <n v="4.6399999999999997"/>
    <n v="1.71"/>
    <n v="0"/>
    <n v="0"/>
    <n v="29"/>
    <n v="5.52"/>
    <n v="40.869999999999997"/>
  </r>
  <r>
    <d v="2025-11-10T00:00:00"/>
    <x v="62"/>
    <x v="0"/>
    <x v="0"/>
    <n v="75"/>
    <n v="80.55"/>
    <n v="6041.25"/>
    <s v="#202511103700015958"/>
    <n v="0"/>
    <n v="2.15"/>
    <n v="0"/>
    <n v="0.01"/>
    <n v="29"/>
    <n v="5.6"/>
    <n v="36.76"/>
  </r>
  <r>
    <d v="2025-11-10T00:00:00"/>
    <x v="62"/>
    <x v="0"/>
    <x v="1"/>
    <n v="75"/>
    <n v="84.85"/>
    <n v="6363.75"/>
    <s v="#202511103700016322"/>
    <n v="6.36"/>
    <n v="2.2599999999999998"/>
    <n v="0"/>
    <n v="0.01"/>
    <n v="29"/>
    <n v="5.62"/>
    <n v="43.25"/>
  </r>
  <r>
    <d v="2025-09-09T00:00:00"/>
    <x v="63"/>
    <x v="0"/>
    <x v="1"/>
    <n v="750"/>
    <n v="52.95"/>
    <n v="39712.5"/>
    <s v="#202509093700006739"/>
    <n v="39.28"/>
    <n v="14.1"/>
    <n v="0"/>
    <n v="0.02"/>
    <n v="290"/>
    <n v="54.76"/>
    <n v="398.16"/>
  </r>
  <r>
    <d v="2025-09-09T00:00:00"/>
    <x v="63"/>
    <x v="0"/>
    <x v="0"/>
    <n v="750"/>
    <n v="47.05"/>
    <n v="35287.5"/>
    <s v="#202509093700005552"/>
    <n v="0"/>
    <n v="12.54"/>
    <n v="1.06"/>
    <n v="0.04"/>
    <n v="290"/>
    <n v="54.48"/>
    <n v="358.12"/>
  </r>
  <r>
    <d v="2025-09-09T00:00:00"/>
    <x v="64"/>
    <x v="0"/>
    <x v="1"/>
    <n v="900"/>
    <n v="3.45"/>
    <n v="3105"/>
    <s v="#202509093700032000"/>
    <n v="3.11"/>
    <n v="1.1000000000000001"/>
    <n v="0"/>
    <n v="0"/>
    <n v="348"/>
    <n v="62.84"/>
    <n v="415.05"/>
  </r>
  <r>
    <d v="2025-09-09T00:00:00"/>
    <x v="64"/>
    <x v="0"/>
    <x v="1"/>
    <n v="1500"/>
    <n v="3.65"/>
    <n v="5475"/>
    <s v="#202509093700031951"/>
    <n v="5.48"/>
    <n v="1.95"/>
    <n v="0"/>
    <n v="0.01"/>
    <n v="580"/>
    <n v="104.76"/>
    <n v="692.2"/>
  </r>
  <r>
    <d v="2025-09-09T00:00:00"/>
    <x v="64"/>
    <x v="0"/>
    <x v="1"/>
    <n v="1500"/>
    <n v="3.3"/>
    <n v="4950"/>
    <s v="#202509093700031817"/>
    <n v="4.95"/>
    <n v="1.76"/>
    <n v="0"/>
    <n v="0"/>
    <n v="580"/>
    <n v="104.72"/>
    <n v="691.43"/>
  </r>
  <r>
    <d v="2025-09-09T00:00:00"/>
    <x v="64"/>
    <x v="0"/>
    <x v="1"/>
    <n v="1500"/>
    <n v="3.4"/>
    <n v="5100"/>
    <s v="#202509093700031713"/>
    <n v="5.0999999999999996"/>
    <n v="1.81"/>
    <n v="0"/>
    <n v="0"/>
    <n v="580"/>
    <n v="104.74"/>
    <n v="691.65"/>
  </r>
  <r>
    <d v="2025-09-09T00:00:00"/>
    <x v="64"/>
    <x v="0"/>
    <x v="0"/>
    <n v="1350"/>
    <n v="9.25"/>
    <n v="12487.5"/>
    <s v="#202509093700024548"/>
    <n v="0"/>
    <n v="4.4400000000000004"/>
    <n v="0"/>
    <n v="0.01"/>
    <n v="522"/>
    <n v="94.76"/>
    <n v="621.21"/>
  </r>
  <r>
    <d v="2025-09-09T00:00:00"/>
    <x v="64"/>
    <x v="0"/>
    <x v="0"/>
    <n v="1350"/>
    <n v="10.7"/>
    <n v="14445"/>
    <s v="#202509093700022732"/>
    <n v="0"/>
    <n v="5.14"/>
    <n v="0"/>
    <n v="0.01"/>
    <n v="522"/>
    <n v="94.88"/>
    <n v="622.03"/>
  </r>
  <r>
    <d v="2025-09-09T00:00:00"/>
    <x v="65"/>
    <x v="0"/>
    <x v="0"/>
    <n v="450"/>
    <n v="53.25"/>
    <n v="23962.5"/>
    <s v="#202509093700011365"/>
    <n v="0"/>
    <n v="8.51"/>
    <n v="0.72"/>
    <n v="0.02"/>
    <n v="174"/>
    <n v="32.86"/>
    <n v="216.11"/>
  </r>
  <r>
    <d v="2025-09-09T00:00:00"/>
    <x v="65"/>
    <x v="0"/>
    <x v="1"/>
    <n v="450"/>
    <n v="57.95"/>
    <n v="26077.5"/>
    <s v="#202509093700011440"/>
    <n v="26.09"/>
    <n v="9.26"/>
    <n v="0"/>
    <n v="0.02"/>
    <n v="174"/>
    <n v="33"/>
    <n v="242.37"/>
  </r>
  <r>
    <d v="2025-09-09T00:00:00"/>
    <x v="64"/>
    <x v="0"/>
    <x v="0"/>
    <n v="1350"/>
    <n v="16.3"/>
    <n v="22005"/>
    <s v="#202509093700021666"/>
    <n v="0"/>
    <n v="7.81"/>
    <n v="0"/>
    <n v="0.02"/>
    <n v="522"/>
    <n v="95.36"/>
    <n v="625.19000000000005"/>
  </r>
  <r>
    <d v="2025-09-09T00:00:00"/>
    <x v="64"/>
    <x v="0"/>
    <x v="0"/>
    <n v="1350"/>
    <n v="14.25"/>
    <n v="19237.5"/>
    <s v="#202509093700021839"/>
    <n v="0"/>
    <n v="6.84"/>
    <n v="2.2200000000000002"/>
    <n v="0.02"/>
    <n v="522"/>
    <n v="95.2"/>
    <n v="626.28"/>
  </r>
  <r>
    <d v="2026-03-09T00:00:00"/>
    <x v="66"/>
    <x v="0"/>
    <x v="0"/>
    <n v="65"/>
    <n v="241.55"/>
    <n v="15700.75"/>
    <s v="#202603092700005636"/>
    <n v="0"/>
    <n v="5.58"/>
    <n v="0"/>
    <n v="0.02"/>
    <n v="29"/>
    <n v="6.22"/>
    <n v="40.82"/>
  </r>
  <r>
    <d v="2026-03-09T00:00:00"/>
    <x v="66"/>
    <x v="0"/>
    <x v="0"/>
    <n v="65"/>
    <n v="266.3"/>
    <n v="17309.5"/>
    <s v="#202603092700005282"/>
    <n v="0"/>
    <n v="6.15"/>
    <n v="0"/>
    <n v="0.02"/>
    <n v="29"/>
    <n v="6.34"/>
    <n v="41.51"/>
  </r>
  <r>
    <d v="2026-03-09T00:00:00"/>
    <x v="66"/>
    <x v="0"/>
    <x v="0"/>
    <n v="65"/>
    <n v="258.7"/>
    <n v="16815.5"/>
    <s v="#202603092700007658"/>
    <n v="0"/>
    <n v="5.97"/>
    <n v="0"/>
    <n v="0.02"/>
    <n v="29"/>
    <n v="6.3"/>
    <n v="41.29"/>
  </r>
  <r>
    <d v="2026-03-09T00:00:00"/>
    <x v="66"/>
    <x v="0"/>
    <x v="0"/>
    <n v="65"/>
    <n v="241.6"/>
    <n v="15704"/>
    <s v="#202603092700007700"/>
    <n v="0"/>
    <n v="5.58"/>
    <n v="3"/>
    <n v="0.02"/>
    <n v="29"/>
    <n v="6.22"/>
    <n v="43.82"/>
  </r>
  <r>
    <d v="2026-03-09T00:00:00"/>
    <x v="66"/>
    <x v="0"/>
    <x v="1"/>
    <n v="390"/>
    <n v="309.89999999999998"/>
    <n v="120861"/>
    <s v="#202603092700012734"/>
    <n v="120.99"/>
    <n v="42.95"/>
    <n v="0"/>
    <n v="0.12"/>
    <n v="174"/>
    <n v="39.1"/>
    <n v="377.16"/>
  </r>
  <r>
    <d v="2026-03-09T00:00:00"/>
    <x v="66"/>
    <x v="0"/>
    <x v="0"/>
    <n v="65"/>
    <n v="230.25"/>
    <n v="14966.25"/>
    <s v="#202603092700006420"/>
    <n v="0"/>
    <n v="5.32"/>
    <n v="0"/>
    <n v="0.02"/>
    <n v="29"/>
    <n v="6.18"/>
    <n v="40.520000000000003"/>
  </r>
  <r>
    <d v="2026-03-09T00:00:00"/>
    <x v="66"/>
    <x v="0"/>
    <x v="0"/>
    <n v="65"/>
    <n v="221.05"/>
    <n v="14368.25"/>
    <s v="#202603092700006559"/>
    <n v="0"/>
    <n v="5.1100000000000003"/>
    <n v="0"/>
    <n v="0.01"/>
    <n v="29"/>
    <n v="6.14"/>
    <n v="40.26"/>
  </r>
  <r>
    <d v="2025-04-09T00:00:00"/>
    <x v="67"/>
    <x v="0"/>
    <x v="1"/>
    <n v="900"/>
    <n v="4.1500000000000004"/>
    <n v="3735"/>
    <s v="#202504093700020424"/>
    <n v="3.74"/>
    <n v="1.32"/>
    <n v="0"/>
    <n v="0"/>
    <n v="348"/>
    <n v="62.88"/>
    <n v="415.94"/>
  </r>
  <r>
    <d v="2025-04-09T00:00:00"/>
    <x v="67"/>
    <x v="0"/>
    <x v="0"/>
    <n v="450"/>
    <n v="8.75"/>
    <n v="3937.5"/>
    <s v="#202504093700017156"/>
    <n v="0"/>
    <n v="1.4"/>
    <n v="0.55000000000000004"/>
    <n v="0"/>
    <n v="174"/>
    <n v="31.58"/>
    <n v="207.53"/>
  </r>
  <r>
    <d v="2025-04-09T00:00:00"/>
    <x v="68"/>
    <x v="0"/>
    <x v="1"/>
    <n v="750"/>
    <n v="7.25"/>
    <n v="5437.5"/>
    <s v="#202504093700017088"/>
    <n v="5.44"/>
    <n v="1.93"/>
    <n v="0"/>
    <n v="0.01"/>
    <n v="290"/>
    <n v="52.54"/>
    <n v="349.92"/>
  </r>
  <r>
    <d v="2025-04-09T00:00:00"/>
    <x v="68"/>
    <x v="0"/>
    <x v="0"/>
    <n v="750"/>
    <n v="9.6"/>
    <n v="7200"/>
    <s v="#202504093700017000"/>
    <n v="0"/>
    <n v="2.5499999999999998"/>
    <n v="0.22"/>
    <n v="0"/>
    <n v="290"/>
    <n v="52.66"/>
    <n v="345.43"/>
  </r>
  <r>
    <d v="2025-04-09T00:00:00"/>
    <x v="67"/>
    <x v="0"/>
    <x v="0"/>
    <n v="75"/>
    <n v="9.25"/>
    <n v="693.75"/>
    <s v="#202504093700016598"/>
    <n v="0"/>
    <n v="0.25"/>
    <n v="0"/>
    <n v="0"/>
    <n v="29"/>
    <n v="5.26"/>
    <n v="34.51"/>
  </r>
  <r>
    <d v="2025-04-09T00:00:00"/>
    <x v="67"/>
    <x v="0"/>
    <x v="0"/>
    <n v="75"/>
    <n v="13.15"/>
    <n v="986.25"/>
    <s v="#202504093700015487"/>
    <n v="0"/>
    <n v="0.35"/>
    <n v="0"/>
    <n v="0"/>
    <n v="29"/>
    <n v="5.28"/>
    <n v="34.630000000000003"/>
  </r>
  <r>
    <d v="2025-04-09T00:00:00"/>
    <x v="67"/>
    <x v="0"/>
    <x v="0"/>
    <n v="75"/>
    <n v="19.3"/>
    <n v="1447.5"/>
    <s v="#202504093700014578"/>
    <n v="0"/>
    <n v="0.51"/>
    <n v="0"/>
    <n v="0"/>
    <n v="29"/>
    <n v="5.32"/>
    <n v="34.83"/>
  </r>
  <r>
    <d v="2025-04-09T00:00:00"/>
    <x v="69"/>
    <x v="0"/>
    <x v="1"/>
    <n v="75"/>
    <n v="28.15"/>
    <n v="2111.25"/>
    <s v="#202504093700014289"/>
    <n v="2.11"/>
    <n v="0.75"/>
    <n v="0"/>
    <n v="0"/>
    <n v="29"/>
    <n v="5.36"/>
    <n v="37.22"/>
  </r>
  <r>
    <d v="2025-04-09T00:00:00"/>
    <x v="69"/>
    <x v="0"/>
    <x v="0"/>
    <n v="75"/>
    <n v="32.200000000000003"/>
    <n v="2415"/>
    <s v="#202504093700014210"/>
    <n v="0"/>
    <n v="0.86"/>
    <n v="0"/>
    <n v="0"/>
    <n v="29"/>
    <n v="5.38"/>
    <n v="35.24"/>
  </r>
  <r>
    <d v="2025-04-09T00:00:00"/>
    <x v="67"/>
    <x v="0"/>
    <x v="0"/>
    <n v="75"/>
    <n v="23.4"/>
    <n v="1755"/>
    <s v="#202504093700013953"/>
    <n v="0"/>
    <n v="0.62"/>
    <n v="0"/>
    <n v="0"/>
    <n v="29"/>
    <n v="5.34"/>
    <n v="34.96"/>
  </r>
  <r>
    <d v="2025-04-09T00:00:00"/>
    <x v="67"/>
    <x v="0"/>
    <x v="0"/>
    <n v="75"/>
    <n v="28.15"/>
    <n v="2111.25"/>
    <s v="#202504093700012838"/>
    <n v="0"/>
    <n v="0.75"/>
    <n v="0"/>
    <n v="0"/>
    <n v="29"/>
    <n v="5.36"/>
    <n v="35.11"/>
  </r>
  <r>
    <d v="2025-04-09T00:00:00"/>
    <x v="67"/>
    <x v="0"/>
    <x v="0"/>
    <n v="75"/>
    <n v="69.05"/>
    <n v="5178.75"/>
    <s v="#202504093700008064"/>
    <n v="0"/>
    <n v="1.84"/>
    <n v="0"/>
    <n v="0.01"/>
    <n v="29"/>
    <n v="5.56"/>
    <n v="36.409999999999997"/>
  </r>
  <r>
    <d v="2025-04-09T00:00:00"/>
    <x v="69"/>
    <x v="0"/>
    <x v="1"/>
    <n v="75"/>
    <n v="83.25"/>
    <n v="6243.75"/>
    <s v="#202504093700007105"/>
    <n v="6.24"/>
    <n v="2.2200000000000002"/>
    <n v="0"/>
    <n v="0.01"/>
    <n v="29"/>
    <n v="5.62"/>
    <n v="43.09"/>
  </r>
  <r>
    <d v="2025-04-09T00:00:00"/>
    <x v="69"/>
    <x v="0"/>
    <x v="0"/>
    <n v="75"/>
    <n v="68.099999999999994"/>
    <n v="5107.5"/>
    <s v="#202504093700006957"/>
    <n v="0"/>
    <n v="1.81"/>
    <n v="0.23"/>
    <n v="0.01"/>
    <n v="29"/>
    <n v="5.54"/>
    <n v="36.590000000000003"/>
  </r>
  <r>
    <d v="2025-04-09T00:00:00"/>
    <x v="67"/>
    <x v="0"/>
    <x v="0"/>
    <n v="75"/>
    <n v="83.3"/>
    <n v="6247.5"/>
    <s v="#202504093700006200"/>
    <n v="0"/>
    <n v="2.2200000000000002"/>
    <n v="0"/>
    <n v="0.01"/>
    <n v="29"/>
    <n v="5.62"/>
    <n v="36.85"/>
  </r>
  <r>
    <d v="2025-04-09T00:00:00"/>
    <x v="67"/>
    <x v="0"/>
    <x v="1"/>
    <n v="75"/>
    <n v="81"/>
    <n v="6075"/>
    <s v="#202504093700006425"/>
    <n v="6.47"/>
    <n v="2.16"/>
    <n v="0"/>
    <n v="0.01"/>
    <n v="29"/>
    <n v="5.62"/>
    <n v="43.26"/>
  </r>
  <r>
    <d v="2025-09-08T00:00:00"/>
    <x v="64"/>
    <x v="0"/>
    <x v="1"/>
    <n v="75"/>
    <n v="21.95"/>
    <n v="1646.25"/>
    <s v="#202509083700029705"/>
    <n v="1.65"/>
    <n v="0.57999999999999996"/>
    <n v="0"/>
    <n v="0"/>
    <n v="29"/>
    <n v="5.32"/>
    <n v="36.549999999999997"/>
  </r>
  <r>
    <d v="2025-09-08T00:00:00"/>
    <x v="64"/>
    <x v="0"/>
    <x v="1"/>
    <n v="975"/>
    <n v="18.25"/>
    <n v="17793.75"/>
    <s v="#202509083700033845"/>
    <n v="17.809999999999999"/>
    <n v="6.33"/>
    <n v="0"/>
    <n v="0.02"/>
    <n v="377"/>
    <n v="69.02"/>
    <n v="470.18"/>
  </r>
  <r>
    <d v="2025-09-08T00:00:00"/>
    <x v="64"/>
    <x v="0"/>
    <x v="1"/>
    <n v="150"/>
    <n v="19.95"/>
    <n v="2992.5"/>
    <s v="#202509083700029135"/>
    <n v="2.99"/>
    <n v="1.06"/>
    <n v="0"/>
    <n v="0"/>
    <n v="58"/>
    <n v="10.64"/>
    <n v="72.69"/>
  </r>
  <r>
    <d v="2025-09-08T00:00:00"/>
    <x v="64"/>
    <x v="0"/>
    <x v="0"/>
    <n v="450"/>
    <n v="30.4"/>
    <n v="13680"/>
    <s v="#202509083700016674"/>
    <n v="0"/>
    <n v="4.8600000000000003"/>
    <n v="0"/>
    <n v="0.01"/>
    <n v="174"/>
    <n v="32.200000000000003"/>
    <n v="211.07"/>
  </r>
  <r>
    <d v="2025-09-08T00:00:00"/>
    <x v="64"/>
    <x v="0"/>
    <x v="0"/>
    <n v="450"/>
    <n v="31.9"/>
    <n v="14355"/>
    <s v="#202509083700016156"/>
    <n v="0"/>
    <n v="5.0999999999999996"/>
    <n v="2"/>
    <n v="0.01"/>
    <n v="174"/>
    <n v="32.24"/>
    <n v="213.35"/>
  </r>
  <r>
    <d v="2025-09-08T00:00:00"/>
    <x v="64"/>
    <x v="0"/>
    <x v="0"/>
    <n v="450"/>
    <n v="41.05"/>
    <n v="18472.5"/>
    <s v="#202509083700014695"/>
    <n v="0"/>
    <n v="6.56"/>
    <n v="0"/>
    <n v="0.02"/>
    <n v="174"/>
    <n v="32.5"/>
    <n v="213.08"/>
  </r>
  <r>
    <d v="2025-09-08T00:00:00"/>
    <x v="64"/>
    <x v="0"/>
    <x v="1"/>
    <n v="900"/>
    <n v="37.950000000000003"/>
    <n v="34155"/>
    <s v="#202509083700011120"/>
    <n v="34.42"/>
    <n v="12.14"/>
    <n v="0"/>
    <n v="0.03"/>
    <n v="348"/>
    <n v="64.84"/>
    <n v="459.43"/>
  </r>
  <r>
    <d v="2025-09-08T00:00:00"/>
    <x v="64"/>
    <x v="0"/>
    <x v="0"/>
    <n v="450"/>
    <n v="34.950000000000003"/>
    <n v="15727.5"/>
    <s v="#202509083700010728"/>
    <n v="0"/>
    <n v="5.58"/>
    <n v="0"/>
    <n v="0.02"/>
    <n v="174"/>
    <n v="32.32"/>
    <n v="211.92"/>
  </r>
  <r>
    <d v="2025-09-08T00:00:00"/>
    <x v="64"/>
    <x v="0"/>
    <x v="0"/>
    <n v="450"/>
    <n v="38.65"/>
    <n v="17392.5"/>
    <s v="#202509083700010231"/>
    <n v="0"/>
    <n v="6.18"/>
    <n v="0"/>
    <n v="0.01"/>
    <n v="174"/>
    <n v="32.42"/>
    <n v="212.61"/>
  </r>
  <r>
    <d v="2025-09-08T00:00:00"/>
    <x v="64"/>
    <x v="0"/>
    <x v="1"/>
    <n v="150"/>
    <n v="20.95"/>
    <n v="3142.5"/>
    <s v="#202509083700029191"/>
    <n v="3.14"/>
    <n v="1.1200000000000001"/>
    <n v="0"/>
    <n v="0"/>
    <n v="58"/>
    <n v="10.64"/>
    <n v="72.900000000000006"/>
  </r>
  <r>
    <d v="2025-05-08T00:00:00"/>
    <x v="70"/>
    <x v="0"/>
    <x v="1"/>
    <n v="225"/>
    <n v="10.199999999999999"/>
    <n v="2295"/>
    <s v="#202505083700011713"/>
    <n v="2.2999999999999998"/>
    <n v="0.81"/>
    <n v="0"/>
    <n v="0"/>
    <n v="87"/>
    <n v="15.8"/>
    <n v="105.91"/>
  </r>
  <r>
    <d v="2025-05-08T00:00:00"/>
    <x v="70"/>
    <x v="0"/>
    <x v="0"/>
    <n v="225"/>
    <n v="11.65"/>
    <n v="2621.25"/>
    <s v="#202505083700011579"/>
    <n v="0"/>
    <n v="0.93"/>
    <n v="0"/>
    <n v="0"/>
    <n v="87"/>
    <n v="15.82"/>
    <n v="103.75"/>
  </r>
  <r>
    <d v="2025-05-08T00:00:00"/>
    <x v="70"/>
    <x v="0"/>
    <x v="1"/>
    <n v="300"/>
    <n v="11.35"/>
    <n v="3405"/>
    <s v="#202505083700010422"/>
    <n v="3.7"/>
    <n v="1.2"/>
    <n v="0"/>
    <n v="0"/>
    <n v="116"/>
    <n v="21.1"/>
    <n v="142"/>
  </r>
  <r>
    <d v="2025-05-08T00:00:00"/>
    <x v="70"/>
    <x v="0"/>
    <x v="0"/>
    <n v="75"/>
    <n v="16.350000000000001"/>
    <n v="1226.25"/>
    <s v="#202505083700009329"/>
    <n v="0"/>
    <n v="0.44"/>
    <n v="0"/>
    <n v="0"/>
    <n v="29"/>
    <n v="5.3"/>
    <n v="34.74"/>
  </r>
  <r>
    <d v="2025-05-08T00:00:00"/>
    <x v="70"/>
    <x v="0"/>
    <x v="0"/>
    <n v="75"/>
    <n v="24.85"/>
    <n v="1863.75"/>
    <s v="#202505083700007209"/>
    <n v="0"/>
    <n v="0.66"/>
    <n v="0"/>
    <n v="0"/>
    <n v="29"/>
    <n v="5.34"/>
    <n v="35"/>
  </r>
  <r>
    <d v="2025-05-08T00:00:00"/>
    <x v="70"/>
    <x v="0"/>
    <x v="0"/>
    <n v="150"/>
    <n v="37.450000000000003"/>
    <n v="5617.5"/>
    <s v="#202505083700006575"/>
    <n v="0"/>
    <n v="2"/>
    <n v="0"/>
    <n v="0.01"/>
    <n v="58"/>
    <n v="10.8"/>
    <n v="70.81"/>
  </r>
  <r>
    <d v="2025-12-08T00:00:00"/>
    <x v="71"/>
    <x v="0"/>
    <x v="1"/>
    <n v="75"/>
    <n v="77.25"/>
    <n v="5793.75"/>
    <s v="#202512083700013987"/>
    <n v="6"/>
    <n v="2.06"/>
    <n v="0"/>
    <n v="0.01"/>
    <n v="29"/>
    <n v="5.6"/>
    <n v="42.67"/>
  </r>
  <r>
    <d v="2025-04-08T00:00:00"/>
    <x v="72"/>
    <x v="0"/>
    <x v="0"/>
    <n v="75"/>
    <n v="154.19999999999999"/>
    <n v="11565"/>
    <s v="#202504083700009315"/>
    <n v="0"/>
    <n v="4.1100000000000003"/>
    <n v="0"/>
    <n v="0.01"/>
    <n v="29"/>
    <n v="5.96"/>
    <n v="39.08"/>
  </r>
  <r>
    <d v="2025-04-08T00:00:00"/>
    <x v="72"/>
    <x v="0"/>
    <x v="1"/>
    <n v="75"/>
    <n v="167.95"/>
    <n v="12596.25"/>
    <s v="#202504083700009580"/>
    <n v="12.65"/>
    <n v="4.4800000000000004"/>
    <n v="0"/>
    <n v="0.01"/>
    <n v="29"/>
    <n v="6.02"/>
    <n v="52.16"/>
  </r>
  <r>
    <d v="2025-04-08T00:00:00"/>
    <x v="73"/>
    <x v="0"/>
    <x v="0"/>
    <n v="75"/>
    <n v="138.5"/>
    <n v="10387.5"/>
    <s v="#202504083700011344"/>
    <n v="0"/>
    <n v="3.69"/>
    <n v="0.89"/>
    <n v="0.01"/>
    <n v="29"/>
    <n v="5.88"/>
    <n v="39.47"/>
  </r>
  <r>
    <d v="2025-04-08T00:00:00"/>
    <x v="73"/>
    <x v="0"/>
    <x v="1"/>
    <n v="75"/>
    <n v="149.80000000000001"/>
    <n v="11235"/>
    <s v="#202504083700011365"/>
    <n v="11.24"/>
    <n v="3.99"/>
    <n v="0"/>
    <n v="0.01"/>
    <n v="29"/>
    <n v="5.94"/>
    <n v="50.18"/>
  </r>
  <r>
    <d v="2025-04-08T00:00:00"/>
    <x v="72"/>
    <x v="0"/>
    <x v="0"/>
    <n v="75"/>
    <n v="215.85"/>
    <n v="16188.75"/>
    <s v="#202504083700011844"/>
    <n v="0"/>
    <n v="5.75"/>
    <n v="0.83"/>
    <n v="0.02"/>
    <n v="29"/>
    <n v="6.26"/>
    <n v="41.86"/>
  </r>
  <r>
    <d v="2025-04-08T00:00:00"/>
    <x v="72"/>
    <x v="0"/>
    <x v="1"/>
    <n v="75"/>
    <n v="228.5"/>
    <n v="17137.5"/>
    <s v="#202504083700012620"/>
    <n v="17.14"/>
    <n v="6.09"/>
    <n v="0"/>
    <n v="0.02"/>
    <n v="29"/>
    <n v="6.32"/>
    <n v="58.57"/>
  </r>
  <r>
    <d v="2025-04-08T00:00:00"/>
    <x v="73"/>
    <x v="0"/>
    <x v="0"/>
    <n v="75"/>
    <n v="160.25"/>
    <n v="12018.75"/>
    <s v="#202504083700013472"/>
    <n v="0"/>
    <n v="4.2699999999999996"/>
    <n v="0"/>
    <n v="0.01"/>
    <n v="29"/>
    <n v="6"/>
    <n v="39.28"/>
  </r>
  <r>
    <d v="2025-04-08T00:00:00"/>
    <x v="73"/>
    <x v="0"/>
    <x v="1"/>
    <n v="75"/>
    <n v="90.1"/>
    <n v="6757.5"/>
    <s v="#202504083700015587"/>
    <n v="6.76"/>
    <n v="2.4"/>
    <n v="0"/>
    <n v="0.01"/>
    <n v="29"/>
    <n v="5.66"/>
    <n v="43.83"/>
  </r>
  <r>
    <d v="2025-04-08T00:00:00"/>
    <x v="73"/>
    <x v="0"/>
    <x v="0"/>
    <n v="75"/>
    <n v="102.1"/>
    <n v="7657.5"/>
    <s v="#202504083700016377"/>
    <n v="0"/>
    <n v="2.72"/>
    <n v="0"/>
    <n v="0.01"/>
    <n v="29"/>
    <n v="5.72"/>
    <n v="37.450000000000003"/>
  </r>
  <r>
    <d v="2025-04-08T00:00:00"/>
    <x v="73"/>
    <x v="0"/>
    <x v="1"/>
    <n v="75"/>
    <n v="98.65"/>
    <n v="7398.75"/>
    <s v="#202504083700016818"/>
    <n v="7.4"/>
    <n v="2.63"/>
    <n v="0"/>
    <n v="0.01"/>
    <n v="29"/>
    <n v="5.7"/>
    <n v="44.74"/>
  </r>
  <r>
    <d v="2025-04-08T00:00:00"/>
    <x v="73"/>
    <x v="0"/>
    <x v="0"/>
    <n v="75"/>
    <n v="101.25"/>
    <n v="7593.75"/>
    <s v="#202504083700019480"/>
    <n v="0"/>
    <n v="2.7"/>
    <n v="0"/>
    <n v="0.01"/>
    <n v="29"/>
    <n v="5.7"/>
    <n v="37.409999999999997"/>
  </r>
  <r>
    <d v="2025-04-08T00:00:00"/>
    <x v="73"/>
    <x v="0"/>
    <x v="1"/>
    <n v="75"/>
    <n v="131.25"/>
    <n v="9843.75"/>
    <s v="#202504083700019683"/>
    <n v="9.84"/>
    <n v="3.5"/>
    <n v="0"/>
    <n v="0.01"/>
    <n v="29"/>
    <n v="5.86"/>
    <n v="48.21"/>
  </r>
  <r>
    <d v="2025-04-08T00:00:00"/>
    <x v="74"/>
    <x v="0"/>
    <x v="0"/>
    <n v="75"/>
    <n v="122.7"/>
    <n v="9202.5"/>
    <s v="#202504083700021012"/>
    <n v="0"/>
    <n v="3.27"/>
    <n v="0.28000000000000003"/>
    <n v="0.01"/>
    <n v="29"/>
    <n v="5.82"/>
    <n v="38.380000000000003"/>
  </r>
  <r>
    <d v="2025-04-08T00:00:00"/>
    <x v="74"/>
    <x v="0"/>
    <x v="1"/>
    <n v="75"/>
    <n v="139.69999999999999"/>
    <n v="10477.5"/>
    <s v="#202504083700021049"/>
    <n v="10.48"/>
    <n v="3.72"/>
    <n v="0"/>
    <n v="0.01"/>
    <n v="29"/>
    <n v="5.9"/>
    <n v="49.11"/>
  </r>
  <r>
    <d v="2025-04-08T00:00:00"/>
    <x v="73"/>
    <x v="0"/>
    <x v="0"/>
    <n v="75"/>
    <n v="92.25"/>
    <n v="6918.75"/>
    <s v="#202504083700022105"/>
    <n v="0"/>
    <n v="2.46"/>
    <n v="0"/>
    <n v="0.01"/>
    <n v="29"/>
    <n v="5.66"/>
    <n v="37.130000000000003"/>
  </r>
  <r>
    <d v="2025-04-08T00:00:00"/>
    <x v="73"/>
    <x v="0"/>
    <x v="1"/>
    <n v="75"/>
    <n v="86.7"/>
    <n v="6502.5"/>
    <s v="#202504083700022230"/>
    <n v="6.5"/>
    <n v="2.31"/>
    <n v="0"/>
    <n v="0.01"/>
    <n v="29"/>
    <n v="5.64"/>
    <n v="43.46"/>
  </r>
  <r>
    <d v="2025-05-07T00:00:00"/>
    <x v="75"/>
    <x v="0"/>
    <x v="0"/>
    <n v="150"/>
    <n v="99.75"/>
    <n v="14962.5"/>
    <s v="#202505073700009114"/>
    <n v="0"/>
    <n v="5.32"/>
    <n v="0"/>
    <n v="0.01"/>
    <n v="58"/>
    <n v="11.4"/>
    <n v="74.73"/>
  </r>
  <r>
    <d v="2025-05-07T00:00:00"/>
    <x v="75"/>
    <x v="0"/>
    <x v="1"/>
    <n v="150"/>
    <n v="91.4"/>
    <n v="13710"/>
    <s v="#202505073700009035"/>
    <n v="13.72"/>
    <n v="4.88"/>
    <n v="0"/>
    <n v="0.02"/>
    <n v="58"/>
    <n v="11.32"/>
    <n v="87.94"/>
  </r>
  <r>
    <d v="2025-05-07T00:00:00"/>
    <x v="75"/>
    <x v="0"/>
    <x v="0"/>
    <n v="150"/>
    <n v="91.6"/>
    <n v="13740"/>
    <s v="#202505073700008527"/>
    <n v="0"/>
    <n v="4.88"/>
    <n v="1"/>
    <n v="0.01"/>
    <n v="58"/>
    <n v="11.32"/>
    <n v="75.209999999999994"/>
  </r>
  <r>
    <d v="2025-05-07T00:00:00"/>
    <x v="75"/>
    <x v="0"/>
    <x v="1"/>
    <n v="150"/>
    <n v="78.05"/>
    <n v="11707.5"/>
    <s v="#202505073700008461"/>
    <n v="11.77"/>
    <n v="4.16"/>
    <n v="0"/>
    <n v="0.02"/>
    <n v="58"/>
    <n v="11.2"/>
    <n v="85.15"/>
  </r>
  <r>
    <d v="2025-05-07T00:00:00"/>
    <x v="75"/>
    <x v="0"/>
    <x v="0"/>
    <n v="75"/>
    <n v="85.2"/>
    <n v="6390"/>
    <s v="#202505073700007600"/>
    <n v="0"/>
    <n v="2.27"/>
    <n v="0"/>
    <n v="0.01"/>
    <n v="29"/>
    <n v="5.64"/>
    <n v="36.92"/>
  </r>
  <r>
    <d v="2025-05-07T00:00:00"/>
    <x v="75"/>
    <x v="0"/>
    <x v="0"/>
    <n v="75"/>
    <n v="118"/>
    <n v="8850"/>
    <s v="#202505073700006263"/>
    <n v="0"/>
    <n v="3.14"/>
    <n v="0"/>
    <n v="0.01"/>
    <n v="29"/>
    <n v="5.78"/>
    <n v="37.93"/>
  </r>
  <r>
    <d v="2025-05-07T00:00:00"/>
    <x v="75"/>
    <x v="0"/>
    <x v="1"/>
    <n v="150"/>
    <n v="103.45"/>
    <n v="15517.5"/>
    <s v="#202505073700009231"/>
    <n v="15.52"/>
    <n v="5.51"/>
    <n v="0"/>
    <n v="0.02"/>
    <n v="58"/>
    <n v="11.44"/>
    <n v="90.49"/>
  </r>
  <r>
    <d v="2025-04-07T00:00:00"/>
    <x v="76"/>
    <x v="0"/>
    <x v="1"/>
    <n v="525"/>
    <n v="24.15"/>
    <n v="12678.75"/>
    <s v="#202504073700021629"/>
    <n v="12.67"/>
    <n v="4.51"/>
    <n v="0"/>
    <n v="0.01"/>
    <n v="203"/>
    <n v="37.36"/>
    <n v="257.55"/>
  </r>
  <r>
    <d v="2025-04-07T00:00:00"/>
    <x v="77"/>
    <x v="0"/>
    <x v="0"/>
    <n v="75"/>
    <n v="142.80000000000001"/>
    <n v="10710"/>
    <s v="#202504073700021653"/>
    <n v="0"/>
    <n v="3.81"/>
    <n v="0"/>
    <n v="0.01"/>
    <n v="29"/>
    <n v="5.9"/>
    <n v="38.72"/>
  </r>
  <r>
    <d v="2025-04-07T00:00:00"/>
    <x v="77"/>
    <x v="0"/>
    <x v="1"/>
    <n v="150"/>
    <n v="156.85"/>
    <n v="23527.5"/>
    <s v="#202504073700022063"/>
    <n v="23.24"/>
    <n v="8.36"/>
    <n v="0"/>
    <n v="0.02"/>
    <n v="58"/>
    <n v="11.94"/>
    <n v="101.56"/>
  </r>
  <r>
    <d v="2025-04-07T00:00:00"/>
    <x v="76"/>
    <x v="0"/>
    <x v="0"/>
    <n v="525"/>
    <n v="25.02"/>
    <n v="13147.5"/>
    <s v="#202504073700021511"/>
    <n v="0"/>
    <n v="4.68"/>
    <n v="1.02"/>
    <n v="0.01"/>
    <n v="203"/>
    <n v="37.380000000000003"/>
    <n v="246.09"/>
  </r>
  <r>
    <d v="2025-04-07T00:00:00"/>
    <x v="77"/>
    <x v="0"/>
    <x v="0"/>
    <n v="75"/>
    <n v="160.25"/>
    <n v="12018.75"/>
    <s v="#202504073700020729"/>
    <n v="0"/>
    <n v="4.2699999999999996"/>
    <n v="0"/>
    <n v="0.01"/>
    <n v="29"/>
    <n v="6"/>
    <n v="39.28"/>
  </r>
  <r>
    <d v="2025-04-07T00:00:00"/>
    <x v="77"/>
    <x v="0"/>
    <x v="1"/>
    <n v="75"/>
    <n v="139.44999999999999"/>
    <n v="10458.75"/>
    <s v="#202504073700007675"/>
    <n v="10.46"/>
    <n v="3.72"/>
    <n v="0"/>
    <n v="0.01"/>
    <n v="29"/>
    <n v="5.9"/>
    <n v="49.09"/>
  </r>
  <r>
    <d v="2025-04-07T00:00:00"/>
    <x v="77"/>
    <x v="0"/>
    <x v="0"/>
    <n v="75"/>
    <n v="131.69999999999999"/>
    <n v="9877.5"/>
    <s v="#202504073700007635"/>
    <n v="0"/>
    <n v="3.51"/>
    <n v="0.98"/>
    <n v="0.01"/>
    <n v="29"/>
    <n v="5.86"/>
    <n v="39.36"/>
  </r>
  <r>
    <d v="2025-04-07T00:00:00"/>
    <x v="76"/>
    <x v="0"/>
    <x v="1"/>
    <n v="525"/>
    <n v="26.1"/>
    <n v="13702.5"/>
    <s v="#202504073700004058"/>
    <n v="13.72"/>
    <n v="4.8899999999999997"/>
    <n v="0"/>
    <n v="0"/>
    <n v="203"/>
    <n v="37.4"/>
    <n v="259.01"/>
  </r>
  <r>
    <d v="2025-04-07T00:00:00"/>
    <x v="76"/>
    <x v="0"/>
    <x v="1"/>
    <n v="525"/>
    <n v="37.950000000000003"/>
    <n v="19923.75"/>
    <s v="#202504073700003414"/>
    <n v="19.93"/>
    <n v="7.07"/>
    <n v="0"/>
    <n v="0.02"/>
    <n v="203"/>
    <n v="37.799999999999997"/>
    <n v="267.82"/>
  </r>
  <r>
    <d v="2025-04-07T00:00:00"/>
    <x v="76"/>
    <x v="0"/>
    <x v="0"/>
    <n v="525"/>
    <n v="33.26"/>
    <n v="17463.75"/>
    <s v="#202504073700000705"/>
    <n v="0"/>
    <n v="6.22"/>
    <n v="0"/>
    <n v="0"/>
    <n v="203"/>
    <n v="37.659999999999997"/>
    <n v="246.88"/>
  </r>
  <r>
    <d v="2025-04-07T00:00:00"/>
    <x v="76"/>
    <x v="0"/>
    <x v="0"/>
    <n v="525"/>
    <n v="18.25"/>
    <n v="9581.25"/>
    <s v="#202504073700001225"/>
    <n v="0"/>
    <n v="3.41"/>
    <n v="0"/>
    <n v="0.01"/>
    <n v="203"/>
    <n v="37.14"/>
    <n v="243.56"/>
  </r>
  <r>
    <d v="2026-03-06T00:00:00"/>
    <x v="78"/>
    <x v="0"/>
    <x v="0"/>
    <n v="65"/>
    <n v="157.15"/>
    <n v="10214.75"/>
    <s v="#202603062700001296"/>
    <n v="0"/>
    <n v="3.63"/>
    <n v="0"/>
    <n v="0.01"/>
    <n v="29"/>
    <n v="5.88"/>
    <n v="38.520000000000003"/>
  </r>
  <r>
    <d v="2026-03-06T00:00:00"/>
    <x v="78"/>
    <x v="0"/>
    <x v="1"/>
    <n v="910"/>
    <n v="194.9"/>
    <n v="177359"/>
    <s v="#202603062700009844"/>
    <n v="177.36"/>
    <n v="63.01"/>
    <n v="0"/>
    <n v="0.18"/>
    <n v="406"/>
    <n v="84.46"/>
    <n v="731.01"/>
  </r>
  <r>
    <d v="2026-03-06T00:00:00"/>
    <x v="78"/>
    <x v="0"/>
    <x v="0"/>
    <n v="130"/>
    <n v="151.25"/>
    <n v="19662.5"/>
    <s v="#202603062700001414"/>
    <n v="0"/>
    <n v="6.99"/>
    <n v="0"/>
    <n v="0.02"/>
    <n v="58"/>
    <n v="11.7"/>
    <n v="76.709999999999994"/>
  </r>
  <r>
    <d v="2026-03-06T00:00:00"/>
    <x v="78"/>
    <x v="0"/>
    <x v="0"/>
    <n v="390"/>
    <n v="150.55000000000001"/>
    <n v="58714.5"/>
    <s v="#202603062700001936"/>
    <n v="0"/>
    <n v="20.86"/>
    <n v="0"/>
    <n v="0.06"/>
    <n v="174"/>
    <n v="35.08"/>
    <n v="230"/>
  </r>
  <r>
    <d v="2026-03-06T00:00:00"/>
    <x v="78"/>
    <x v="0"/>
    <x v="0"/>
    <n v="130"/>
    <n v="156.75"/>
    <n v="20377.5"/>
    <s v="#202603062700002085"/>
    <n v="0"/>
    <n v="7.24"/>
    <n v="0"/>
    <n v="0.02"/>
    <n v="58"/>
    <n v="11.74"/>
    <n v="77"/>
  </r>
  <r>
    <d v="2026-03-06T00:00:00"/>
    <x v="78"/>
    <x v="0"/>
    <x v="0"/>
    <n v="260"/>
    <n v="157.55000000000001"/>
    <n v="40963"/>
    <s v="#202603062700002462"/>
    <n v="0"/>
    <n v="14.56"/>
    <n v="0"/>
    <n v="0.04"/>
    <n v="116"/>
    <n v="23.52"/>
    <n v="154.12"/>
  </r>
  <r>
    <d v="2026-03-06T00:00:00"/>
    <x v="78"/>
    <x v="0"/>
    <x v="1"/>
    <n v="1105"/>
    <n v="146.55000000000001"/>
    <n v="161937.75"/>
    <s v="#202603062700002766"/>
    <n v="161.86000000000001"/>
    <n v="57.53"/>
    <n v="0"/>
    <n v="0.17"/>
    <n v="493"/>
    <n v="99.16"/>
    <n v="811.72"/>
  </r>
  <r>
    <d v="2026-03-06T00:00:00"/>
    <x v="79"/>
    <x v="0"/>
    <x v="0"/>
    <n v="195"/>
    <n v="164.35"/>
    <n v="32048.25"/>
    <s v="#202603062700003071"/>
    <n v="0"/>
    <n v="11.39"/>
    <n v="0"/>
    <n v="0.03"/>
    <n v="87"/>
    <n v="17.72"/>
    <n v="116.14"/>
  </r>
  <r>
    <d v="2026-03-06T00:00:00"/>
    <x v="79"/>
    <x v="0"/>
    <x v="0"/>
    <n v="130"/>
    <n v="160.1"/>
    <n v="20813"/>
    <s v="#202603062700003157"/>
    <n v="0"/>
    <n v="7.39"/>
    <n v="5.57"/>
    <n v="0.02"/>
    <n v="58"/>
    <n v="11.78"/>
    <n v="82.76"/>
  </r>
  <r>
    <d v="2026-03-06T00:00:00"/>
    <x v="79"/>
    <x v="0"/>
    <x v="0"/>
    <n v="130"/>
    <n v="155.75"/>
    <n v="20247.5"/>
    <s v="#202603062700003286"/>
    <n v="0"/>
    <n v="7.2"/>
    <n v="0"/>
    <n v="0.02"/>
    <n v="58"/>
    <n v="11.72"/>
    <n v="76.94"/>
  </r>
  <r>
    <d v="2026-03-06T00:00:00"/>
    <x v="79"/>
    <x v="0"/>
    <x v="0"/>
    <n v="520"/>
    <n v="161.25"/>
    <n v="83850"/>
    <s v="#202603062700004255"/>
    <n v="0"/>
    <n v="29.79"/>
    <n v="0"/>
    <n v="0.08"/>
    <n v="232"/>
    <n v="47.14"/>
    <n v="309.01"/>
  </r>
  <r>
    <d v="2026-03-06T00:00:00"/>
    <x v="79"/>
    <x v="0"/>
    <x v="0"/>
    <n v="195"/>
    <n v="148.05000000000001"/>
    <n v="28869.75"/>
    <s v="#202603062700004704"/>
    <n v="0"/>
    <n v="10.26"/>
    <n v="0"/>
    <n v="0.03"/>
    <n v="87"/>
    <n v="17.52"/>
    <n v="114.81"/>
  </r>
  <r>
    <d v="2026-03-06T00:00:00"/>
    <x v="79"/>
    <x v="0"/>
    <x v="1"/>
    <n v="1170"/>
    <n v="138.28"/>
    <n v="161791.5"/>
    <s v="#202603062700005545"/>
    <n v="161.80000000000001"/>
    <n v="57.5"/>
    <n v="0"/>
    <n v="0.18"/>
    <n v="522"/>
    <n v="104.38"/>
    <n v="845.86"/>
  </r>
  <r>
    <d v="2026-03-06T00:00:00"/>
    <x v="78"/>
    <x v="0"/>
    <x v="0"/>
    <n v="910"/>
    <n v="151.25"/>
    <n v="137637.5"/>
    <s v="#202603062700005788"/>
    <n v="0"/>
    <n v="48.9"/>
    <n v="9.43"/>
    <n v="0.14000000000000001"/>
    <n v="406"/>
    <n v="81.94"/>
    <n v="546.41"/>
  </r>
  <r>
    <d v="2026-03-06T00:00:00"/>
    <x v="78"/>
    <x v="0"/>
    <x v="0"/>
    <n v="130"/>
    <n v="152.44999999999999"/>
    <n v="19818.5"/>
    <s v="#202603062700001365"/>
    <n v="0"/>
    <n v="7.04"/>
    <n v="0"/>
    <n v="0.02"/>
    <n v="58"/>
    <n v="11.72"/>
    <n v="76.78"/>
  </r>
  <r>
    <d v="2025-09-05T00:00:00"/>
    <x v="80"/>
    <x v="0"/>
    <x v="0"/>
    <n v="450"/>
    <n v="68.3"/>
    <n v="30735"/>
    <s v="#202509053700010806"/>
    <n v="0"/>
    <n v="10.92"/>
    <n v="2.41"/>
    <n v="0.04"/>
    <n v="174"/>
    <n v="33.28"/>
    <n v="220.65"/>
  </r>
  <r>
    <d v="2025-09-05T00:00:00"/>
    <x v="80"/>
    <x v="0"/>
    <x v="0"/>
    <n v="300"/>
    <n v="63.8"/>
    <n v="19140"/>
    <s v="#202509053700011568"/>
    <n v="0"/>
    <n v="6.8"/>
    <n v="0"/>
    <n v="0"/>
    <n v="116"/>
    <n v="22.08"/>
    <n v="144.88"/>
  </r>
  <r>
    <d v="2025-09-05T00:00:00"/>
    <x v="80"/>
    <x v="0"/>
    <x v="0"/>
    <n v="225"/>
    <n v="60.9"/>
    <n v="13702.5"/>
    <s v="#202509053700011699"/>
    <n v="0"/>
    <n v="4.87"/>
    <n v="0"/>
    <n v="0.01"/>
    <n v="87"/>
    <n v="16.54"/>
    <n v="108.42"/>
  </r>
  <r>
    <d v="2025-09-05T00:00:00"/>
    <x v="80"/>
    <x v="0"/>
    <x v="1"/>
    <n v="975"/>
    <n v="69.45"/>
    <n v="67713.75"/>
    <s v="#202509053700011778"/>
    <n v="68.12"/>
    <n v="24.05"/>
    <n v="0"/>
    <n v="7.0000000000000007E-2"/>
    <n v="377"/>
    <n v="72.2"/>
    <n v="541.44000000000005"/>
  </r>
  <r>
    <d v="2025-09-05T00:00:00"/>
    <x v="81"/>
    <x v="0"/>
    <x v="0"/>
    <n v="150"/>
    <n v="132.19999999999999"/>
    <n v="19830"/>
    <s v="#202509053700017968"/>
    <n v="0"/>
    <n v="7.04"/>
    <n v="0.59"/>
    <n v="0.02"/>
    <n v="58"/>
    <n v="11.72"/>
    <n v="77.37"/>
  </r>
  <r>
    <d v="2025-09-05T00:00:00"/>
    <x v="81"/>
    <x v="0"/>
    <x v="1"/>
    <n v="150"/>
    <n v="139.25"/>
    <n v="20887.5"/>
    <s v="#202509053700018058"/>
    <n v="20.89"/>
    <n v="7.42"/>
    <n v="0"/>
    <n v="0.02"/>
    <n v="58"/>
    <n v="11.78"/>
    <n v="98.11"/>
  </r>
  <r>
    <d v="2025-06-05T00:00:00"/>
    <x v="82"/>
    <x v="0"/>
    <x v="0"/>
    <n v="150"/>
    <n v="22"/>
    <n v="3300"/>
    <s v="#202506053700018371"/>
    <n v="0"/>
    <n v="1.17"/>
    <n v="0"/>
    <n v="0"/>
    <n v="58"/>
    <n v="10.66"/>
    <n v="69.83"/>
  </r>
  <r>
    <d v="2025-06-05T00:00:00"/>
    <x v="82"/>
    <x v="0"/>
    <x v="1"/>
    <n v="150"/>
    <n v="5"/>
    <n v="750"/>
    <s v="#202506053700024913"/>
    <n v="1"/>
    <n v="0.27"/>
    <n v="0"/>
    <n v="0"/>
    <n v="58"/>
    <n v="10.48"/>
    <n v="69.75"/>
  </r>
  <r>
    <d v="2026-02-05T00:00:00"/>
    <x v="83"/>
    <x v="0"/>
    <x v="1"/>
    <n v="65"/>
    <n v="201"/>
    <n v="13065"/>
    <s v="#202602052700013503"/>
    <n v="13.07"/>
    <n v="4.6399999999999997"/>
    <n v="0"/>
    <n v="0.01"/>
    <n v="29"/>
    <n v="6.06"/>
    <n v="52.78"/>
  </r>
  <r>
    <d v="2026-02-05T00:00:00"/>
    <x v="83"/>
    <x v="0"/>
    <x v="1"/>
    <n v="130"/>
    <n v="219.9"/>
    <n v="28587"/>
    <s v="#202602052600001220"/>
    <n v="28.59"/>
    <n v="10.16"/>
    <n v="0"/>
    <n v="0.03"/>
    <n v="58"/>
    <n v="12.28"/>
    <n v="109.06"/>
  </r>
  <r>
    <d v="2026-02-05T00:00:00"/>
    <x v="84"/>
    <x v="0"/>
    <x v="0"/>
    <n v="65"/>
    <n v="167.6"/>
    <n v="10894"/>
    <s v="#202602052700002573"/>
    <n v="0"/>
    <n v="3.87"/>
    <n v="0.65"/>
    <n v="0.01"/>
    <n v="29"/>
    <n v="5.92"/>
    <n v="39.450000000000003"/>
  </r>
  <r>
    <d v="2026-02-05T00:00:00"/>
    <x v="84"/>
    <x v="0"/>
    <x v="1"/>
    <n v="65"/>
    <n v="187.9"/>
    <n v="12213.5"/>
    <s v="#202602052700002983"/>
    <n v="12.37"/>
    <n v="4.34"/>
    <n v="0"/>
    <n v="0.01"/>
    <n v="29"/>
    <n v="6"/>
    <n v="51.72"/>
  </r>
  <r>
    <d v="2026-02-05T00:00:00"/>
    <x v="84"/>
    <x v="0"/>
    <x v="0"/>
    <n v="65"/>
    <n v="167.05"/>
    <n v="10858.25"/>
    <s v="#202602052700004045"/>
    <n v="0"/>
    <n v="3.86"/>
    <n v="0"/>
    <n v="0.01"/>
    <n v="29"/>
    <n v="5.92"/>
    <n v="38.79"/>
  </r>
  <r>
    <d v="2026-02-05T00:00:00"/>
    <x v="84"/>
    <x v="0"/>
    <x v="1"/>
    <n v="65"/>
    <n v="153.5"/>
    <n v="9977.5"/>
    <s v="#202602052700004901"/>
    <n v="9.98"/>
    <n v="3.55"/>
    <n v="0"/>
    <n v="0.01"/>
    <n v="29"/>
    <n v="5.86"/>
    <n v="48.4"/>
  </r>
  <r>
    <d v="2026-02-05T00:00:00"/>
    <x v="83"/>
    <x v="0"/>
    <x v="0"/>
    <n v="65"/>
    <n v="200.1"/>
    <n v="13006.5"/>
    <s v="#202602052700006177"/>
    <n v="0"/>
    <n v="4.62"/>
    <n v="0"/>
    <n v="0.01"/>
    <n v="29"/>
    <n v="6.06"/>
    <n v="39.69"/>
  </r>
  <r>
    <d v="2026-02-05T00:00:00"/>
    <x v="83"/>
    <x v="0"/>
    <x v="0"/>
    <n v="130"/>
    <n v="202.35"/>
    <n v="26305.5"/>
    <s v="#202602052700013840"/>
    <n v="0"/>
    <n v="9.35"/>
    <n v="1.35"/>
    <n v="0.03"/>
    <n v="58"/>
    <n v="12.12"/>
    <n v="80.849999999999994"/>
  </r>
  <r>
    <d v="2025-12-05T00:00:00"/>
    <x v="71"/>
    <x v="0"/>
    <x v="0"/>
    <n v="75"/>
    <n v="67.25"/>
    <n v="5043.75"/>
    <s v="#202512053700013831"/>
    <n v="0"/>
    <n v="1.79"/>
    <n v="0"/>
    <n v="0.01"/>
    <n v="29"/>
    <n v="5.54"/>
    <n v="36.340000000000003"/>
  </r>
  <r>
    <d v="2025-09-04T00:00:00"/>
    <x v="80"/>
    <x v="0"/>
    <x v="0"/>
    <n v="375"/>
    <n v="40.450000000000003"/>
    <n v="15168.75"/>
    <s v="#202509043700011524"/>
    <n v="0"/>
    <n v="5.39"/>
    <n v="0.92"/>
    <n v="0.01"/>
    <n v="145"/>
    <n v="27.08"/>
    <n v="178.4"/>
  </r>
  <r>
    <d v="2025-09-04T00:00:00"/>
    <x v="80"/>
    <x v="0"/>
    <x v="0"/>
    <n v="150"/>
    <n v="41"/>
    <n v="6150"/>
    <s v="#202509043700011274"/>
    <n v="0"/>
    <n v="2.19"/>
    <n v="0"/>
    <n v="0.01"/>
    <n v="58"/>
    <n v="10.84"/>
    <n v="71.040000000000006"/>
  </r>
  <r>
    <d v="2025-09-04T00:00:00"/>
    <x v="80"/>
    <x v="0"/>
    <x v="0"/>
    <n v="225"/>
    <n v="41.55"/>
    <n v="9348.75"/>
    <s v="#202509043700011379"/>
    <n v="0"/>
    <n v="3.32"/>
    <n v="0"/>
    <n v="0.01"/>
    <n v="87"/>
    <n v="16.260000000000002"/>
    <n v="106.59"/>
  </r>
  <r>
    <d v="2025-09-04T00:00:00"/>
    <x v="80"/>
    <x v="0"/>
    <x v="1"/>
    <n v="750"/>
    <n v="39.950000000000003"/>
    <n v="29962.5"/>
    <s v="#202509043700011561"/>
    <n v="30.08"/>
    <n v="10.64"/>
    <n v="0"/>
    <n v="0.03"/>
    <n v="290"/>
    <n v="54.14"/>
    <n v="384.89"/>
  </r>
  <r>
    <d v="2025-09-04T00:00:00"/>
    <x v="85"/>
    <x v="0"/>
    <x v="0"/>
    <n v="450"/>
    <n v="52.35"/>
    <n v="23557.5"/>
    <s v="#202509043700014101"/>
    <n v="0"/>
    <n v="8.35"/>
    <n v="0"/>
    <n v="0.01"/>
    <n v="174"/>
    <n v="32.86"/>
    <n v="215.22"/>
  </r>
  <r>
    <d v="2025-09-04T00:00:00"/>
    <x v="85"/>
    <x v="0"/>
    <x v="0"/>
    <n v="450"/>
    <n v="49.05"/>
    <n v="22072.5"/>
    <s v="#202509043700014255"/>
    <n v="0"/>
    <n v="7.84"/>
    <n v="1.08"/>
    <n v="0.02"/>
    <n v="174"/>
    <n v="32.74"/>
    <n v="215.68"/>
  </r>
  <r>
    <d v="2025-09-04T00:00:00"/>
    <x v="85"/>
    <x v="0"/>
    <x v="1"/>
    <n v="900"/>
    <n v="63.25"/>
    <n v="56925"/>
    <s v="#202509043700015846"/>
    <n v="56.93"/>
    <n v="20.23"/>
    <n v="0"/>
    <n v="0.05"/>
    <n v="348"/>
    <n v="66.28"/>
    <n v="491.49"/>
  </r>
  <r>
    <d v="2025-11-04T00:00:00"/>
    <x v="86"/>
    <x v="0"/>
    <x v="0"/>
    <n v="450"/>
    <n v="71.25"/>
    <n v="32062.5"/>
    <s v="#202511043700005997"/>
    <n v="0"/>
    <n v="11.4"/>
    <n v="1"/>
    <n v="0.04"/>
    <n v="174"/>
    <n v="33.36"/>
    <n v="219.8"/>
  </r>
  <r>
    <d v="2025-11-04T00:00:00"/>
    <x v="86"/>
    <x v="0"/>
    <x v="1"/>
    <n v="450"/>
    <n v="78.900000000000006"/>
    <n v="35505"/>
    <s v="#202511043700006125"/>
    <n v="36"/>
    <n v="12.61"/>
    <n v="0"/>
    <n v="0.04"/>
    <n v="174"/>
    <n v="33.6"/>
    <n v="256.25"/>
  </r>
  <r>
    <d v="2025-07-04T00:00:00"/>
    <x v="87"/>
    <x v="0"/>
    <x v="1"/>
    <n v="375"/>
    <n v="152.25"/>
    <n v="57093.75"/>
    <s v="#202507043700010841"/>
    <n v="56.97"/>
    <n v="20.28"/>
    <n v="0"/>
    <n v="0.05"/>
    <n v="145"/>
    <n v="29.76"/>
    <n v="252.06"/>
  </r>
  <r>
    <d v="2025-07-04T00:00:00"/>
    <x v="87"/>
    <x v="0"/>
    <x v="1"/>
    <n v="300"/>
    <n v="153.44999999999999"/>
    <n v="46035"/>
    <s v="#202507043700010648"/>
    <n v="46.04"/>
    <n v="16.36"/>
    <n v="0"/>
    <n v="0.04"/>
    <n v="116"/>
    <n v="23.84"/>
    <n v="202.28"/>
  </r>
  <r>
    <d v="2025-07-04T00:00:00"/>
    <x v="87"/>
    <x v="0"/>
    <x v="0"/>
    <n v="300"/>
    <n v="157.69999999999999"/>
    <n v="47310"/>
    <s v="#202507043700010535"/>
    <n v="0"/>
    <n v="16.8"/>
    <n v="0"/>
    <n v="0.04"/>
    <n v="116"/>
    <n v="23.92"/>
    <n v="156.76"/>
  </r>
  <r>
    <d v="2025-07-04T00:00:00"/>
    <x v="87"/>
    <x v="0"/>
    <x v="0"/>
    <n v="375"/>
    <n v="157.1"/>
    <n v="58912.5"/>
    <s v="#202507043700010716"/>
    <n v="0"/>
    <n v="20.94"/>
    <n v="3"/>
    <n v="0.06"/>
    <n v="145"/>
    <n v="29.88"/>
    <n v="198.88"/>
  </r>
  <r>
    <d v="2026-02-04T00:00:00"/>
    <x v="88"/>
    <x v="0"/>
    <x v="0"/>
    <n v="65"/>
    <n v="174.5"/>
    <n v="11342.5"/>
    <s v="#202602042700014076"/>
    <n v="0"/>
    <n v="4.03"/>
    <n v="0.34"/>
    <n v="0.01"/>
    <n v="29"/>
    <n v="5.94"/>
    <n v="39.32"/>
  </r>
  <r>
    <d v="2026-02-04T00:00:00"/>
    <x v="88"/>
    <x v="0"/>
    <x v="1"/>
    <n v="65"/>
    <n v="174"/>
    <n v="11310"/>
    <s v="#202602042700014241"/>
    <n v="11.31"/>
    <n v="4.0199999999999996"/>
    <n v="0"/>
    <n v="0.01"/>
    <n v="29"/>
    <n v="5.94"/>
    <n v="50.28"/>
  </r>
  <r>
    <d v="2026-02-04T00:00:00"/>
    <x v="89"/>
    <x v="0"/>
    <x v="1"/>
    <n v="65"/>
    <n v="169.9"/>
    <n v="11043.5"/>
    <s v="#202602042700011441"/>
    <n v="11.04"/>
    <n v="3.92"/>
    <n v="0"/>
    <n v="0.01"/>
    <n v="29"/>
    <n v="5.92"/>
    <n v="49.89"/>
  </r>
  <r>
    <d v="2026-02-04T00:00:00"/>
    <x v="89"/>
    <x v="0"/>
    <x v="0"/>
    <n v="65"/>
    <n v="160.25"/>
    <n v="10416.25"/>
    <s v="#202602042700011393"/>
    <n v="0"/>
    <n v="3.7"/>
    <n v="0.31"/>
    <n v="0.01"/>
    <n v="29"/>
    <n v="5.88"/>
    <n v="38.9"/>
  </r>
  <r>
    <d v="2026-02-04T00:00:00"/>
    <x v="90"/>
    <x v="0"/>
    <x v="1"/>
    <n v="130"/>
    <n v="199.9"/>
    <n v="25987"/>
    <s v="#202602042700004029"/>
    <n v="25.64"/>
    <n v="9.24"/>
    <n v="0"/>
    <n v="0.02"/>
    <n v="58"/>
    <n v="12.12"/>
    <n v="105.02"/>
  </r>
  <r>
    <d v="2026-02-04T00:00:00"/>
    <x v="90"/>
    <x v="0"/>
    <x v="0"/>
    <n v="65"/>
    <n v="179.95"/>
    <n v="11696.75"/>
    <s v="#202602042700003717"/>
    <n v="0"/>
    <n v="4.16"/>
    <n v="0"/>
    <n v="0.01"/>
    <n v="29"/>
    <n v="5.98"/>
    <n v="39.15"/>
  </r>
  <r>
    <d v="2026-02-04T00:00:00"/>
    <x v="90"/>
    <x v="0"/>
    <x v="0"/>
    <n v="65"/>
    <n v="190.75"/>
    <n v="12398.75"/>
    <s v="#202602042700003071"/>
    <n v="0"/>
    <n v="4.41"/>
    <n v="0.35"/>
    <n v="0.01"/>
    <n v="29"/>
    <n v="6.02"/>
    <n v="39.79"/>
  </r>
  <r>
    <d v="2025-12-04T00:00:00"/>
    <x v="91"/>
    <x v="0"/>
    <x v="1"/>
    <n v="75"/>
    <n v="63.95"/>
    <n v="4796.25"/>
    <s v="#202512043700010558"/>
    <n v="5"/>
    <n v="1.7"/>
    <n v="0"/>
    <n v="0"/>
    <n v="29"/>
    <n v="5.52"/>
    <n v="41.22"/>
  </r>
  <r>
    <d v="2025-04-04T00:00:00"/>
    <x v="92"/>
    <x v="0"/>
    <x v="1"/>
    <n v="75"/>
    <n v="133.05000000000001"/>
    <n v="9978.75"/>
    <s v="#202504043700011100"/>
    <n v="9.98"/>
    <n v="3.55"/>
    <n v="0"/>
    <n v="0.01"/>
    <n v="29"/>
    <n v="5.86"/>
    <n v="48.4"/>
  </r>
  <r>
    <d v="2025-04-04T00:00:00"/>
    <x v="92"/>
    <x v="0"/>
    <x v="0"/>
    <n v="75"/>
    <n v="124.75"/>
    <n v="9356.25"/>
    <s v="#202504043700010497"/>
    <n v="0"/>
    <n v="3.32"/>
    <n v="0.28000000000000003"/>
    <n v="0.01"/>
    <n v="29"/>
    <n v="5.82"/>
    <n v="38.43"/>
  </r>
  <r>
    <d v="2025-04-04T00:00:00"/>
    <x v="93"/>
    <x v="0"/>
    <x v="1"/>
    <n v="75"/>
    <n v="127.25"/>
    <n v="9543.75"/>
    <s v="#202504043700013001"/>
    <n v="9.9"/>
    <n v="3.39"/>
    <n v="0"/>
    <n v="0.01"/>
    <n v="29"/>
    <n v="5.84"/>
    <n v="48.14"/>
  </r>
  <r>
    <d v="2025-04-04T00:00:00"/>
    <x v="94"/>
    <x v="0"/>
    <x v="1"/>
    <n v="75"/>
    <n v="112.45"/>
    <n v="8433.75"/>
    <s v="#202504043700018117"/>
    <n v="8.43"/>
    <n v="3"/>
    <n v="0"/>
    <n v="0.01"/>
    <n v="29"/>
    <n v="5.76"/>
    <n v="46.2"/>
  </r>
  <r>
    <d v="2025-04-04T00:00:00"/>
    <x v="93"/>
    <x v="0"/>
    <x v="0"/>
    <n v="75"/>
    <n v="119.15"/>
    <n v="8936.25"/>
    <s v="#202504043700014621"/>
    <n v="0"/>
    <n v="3.18"/>
    <n v="0"/>
    <n v="0.01"/>
    <n v="29"/>
    <n v="5.8"/>
    <n v="37.99"/>
  </r>
  <r>
    <d v="2025-04-04T00:00:00"/>
    <x v="93"/>
    <x v="0"/>
    <x v="1"/>
    <n v="75"/>
    <n v="137.25"/>
    <n v="10293.75"/>
    <s v="#202504043700015164"/>
    <n v="10.29"/>
    <n v="3.66"/>
    <n v="0"/>
    <n v="0.01"/>
    <n v="29"/>
    <n v="5.88"/>
    <n v="48.84"/>
  </r>
  <r>
    <d v="2025-04-04T00:00:00"/>
    <x v="93"/>
    <x v="0"/>
    <x v="1"/>
    <n v="75"/>
    <n v="125.25"/>
    <n v="9393.75"/>
    <s v="#202504043700015765"/>
    <n v="9.39"/>
    <n v="3.34"/>
    <n v="0"/>
    <n v="0.01"/>
    <n v="29"/>
    <n v="5.82"/>
    <n v="47.56"/>
  </r>
  <r>
    <d v="2025-04-04T00:00:00"/>
    <x v="94"/>
    <x v="0"/>
    <x v="0"/>
    <n v="75"/>
    <n v="114.25"/>
    <n v="8568.75"/>
    <s v="#202504043700018012"/>
    <n v="0"/>
    <n v="3.04"/>
    <n v="0.26"/>
    <n v="0.01"/>
    <n v="29"/>
    <n v="5.76"/>
    <n v="38.07"/>
  </r>
  <r>
    <d v="2025-04-04T00:00:00"/>
    <x v="93"/>
    <x v="0"/>
    <x v="0"/>
    <n v="75"/>
    <n v="121.55"/>
    <n v="9116.25"/>
    <s v="#202504043700011423"/>
    <n v="0"/>
    <n v="3.24"/>
    <n v="0.46"/>
    <n v="0.01"/>
    <n v="29"/>
    <n v="5.8"/>
    <n v="38.51"/>
  </r>
  <r>
    <d v="2025-04-04T00:00:00"/>
    <x v="93"/>
    <x v="0"/>
    <x v="0"/>
    <n v="75"/>
    <n v="133.94999999999999"/>
    <n v="10046.25"/>
    <s v="#202504043700013703"/>
    <n v="0"/>
    <n v="3.57"/>
    <n v="0"/>
    <n v="0.01"/>
    <n v="29"/>
    <n v="5.86"/>
    <n v="38.44"/>
  </r>
  <r>
    <d v="2025-09-03T00:00:00"/>
    <x v="80"/>
    <x v="0"/>
    <x v="1"/>
    <n v="375"/>
    <n v="94.8"/>
    <n v="35550"/>
    <s v="#202509033700015732"/>
    <n v="35.69"/>
    <n v="12.63"/>
    <n v="0"/>
    <n v="0.03"/>
    <n v="145"/>
    <n v="28.4"/>
    <n v="221.75"/>
  </r>
  <r>
    <d v="2025-09-03T00:00:00"/>
    <x v="80"/>
    <x v="0"/>
    <x v="0"/>
    <n v="375"/>
    <n v="97.15"/>
    <n v="36431.25"/>
    <s v="#202509033700015506"/>
    <n v="0"/>
    <n v="12.95"/>
    <n v="3"/>
    <n v="0.04"/>
    <n v="145"/>
    <n v="28.44"/>
    <n v="189.43"/>
  </r>
  <r>
    <d v="2025-09-03T00:00:00"/>
    <x v="80"/>
    <x v="0"/>
    <x v="1"/>
    <n v="300"/>
    <n v="94.32"/>
    <n v="28297.5"/>
    <s v="#202509033700014916"/>
    <n v="28.3"/>
    <n v="10.06"/>
    <n v="0"/>
    <n v="0.02"/>
    <n v="116"/>
    <n v="22.68"/>
    <n v="177.06"/>
  </r>
  <r>
    <d v="2025-09-03T00:00:00"/>
    <x v="80"/>
    <x v="0"/>
    <x v="0"/>
    <n v="300"/>
    <n v="97.45"/>
    <n v="29235"/>
    <s v="#202509033700014826"/>
    <n v="0"/>
    <n v="10.38"/>
    <n v="0"/>
    <n v="0.02"/>
    <n v="116"/>
    <n v="22.76"/>
    <n v="149.16"/>
  </r>
  <r>
    <d v="2025-09-03T00:00:00"/>
    <x v="80"/>
    <x v="0"/>
    <x v="0"/>
    <n v="75"/>
    <n v="102.65"/>
    <n v="7698.75"/>
    <s v="#202509033700014091"/>
    <n v="0"/>
    <n v="2.74"/>
    <n v="0"/>
    <n v="0.01"/>
    <n v="29"/>
    <n v="5.72"/>
    <n v="37.47"/>
  </r>
  <r>
    <d v="2025-09-03T00:00:00"/>
    <x v="80"/>
    <x v="0"/>
    <x v="0"/>
    <n v="300"/>
    <n v="97.55"/>
    <n v="29265"/>
    <s v="#202509033700014568"/>
    <n v="0"/>
    <n v="10.4"/>
    <n v="0"/>
    <n v="0.04"/>
    <n v="116"/>
    <n v="22.72"/>
    <n v="149.16"/>
  </r>
  <r>
    <d v="2025-09-03T00:00:00"/>
    <x v="80"/>
    <x v="0"/>
    <x v="1"/>
    <n v="150"/>
    <n v="97.57"/>
    <n v="14636.25"/>
    <s v="#202509033700014210"/>
    <n v="14.64"/>
    <n v="5.2"/>
    <n v="0"/>
    <n v="0.02"/>
    <n v="58"/>
    <n v="11.36"/>
    <n v="89.22"/>
  </r>
  <r>
    <d v="2025-09-03T00:00:00"/>
    <x v="80"/>
    <x v="0"/>
    <x v="0"/>
    <n v="75"/>
    <n v="101.8"/>
    <n v="7635"/>
    <s v="#202509033700014113"/>
    <n v="0"/>
    <n v="2.71"/>
    <n v="0"/>
    <n v="0.01"/>
    <n v="29"/>
    <n v="5.7"/>
    <n v="37.42"/>
  </r>
  <r>
    <d v="2025-09-03T00:00:00"/>
    <x v="80"/>
    <x v="0"/>
    <x v="1"/>
    <n v="300"/>
    <n v="94.6"/>
    <n v="28380"/>
    <s v="#202509033700014620"/>
    <n v="28.39"/>
    <n v="10.08"/>
    <n v="0"/>
    <n v="0.03"/>
    <n v="116"/>
    <n v="22.7"/>
    <n v="177.2"/>
  </r>
  <r>
    <d v="2026-02-03T00:00:00"/>
    <x v="95"/>
    <x v="0"/>
    <x v="0"/>
    <n v="65"/>
    <n v="102.35"/>
    <n v="6652.75"/>
    <s v="#202602032700024018"/>
    <n v="0"/>
    <n v="2.36"/>
    <n v="0"/>
    <n v="0.01"/>
    <n v="29"/>
    <n v="5.64"/>
    <n v="37.01"/>
  </r>
  <r>
    <d v="2026-02-03T00:00:00"/>
    <x v="95"/>
    <x v="0"/>
    <x v="1"/>
    <n v="195"/>
    <n v="109.9"/>
    <n v="21430.5"/>
    <s v="#202602032700041857"/>
    <n v="21"/>
    <n v="7.61"/>
    <n v="0"/>
    <n v="0.02"/>
    <n v="87"/>
    <n v="17.04"/>
    <n v="132.66999999999999"/>
  </r>
  <r>
    <d v="2026-02-03T00:00:00"/>
    <x v="95"/>
    <x v="0"/>
    <x v="0"/>
    <n v="65"/>
    <n v="161.1"/>
    <n v="10471.5"/>
    <s v="#202602032700017343"/>
    <n v="0"/>
    <n v="3.72"/>
    <n v="0"/>
    <n v="0.01"/>
    <n v="29"/>
    <n v="5.9"/>
    <n v="38.630000000000003"/>
  </r>
  <r>
    <d v="2026-02-03T00:00:00"/>
    <x v="95"/>
    <x v="0"/>
    <x v="0"/>
    <n v="65"/>
    <n v="149.30000000000001"/>
    <n v="9704.5"/>
    <s v="#202602032700004937"/>
    <n v="0"/>
    <n v="3.45"/>
    <n v="1"/>
    <n v="0.01"/>
    <n v="29"/>
    <n v="5.84"/>
    <n v="39.299999999999997"/>
  </r>
  <r>
    <d v="2025-12-03T00:00:00"/>
    <x v="96"/>
    <x v="0"/>
    <x v="1"/>
    <n v="75"/>
    <n v="149.9"/>
    <n v="11242.5"/>
    <s v="#202512033700010578"/>
    <n v="11"/>
    <n v="3.99"/>
    <n v="0"/>
    <n v="0.01"/>
    <n v="29"/>
    <n v="5.94"/>
    <n v="49.94"/>
  </r>
  <r>
    <d v="2025-12-03T00:00:00"/>
    <x v="91"/>
    <x v="0"/>
    <x v="0"/>
    <n v="75"/>
    <n v="123.6"/>
    <n v="9270"/>
    <s v="#202512033700016479"/>
    <n v="0"/>
    <n v="3.29"/>
    <n v="0.28000000000000003"/>
    <n v="0.01"/>
    <n v="29"/>
    <n v="5.82"/>
    <n v="38.4"/>
  </r>
  <r>
    <d v="2025-12-03T00:00:00"/>
    <x v="96"/>
    <x v="0"/>
    <x v="0"/>
    <n v="75"/>
    <n v="144"/>
    <n v="10800"/>
    <s v="#202512033700010533"/>
    <n v="0"/>
    <n v="3.84"/>
    <n v="0.72"/>
    <n v="0.01"/>
    <n v="29"/>
    <n v="5.92"/>
    <n v="39.49"/>
  </r>
  <r>
    <d v="2025-04-03T00:00:00"/>
    <x v="97"/>
    <x v="0"/>
    <x v="0"/>
    <n v="750"/>
    <n v="10.45"/>
    <n v="7837.5"/>
    <s v="#202504033700010526"/>
    <n v="0"/>
    <n v="2.78"/>
    <n v="0.24"/>
    <n v="0.01"/>
    <n v="29"/>
    <n v="5.72"/>
    <n v="37.75"/>
  </r>
  <r>
    <d v="2025-04-03T00:00:00"/>
    <x v="98"/>
    <x v="0"/>
    <x v="1"/>
    <n v="75"/>
    <n v="47.85"/>
    <n v="3588.75"/>
    <s v="#202504033700016758"/>
    <n v="3.65"/>
    <n v="1.28"/>
    <n v="0"/>
    <n v="0"/>
    <n v="29"/>
    <n v="5.46"/>
    <n v="39.39"/>
  </r>
  <r>
    <d v="2025-04-03T00:00:00"/>
    <x v="98"/>
    <x v="0"/>
    <x v="1"/>
    <n v="75"/>
    <n v="44.45"/>
    <n v="3333.75"/>
    <s v="#202504033700018010"/>
    <n v="3.33"/>
    <n v="1.18"/>
    <n v="0"/>
    <n v="0"/>
    <n v="29"/>
    <n v="5.44"/>
    <n v="38.950000000000003"/>
  </r>
  <r>
    <d v="2025-04-03T00:00:00"/>
    <x v="98"/>
    <x v="0"/>
    <x v="0"/>
    <n v="75"/>
    <n v="45"/>
    <n v="3375"/>
    <s v="#202504033700017781"/>
    <n v="0"/>
    <n v="1.2"/>
    <n v="0"/>
    <n v="0"/>
    <n v="29"/>
    <n v="5.44"/>
    <n v="35.64"/>
  </r>
  <r>
    <d v="2025-04-03T00:00:00"/>
    <x v="98"/>
    <x v="0"/>
    <x v="0"/>
    <n v="75"/>
    <n v="49.05"/>
    <n v="3678.75"/>
    <s v="#202504033700015423"/>
    <n v="0"/>
    <n v="1.31"/>
    <n v="0"/>
    <n v="0"/>
    <n v="29"/>
    <n v="5.46"/>
    <n v="35.770000000000003"/>
  </r>
  <r>
    <d v="2025-04-03T00:00:00"/>
    <x v="97"/>
    <x v="0"/>
    <x v="1"/>
    <n v="750"/>
    <n v="10.25"/>
    <n v="7687.5"/>
    <s v="#202504033700013624"/>
    <n v="7.69"/>
    <n v="2.73"/>
    <n v="0"/>
    <n v="0.01"/>
    <n v="29"/>
    <n v="5.72"/>
    <n v="45.15"/>
  </r>
  <r>
    <d v="2025-04-03T00:00:00"/>
    <x v="98"/>
    <x v="0"/>
    <x v="0"/>
    <n v="300"/>
    <n v="37.5"/>
    <n v="11250"/>
    <s v="#202504033700014083"/>
    <n v="0"/>
    <n v="4"/>
    <n v="0.76"/>
    <n v="0.01"/>
    <n v="116"/>
    <n v="21.6"/>
    <n v="142.37"/>
  </r>
  <r>
    <d v="2025-04-03T00:00:00"/>
    <x v="98"/>
    <x v="0"/>
    <x v="1"/>
    <n v="300"/>
    <n v="47.75"/>
    <n v="14325"/>
    <s v="#202504033700014502"/>
    <n v="14.33"/>
    <n v="5.09"/>
    <n v="0"/>
    <n v="0.01"/>
    <n v="116"/>
    <n v="21.8"/>
    <n v="157.22999999999999"/>
  </r>
  <r>
    <d v="2025-09-02T00:00:00"/>
    <x v="99"/>
    <x v="0"/>
    <x v="1"/>
    <n v="750"/>
    <n v="40.25"/>
    <n v="30187.5"/>
    <s v="#202509023700019020"/>
    <n v="30"/>
    <n v="10.73"/>
    <n v="0"/>
    <n v="0.03"/>
    <n v="290"/>
    <n v="54.14"/>
    <n v="384.9"/>
  </r>
  <r>
    <d v="2025-09-02T00:00:00"/>
    <x v="99"/>
    <x v="0"/>
    <x v="0"/>
    <n v="375"/>
    <n v="24.5"/>
    <n v="9187.5"/>
    <s v="#202509023700018665"/>
    <n v="0"/>
    <n v="3.26"/>
    <n v="0"/>
    <n v="0.01"/>
    <n v="145"/>
    <n v="26.7"/>
    <n v="174.97"/>
  </r>
  <r>
    <d v="2025-09-02T00:00:00"/>
    <x v="99"/>
    <x v="0"/>
    <x v="0"/>
    <n v="375"/>
    <n v="24.25"/>
    <n v="9093.75"/>
    <s v="#202509023700018759"/>
    <n v="0"/>
    <n v="3.23"/>
    <n v="1"/>
    <n v="0.01"/>
    <n v="145"/>
    <n v="26.68"/>
    <n v="175.92"/>
  </r>
  <r>
    <d v="2025-05-02T00:00:00"/>
    <x v="100"/>
    <x v="0"/>
    <x v="0"/>
    <n v="75"/>
    <n v="156.44999999999999"/>
    <n v="11733.75"/>
    <s v="#202505023700019157"/>
    <n v="0"/>
    <n v="4.17"/>
    <n v="0"/>
    <n v="0.01"/>
    <n v="29"/>
    <n v="5.98"/>
    <n v="39.159999999999997"/>
  </r>
  <r>
    <d v="2025-05-02T00:00:00"/>
    <x v="101"/>
    <x v="0"/>
    <x v="1"/>
    <n v="150"/>
    <n v="209.15"/>
    <n v="31372.5"/>
    <s v="#202505023700017315"/>
    <n v="31.37"/>
    <n v="11.15"/>
    <n v="0"/>
    <n v="0.03"/>
    <n v="58"/>
    <n v="12.46"/>
    <n v="113.01"/>
  </r>
  <r>
    <d v="2025-05-02T00:00:00"/>
    <x v="101"/>
    <x v="0"/>
    <x v="0"/>
    <n v="75"/>
    <n v="203"/>
    <n v="15225"/>
    <s v="#202505023700017303"/>
    <n v="0"/>
    <n v="5.41"/>
    <n v="0"/>
    <n v="0.02"/>
    <n v="29"/>
    <n v="6.2"/>
    <n v="40.630000000000003"/>
  </r>
  <r>
    <d v="2025-05-02T00:00:00"/>
    <x v="100"/>
    <x v="0"/>
    <x v="0"/>
    <n v="150"/>
    <n v="204"/>
    <n v="30600"/>
    <s v="#202505023700014462"/>
    <n v="0"/>
    <n v="10.88"/>
    <n v="0"/>
    <n v="0.04"/>
    <n v="58"/>
    <n v="12.4"/>
    <n v="81.319999999999993"/>
  </r>
  <r>
    <d v="2025-05-02T00:00:00"/>
    <x v="100"/>
    <x v="0"/>
    <x v="1"/>
    <n v="150"/>
    <n v="217.25"/>
    <n v="32587.5"/>
    <s v="#202505023700014773"/>
    <n v="32.58"/>
    <n v="11.58"/>
    <n v="0"/>
    <n v="0.04"/>
    <n v="58"/>
    <n v="12.52"/>
    <n v="114.72"/>
  </r>
  <r>
    <d v="2025-05-02T00:00:00"/>
    <x v="102"/>
    <x v="0"/>
    <x v="0"/>
    <n v="150"/>
    <n v="208.77"/>
    <n v="31316.25"/>
    <s v="#202505023700002229"/>
    <n v="0"/>
    <n v="11.12"/>
    <n v="0.94"/>
    <n v="0.04"/>
    <n v="58"/>
    <n v="12.44"/>
    <n v="82.54"/>
  </r>
  <r>
    <d v="2025-05-02T00:00:00"/>
    <x v="102"/>
    <x v="0"/>
    <x v="1"/>
    <n v="150"/>
    <n v="227.25"/>
    <n v="34087.5"/>
    <s v="#202505023700002386"/>
    <n v="34.549999999999997"/>
    <n v="12.11"/>
    <n v="0"/>
    <n v="0.03"/>
    <n v="58"/>
    <n v="12.62"/>
    <n v="117.31"/>
  </r>
  <r>
    <d v="2025-05-02T00:00:00"/>
    <x v="103"/>
    <x v="0"/>
    <x v="0"/>
    <n v="75"/>
    <n v="151.25"/>
    <n v="11343.75"/>
    <s v="#202505023700008095"/>
    <n v="0"/>
    <n v="4.03"/>
    <n v="1.26"/>
    <n v="0.01"/>
    <n v="29"/>
    <n v="5.94"/>
    <n v="40.24"/>
  </r>
  <r>
    <d v="2025-05-02T00:00:00"/>
    <x v="103"/>
    <x v="0"/>
    <x v="1"/>
    <n v="75"/>
    <n v="159.25"/>
    <n v="11943.75"/>
    <s v="#202505023700008123"/>
    <n v="11.94"/>
    <n v="4.24"/>
    <n v="0"/>
    <n v="0.01"/>
    <n v="29"/>
    <n v="5.98"/>
    <n v="51.17"/>
  </r>
  <r>
    <d v="2025-05-02T00:00:00"/>
    <x v="104"/>
    <x v="0"/>
    <x v="0"/>
    <n v="75"/>
    <n v="202.1"/>
    <n v="15157.5"/>
    <s v="#202505023700010749"/>
    <n v="0"/>
    <n v="5.39"/>
    <n v="0.45"/>
    <n v="0.02"/>
    <n v="29"/>
    <n v="6.2"/>
    <n v="41.06"/>
  </r>
  <r>
    <d v="2025-05-02T00:00:00"/>
    <x v="104"/>
    <x v="0"/>
    <x v="1"/>
    <n v="75"/>
    <n v="204.55"/>
    <n v="15341.25"/>
    <s v="#202505023700011205"/>
    <n v="15.34"/>
    <n v="5.45"/>
    <n v="0"/>
    <n v="0.02"/>
    <n v="29"/>
    <n v="6.2"/>
    <n v="56.01"/>
  </r>
  <r>
    <d v="2025-05-02T00:00:00"/>
    <x v="103"/>
    <x v="0"/>
    <x v="0"/>
    <n v="150"/>
    <n v="203.3"/>
    <n v="30495"/>
    <s v="#202505023700011548"/>
    <n v="0"/>
    <n v="10.84"/>
    <n v="0"/>
    <n v="0.04"/>
    <n v="58"/>
    <n v="12.4"/>
    <n v="81.28"/>
  </r>
  <r>
    <d v="2025-05-02T00:00:00"/>
    <x v="103"/>
    <x v="0"/>
    <x v="1"/>
    <n v="150"/>
    <n v="215.45"/>
    <n v="32317.5"/>
    <s v="#202505023700012079"/>
    <n v="32.32"/>
    <n v="11.48"/>
    <n v="0"/>
    <n v="0.04"/>
    <n v="58"/>
    <n v="12.52"/>
    <n v="114.36"/>
  </r>
  <r>
    <d v="2025-05-02T00:00:00"/>
    <x v="100"/>
    <x v="0"/>
    <x v="1"/>
    <n v="75"/>
    <n v="146.9"/>
    <n v="11017.5"/>
    <s v="#202505023700019299"/>
    <n v="11.02"/>
    <n v="3.91"/>
    <n v="0"/>
    <n v="0.01"/>
    <n v="29"/>
    <n v="5.92"/>
    <n v="49.86"/>
  </r>
  <r>
    <d v="2025-05-02T00:00:00"/>
    <x v="100"/>
    <x v="0"/>
    <x v="0"/>
    <n v="150"/>
    <n v="152.69999999999999"/>
    <n v="22905"/>
    <s v="#202505023700019371"/>
    <n v="0"/>
    <n v="8.14"/>
    <n v="2.44"/>
    <n v="0.02"/>
    <n v="58"/>
    <n v="11.92"/>
    <n v="80.52"/>
  </r>
  <r>
    <d v="2025-05-02T00:00:00"/>
    <x v="100"/>
    <x v="0"/>
    <x v="1"/>
    <n v="150"/>
    <n v="145.80000000000001"/>
    <n v="21870"/>
    <s v="#202505023700019488"/>
    <n v="21.87"/>
    <n v="7.77"/>
    <n v="0"/>
    <n v="0.02"/>
    <n v="58"/>
    <n v="11.84"/>
    <n v="99.5"/>
  </r>
  <r>
    <d v="2025-05-02T00:00:00"/>
    <x v="101"/>
    <x v="0"/>
    <x v="0"/>
    <n v="75"/>
    <n v="199.6"/>
    <n v="14970"/>
    <s v="#202505023700017225"/>
    <n v="0"/>
    <n v="5.32"/>
    <n v="0.91"/>
    <n v="0.01"/>
    <n v="29"/>
    <n v="6.18"/>
    <n v="41.42"/>
  </r>
  <r>
    <d v="2026-03-02T00:00:00"/>
    <x v="105"/>
    <x v="0"/>
    <x v="0"/>
    <n v="910"/>
    <n v="61.05"/>
    <n v="55555.5"/>
    <s v="#202603022700010487"/>
    <n v="0"/>
    <n v="19.739999999999998"/>
    <n v="1.51"/>
    <n v="0.05"/>
    <n v="406"/>
    <n v="76.66"/>
    <n v="503.96"/>
  </r>
  <r>
    <d v="2026-03-02T00:00:00"/>
    <x v="105"/>
    <x v="0"/>
    <x v="1"/>
    <n v="910"/>
    <n v="97"/>
    <n v="88270"/>
    <s v="#202603022700012542"/>
    <n v="88.28"/>
    <n v="31.36"/>
    <n v="0"/>
    <n v="0.08"/>
    <n v="406"/>
    <n v="78.760000000000005"/>
    <n v="604.48"/>
  </r>
  <r>
    <d v="2026-03-02T00:00:00"/>
    <x v="106"/>
    <x v="0"/>
    <x v="1"/>
    <n v="910"/>
    <n v="39.9"/>
    <n v="36309"/>
    <s v="#202603022700010260"/>
    <n v="36.72"/>
    <n v="12.9"/>
    <n v="0"/>
    <n v="0.04"/>
    <n v="406"/>
    <n v="75.400000000000006"/>
    <n v="531.05999999999995"/>
  </r>
  <r>
    <d v="2026-03-02T00:00:00"/>
    <x v="106"/>
    <x v="0"/>
    <x v="0"/>
    <n v="325"/>
    <n v="51.25"/>
    <n v="16656.25"/>
    <s v="#202603022700009926"/>
    <n v="0"/>
    <n v="5.92"/>
    <n v="0"/>
    <n v="0.02"/>
    <n v="145"/>
    <n v="27.16"/>
    <n v="178.1"/>
  </r>
  <r>
    <d v="2026-03-02T00:00:00"/>
    <x v="106"/>
    <x v="0"/>
    <x v="0"/>
    <n v="260"/>
    <n v="54"/>
    <n v="14040"/>
    <s v="#202603022700009878"/>
    <n v="0"/>
    <n v="4.99"/>
    <n v="1.49"/>
    <n v="0.01"/>
    <n v="116"/>
    <n v="21.78"/>
    <n v="144.27000000000001"/>
  </r>
  <r>
    <d v="2026-03-02T00:00:00"/>
    <x v="106"/>
    <x v="0"/>
    <x v="0"/>
    <n v="130"/>
    <n v="57.25"/>
    <n v="7442.5"/>
    <s v="#202603022700009786"/>
    <n v="0"/>
    <n v="2.64"/>
    <n v="0"/>
    <n v="0.01"/>
    <n v="58"/>
    <n v="10.92"/>
    <n v="71.569999999999993"/>
  </r>
  <r>
    <d v="2026-03-02T00:00:00"/>
    <x v="106"/>
    <x v="0"/>
    <x v="0"/>
    <n v="130"/>
    <n v="58.75"/>
    <n v="7637.5"/>
    <s v="#202603022700009771"/>
    <n v="0"/>
    <n v="2.71"/>
    <n v="0"/>
    <n v="0.01"/>
    <n v="58"/>
    <n v="10.92"/>
    <n v="71.64"/>
  </r>
  <r>
    <d v="2026-03-02T00:00:00"/>
    <x v="106"/>
    <x v="0"/>
    <x v="0"/>
    <n v="65"/>
    <n v="60.3"/>
    <n v="3919.5"/>
    <s v="#202603022700009762"/>
    <n v="0"/>
    <n v="1.39"/>
    <n v="0"/>
    <n v="0"/>
    <n v="29"/>
    <n v="5.48"/>
    <n v="35.869999999999997"/>
  </r>
  <r>
    <d v="2026-02-02T00:00:00"/>
    <x v="107"/>
    <x v="0"/>
    <x v="1"/>
    <n v="65"/>
    <n v="209.9"/>
    <n v="13643.5"/>
    <s v="#202602022700010801"/>
    <n v="13.64"/>
    <n v="4.8499999999999996"/>
    <n v="0"/>
    <n v="0.01"/>
    <n v="29"/>
    <n v="6.1"/>
    <n v="53.6"/>
  </r>
  <r>
    <d v="2026-02-02T00:00:00"/>
    <x v="108"/>
    <x v="0"/>
    <x v="0"/>
    <n v="130"/>
    <n v="121.75"/>
    <n v="15827.5"/>
    <s v="#202602022700015225"/>
    <n v="0"/>
    <n v="5.62"/>
    <n v="0.47"/>
    <n v="0.02"/>
    <n v="58"/>
    <n v="11.46"/>
    <n v="75.569999999999993"/>
  </r>
  <r>
    <d v="2026-02-02T00:00:00"/>
    <x v="109"/>
    <x v="0"/>
    <x v="1"/>
    <n v="65"/>
    <n v="196.9"/>
    <n v="12798.5"/>
    <s v="#202602022700004481"/>
    <n v="12.71"/>
    <n v="4.55"/>
    <n v="0"/>
    <n v="0.01"/>
    <n v="29"/>
    <n v="6.04"/>
    <n v="52.31"/>
  </r>
  <r>
    <d v="2026-02-02T00:00:00"/>
    <x v="109"/>
    <x v="0"/>
    <x v="0"/>
    <n v="65"/>
    <n v="176.65"/>
    <n v="11482.25"/>
    <s v="#202602022700003161"/>
    <n v="0"/>
    <n v="4.08"/>
    <n v="0.34"/>
    <n v="0.01"/>
    <n v="29"/>
    <n v="5.96"/>
    <n v="39.39"/>
  </r>
  <r>
    <d v="2026-02-02T00:00:00"/>
    <x v="107"/>
    <x v="0"/>
    <x v="1"/>
    <n v="65"/>
    <n v="114.15"/>
    <n v="7419.75"/>
    <s v="#202602022700008155"/>
    <n v="7.42"/>
    <n v="2.64"/>
    <n v="0"/>
    <n v="0.01"/>
    <n v="29"/>
    <n v="5.7"/>
    <n v="44.77"/>
  </r>
  <r>
    <d v="2026-02-02T00:00:00"/>
    <x v="107"/>
    <x v="0"/>
    <x v="0"/>
    <n v="65"/>
    <n v="192.55"/>
    <n v="12515.75"/>
    <s v="#202602022700010309"/>
    <n v="0"/>
    <n v="4.45"/>
    <n v="0"/>
    <n v="0.01"/>
    <n v="29"/>
    <n v="6.02"/>
    <n v="39.479999999999997"/>
  </r>
  <r>
    <d v="2026-02-02T00:00:00"/>
    <x v="107"/>
    <x v="0"/>
    <x v="0"/>
    <n v="65"/>
    <n v="116.4"/>
    <n v="7566"/>
    <s v="#202602022700007860"/>
    <n v="0"/>
    <n v="2.69"/>
    <n v="0.19"/>
    <n v="0.01"/>
    <n v="29"/>
    <n v="5.7"/>
    <n v="37.590000000000003"/>
  </r>
  <r>
    <d v="2026-02-02T00:00:00"/>
    <x v="108"/>
    <x v="0"/>
    <x v="1"/>
    <n v="130"/>
    <n v="147.9"/>
    <n v="19227"/>
    <s v="#202602022700015491"/>
    <n v="19.22"/>
    <n v="6.84"/>
    <n v="0"/>
    <n v="0.02"/>
    <n v="58"/>
    <n v="11.68"/>
    <n v="95.76"/>
  </r>
  <r>
    <d v="2025-12-02T00:00:00"/>
    <x v="110"/>
    <x v="0"/>
    <x v="0"/>
    <n v="75"/>
    <n v="34"/>
    <n v="2550"/>
    <s v="#202512023700015171"/>
    <n v="0"/>
    <n v="0.91"/>
    <n v="0"/>
    <n v="0"/>
    <n v="29"/>
    <n v="5.38"/>
    <n v="35.29"/>
  </r>
  <r>
    <d v="2025-12-02T00:00:00"/>
    <x v="110"/>
    <x v="0"/>
    <x v="1"/>
    <n v="300"/>
    <n v="39.25"/>
    <n v="11775"/>
    <s v="#202512023700025744"/>
    <n v="12"/>
    <n v="4.18"/>
    <n v="0"/>
    <n v="0.01"/>
    <n v="116"/>
    <n v="21.64"/>
    <n v="153.83000000000001"/>
  </r>
  <r>
    <d v="2025-12-02T00:00:00"/>
    <x v="110"/>
    <x v="0"/>
    <x v="0"/>
    <n v="225"/>
    <n v="30.1"/>
    <n v="6772.5"/>
    <s v="#202512023700015551"/>
    <n v="0"/>
    <n v="2.41"/>
    <n v="0"/>
    <n v="0.01"/>
    <n v="87"/>
    <n v="16.100000000000001"/>
    <n v="105.52"/>
  </r>
  <r>
    <d v="2025-04-02T00:00:00"/>
    <x v="111"/>
    <x v="0"/>
    <x v="1"/>
    <n v="1500"/>
    <n v="29"/>
    <n v="43500"/>
    <s v="#202504023700014277"/>
    <n v="43.5"/>
    <n v="15.46"/>
    <n v="0"/>
    <n v="0.04"/>
    <n v="580"/>
    <n v="107.2"/>
    <n v="746.2"/>
  </r>
  <r>
    <d v="2025-04-02T00:00:00"/>
    <x v="111"/>
    <x v="0"/>
    <x v="0"/>
    <n v="750"/>
    <n v="51.66"/>
    <n v="38745"/>
    <s v="#202504023700006643"/>
    <n v="0"/>
    <n v="13.77"/>
    <n v="0"/>
    <n v="0.04"/>
    <n v="290"/>
    <n v="54.68"/>
    <n v="358.49"/>
  </r>
  <r>
    <d v="2025-04-02T00:00:00"/>
    <x v="111"/>
    <x v="0"/>
    <x v="0"/>
    <n v="750"/>
    <n v="56.7"/>
    <n v="42525"/>
    <s v="#202504023700005458"/>
    <n v="0"/>
    <n v="15.11"/>
    <n v="5.17"/>
    <n v="0.04"/>
    <n v="290"/>
    <n v="54.94"/>
    <n v="365.26"/>
  </r>
  <r>
    <d v="2025-04-02T00:00:00"/>
    <x v="111"/>
    <x v="0"/>
    <x v="1"/>
    <n v="1200"/>
    <n v="60.09"/>
    <n v="72097.5"/>
    <s v="#202504023700004964"/>
    <n v="72.11"/>
    <n v="25.6"/>
    <n v="0"/>
    <n v="0.06"/>
    <n v="464"/>
    <n v="88.12"/>
    <n v="649.89"/>
  </r>
  <r>
    <d v="2025-04-02T00:00:00"/>
    <x v="111"/>
    <x v="0"/>
    <x v="0"/>
    <n v="300"/>
    <n v="52.85"/>
    <n v="15855"/>
    <s v="#202504023700003256"/>
    <n v="0"/>
    <n v="5.64"/>
    <n v="0"/>
    <n v="0.01"/>
    <n v="116"/>
    <n v="21.9"/>
    <n v="143.55000000000001"/>
  </r>
  <r>
    <d v="2025-04-02T00:00:00"/>
    <x v="111"/>
    <x v="0"/>
    <x v="0"/>
    <n v="300"/>
    <n v="58.1"/>
    <n v="17430"/>
    <s v="#202504023700002403"/>
    <n v="0"/>
    <n v="6.19"/>
    <n v="0"/>
    <n v="0.01"/>
    <n v="116"/>
    <n v="22"/>
    <n v="144.19999999999999"/>
  </r>
  <r>
    <d v="2025-04-02T00:00:00"/>
    <x v="111"/>
    <x v="0"/>
    <x v="0"/>
    <n v="300"/>
    <n v="70.569999999999993"/>
    <n v="21168.75"/>
    <s v="#202504023700001891"/>
    <n v="0"/>
    <n v="7.52"/>
    <n v="0"/>
    <n v="0.03"/>
    <n v="116"/>
    <n v="22.24"/>
    <n v="145.79"/>
  </r>
  <r>
    <d v="2025-04-02T00:00:00"/>
    <x v="112"/>
    <x v="0"/>
    <x v="0"/>
    <n v="300"/>
    <n v="92.45"/>
    <n v="27735"/>
    <s v="#202504023700000692"/>
    <n v="0"/>
    <n v="9.85"/>
    <n v="0.83"/>
    <n v="0.03"/>
    <n v="116"/>
    <n v="22.64"/>
    <n v="149.35"/>
  </r>
  <r>
    <d v="2025-04-02T00:00:00"/>
    <x v="113"/>
    <x v="0"/>
    <x v="1"/>
    <n v="525"/>
    <n v="3.5"/>
    <n v="1837.5"/>
    <s v="#202504023700014292"/>
    <n v="1.87"/>
    <n v="0.65"/>
    <n v="0"/>
    <n v="0"/>
    <n v="203"/>
    <n v="36.659999999999997"/>
    <n v="242.18"/>
  </r>
  <r>
    <d v="2025-04-02T00:00:00"/>
    <x v="111"/>
    <x v="0"/>
    <x v="0"/>
    <n v="300"/>
    <n v="88.15"/>
    <n v="26445"/>
    <s v="#202504023700001347"/>
    <n v="0"/>
    <n v="9.4"/>
    <n v="0"/>
    <n v="0.03"/>
    <n v="116"/>
    <n v="22.58"/>
    <n v="148.01"/>
  </r>
  <r>
    <d v="2025-04-02T00:00:00"/>
    <x v="112"/>
    <x v="0"/>
    <x v="1"/>
    <n v="300"/>
    <n v="85.1"/>
    <n v="25530"/>
    <s v="#202504023700001224"/>
    <n v="25.53"/>
    <n v="9.08"/>
    <n v="0"/>
    <n v="0.03"/>
    <n v="116"/>
    <n v="22.54"/>
    <n v="173.18"/>
  </r>
  <r>
    <d v="2026-02-01T00:00:00"/>
    <x v="6"/>
    <x v="0"/>
    <x v="1"/>
    <n v="130"/>
    <n v="80.849999999999994"/>
    <n v="10510.5"/>
    <s v="#202602012700037006"/>
    <n v="10.52"/>
    <n v="3.74"/>
    <n v="0"/>
    <n v="0.02"/>
    <n v="58"/>
    <n v="11.12"/>
    <n v="83.4"/>
  </r>
  <r>
    <d v="2026-02-01T00:00:00"/>
    <x v="114"/>
    <x v="0"/>
    <x v="0"/>
    <n v="65"/>
    <n v="182.5"/>
    <n v="11862.5"/>
    <s v="#202602012700051727"/>
    <n v="0"/>
    <n v="4.21"/>
    <n v="0.36"/>
    <n v="0.01"/>
    <n v="29"/>
    <n v="5.98"/>
    <n v="39.56"/>
  </r>
  <r>
    <d v="2026-02-01T00:00:00"/>
    <x v="6"/>
    <x v="0"/>
    <x v="0"/>
    <n v="130"/>
    <n v="67.150000000000006"/>
    <n v="8729.5"/>
    <s v="#202602012700036696"/>
    <n v="0"/>
    <n v="3.1"/>
    <n v="0.23"/>
    <n v="0.01"/>
    <n v="58"/>
    <n v="11"/>
    <n v="72.34"/>
  </r>
  <r>
    <d v="2026-02-01T00:00:00"/>
    <x v="115"/>
    <x v="0"/>
    <x v="1"/>
    <n v="65"/>
    <n v="202"/>
    <n v="13130"/>
    <s v="#202602012700007743"/>
    <n v="13.13"/>
    <n v="4.67"/>
    <n v="0"/>
    <n v="0.01"/>
    <n v="29"/>
    <n v="6.06"/>
    <n v="52.87"/>
  </r>
  <r>
    <d v="2026-02-01T00:00:00"/>
    <x v="115"/>
    <x v="0"/>
    <x v="0"/>
    <n v="65"/>
    <n v="208.65"/>
    <n v="13562.25"/>
    <s v="#202602012700006537"/>
    <n v="0"/>
    <n v="4.82"/>
    <n v="0.41"/>
    <n v="0.01"/>
    <n v="29"/>
    <n v="6.1"/>
    <n v="40.340000000000003"/>
  </r>
  <r>
    <d v="2026-02-01T00:00:00"/>
    <x v="6"/>
    <x v="0"/>
    <x v="1"/>
    <n v="65"/>
    <n v="208"/>
    <n v="13520"/>
    <s v="#202602012700003044"/>
    <n v="13.54"/>
    <n v="4.8"/>
    <n v="0"/>
    <n v="0.01"/>
    <n v="29"/>
    <n v="6.08"/>
    <n v="53.43"/>
  </r>
  <r>
    <d v="2026-02-01T00:00:00"/>
    <x v="6"/>
    <x v="0"/>
    <x v="0"/>
    <n v="65"/>
    <n v="203.65"/>
    <n v="13237.25"/>
    <s v="#202602012700001323"/>
    <n v="0"/>
    <n v="4.7"/>
    <n v="0"/>
    <n v="0.01"/>
    <n v="29"/>
    <n v="6.06"/>
    <n v="39.770000000000003"/>
  </r>
  <r>
    <d v="2026-02-01T00:00:00"/>
    <x v="114"/>
    <x v="0"/>
    <x v="1"/>
    <n v="65"/>
    <n v="197.25"/>
    <n v="12821.25"/>
    <s v="#202602012700051991"/>
    <n v="12.82"/>
    <n v="4.5599999999999996"/>
    <n v="0"/>
    <n v="0.01"/>
    <n v="29"/>
    <n v="6.04"/>
    <n v="52.43"/>
  </r>
  <r>
    <d v="2025-12-01T00:00:00"/>
    <x v="12"/>
    <x v="0"/>
    <x v="0"/>
    <n v="75"/>
    <n v="52.95"/>
    <n v="3971.25"/>
    <s v="#202512013700002407"/>
    <n v="0"/>
    <n v="1.41"/>
    <n v="0.12"/>
    <n v="0"/>
    <n v="29"/>
    <n v="5.48"/>
    <n v="36.01"/>
  </r>
  <r>
    <d v="2025-12-01T00:00:00"/>
    <x v="7"/>
    <x v="0"/>
    <x v="0"/>
    <n v="450"/>
    <n v="18.899999999999999"/>
    <n v="8505"/>
    <s v="#202512013700001235"/>
    <n v="0"/>
    <n v="3.02"/>
    <n v="0"/>
    <n v="0.01"/>
    <n v="174"/>
    <n v="31.88"/>
    <n v="208.91"/>
  </r>
  <r>
    <d v="2025-12-01T00:00:00"/>
    <x v="7"/>
    <x v="0"/>
    <x v="0"/>
    <n v="900"/>
    <n v="16.25"/>
    <n v="14625"/>
    <s v="#202512013700004091"/>
    <n v="0"/>
    <n v="5.2"/>
    <n v="0.88"/>
    <n v="0.01"/>
    <n v="348"/>
    <n v="63.58"/>
    <n v="417.67"/>
  </r>
  <r>
    <d v="2025-12-01T00:00:00"/>
    <x v="12"/>
    <x v="0"/>
    <x v="1"/>
    <n v="150"/>
    <n v="119.25"/>
    <n v="17887.5"/>
    <s v="#202512013700021299"/>
    <n v="17.89"/>
    <n v="6.36"/>
    <n v="0"/>
    <n v="0.02"/>
    <n v="58"/>
    <n v="11.58"/>
    <n v="93.85"/>
  </r>
  <r>
    <d v="2025-12-01T00:00:00"/>
    <x v="7"/>
    <x v="0"/>
    <x v="1"/>
    <n v="1800"/>
    <n v="35"/>
    <n v="63000"/>
    <s v="#202512013700011531"/>
    <n v="63.12"/>
    <n v="22.38"/>
    <n v="0"/>
    <n v="0.06"/>
    <n v="696"/>
    <n v="129.32"/>
    <n v="910.88"/>
  </r>
  <r>
    <d v="2025-04-01T00:00:00"/>
    <x v="116"/>
    <x v="0"/>
    <x v="1"/>
    <n v="450"/>
    <n v="136.30000000000001"/>
    <n v="61335"/>
    <s v="#202504013700006262"/>
    <n v="61.34"/>
    <n v="21.79"/>
    <n v="0"/>
    <n v="0.06"/>
    <n v="174"/>
    <n v="35.26"/>
    <n v="292.45"/>
  </r>
  <r>
    <d v="2025-04-01T00:00:00"/>
    <x v="116"/>
    <x v="0"/>
    <x v="0"/>
    <n v="225"/>
    <n v="112.85"/>
    <n v="25391.25"/>
    <s v="#202504013700005299"/>
    <n v="0"/>
    <n v="9.02"/>
    <n v="0"/>
    <n v="0.03"/>
    <n v="87"/>
    <n v="17.28"/>
    <n v="113.33"/>
  </r>
  <r>
    <d v="2025-04-01T00:00:00"/>
    <x v="116"/>
    <x v="0"/>
    <x v="0"/>
    <n v="225"/>
    <n v="104.6"/>
    <n v="23535"/>
    <s v="#202504013700004870"/>
    <n v="0"/>
    <n v="8.36"/>
    <n v="2.14"/>
    <n v="0.03"/>
    <n v="87"/>
    <n v="17.16"/>
    <n v="114.69"/>
  </r>
  <r>
    <d v="2025-04-01T00:00:00"/>
    <x v="116"/>
    <x v="0"/>
    <x v="1"/>
    <n v="225"/>
    <n v="92.3"/>
    <n v="20767.5"/>
    <s v="#202504013700004775"/>
    <n v="20.76"/>
    <n v="7.38"/>
    <n v="0"/>
    <n v="0.03"/>
    <n v="87"/>
    <n v="16.98"/>
    <n v="132.15"/>
  </r>
  <r>
    <d v="2025-04-01T00:00:00"/>
    <x v="116"/>
    <x v="0"/>
    <x v="0"/>
    <n v="225"/>
    <n v="95.3"/>
    <n v="21442.5"/>
    <s v="#202504013700004563"/>
    <n v="0"/>
    <n v="7.62"/>
    <n v="0"/>
    <n v="0.02"/>
    <n v="87"/>
    <n v="17.04"/>
    <n v="111.68"/>
  </r>
  <r>
    <d v="2025-04-01T00:00:00"/>
    <x v="117"/>
    <x v="0"/>
    <x v="0"/>
    <n v="225"/>
    <n v="112.75"/>
    <n v="25368.75"/>
    <s v="#202504013700002731"/>
    <n v="0"/>
    <n v="9"/>
    <n v="0.76"/>
    <n v="0.03"/>
    <n v="87"/>
    <n v="17.28"/>
    <n v="114.07"/>
  </r>
  <r>
    <d v="2025-04-01T00:00:00"/>
    <x v="117"/>
    <x v="0"/>
    <x v="1"/>
    <n v="225"/>
    <n v="143.25"/>
    <n v="32231.25"/>
    <s v="#202504013700003041"/>
    <n v="31.9"/>
    <n v="11.45"/>
    <n v="0"/>
    <n v="0.03"/>
    <n v="87"/>
    <n v="17.72"/>
    <n v="148.1"/>
  </r>
  <r>
    <d v="2025-04-01T00:00:00"/>
    <x v="113"/>
    <x v="0"/>
    <x v="0"/>
    <n v="525"/>
    <n v="6.05"/>
    <n v="3176.25"/>
    <s v="#202504013700015773"/>
    <n v="0"/>
    <n v="1.1200000000000001"/>
    <n v="0.1"/>
    <n v="0"/>
    <n v="203"/>
    <n v="36.700000000000003"/>
    <n v="240.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B73CB1-FAA9-4E03-83DE-5E1E7BA265DE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123" firstHeaderRow="1" firstDataRow="2" firstDataCol="1"/>
  <pivotFields count="15">
    <pivotField numFmtId="15" showAll="0"/>
    <pivotField axis="axisRow" showAll="0">
      <items count="119">
        <item x="46"/>
        <item x="25"/>
        <item x="110"/>
        <item x="7"/>
        <item x="8"/>
        <item x="12"/>
        <item x="105"/>
        <item x="106"/>
        <item x="16"/>
        <item x="17"/>
        <item x="18"/>
        <item x="20"/>
        <item x="99"/>
        <item x="113"/>
        <item x="111"/>
        <item x="112"/>
        <item x="98"/>
        <item x="117"/>
        <item x="116"/>
        <item x="107"/>
        <item x="109"/>
        <item x="114"/>
        <item x="108"/>
        <item x="2"/>
        <item x="6"/>
        <item x="1"/>
        <item x="115"/>
        <item x="9"/>
        <item x="5"/>
        <item x="95"/>
        <item x="86"/>
        <item x="82"/>
        <item x="75"/>
        <item x="101"/>
        <item x="100"/>
        <item x="70"/>
        <item x="102"/>
        <item x="103"/>
        <item x="104"/>
        <item x="77"/>
        <item x="72"/>
        <item x="73"/>
        <item x="69"/>
        <item x="67"/>
        <item x="68"/>
        <item x="74"/>
        <item x="76"/>
        <item x="94"/>
        <item x="93"/>
        <item x="92"/>
        <item x="96"/>
        <item x="91"/>
        <item x="71"/>
        <item x="80"/>
        <item x="81"/>
        <item x="85"/>
        <item x="64"/>
        <item x="63"/>
        <item x="65"/>
        <item x="84"/>
        <item x="88"/>
        <item x="89"/>
        <item x="83"/>
        <item x="90"/>
        <item x="87"/>
        <item x="66"/>
        <item x="78"/>
        <item x="79"/>
        <item x="62"/>
        <item x="61"/>
        <item x="57"/>
        <item x="48"/>
        <item x="47"/>
        <item x="56"/>
        <item x="60"/>
        <item x="59"/>
        <item x="49"/>
        <item x="44"/>
        <item x="43"/>
        <item x="42"/>
        <item x="52"/>
        <item x="45"/>
        <item x="54"/>
        <item x="55"/>
        <item x="58"/>
        <item x="50"/>
        <item x="51"/>
        <item x="53"/>
        <item x="38"/>
        <item x="37"/>
        <item x="35"/>
        <item x="31"/>
        <item x="30"/>
        <item x="28"/>
        <item x="33"/>
        <item x="24"/>
        <item x="27"/>
        <item x="29"/>
        <item x="40"/>
        <item x="41"/>
        <item x="36"/>
        <item x="26"/>
        <item x="22"/>
        <item x="23"/>
        <item x="34"/>
        <item x="32"/>
        <item x="39"/>
        <item x="19"/>
        <item x="21"/>
        <item x="15"/>
        <item x="14"/>
        <item x="11"/>
        <item x="10"/>
        <item x="4"/>
        <item x="3"/>
        <item x="0"/>
        <item x="13"/>
        <item x="97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Value" fld="6" baseField="0" baseItem="0" numFmtId="164"/>
  </dataFields>
  <formats count="5">
    <format dxfId="0">
      <pivotArea outline="0" collapsedLevelsAreSubtotals="1" fieldPosition="0"/>
    </format>
    <format dxfId="1">
      <pivotArea field="3" type="button" dataOnly="0" labelOnly="1" outline="0" axis="axisCol" fieldPosition="0"/>
    </format>
    <format dxfId="2">
      <pivotArea type="topRight" dataOnly="0" labelOnly="1" outline="0" fieldPosition="0"/>
    </format>
    <format dxfId="3">
      <pivotArea dataOnly="0" labelOnly="1" fieldPosition="0">
        <references count="1">
          <reference field="3" count="0"/>
        </references>
      </pivotArea>
    </format>
    <format dxfId="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6" firstHeaderRow="1" firstDataRow="2" firstDataCol="1"/>
  <pivotFields count="15">
    <pivotField numFmtId="15" showAll="0"/>
    <pivotField showAll="0"/>
    <pivotField axis="axisRow" showAll="0">
      <items count="2">
        <item x="0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">
    <i>
      <x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Val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9839-21C8-42E8-88A2-ED5E3693081B}">
  <dimension ref="A2:F123"/>
  <sheetViews>
    <sheetView tabSelected="1" topLeftCell="A2" workbookViewId="0">
      <selection activeCell="D9" sqref="D9"/>
    </sheetView>
  </sheetViews>
  <sheetFormatPr defaultRowHeight="15" x14ac:dyDescent="0.25"/>
  <cols>
    <col min="1" max="1" width="36.7109375" bestFit="1" customWidth="1"/>
    <col min="2" max="2" width="16.42578125" style="2" bestFit="1" customWidth="1"/>
    <col min="3" max="3" width="12.5703125" style="2" bestFit="1" customWidth="1"/>
    <col min="4" max="4" width="14.28515625" style="2" bestFit="1" customWidth="1"/>
    <col min="5" max="5" width="10" bestFit="1" customWidth="1"/>
    <col min="6" max="6" width="9.7109375" bestFit="1" customWidth="1"/>
  </cols>
  <sheetData>
    <row r="2" spans="1:6" x14ac:dyDescent="0.25">
      <c r="E2" s="7" t="s">
        <v>678</v>
      </c>
      <c r="F2" s="7" t="s">
        <v>679</v>
      </c>
    </row>
    <row r="3" spans="1:6" x14ac:dyDescent="0.25">
      <c r="A3" s="3" t="s">
        <v>677</v>
      </c>
      <c r="B3" s="5" t="s">
        <v>676</v>
      </c>
      <c r="E3" s="8">
        <f>SUM(E5:E122)</f>
        <v>1064337</v>
      </c>
      <c r="F3" s="8">
        <f>SUM(F5:F122)</f>
        <v>19519</v>
      </c>
    </row>
    <row r="4" spans="1:6" x14ac:dyDescent="0.25">
      <c r="A4" s="3" t="s">
        <v>674</v>
      </c>
      <c r="B4" s="2" t="s">
        <v>17</v>
      </c>
      <c r="C4" s="2" t="s">
        <v>20</v>
      </c>
      <c r="D4" s="2" t="s">
        <v>675</v>
      </c>
    </row>
    <row r="5" spans="1:6" x14ac:dyDescent="0.25">
      <c r="A5" s="4" t="s">
        <v>283</v>
      </c>
      <c r="B5" s="2">
        <v>7945</v>
      </c>
      <c r="C5" s="2">
        <v>8190</v>
      </c>
      <c r="D5" s="2">
        <v>16135</v>
      </c>
      <c r="E5" s="6">
        <v>245</v>
      </c>
      <c r="F5" s="6">
        <f>C5-B5</f>
        <v>245</v>
      </c>
    </row>
    <row r="6" spans="1:6" x14ac:dyDescent="0.25">
      <c r="A6" s="4" t="s">
        <v>140</v>
      </c>
      <c r="B6" s="2">
        <v>7665</v>
      </c>
      <c r="C6" s="2">
        <v>7560</v>
      </c>
      <c r="D6" s="2">
        <v>15225</v>
      </c>
      <c r="E6" s="6">
        <v>105</v>
      </c>
      <c r="F6" s="6">
        <f t="shared" ref="F6:F69" si="0">C6-B6</f>
        <v>-105</v>
      </c>
    </row>
    <row r="7" spans="1:6" x14ac:dyDescent="0.25">
      <c r="A7" s="4" t="s">
        <v>631</v>
      </c>
      <c r="B7" s="2">
        <v>9322.5</v>
      </c>
      <c r="C7" s="2">
        <v>11775</v>
      </c>
      <c r="D7" s="2">
        <v>21097.5</v>
      </c>
      <c r="E7" s="6">
        <v>2452.5</v>
      </c>
      <c r="F7" s="6">
        <f t="shared" si="0"/>
        <v>2452.5</v>
      </c>
    </row>
    <row r="8" spans="1:6" x14ac:dyDescent="0.25">
      <c r="A8" s="4" t="s">
        <v>43</v>
      </c>
      <c r="B8" s="2">
        <v>42975</v>
      </c>
      <c r="C8" s="2">
        <v>63000</v>
      </c>
      <c r="D8" s="2">
        <v>105975</v>
      </c>
      <c r="E8" s="6">
        <v>20025</v>
      </c>
      <c r="F8" s="6">
        <f t="shared" si="0"/>
        <v>20025</v>
      </c>
    </row>
    <row r="9" spans="1:6" x14ac:dyDescent="0.25">
      <c r="A9" s="4" t="s">
        <v>46</v>
      </c>
      <c r="B9" s="2">
        <v>7938.75</v>
      </c>
      <c r="C9" s="2">
        <v>7875</v>
      </c>
      <c r="D9" s="2">
        <v>15813.75</v>
      </c>
      <c r="E9" s="6">
        <v>63.75</v>
      </c>
      <c r="F9" s="6">
        <f t="shared" si="0"/>
        <v>-63.75</v>
      </c>
    </row>
    <row r="10" spans="1:6" x14ac:dyDescent="0.25">
      <c r="A10" s="4" t="s">
        <v>64</v>
      </c>
      <c r="B10" s="2">
        <v>12146.25</v>
      </c>
      <c r="C10" s="2">
        <v>17887.5</v>
      </c>
      <c r="D10" s="2">
        <v>30033.75</v>
      </c>
      <c r="E10" s="6">
        <v>5741.25</v>
      </c>
      <c r="F10" s="6">
        <f t="shared" si="0"/>
        <v>5741.25</v>
      </c>
    </row>
    <row r="11" spans="1:6" x14ac:dyDescent="0.25">
      <c r="A11" s="4" t="s">
        <v>610</v>
      </c>
      <c r="B11" s="2">
        <v>55555.5</v>
      </c>
      <c r="C11" s="2">
        <v>88270</v>
      </c>
      <c r="D11" s="2">
        <v>143825.5</v>
      </c>
      <c r="E11" s="6">
        <v>32714.5</v>
      </c>
      <c r="F11" s="6">
        <f t="shared" si="0"/>
        <v>32714.5</v>
      </c>
    </row>
    <row r="12" spans="1:6" x14ac:dyDescent="0.25">
      <c r="A12" s="4" t="s">
        <v>613</v>
      </c>
      <c r="B12" s="2">
        <v>49695.75</v>
      </c>
      <c r="C12" s="2">
        <v>36309</v>
      </c>
      <c r="D12" s="2">
        <v>86004.75</v>
      </c>
      <c r="E12" s="6">
        <v>13386.75</v>
      </c>
      <c r="F12" s="6">
        <f t="shared" si="0"/>
        <v>-13386.75</v>
      </c>
    </row>
    <row r="13" spans="1:6" x14ac:dyDescent="0.25">
      <c r="A13" s="4" t="s">
        <v>84</v>
      </c>
      <c r="B13" s="2">
        <v>20533.5</v>
      </c>
      <c r="C13" s="2">
        <v>25330.5</v>
      </c>
      <c r="D13" s="2">
        <v>45864</v>
      </c>
      <c r="E13" s="6">
        <v>4797</v>
      </c>
      <c r="F13" s="6">
        <f t="shared" si="0"/>
        <v>4797</v>
      </c>
    </row>
    <row r="14" spans="1:6" x14ac:dyDescent="0.25">
      <c r="A14" s="4" t="s">
        <v>89</v>
      </c>
      <c r="B14" s="2">
        <v>217730.5</v>
      </c>
      <c r="C14" s="2">
        <v>230282</v>
      </c>
      <c r="D14" s="2">
        <v>448012.5</v>
      </c>
      <c r="E14" s="6">
        <v>12551.5</v>
      </c>
      <c r="F14" s="6">
        <f t="shared" si="0"/>
        <v>12551.5</v>
      </c>
    </row>
    <row r="15" spans="1:6" x14ac:dyDescent="0.25">
      <c r="A15" s="4" t="s">
        <v>98</v>
      </c>
      <c r="B15" s="2">
        <v>317248.75</v>
      </c>
      <c r="C15" s="2">
        <v>321750</v>
      </c>
      <c r="D15" s="2">
        <v>638998.75</v>
      </c>
      <c r="E15" s="6">
        <v>4501.25</v>
      </c>
      <c r="F15" s="6">
        <f t="shared" si="0"/>
        <v>4501.25</v>
      </c>
    </row>
    <row r="16" spans="1:6" x14ac:dyDescent="0.25">
      <c r="A16" s="4" t="s">
        <v>115</v>
      </c>
      <c r="B16" s="2">
        <v>68438.5</v>
      </c>
      <c r="C16" s="2">
        <v>80002</v>
      </c>
      <c r="D16" s="2">
        <v>148440.5</v>
      </c>
      <c r="E16" s="6">
        <v>11563.5</v>
      </c>
      <c r="F16" s="6">
        <f t="shared" si="0"/>
        <v>11563.5</v>
      </c>
    </row>
    <row r="17" spans="1:6" x14ac:dyDescent="0.25">
      <c r="A17" s="4" t="s">
        <v>584</v>
      </c>
      <c r="B17" s="2">
        <v>18281.25</v>
      </c>
      <c r="C17" s="2">
        <v>30187.5</v>
      </c>
      <c r="D17" s="2">
        <v>48468.75</v>
      </c>
      <c r="E17" s="6">
        <v>11906.25</v>
      </c>
      <c r="F17" s="6">
        <f t="shared" si="0"/>
        <v>11906.25</v>
      </c>
    </row>
    <row r="18" spans="1:6" x14ac:dyDescent="0.25">
      <c r="A18" s="4" t="s">
        <v>645</v>
      </c>
      <c r="B18" s="2">
        <v>3176.25</v>
      </c>
      <c r="C18" s="2">
        <v>1837.5</v>
      </c>
      <c r="D18" s="2">
        <v>5013.75</v>
      </c>
      <c r="E18" s="6">
        <v>1338.75</v>
      </c>
      <c r="F18" s="6">
        <f t="shared" si="0"/>
        <v>-1338.75</v>
      </c>
    </row>
    <row r="19" spans="1:6" x14ac:dyDescent="0.25">
      <c r="A19" s="4" t="s">
        <v>635</v>
      </c>
      <c r="B19" s="2">
        <v>162168.75</v>
      </c>
      <c r="C19" s="2">
        <v>115597.5</v>
      </c>
      <c r="D19" s="2">
        <v>277766.25</v>
      </c>
      <c r="E19" s="6">
        <v>46571.25</v>
      </c>
      <c r="F19" s="6">
        <f t="shared" si="0"/>
        <v>-46571.25</v>
      </c>
    </row>
    <row r="20" spans="1:6" x14ac:dyDescent="0.25">
      <c r="A20" s="4" t="s">
        <v>643</v>
      </c>
      <c r="B20" s="2">
        <v>27735</v>
      </c>
      <c r="C20" s="2">
        <v>25530</v>
      </c>
      <c r="D20" s="2">
        <v>53265</v>
      </c>
      <c r="E20" s="6">
        <v>2205</v>
      </c>
      <c r="F20" s="6">
        <f t="shared" si="0"/>
        <v>-2205</v>
      </c>
    </row>
    <row r="21" spans="1:6" x14ac:dyDescent="0.25">
      <c r="A21" s="4" t="s">
        <v>576</v>
      </c>
      <c r="B21" s="2">
        <v>18303.75</v>
      </c>
      <c r="C21" s="2">
        <v>21247.5</v>
      </c>
      <c r="D21" s="2">
        <v>39551.25</v>
      </c>
      <c r="E21" s="6">
        <v>2943.75</v>
      </c>
      <c r="F21" s="6">
        <f t="shared" si="0"/>
        <v>2943.75</v>
      </c>
    </row>
    <row r="22" spans="1:6" x14ac:dyDescent="0.25">
      <c r="A22" s="4" t="s">
        <v>670</v>
      </c>
      <c r="B22" s="2">
        <v>25368.75</v>
      </c>
      <c r="C22" s="2">
        <v>32231.25</v>
      </c>
      <c r="D22" s="2">
        <v>57600</v>
      </c>
      <c r="E22" s="6">
        <v>6862.5</v>
      </c>
      <c r="F22" s="6">
        <f t="shared" si="0"/>
        <v>6862.5</v>
      </c>
    </row>
    <row r="23" spans="1:6" x14ac:dyDescent="0.25">
      <c r="A23" s="4" t="s">
        <v>664</v>
      </c>
      <c r="B23" s="2">
        <v>70368.75</v>
      </c>
      <c r="C23" s="2">
        <v>82102.5</v>
      </c>
      <c r="D23" s="2">
        <v>152471.25</v>
      </c>
      <c r="E23" s="6">
        <v>11733.75</v>
      </c>
      <c r="F23" s="6">
        <f t="shared" si="0"/>
        <v>11733.75</v>
      </c>
    </row>
    <row r="24" spans="1:6" x14ac:dyDescent="0.25">
      <c r="A24" s="4" t="s">
        <v>620</v>
      </c>
      <c r="B24" s="2">
        <v>20081.75</v>
      </c>
      <c r="C24" s="2">
        <v>21063.25</v>
      </c>
      <c r="D24" s="2">
        <v>41145</v>
      </c>
      <c r="E24" s="6">
        <v>981.5</v>
      </c>
      <c r="F24" s="6">
        <f t="shared" si="0"/>
        <v>981.5</v>
      </c>
    </row>
    <row r="25" spans="1:6" x14ac:dyDescent="0.25">
      <c r="A25" s="4" t="s">
        <v>624</v>
      </c>
      <c r="B25" s="2">
        <v>11482.25</v>
      </c>
      <c r="C25" s="2">
        <v>12798.5</v>
      </c>
      <c r="D25" s="2">
        <v>24280.75</v>
      </c>
      <c r="E25" s="6">
        <v>1316.25</v>
      </c>
      <c r="F25" s="6">
        <f t="shared" si="0"/>
        <v>1316.25</v>
      </c>
    </row>
    <row r="26" spans="1:6" x14ac:dyDescent="0.25">
      <c r="A26" s="4" t="s">
        <v>650</v>
      </c>
      <c r="B26" s="2">
        <v>11862.5</v>
      </c>
      <c r="C26" s="2">
        <v>12821.25</v>
      </c>
      <c r="D26" s="2">
        <v>24683.75</v>
      </c>
      <c r="E26" s="6">
        <v>958.75</v>
      </c>
      <c r="F26" s="6">
        <f t="shared" si="0"/>
        <v>958.75</v>
      </c>
    </row>
    <row r="27" spans="1:6" x14ac:dyDescent="0.25">
      <c r="A27" s="4" t="s">
        <v>622</v>
      </c>
      <c r="B27" s="2">
        <v>15827.5</v>
      </c>
      <c r="C27" s="2">
        <v>19227</v>
      </c>
      <c r="D27" s="2">
        <v>35054.5</v>
      </c>
      <c r="E27" s="6">
        <v>3399.5</v>
      </c>
      <c r="F27" s="6">
        <f t="shared" si="0"/>
        <v>3399.5</v>
      </c>
    </row>
    <row r="28" spans="1:6" x14ac:dyDescent="0.25">
      <c r="A28" s="4" t="s">
        <v>24</v>
      </c>
      <c r="B28" s="2">
        <v>57710.25</v>
      </c>
      <c r="C28" s="2">
        <v>63781.25</v>
      </c>
      <c r="D28" s="2">
        <v>121491.5</v>
      </c>
      <c r="E28" s="6">
        <v>6071</v>
      </c>
      <c r="F28" s="6">
        <f t="shared" si="0"/>
        <v>6071</v>
      </c>
    </row>
    <row r="29" spans="1:6" x14ac:dyDescent="0.25">
      <c r="A29" s="4" t="s">
        <v>39</v>
      </c>
      <c r="B29" s="2">
        <v>34940.75</v>
      </c>
      <c r="C29" s="2">
        <v>34531.25</v>
      </c>
      <c r="D29" s="2">
        <v>69472</v>
      </c>
      <c r="E29" s="6">
        <v>409.5</v>
      </c>
      <c r="F29" s="6">
        <f t="shared" si="0"/>
        <v>-409.5</v>
      </c>
    </row>
    <row r="30" spans="1:6" x14ac:dyDescent="0.25">
      <c r="A30" s="4" t="s">
        <v>22</v>
      </c>
      <c r="B30" s="2">
        <v>66813.5</v>
      </c>
      <c r="C30" s="2">
        <v>68796</v>
      </c>
      <c r="D30" s="2">
        <v>135609.5</v>
      </c>
      <c r="E30" s="6">
        <v>1982.5</v>
      </c>
      <c r="F30" s="6">
        <f t="shared" si="0"/>
        <v>1982.5</v>
      </c>
    </row>
    <row r="31" spans="1:6" x14ac:dyDescent="0.25">
      <c r="A31" s="4" t="s">
        <v>653</v>
      </c>
      <c r="B31" s="2">
        <v>13562.25</v>
      </c>
      <c r="C31" s="2">
        <v>13130</v>
      </c>
      <c r="D31" s="2">
        <v>26692.25</v>
      </c>
      <c r="E31" s="6">
        <v>432.25</v>
      </c>
      <c r="F31" s="6">
        <f t="shared" si="0"/>
        <v>-432.25</v>
      </c>
    </row>
    <row r="32" spans="1:6" x14ac:dyDescent="0.25">
      <c r="A32" s="4" t="s">
        <v>51</v>
      </c>
      <c r="B32" s="2">
        <v>38418.25</v>
      </c>
      <c r="C32" s="2">
        <v>34953.75</v>
      </c>
      <c r="D32" s="2">
        <v>73372</v>
      </c>
      <c r="E32" s="6">
        <v>3464.5</v>
      </c>
      <c r="F32" s="6">
        <f t="shared" si="0"/>
        <v>-3464.5</v>
      </c>
    </row>
    <row r="33" spans="1:6" x14ac:dyDescent="0.25">
      <c r="A33" s="4" t="s">
        <v>37</v>
      </c>
      <c r="B33" s="2">
        <v>23237.5</v>
      </c>
      <c r="C33" s="2">
        <v>21814</v>
      </c>
      <c r="D33" s="2">
        <v>45051.5</v>
      </c>
      <c r="E33" s="6">
        <v>1423.5</v>
      </c>
      <c r="F33" s="6">
        <f t="shared" si="0"/>
        <v>-1423.5</v>
      </c>
    </row>
    <row r="34" spans="1:6" x14ac:dyDescent="0.25">
      <c r="A34" s="4" t="s">
        <v>565</v>
      </c>
      <c r="B34" s="2">
        <v>26828.75</v>
      </c>
      <c r="C34" s="2">
        <v>21430.5</v>
      </c>
      <c r="D34" s="2">
        <v>48259.25</v>
      </c>
      <c r="E34" s="6">
        <v>5398.25</v>
      </c>
      <c r="F34" s="6">
        <f t="shared" si="0"/>
        <v>-5398.25</v>
      </c>
    </row>
    <row r="35" spans="1:6" x14ac:dyDescent="0.25">
      <c r="A35" s="4" t="s">
        <v>523</v>
      </c>
      <c r="B35" s="2">
        <v>32062.5</v>
      </c>
      <c r="C35" s="2">
        <v>35505</v>
      </c>
      <c r="D35" s="2">
        <v>67567.5</v>
      </c>
      <c r="E35" s="6">
        <v>3442.5</v>
      </c>
      <c r="F35" s="6">
        <f t="shared" si="0"/>
        <v>3442.5</v>
      </c>
    </row>
    <row r="36" spans="1:6" x14ac:dyDescent="0.25">
      <c r="A36" s="4" t="s">
        <v>501</v>
      </c>
      <c r="B36" s="2">
        <v>3300</v>
      </c>
      <c r="C36" s="2">
        <v>750</v>
      </c>
      <c r="D36" s="2">
        <v>4050</v>
      </c>
      <c r="E36" s="6">
        <v>2550</v>
      </c>
      <c r="F36" s="6">
        <f t="shared" si="0"/>
        <v>-2550</v>
      </c>
    </row>
    <row r="37" spans="1:6" x14ac:dyDescent="0.25">
      <c r="A37" s="4" t="s">
        <v>455</v>
      </c>
      <c r="B37" s="2">
        <v>43942.5</v>
      </c>
      <c r="C37" s="2">
        <v>40935</v>
      </c>
      <c r="D37" s="2">
        <v>84877.5</v>
      </c>
      <c r="E37" s="6">
        <v>3007.5</v>
      </c>
      <c r="F37" s="6">
        <f t="shared" si="0"/>
        <v>-3007.5</v>
      </c>
    </row>
    <row r="38" spans="1:6" x14ac:dyDescent="0.25">
      <c r="A38" s="4" t="s">
        <v>590</v>
      </c>
      <c r="B38" s="2">
        <v>30195</v>
      </c>
      <c r="C38" s="2">
        <v>31372.5</v>
      </c>
      <c r="D38" s="2">
        <v>61567.5</v>
      </c>
      <c r="E38" s="6">
        <v>1177.5</v>
      </c>
      <c r="F38" s="6">
        <f t="shared" si="0"/>
        <v>1177.5</v>
      </c>
    </row>
    <row r="39" spans="1:6" x14ac:dyDescent="0.25">
      <c r="A39" s="4" t="s">
        <v>588</v>
      </c>
      <c r="B39" s="2">
        <v>65238.75</v>
      </c>
      <c r="C39" s="2">
        <v>65475</v>
      </c>
      <c r="D39" s="2">
        <v>130713.75</v>
      </c>
      <c r="E39" s="6">
        <v>236.25</v>
      </c>
      <c r="F39" s="6">
        <f t="shared" si="0"/>
        <v>236.25</v>
      </c>
    </row>
    <row r="40" spans="1:6" x14ac:dyDescent="0.25">
      <c r="A40" s="4" t="s">
        <v>427</v>
      </c>
      <c r="B40" s="2">
        <v>11328.75</v>
      </c>
      <c r="C40" s="2">
        <v>5700</v>
      </c>
      <c r="D40" s="2">
        <v>17028.75</v>
      </c>
      <c r="E40" s="6">
        <v>5628.75</v>
      </c>
      <c r="F40" s="6">
        <f t="shared" si="0"/>
        <v>-5628.75</v>
      </c>
    </row>
    <row r="41" spans="1:6" x14ac:dyDescent="0.25">
      <c r="A41" s="4" t="s">
        <v>595</v>
      </c>
      <c r="B41" s="2">
        <v>31316.25</v>
      </c>
      <c r="C41" s="2">
        <v>34087.5</v>
      </c>
      <c r="D41" s="2">
        <v>65403.75</v>
      </c>
      <c r="E41" s="6">
        <v>2771.25</v>
      </c>
      <c r="F41" s="6">
        <f t="shared" si="0"/>
        <v>2771.25</v>
      </c>
    </row>
    <row r="42" spans="1:6" x14ac:dyDescent="0.25">
      <c r="A42" s="4" t="s">
        <v>598</v>
      </c>
      <c r="B42" s="2">
        <v>41838.75</v>
      </c>
      <c r="C42" s="2">
        <v>44261.25</v>
      </c>
      <c r="D42" s="2">
        <v>86100</v>
      </c>
      <c r="E42" s="6">
        <v>2422.5</v>
      </c>
      <c r="F42" s="6">
        <f t="shared" si="0"/>
        <v>2422.5</v>
      </c>
    </row>
    <row r="43" spans="1:6" x14ac:dyDescent="0.25">
      <c r="A43" s="4" t="s">
        <v>601</v>
      </c>
      <c r="B43" s="2">
        <v>15157.5</v>
      </c>
      <c r="C43" s="2">
        <v>15341.25</v>
      </c>
      <c r="D43" s="2">
        <v>30498.75</v>
      </c>
      <c r="E43" s="6">
        <v>183.75</v>
      </c>
      <c r="F43" s="6">
        <f t="shared" si="0"/>
        <v>183.75</v>
      </c>
    </row>
    <row r="44" spans="1:6" x14ac:dyDescent="0.25">
      <c r="A44" s="4" t="s">
        <v>465</v>
      </c>
      <c r="B44" s="2">
        <v>32606.25</v>
      </c>
      <c r="C44" s="2">
        <v>33986.25</v>
      </c>
      <c r="D44" s="2">
        <v>66592.5</v>
      </c>
      <c r="E44" s="6">
        <v>1380</v>
      </c>
      <c r="F44" s="6">
        <f t="shared" si="0"/>
        <v>1380</v>
      </c>
    </row>
    <row r="45" spans="1:6" x14ac:dyDescent="0.25">
      <c r="A45" s="4" t="s">
        <v>436</v>
      </c>
      <c r="B45" s="2">
        <v>27753.75</v>
      </c>
      <c r="C45" s="2">
        <v>29733.75</v>
      </c>
      <c r="D45" s="2">
        <v>57487.5</v>
      </c>
      <c r="E45" s="6">
        <v>1980</v>
      </c>
      <c r="F45" s="6">
        <f t="shared" si="0"/>
        <v>1980</v>
      </c>
    </row>
    <row r="46" spans="1:6" x14ac:dyDescent="0.25">
      <c r="A46" s="4" t="s">
        <v>439</v>
      </c>
      <c r="B46" s="2">
        <v>44576.25</v>
      </c>
      <c r="C46" s="2">
        <v>41737.5</v>
      </c>
      <c r="D46" s="2">
        <v>86313.75</v>
      </c>
      <c r="E46" s="6">
        <v>2838.75</v>
      </c>
      <c r="F46" s="6">
        <f t="shared" si="0"/>
        <v>-2838.75</v>
      </c>
    </row>
    <row r="47" spans="1:6" x14ac:dyDescent="0.25">
      <c r="A47" s="4" t="s">
        <v>407</v>
      </c>
      <c r="B47" s="2">
        <v>7522.5</v>
      </c>
      <c r="C47" s="2">
        <v>8355</v>
      </c>
      <c r="D47" s="2">
        <v>15877.5</v>
      </c>
      <c r="E47" s="6">
        <v>832.5</v>
      </c>
      <c r="F47" s="6">
        <f t="shared" si="0"/>
        <v>832.5</v>
      </c>
    </row>
    <row r="48" spans="1:6" x14ac:dyDescent="0.25">
      <c r="A48" s="4" t="s">
        <v>398</v>
      </c>
      <c r="B48" s="2">
        <v>22357.5</v>
      </c>
      <c r="C48" s="2">
        <v>9810</v>
      </c>
      <c r="D48" s="2">
        <v>32167.5</v>
      </c>
      <c r="E48" s="6">
        <v>12547.5</v>
      </c>
      <c r="F48" s="6">
        <f t="shared" si="0"/>
        <v>-12547.5</v>
      </c>
    </row>
    <row r="49" spans="1:6" x14ac:dyDescent="0.25">
      <c r="A49" s="4" t="s">
        <v>401</v>
      </c>
      <c r="B49" s="2">
        <v>7200</v>
      </c>
      <c r="C49" s="2">
        <v>5437.5</v>
      </c>
      <c r="D49" s="2">
        <v>12637.5</v>
      </c>
      <c r="E49" s="6">
        <v>1762.5</v>
      </c>
      <c r="F49" s="6">
        <f t="shared" si="0"/>
        <v>-1762.5</v>
      </c>
    </row>
    <row r="50" spans="1:6" x14ac:dyDescent="0.25">
      <c r="A50" s="4" t="s">
        <v>450</v>
      </c>
      <c r="B50" s="2">
        <v>9202.5</v>
      </c>
      <c r="C50" s="2">
        <v>10477.5</v>
      </c>
      <c r="D50" s="2">
        <v>19680</v>
      </c>
      <c r="E50" s="6">
        <v>1275</v>
      </c>
      <c r="F50" s="6">
        <f t="shared" si="0"/>
        <v>1275</v>
      </c>
    </row>
    <row r="51" spans="1:6" x14ac:dyDescent="0.25">
      <c r="A51" s="4" t="s">
        <v>463</v>
      </c>
      <c r="B51" s="2">
        <v>40192.5</v>
      </c>
      <c r="C51" s="2">
        <v>46305</v>
      </c>
      <c r="D51" s="2">
        <v>86497.5</v>
      </c>
      <c r="E51" s="6">
        <v>6112.5</v>
      </c>
      <c r="F51" s="6">
        <f t="shared" si="0"/>
        <v>6112.5</v>
      </c>
    </row>
    <row r="52" spans="1:6" x14ac:dyDescent="0.25">
      <c r="A52" s="4" t="s">
        <v>548</v>
      </c>
      <c r="B52" s="2">
        <v>8568.75</v>
      </c>
      <c r="C52" s="2">
        <v>8433.75</v>
      </c>
      <c r="D52" s="2">
        <v>17002.5</v>
      </c>
      <c r="E52" s="6">
        <v>135</v>
      </c>
      <c r="F52" s="6">
        <f t="shared" si="0"/>
        <v>-135</v>
      </c>
    </row>
    <row r="53" spans="1:6" x14ac:dyDescent="0.25">
      <c r="A53" s="4" t="s">
        <v>546</v>
      </c>
      <c r="B53" s="2">
        <v>28098.75</v>
      </c>
      <c r="C53" s="2">
        <v>29231.25</v>
      </c>
      <c r="D53" s="2">
        <v>57330</v>
      </c>
      <c r="E53" s="6">
        <v>1132.5</v>
      </c>
      <c r="F53" s="6">
        <f t="shared" si="0"/>
        <v>1132.5</v>
      </c>
    </row>
    <row r="54" spans="1:6" x14ac:dyDescent="0.25">
      <c r="A54" s="4" t="s">
        <v>543</v>
      </c>
      <c r="B54" s="2">
        <v>9356.25</v>
      </c>
      <c r="C54" s="2">
        <v>9978.75</v>
      </c>
      <c r="D54" s="2">
        <v>19335</v>
      </c>
      <c r="E54" s="6">
        <v>622.5</v>
      </c>
      <c r="F54" s="6">
        <f t="shared" si="0"/>
        <v>622.5</v>
      </c>
    </row>
    <row r="55" spans="1:6" x14ac:dyDescent="0.25">
      <c r="A55" s="4" t="s">
        <v>570</v>
      </c>
      <c r="B55" s="2">
        <v>10800</v>
      </c>
      <c r="C55" s="2">
        <v>11242.5</v>
      </c>
      <c r="D55" s="2">
        <v>22042.5</v>
      </c>
      <c r="E55" s="6">
        <v>442.5</v>
      </c>
      <c r="F55" s="6">
        <f t="shared" si="0"/>
        <v>442.5</v>
      </c>
    </row>
    <row r="56" spans="1:6" x14ac:dyDescent="0.25">
      <c r="A56" s="4" t="s">
        <v>541</v>
      </c>
      <c r="B56" s="2">
        <v>9270</v>
      </c>
      <c r="C56" s="2">
        <v>4796.25</v>
      </c>
      <c r="D56" s="2">
        <v>14066.25</v>
      </c>
      <c r="E56" s="6">
        <v>4473.75</v>
      </c>
      <c r="F56" s="6">
        <f t="shared" si="0"/>
        <v>-4473.75</v>
      </c>
    </row>
    <row r="57" spans="1:6" x14ac:dyDescent="0.25">
      <c r="A57" s="4" t="s">
        <v>434</v>
      </c>
      <c r="B57" s="2">
        <v>5043.75</v>
      </c>
      <c r="C57" s="2">
        <v>5793.75</v>
      </c>
      <c r="D57" s="2">
        <v>10837.5</v>
      </c>
      <c r="E57" s="6">
        <v>750</v>
      </c>
      <c r="F57" s="6">
        <f t="shared" si="0"/>
        <v>750</v>
      </c>
    </row>
    <row r="58" spans="1:6" x14ac:dyDescent="0.25">
      <c r="A58" s="4" t="s">
        <v>493</v>
      </c>
      <c r="B58" s="2">
        <v>204510</v>
      </c>
      <c r="C58" s="2">
        <v>204540</v>
      </c>
      <c r="D58" s="2">
        <v>409050</v>
      </c>
      <c r="E58" s="6">
        <v>30</v>
      </c>
      <c r="F58" s="6">
        <f t="shared" si="0"/>
        <v>30</v>
      </c>
    </row>
    <row r="59" spans="1:6" x14ac:dyDescent="0.25">
      <c r="A59" s="4" t="s">
        <v>498</v>
      </c>
      <c r="B59" s="2">
        <v>19830</v>
      </c>
      <c r="C59" s="2">
        <v>20887.5</v>
      </c>
      <c r="D59" s="2">
        <v>40717.5</v>
      </c>
      <c r="E59" s="6">
        <v>1057.5</v>
      </c>
      <c r="F59" s="6">
        <f t="shared" si="0"/>
        <v>1057.5</v>
      </c>
    </row>
    <row r="60" spans="1:6" x14ac:dyDescent="0.25">
      <c r="A60" s="4" t="s">
        <v>519</v>
      </c>
      <c r="B60" s="2">
        <v>45630</v>
      </c>
      <c r="C60" s="2">
        <v>56925</v>
      </c>
      <c r="D60" s="2">
        <v>102555</v>
      </c>
      <c r="E60" s="6">
        <v>11295</v>
      </c>
      <c r="F60" s="6">
        <f t="shared" si="0"/>
        <v>11295</v>
      </c>
    </row>
    <row r="61" spans="1:6" x14ac:dyDescent="0.25">
      <c r="A61" s="4" t="s">
        <v>378</v>
      </c>
      <c r="B61" s="2">
        <v>147802.5</v>
      </c>
      <c r="C61" s="2">
        <v>78360</v>
      </c>
      <c r="D61" s="2">
        <v>226162.5</v>
      </c>
      <c r="E61" s="6">
        <v>69442.5</v>
      </c>
      <c r="F61" s="6">
        <f t="shared" si="0"/>
        <v>-69442.5</v>
      </c>
    </row>
    <row r="62" spans="1:6" x14ac:dyDescent="0.25">
      <c r="A62" s="4" t="s">
        <v>375</v>
      </c>
      <c r="B62" s="2">
        <v>35287.5</v>
      </c>
      <c r="C62" s="2">
        <v>39712.5</v>
      </c>
      <c r="D62" s="2">
        <v>75000</v>
      </c>
      <c r="E62" s="6">
        <v>4425</v>
      </c>
      <c r="F62" s="6">
        <f t="shared" si="0"/>
        <v>4425</v>
      </c>
    </row>
    <row r="63" spans="1:6" x14ac:dyDescent="0.25">
      <c r="A63" s="4" t="s">
        <v>385</v>
      </c>
      <c r="B63" s="2">
        <v>23962.5</v>
      </c>
      <c r="C63" s="2">
        <v>26077.5</v>
      </c>
      <c r="D63" s="2">
        <v>50040</v>
      </c>
      <c r="E63" s="6">
        <v>2115</v>
      </c>
      <c r="F63" s="6">
        <f t="shared" si="0"/>
        <v>2115</v>
      </c>
    </row>
    <row r="64" spans="1:6" x14ac:dyDescent="0.25">
      <c r="A64" s="4" t="s">
        <v>507</v>
      </c>
      <c r="B64" s="2">
        <v>21752.25</v>
      </c>
      <c r="C64" s="2">
        <v>22191</v>
      </c>
      <c r="D64" s="2">
        <v>43943.25</v>
      </c>
      <c r="E64" s="6">
        <v>438.75</v>
      </c>
      <c r="F64" s="6">
        <f t="shared" si="0"/>
        <v>438.75</v>
      </c>
    </row>
    <row r="65" spans="1:6" x14ac:dyDescent="0.25">
      <c r="A65" s="4" t="s">
        <v>531</v>
      </c>
      <c r="B65" s="2">
        <v>11342.5</v>
      </c>
      <c r="C65" s="2">
        <v>11310</v>
      </c>
      <c r="D65" s="2">
        <v>22652.5</v>
      </c>
      <c r="E65" s="6">
        <v>32.5</v>
      </c>
      <c r="F65" s="6">
        <f t="shared" si="0"/>
        <v>-32.5</v>
      </c>
    </row>
    <row r="66" spans="1:6" x14ac:dyDescent="0.25">
      <c r="A66" s="4" t="s">
        <v>534</v>
      </c>
      <c r="B66" s="2">
        <v>10416.25</v>
      </c>
      <c r="C66" s="2">
        <v>11043.5</v>
      </c>
      <c r="D66" s="2">
        <v>21459.75</v>
      </c>
      <c r="E66" s="6">
        <v>627.25</v>
      </c>
      <c r="F66" s="6">
        <f t="shared" si="0"/>
        <v>627.25</v>
      </c>
    </row>
    <row r="67" spans="1:6" x14ac:dyDescent="0.25">
      <c r="A67" s="4" t="s">
        <v>504</v>
      </c>
      <c r="B67" s="2">
        <v>39312</v>
      </c>
      <c r="C67" s="2">
        <v>41652</v>
      </c>
      <c r="D67" s="2">
        <v>80964</v>
      </c>
      <c r="E67" s="6">
        <v>2340</v>
      </c>
      <c r="F67" s="6">
        <f t="shared" si="0"/>
        <v>2340</v>
      </c>
    </row>
    <row r="68" spans="1:6" x14ac:dyDescent="0.25">
      <c r="A68" s="4" t="s">
        <v>537</v>
      </c>
      <c r="B68" s="2">
        <v>24095.5</v>
      </c>
      <c r="C68" s="2">
        <v>25987</v>
      </c>
      <c r="D68" s="2">
        <v>50082.5</v>
      </c>
      <c r="E68" s="6">
        <v>1891.5</v>
      </c>
      <c r="F68" s="6">
        <f t="shared" si="0"/>
        <v>1891.5</v>
      </c>
    </row>
    <row r="69" spans="1:6" x14ac:dyDescent="0.25">
      <c r="A69" s="4" t="s">
        <v>526</v>
      </c>
      <c r="B69" s="2">
        <v>106222.5</v>
      </c>
      <c r="C69" s="2">
        <v>103128.75</v>
      </c>
      <c r="D69" s="2">
        <v>209351.25</v>
      </c>
      <c r="E69" s="6">
        <v>3093.75</v>
      </c>
      <c r="F69" s="6">
        <f t="shared" si="0"/>
        <v>-3093.75</v>
      </c>
    </row>
    <row r="70" spans="1:6" x14ac:dyDescent="0.25">
      <c r="A70" s="4" t="s">
        <v>390</v>
      </c>
      <c r="B70" s="2">
        <v>94864.25</v>
      </c>
      <c r="C70" s="2">
        <v>120861</v>
      </c>
      <c r="D70" s="2">
        <v>215725.25</v>
      </c>
      <c r="E70" s="6">
        <v>25996.75</v>
      </c>
      <c r="F70" s="6">
        <f t="shared" ref="F70:F122" si="1">C70-B70</f>
        <v>25996.75</v>
      </c>
    </row>
    <row r="71" spans="1:6" x14ac:dyDescent="0.25">
      <c r="A71" s="4" t="s">
        <v>476</v>
      </c>
      <c r="B71" s="2">
        <v>307388.25</v>
      </c>
      <c r="C71" s="2">
        <v>339296.75</v>
      </c>
      <c r="D71" s="2">
        <v>646685</v>
      </c>
      <c r="E71" s="6">
        <v>31908.5</v>
      </c>
      <c r="F71" s="6">
        <f t="shared" si="1"/>
        <v>31908.5</v>
      </c>
    </row>
    <row r="72" spans="1:6" x14ac:dyDescent="0.25">
      <c r="A72" s="4" t="s">
        <v>484</v>
      </c>
      <c r="B72" s="2">
        <v>185828.5</v>
      </c>
      <c r="C72" s="2">
        <v>161791.5</v>
      </c>
      <c r="D72" s="2">
        <v>347620</v>
      </c>
      <c r="E72" s="6">
        <v>24037</v>
      </c>
      <c r="F72" s="6">
        <f t="shared" si="1"/>
        <v>-24037</v>
      </c>
    </row>
    <row r="73" spans="1:6" x14ac:dyDescent="0.25">
      <c r="A73" s="4" t="s">
        <v>372</v>
      </c>
      <c r="B73" s="2">
        <v>6041.25</v>
      </c>
      <c r="C73" s="2">
        <v>6363.75</v>
      </c>
      <c r="D73" s="2">
        <v>12405</v>
      </c>
      <c r="E73" s="6">
        <v>322.5</v>
      </c>
      <c r="F73" s="6">
        <f t="shared" si="1"/>
        <v>322.5</v>
      </c>
    </row>
    <row r="74" spans="1:6" x14ac:dyDescent="0.25">
      <c r="A74" s="4" t="s">
        <v>369</v>
      </c>
      <c r="B74" s="2">
        <v>5122.5</v>
      </c>
      <c r="C74" s="2">
        <v>4818.75</v>
      </c>
      <c r="D74" s="2">
        <v>9941.25</v>
      </c>
      <c r="E74" s="6">
        <v>303.75</v>
      </c>
      <c r="F74" s="6">
        <f t="shared" si="1"/>
        <v>-303.75</v>
      </c>
    </row>
    <row r="75" spans="1:6" x14ac:dyDescent="0.25">
      <c r="A75" s="4" t="s">
        <v>347</v>
      </c>
      <c r="B75" s="2">
        <v>26047.5</v>
      </c>
      <c r="C75" s="2">
        <v>26842.5</v>
      </c>
      <c r="D75" s="2">
        <v>52890</v>
      </c>
      <c r="E75" s="6">
        <v>795</v>
      </c>
      <c r="F75" s="6">
        <f t="shared" si="1"/>
        <v>795</v>
      </c>
    </row>
    <row r="76" spans="1:6" x14ac:dyDescent="0.25">
      <c r="A76" s="4" t="s">
        <v>289</v>
      </c>
      <c r="B76" s="2">
        <v>8617.5</v>
      </c>
      <c r="C76" s="2">
        <v>9862.5</v>
      </c>
      <c r="D76" s="2">
        <v>18480</v>
      </c>
      <c r="E76" s="6">
        <v>1245</v>
      </c>
      <c r="F76" s="6">
        <f t="shared" si="1"/>
        <v>1245</v>
      </c>
    </row>
    <row r="77" spans="1:6" x14ac:dyDescent="0.25">
      <c r="A77" s="4" t="s">
        <v>285</v>
      </c>
      <c r="B77" s="2">
        <v>46740</v>
      </c>
      <c r="C77" s="2">
        <v>32130</v>
      </c>
      <c r="D77" s="2">
        <v>78870</v>
      </c>
      <c r="E77" s="6">
        <v>14610</v>
      </c>
      <c r="F77" s="6">
        <f t="shared" si="1"/>
        <v>-14610</v>
      </c>
    </row>
    <row r="78" spans="1:6" x14ac:dyDescent="0.25">
      <c r="A78" s="4" t="s">
        <v>340</v>
      </c>
      <c r="B78" s="2">
        <v>23328.75</v>
      </c>
      <c r="C78" s="2">
        <v>9750</v>
      </c>
      <c r="D78" s="2">
        <v>33078.75</v>
      </c>
      <c r="E78" s="6">
        <v>13578.75</v>
      </c>
      <c r="F78" s="6">
        <f t="shared" si="1"/>
        <v>-13578.75</v>
      </c>
    </row>
    <row r="79" spans="1:6" x14ac:dyDescent="0.25">
      <c r="A79" s="4" t="s">
        <v>366</v>
      </c>
      <c r="B79" s="2">
        <v>20430</v>
      </c>
      <c r="C79" s="2">
        <v>19755</v>
      </c>
      <c r="D79" s="2">
        <v>40185</v>
      </c>
      <c r="E79" s="6">
        <v>675</v>
      </c>
      <c r="F79" s="6">
        <f t="shared" si="1"/>
        <v>-675</v>
      </c>
    </row>
    <row r="80" spans="1:6" x14ac:dyDescent="0.25">
      <c r="A80" s="4" t="s">
        <v>360</v>
      </c>
      <c r="B80" s="2">
        <v>37301.25</v>
      </c>
      <c r="C80" s="2">
        <v>35655</v>
      </c>
      <c r="D80" s="2">
        <v>72956.25</v>
      </c>
      <c r="E80" s="6">
        <v>1646.25</v>
      </c>
      <c r="F80" s="6">
        <f t="shared" si="1"/>
        <v>-1646.25</v>
      </c>
    </row>
    <row r="81" spans="1:6" x14ac:dyDescent="0.25">
      <c r="A81" s="4" t="s">
        <v>297</v>
      </c>
      <c r="B81" s="2">
        <v>3487.5</v>
      </c>
      <c r="C81" s="2">
        <v>2655</v>
      </c>
      <c r="D81" s="2">
        <v>6142.5</v>
      </c>
      <c r="E81" s="6">
        <v>832.5</v>
      </c>
      <c r="F81" s="6">
        <f t="shared" si="1"/>
        <v>-832.5</v>
      </c>
    </row>
    <row r="82" spans="1:6" x14ac:dyDescent="0.25">
      <c r="A82" s="4" t="s">
        <v>276</v>
      </c>
      <c r="B82" s="2">
        <v>11875.5</v>
      </c>
      <c r="C82" s="2">
        <v>14582.75</v>
      </c>
      <c r="D82" s="2">
        <v>26458.25</v>
      </c>
      <c r="E82" s="6">
        <v>2707.25</v>
      </c>
      <c r="F82" s="6">
        <f t="shared" si="1"/>
        <v>2707.25</v>
      </c>
    </row>
    <row r="83" spans="1:6" x14ac:dyDescent="0.25">
      <c r="A83" s="4" t="s">
        <v>273</v>
      </c>
      <c r="B83" s="2">
        <v>4875</v>
      </c>
      <c r="C83" s="2">
        <v>1696.5</v>
      </c>
      <c r="D83" s="2">
        <v>6571.5</v>
      </c>
      <c r="E83" s="6">
        <v>3178.5</v>
      </c>
      <c r="F83" s="6">
        <f t="shared" si="1"/>
        <v>-3178.5</v>
      </c>
    </row>
    <row r="84" spans="1:6" x14ac:dyDescent="0.25">
      <c r="A84" s="4" t="s">
        <v>260</v>
      </c>
      <c r="B84" s="2">
        <v>23562.5</v>
      </c>
      <c r="C84" s="2">
        <v>7020</v>
      </c>
      <c r="D84" s="2">
        <v>30582.5</v>
      </c>
      <c r="E84" s="6">
        <v>16542.5</v>
      </c>
      <c r="F84" s="6">
        <f t="shared" si="1"/>
        <v>-16542.5</v>
      </c>
    </row>
    <row r="85" spans="1:6" x14ac:dyDescent="0.25">
      <c r="A85" s="4" t="s">
        <v>307</v>
      </c>
      <c r="B85" s="2">
        <v>166959</v>
      </c>
      <c r="C85" s="2">
        <v>194597</v>
      </c>
      <c r="D85" s="2">
        <v>361556</v>
      </c>
      <c r="E85" s="6">
        <v>27638</v>
      </c>
      <c r="F85" s="6">
        <f t="shared" si="1"/>
        <v>27638</v>
      </c>
    </row>
    <row r="86" spans="1:6" x14ac:dyDescent="0.25">
      <c r="A86" s="4" t="s">
        <v>281</v>
      </c>
      <c r="B86" s="2">
        <v>337545</v>
      </c>
      <c r="C86" s="2">
        <v>181671.75</v>
      </c>
      <c r="D86" s="2">
        <v>519216.75</v>
      </c>
      <c r="E86" s="6">
        <v>155873.25</v>
      </c>
      <c r="F86" s="6">
        <f t="shared" si="1"/>
        <v>-155873.25</v>
      </c>
    </row>
    <row r="87" spans="1:6" x14ac:dyDescent="0.25">
      <c r="A87" s="4" t="s">
        <v>328</v>
      </c>
      <c r="B87" s="2">
        <v>166487.75</v>
      </c>
      <c r="C87" s="2">
        <v>175441.5</v>
      </c>
      <c r="D87" s="2">
        <v>341929.25</v>
      </c>
      <c r="E87" s="6">
        <v>8953.75</v>
      </c>
      <c r="F87" s="6">
        <f t="shared" si="1"/>
        <v>8953.75</v>
      </c>
    </row>
    <row r="88" spans="1:6" x14ac:dyDescent="0.25">
      <c r="A88" s="4" t="s">
        <v>332</v>
      </c>
      <c r="B88" s="2">
        <v>26770.25</v>
      </c>
      <c r="C88" s="2">
        <v>25616.5</v>
      </c>
      <c r="D88" s="2">
        <v>52386.75</v>
      </c>
      <c r="E88" s="6">
        <v>1153.75</v>
      </c>
      <c r="F88" s="6">
        <f t="shared" si="1"/>
        <v>-1153.75</v>
      </c>
    </row>
    <row r="89" spans="1:6" x14ac:dyDescent="0.25">
      <c r="A89" s="4" t="s">
        <v>352</v>
      </c>
      <c r="B89" s="2">
        <v>110854.25</v>
      </c>
      <c r="C89" s="2">
        <v>128641.5</v>
      </c>
      <c r="D89" s="2">
        <v>239495.75</v>
      </c>
      <c r="E89" s="6">
        <v>17787.25</v>
      </c>
      <c r="F89" s="6">
        <f t="shared" si="1"/>
        <v>17787.25</v>
      </c>
    </row>
    <row r="90" spans="1:6" x14ac:dyDescent="0.25">
      <c r="A90" s="4" t="s">
        <v>301</v>
      </c>
      <c r="B90" s="2">
        <v>10447.5</v>
      </c>
      <c r="C90" s="2">
        <v>11235</v>
      </c>
      <c r="D90" s="2">
        <v>21682.5</v>
      </c>
      <c r="E90" s="6">
        <v>787.5</v>
      </c>
      <c r="F90" s="6">
        <f t="shared" si="1"/>
        <v>787.5</v>
      </c>
    </row>
    <row r="91" spans="1:6" x14ac:dyDescent="0.25">
      <c r="A91" s="4" t="s">
        <v>305</v>
      </c>
      <c r="B91" s="2">
        <v>7301.25</v>
      </c>
      <c r="C91" s="2">
        <v>8925</v>
      </c>
      <c r="D91" s="2">
        <v>16226.25</v>
      </c>
      <c r="E91" s="6">
        <v>1623.75</v>
      </c>
      <c r="F91" s="6">
        <f t="shared" si="1"/>
        <v>1623.75</v>
      </c>
    </row>
    <row r="92" spans="1:6" x14ac:dyDescent="0.25">
      <c r="A92" s="4" t="s">
        <v>325</v>
      </c>
      <c r="B92" s="2">
        <v>8501.25</v>
      </c>
      <c r="C92" s="2">
        <v>7657.5</v>
      </c>
      <c r="D92" s="2">
        <v>16158.75</v>
      </c>
      <c r="E92" s="6">
        <v>843.75</v>
      </c>
      <c r="F92" s="6">
        <f t="shared" si="1"/>
        <v>-843.75</v>
      </c>
    </row>
    <row r="93" spans="1:6" x14ac:dyDescent="0.25">
      <c r="A93" s="4" t="s">
        <v>233</v>
      </c>
      <c r="B93" s="2">
        <v>30191.25</v>
      </c>
      <c r="C93" s="2">
        <v>22575</v>
      </c>
      <c r="D93" s="2">
        <v>52766.25</v>
      </c>
      <c r="E93" s="6">
        <v>7616.25</v>
      </c>
      <c r="F93" s="6">
        <f t="shared" si="1"/>
        <v>-7616.25</v>
      </c>
    </row>
    <row r="94" spans="1:6" x14ac:dyDescent="0.25">
      <c r="A94" s="4" t="s">
        <v>226</v>
      </c>
      <c r="B94" s="2">
        <v>55785</v>
      </c>
      <c r="C94" s="2">
        <v>41805</v>
      </c>
      <c r="D94" s="2">
        <v>97590</v>
      </c>
      <c r="E94" s="6">
        <v>13980</v>
      </c>
      <c r="F94" s="6">
        <f t="shared" si="1"/>
        <v>-13980</v>
      </c>
    </row>
    <row r="95" spans="1:6" x14ac:dyDescent="0.25">
      <c r="A95" s="4" t="s">
        <v>213</v>
      </c>
      <c r="B95" s="2">
        <v>4371.25</v>
      </c>
      <c r="C95" s="2">
        <v>286</v>
      </c>
      <c r="D95" s="2">
        <v>4657.25</v>
      </c>
      <c r="E95" s="6">
        <v>4085.25</v>
      </c>
      <c r="F95" s="6">
        <f t="shared" si="1"/>
        <v>-4085.25</v>
      </c>
    </row>
    <row r="96" spans="1:6" x14ac:dyDescent="0.25">
      <c r="A96" s="4" t="s">
        <v>172</v>
      </c>
      <c r="B96" s="2">
        <v>35955</v>
      </c>
      <c r="C96" s="2">
        <v>12952.5</v>
      </c>
      <c r="D96" s="2">
        <v>48907.5</v>
      </c>
      <c r="E96" s="6">
        <v>23002.5</v>
      </c>
      <c r="F96" s="6">
        <f t="shared" si="1"/>
        <v>-23002.5</v>
      </c>
    </row>
    <row r="97" spans="1:6" x14ac:dyDescent="0.25">
      <c r="A97" s="4" t="s">
        <v>169</v>
      </c>
      <c r="B97" s="2">
        <v>18840</v>
      </c>
      <c r="C97" s="2">
        <v>11602.5</v>
      </c>
      <c r="D97" s="2">
        <v>30442.5</v>
      </c>
      <c r="E97" s="6">
        <v>7237.5</v>
      </c>
      <c r="F97" s="6">
        <f t="shared" si="1"/>
        <v>-7237.5</v>
      </c>
    </row>
    <row r="98" spans="1:6" x14ac:dyDescent="0.25">
      <c r="A98" s="4" t="s">
        <v>155</v>
      </c>
      <c r="B98" s="2">
        <v>59020</v>
      </c>
      <c r="C98" s="2">
        <v>26260</v>
      </c>
      <c r="D98" s="2">
        <v>85280</v>
      </c>
      <c r="E98" s="6">
        <v>32760</v>
      </c>
      <c r="F98" s="6">
        <f t="shared" si="1"/>
        <v>-32760</v>
      </c>
    </row>
    <row r="99" spans="1:6" x14ac:dyDescent="0.25">
      <c r="A99" s="4" t="s">
        <v>193</v>
      </c>
      <c r="B99" s="2">
        <v>84220.5</v>
      </c>
      <c r="C99" s="2">
        <v>87087</v>
      </c>
      <c r="D99" s="2">
        <v>171307.5</v>
      </c>
      <c r="E99" s="6">
        <v>2866.5</v>
      </c>
      <c r="F99" s="6">
        <f t="shared" si="1"/>
        <v>2866.5</v>
      </c>
    </row>
    <row r="100" spans="1:6" x14ac:dyDescent="0.25">
      <c r="A100" s="4" t="s">
        <v>135</v>
      </c>
      <c r="B100" s="2">
        <v>71883.5</v>
      </c>
      <c r="C100" s="2">
        <v>90330.5</v>
      </c>
      <c r="D100" s="2">
        <v>162214</v>
      </c>
      <c r="E100" s="6">
        <v>18447</v>
      </c>
      <c r="F100" s="6">
        <f t="shared" si="1"/>
        <v>18447</v>
      </c>
    </row>
    <row r="101" spans="1:6" x14ac:dyDescent="0.25">
      <c r="A101" s="4" t="s">
        <v>153</v>
      </c>
      <c r="B101" s="2">
        <v>27794</v>
      </c>
      <c r="C101" s="2">
        <v>29874</v>
      </c>
      <c r="D101" s="2">
        <v>57668</v>
      </c>
      <c r="E101" s="6">
        <v>2080</v>
      </c>
      <c r="F101" s="6">
        <f t="shared" si="1"/>
        <v>2080</v>
      </c>
    </row>
    <row r="102" spans="1:6" x14ac:dyDescent="0.25">
      <c r="A102" s="4" t="s">
        <v>157</v>
      </c>
      <c r="B102" s="2">
        <v>74399</v>
      </c>
      <c r="C102" s="2">
        <v>90922</v>
      </c>
      <c r="D102" s="2">
        <v>165321</v>
      </c>
      <c r="E102" s="6">
        <v>16523</v>
      </c>
      <c r="F102" s="6">
        <f t="shared" si="1"/>
        <v>16523</v>
      </c>
    </row>
    <row r="103" spans="1:6" x14ac:dyDescent="0.25">
      <c r="A103" s="4" t="s">
        <v>245</v>
      </c>
      <c r="B103" s="2">
        <v>36929.75</v>
      </c>
      <c r="C103" s="2">
        <v>39773.5</v>
      </c>
      <c r="D103" s="2">
        <v>76703.25</v>
      </c>
      <c r="E103" s="6">
        <v>2843.75</v>
      </c>
      <c r="F103" s="6">
        <f t="shared" si="1"/>
        <v>2843.75</v>
      </c>
    </row>
    <row r="104" spans="1:6" x14ac:dyDescent="0.25">
      <c r="A104" s="4" t="s">
        <v>247</v>
      </c>
      <c r="B104" s="2">
        <v>14293.5</v>
      </c>
      <c r="C104" s="2">
        <v>14937</v>
      </c>
      <c r="D104" s="2">
        <v>29230.5</v>
      </c>
      <c r="E104" s="6">
        <v>643.5</v>
      </c>
      <c r="F104" s="6">
        <f t="shared" si="1"/>
        <v>643.5</v>
      </c>
    </row>
    <row r="105" spans="1:6" x14ac:dyDescent="0.25">
      <c r="A105" s="4" t="s">
        <v>215</v>
      </c>
      <c r="B105" s="2">
        <v>35431.5</v>
      </c>
      <c r="C105" s="2">
        <v>34927.75</v>
      </c>
      <c r="D105" s="2">
        <v>70359.25</v>
      </c>
      <c r="E105" s="6">
        <v>503.75</v>
      </c>
      <c r="F105" s="6">
        <f t="shared" si="1"/>
        <v>-503.75</v>
      </c>
    </row>
    <row r="106" spans="1:6" x14ac:dyDescent="0.25">
      <c r="A106" s="4" t="s">
        <v>146</v>
      </c>
      <c r="B106" s="2">
        <v>129372.75</v>
      </c>
      <c r="C106" s="2">
        <v>149435</v>
      </c>
      <c r="D106" s="2">
        <v>278807.75</v>
      </c>
      <c r="E106" s="6">
        <v>20062.25</v>
      </c>
      <c r="F106" s="6">
        <f t="shared" si="1"/>
        <v>20062.25</v>
      </c>
    </row>
    <row r="107" spans="1:6" x14ac:dyDescent="0.25">
      <c r="A107" s="4" t="s">
        <v>127</v>
      </c>
      <c r="B107" s="2">
        <v>107152.5</v>
      </c>
      <c r="C107" s="2">
        <v>163683</v>
      </c>
      <c r="D107" s="2">
        <v>270835.5</v>
      </c>
      <c r="E107" s="6">
        <v>56530.5</v>
      </c>
      <c r="F107" s="6">
        <f t="shared" si="1"/>
        <v>56530.5</v>
      </c>
    </row>
    <row r="108" spans="1:6" x14ac:dyDescent="0.25">
      <c r="A108" s="4" t="s">
        <v>132</v>
      </c>
      <c r="B108" s="2">
        <v>4494.75</v>
      </c>
      <c r="C108" s="2">
        <v>4862</v>
      </c>
      <c r="D108" s="2">
        <v>9356.75</v>
      </c>
      <c r="E108" s="6">
        <v>367.25</v>
      </c>
      <c r="F108" s="6">
        <f t="shared" si="1"/>
        <v>367.25</v>
      </c>
    </row>
    <row r="109" spans="1:6" x14ac:dyDescent="0.25">
      <c r="A109" s="4" t="s">
        <v>206</v>
      </c>
      <c r="B109" s="2">
        <v>154641.5</v>
      </c>
      <c r="C109" s="2">
        <v>185240.25</v>
      </c>
      <c r="D109" s="2">
        <v>339881.75</v>
      </c>
      <c r="E109" s="6">
        <v>30598.75</v>
      </c>
      <c r="F109" s="6">
        <f t="shared" si="1"/>
        <v>30598.75</v>
      </c>
    </row>
    <row r="110" spans="1:6" x14ac:dyDescent="0.25">
      <c r="A110" s="4" t="s">
        <v>181</v>
      </c>
      <c r="B110" s="2">
        <v>162955</v>
      </c>
      <c r="C110" s="2">
        <v>168268.75</v>
      </c>
      <c r="D110" s="2">
        <v>331223.75</v>
      </c>
      <c r="E110" s="6">
        <v>5313.75</v>
      </c>
      <c r="F110" s="6">
        <f t="shared" si="1"/>
        <v>5313.75</v>
      </c>
    </row>
    <row r="111" spans="1:6" x14ac:dyDescent="0.25">
      <c r="A111" s="4" t="s">
        <v>238</v>
      </c>
      <c r="B111" s="2">
        <v>59764.25</v>
      </c>
      <c r="C111" s="2">
        <v>42012.75</v>
      </c>
      <c r="D111" s="2">
        <v>101777</v>
      </c>
      <c r="E111" s="6">
        <v>17751.5</v>
      </c>
      <c r="F111" s="6">
        <f t="shared" si="1"/>
        <v>-17751.5</v>
      </c>
    </row>
    <row r="112" spans="1:6" x14ac:dyDescent="0.25">
      <c r="A112" s="4" t="s">
        <v>112</v>
      </c>
      <c r="B112" s="2">
        <v>6637.5</v>
      </c>
      <c r="C112" s="2">
        <v>8887.5</v>
      </c>
      <c r="D112" s="2">
        <v>15525</v>
      </c>
      <c r="E112" s="6">
        <v>2250</v>
      </c>
      <c r="F112" s="6">
        <f t="shared" si="1"/>
        <v>2250</v>
      </c>
    </row>
    <row r="113" spans="1:6" x14ac:dyDescent="0.25">
      <c r="A113" s="4" t="s">
        <v>124</v>
      </c>
      <c r="B113" s="2">
        <v>13117.5</v>
      </c>
      <c r="C113" s="2">
        <v>14598.75</v>
      </c>
      <c r="D113" s="2">
        <v>27716.25</v>
      </c>
      <c r="E113" s="6">
        <v>1481.25</v>
      </c>
      <c r="F113" s="6">
        <f t="shared" si="1"/>
        <v>1481.25</v>
      </c>
    </row>
    <row r="114" spans="1:6" x14ac:dyDescent="0.25">
      <c r="A114" s="4" t="s">
        <v>79</v>
      </c>
      <c r="B114" s="2">
        <v>19535.75</v>
      </c>
      <c r="C114" s="2">
        <v>24472.5</v>
      </c>
      <c r="D114" s="2">
        <v>44008.25</v>
      </c>
      <c r="E114" s="6">
        <v>4936.75</v>
      </c>
      <c r="F114" s="6">
        <f t="shared" si="1"/>
        <v>4936.75</v>
      </c>
    </row>
    <row r="115" spans="1:6" x14ac:dyDescent="0.25">
      <c r="A115" s="4" t="s">
        <v>75</v>
      </c>
      <c r="B115" s="2">
        <v>11245</v>
      </c>
      <c r="C115" s="2">
        <v>11687</v>
      </c>
      <c r="D115" s="2">
        <v>22932</v>
      </c>
      <c r="E115" s="6">
        <v>442</v>
      </c>
      <c r="F115" s="6">
        <f t="shared" si="1"/>
        <v>442</v>
      </c>
    </row>
    <row r="116" spans="1:6" x14ac:dyDescent="0.25">
      <c r="A116" s="4" t="s">
        <v>60</v>
      </c>
      <c r="B116" s="2">
        <v>10710</v>
      </c>
      <c r="C116" s="2">
        <v>21180</v>
      </c>
      <c r="D116" s="2">
        <v>31890</v>
      </c>
      <c r="E116" s="6">
        <v>10470</v>
      </c>
      <c r="F116" s="6">
        <f t="shared" si="1"/>
        <v>10470</v>
      </c>
    </row>
    <row r="117" spans="1:6" x14ac:dyDescent="0.25">
      <c r="A117" s="4" t="s">
        <v>57</v>
      </c>
      <c r="B117" s="2">
        <v>27048.75</v>
      </c>
      <c r="C117" s="2">
        <v>33446.25</v>
      </c>
      <c r="D117" s="2">
        <v>60495</v>
      </c>
      <c r="E117" s="6">
        <v>6397.5</v>
      </c>
      <c r="F117" s="6">
        <f t="shared" si="1"/>
        <v>6397.5</v>
      </c>
    </row>
    <row r="118" spans="1:6" x14ac:dyDescent="0.25">
      <c r="A118" s="4" t="s">
        <v>35</v>
      </c>
      <c r="B118" s="2">
        <v>1848.75</v>
      </c>
      <c r="C118" s="2">
        <v>112.5</v>
      </c>
      <c r="D118" s="2">
        <v>1961.25</v>
      </c>
      <c r="E118" s="6">
        <v>1736.25</v>
      </c>
      <c r="F118" s="6">
        <f t="shared" si="1"/>
        <v>-1736.25</v>
      </c>
    </row>
    <row r="119" spans="1:6" x14ac:dyDescent="0.25">
      <c r="A119" s="4" t="s">
        <v>32</v>
      </c>
      <c r="B119" s="2">
        <v>4222.5</v>
      </c>
      <c r="C119" s="2">
        <v>4387.5</v>
      </c>
      <c r="D119" s="2">
        <v>8610</v>
      </c>
      <c r="E119" s="6">
        <v>165</v>
      </c>
      <c r="F119" s="6">
        <f t="shared" si="1"/>
        <v>165</v>
      </c>
    </row>
    <row r="120" spans="1:6" x14ac:dyDescent="0.25">
      <c r="A120" s="4" t="s">
        <v>15</v>
      </c>
      <c r="B120" s="2">
        <v>58396</v>
      </c>
      <c r="C120" s="2">
        <v>83148</v>
      </c>
      <c r="D120" s="2">
        <v>141544</v>
      </c>
      <c r="E120" s="6">
        <v>24752</v>
      </c>
      <c r="F120" s="6">
        <f t="shared" si="1"/>
        <v>24752</v>
      </c>
    </row>
    <row r="121" spans="1:6" x14ac:dyDescent="0.25">
      <c r="A121" s="4" t="s">
        <v>66</v>
      </c>
      <c r="B121" s="2">
        <v>230262.5</v>
      </c>
      <c r="C121" s="2">
        <v>253526</v>
      </c>
      <c r="D121" s="2">
        <v>483788.5</v>
      </c>
      <c r="E121" s="6">
        <v>23263.5</v>
      </c>
      <c r="F121" s="6">
        <f t="shared" si="1"/>
        <v>23263.5</v>
      </c>
    </row>
    <row r="122" spans="1:6" x14ac:dyDescent="0.25">
      <c r="A122" s="4" t="s">
        <v>574</v>
      </c>
      <c r="B122" s="2">
        <v>7837.5</v>
      </c>
      <c r="C122" s="2">
        <v>7687.5</v>
      </c>
      <c r="D122" s="2">
        <v>15525</v>
      </c>
      <c r="E122" s="6">
        <v>150</v>
      </c>
      <c r="F122" s="6">
        <f t="shared" si="1"/>
        <v>-150</v>
      </c>
    </row>
    <row r="123" spans="1:6" x14ac:dyDescent="0.25">
      <c r="A123" s="4" t="s">
        <v>675</v>
      </c>
      <c r="B123" s="2">
        <v>5889188.25</v>
      </c>
      <c r="C123" s="2">
        <v>5908707.25</v>
      </c>
      <c r="D123" s="2">
        <v>11797895.5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6"/>
  <sheetViews>
    <sheetView workbookViewId="0">
      <selection activeCell="D3" sqref="D3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11" bestFit="1" customWidth="1"/>
    <col min="4" max="4" width="11.28515625" bestFit="1" customWidth="1"/>
  </cols>
  <sheetData>
    <row r="3" spans="1:5" x14ac:dyDescent="0.25">
      <c r="A3" s="3" t="s">
        <v>677</v>
      </c>
      <c r="B3" s="3" t="s">
        <v>676</v>
      </c>
    </row>
    <row r="4" spans="1:5" x14ac:dyDescent="0.25">
      <c r="A4" s="3" t="s">
        <v>674</v>
      </c>
      <c r="B4" t="s">
        <v>17</v>
      </c>
      <c r="C4" t="s">
        <v>20</v>
      </c>
      <c r="D4" t="s">
        <v>675</v>
      </c>
    </row>
    <row r="5" spans="1:5" x14ac:dyDescent="0.25">
      <c r="A5" s="4" t="s">
        <v>16</v>
      </c>
      <c r="B5">
        <v>5889188.25</v>
      </c>
      <c r="C5">
        <v>5908707.25</v>
      </c>
      <c r="D5">
        <v>11797895.5</v>
      </c>
      <c r="E5">
        <f>GETPIVOTDATA("Value",$A$3,"Exchange","NSE","Action","Buy")-GETPIVOTDATA("Value",$A$3,"Exchange","NSE","Action","Sell")</f>
        <v>-19519</v>
      </c>
    </row>
    <row r="6" spans="1:5" x14ac:dyDescent="0.25">
      <c r="A6" s="4" t="s">
        <v>675</v>
      </c>
      <c r="B6">
        <v>5889188.25</v>
      </c>
      <c r="C6">
        <v>5908707.25</v>
      </c>
      <c r="D6">
        <v>11797895.5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39"/>
  <sheetViews>
    <sheetView topLeftCell="A518" workbookViewId="0">
      <selection activeCell="O528" sqref="O528"/>
    </sheetView>
  </sheetViews>
  <sheetFormatPr defaultRowHeight="15" x14ac:dyDescent="0.25"/>
  <cols>
    <col min="1" max="1" width="10.5703125" bestFit="1" customWidth="1"/>
    <col min="2" max="2" width="36.7109375" bestFit="1" customWidth="1"/>
    <col min="5" max="5" width="5" bestFit="1" customWidth="1"/>
    <col min="7" max="7" width="11.5703125" style="2" bestFit="1" customWidth="1"/>
    <col min="8" max="8" width="20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46111</v>
      </c>
      <c r="B2" t="s">
        <v>15</v>
      </c>
      <c r="C2" t="s">
        <v>16</v>
      </c>
      <c r="D2" t="s">
        <v>17</v>
      </c>
      <c r="E2">
        <v>260</v>
      </c>
      <c r="F2">
        <v>111.4</v>
      </c>
      <c r="G2" s="2">
        <v>28964</v>
      </c>
      <c r="H2" t="s">
        <v>18</v>
      </c>
      <c r="I2">
        <v>0</v>
      </c>
      <c r="J2">
        <v>10.29</v>
      </c>
      <c r="K2">
        <v>0</v>
      </c>
      <c r="L2">
        <v>0.03</v>
      </c>
      <c r="M2">
        <v>116</v>
      </c>
      <c r="N2">
        <v>22.74</v>
      </c>
      <c r="O2">
        <v>149.06</v>
      </c>
    </row>
    <row r="3" spans="1:15" x14ac:dyDescent="0.25">
      <c r="A3" s="1">
        <v>46111</v>
      </c>
      <c r="B3" t="s">
        <v>15</v>
      </c>
      <c r="C3" t="s">
        <v>16</v>
      </c>
      <c r="D3" t="s">
        <v>17</v>
      </c>
      <c r="E3">
        <v>260</v>
      </c>
      <c r="F3">
        <v>113.2</v>
      </c>
      <c r="G3" s="2">
        <v>29432</v>
      </c>
      <c r="H3" t="s">
        <v>19</v>
      </c>
      <c r="I3">
        <v>0</v>
      </c>
      <c r="J3">
        <v>10.46</v>
      </c>
      <c r="K3">
        <v>2</v>
      </c>
      <c r="L3">
        <v>0.03</v>
      </c>
      <c r="M3">
        <v>116</v>
      </c>
      <c r="N3">
        <v>22.76</v>
      </c>
      <c r="O3">
        <v>151.25</v>
      </c>
    </row>
    <row r="4" spans="1:15" x14ac:dyDescent="0.25">
      <c r="A4" s="1">
        <v>46111</v>
      </c>
      <c r="B4" t="s">
        <v>15</v>
      </c>
      <c r="C4" t="s">
        <v>16</v>
      </c>
      <c r="D4" t="s">
        <v>20</v>
      </c>
      <c r="E4">
        <v>520</v>
      </c>
      <c r="F4">
        <v>159.9</v>
      </c>
      <c r="G4" s="2">
        <v>83148</v>
      </c>
      <c r="H4" t="s">
        <v>21</v>
      </c>
      <c r="I4">
        <v>83</v>
      </c>
      <c r="J4">
        <v>29.54</v>
      </c>
      <c r="K4">
        <v>0</v>
      </c>
      <c r="L4">
        <v>0.08</v>
      </c>
      <c r="M4">
        <v>232</v>
      </c>
      <c r="N4">
        <v>47.08</v>
      </c>
      <c r="O4">
        <v>391.7</v>
      </c>
    </row>
    <row r="5" spans="1:15" x14ac:dyDescent="0.25">
      <c r="A5" s="1">
        <v>46052</v>
      </c>
      <c r="B5" t="s">
        <v>22</v>
      </c>
      <c r="C5" t="s">
        <v>16</v>
      </c>
      <c r="D5" t="s">
        <v>20</v>
      </c>
      <c r="E5">
        <v>65</v>
      </c>
      <c r="F5">
        <v>208.8</v>
      </c>
      <c r="G5" s="2">
        <v>13572</v>
      </c>
      <c r="H5" t="s">
        <v>23</v>
      </c>
      <c r="I5">
        <v>13.57</v>
      </c>
      <c r="J5">
        <v>4.82</v>
      </c>
      <c r="K5">
        <v>0</v>
      </c>
      <c r="L5">
        <v>0.01</v>
      </c>
      <c r="M5">
        <v>29</v>
      </c>
      <c r="N5">
        <v>6.1</v>
      </c>
      <c r="O5">
        <v>53.5</v>
      </c>
    </row>
    <row r="6" spans="1:15" x14ac:dyDescent="0.25">
      <c r="A6" s="1">
        <v>46052</v>
      </c>
      <c r="B6" t="s">
        <v>24</v>
      </c>
      <c r="C6" t="s">
        <v>16</v>
      </c>
      <c r="D6" t="s">
        <v>17</v>
      </c>
      <c r="E6">
        <v>65</v>
      </c>
      <c r="F6">
        <v>234.8</v>
      </c>
      <c r="G6" s="2">
        <v>15262</v>
      </c>
      <c r="H6" t="s">
        <v>25</v>
      </c>
      <c r="I6">
        <v>0</v>
      </c>
      <c r="J6">
        <v>5.42</v>
      </c>
      <c r="K6">
        <v>0</v>
      </c>
      <c r="L6">
        <v>0.02</v>
      </c>
      <c r="M6">
        <v>29</v>
      </c>
      <c r="N6">
        <v>6.2</v>
      </c>
      <c r="O6">
        <v>40.64</v>
      </c>
    </row>
    <row r="7" spans="1:15" x14ac:dyDescent="0.25">
      <c r="A7" s="1">
        <v>46052</v>
      </c>
      <c r="B7" t="s">
        <v>24</v>
      </c>
      <c r="C7" t="s">
        <v>16</v>
      </c>
      <c r="D7" t="s">
        <v>17</v>
      </c>
      <c r="E7">
        <v>65</v>
      </c>
      <c r="F7">
        <v>250.55</v>
      </c>
      <c r="G7" s="2">
        <v>16285.75</v>
      </c>
      <c r="H7" t="s">
        <v>26</v>
      </c>
      <c r="I7">
        <v>0</v>
      </c>
      <c r="J7">
        <v>5.79</v>
      </c>
      <c r="K7">
        <v>0</v>
      </c>
      <c r="L7">
        <v>0.02</v>
      </c>
      <c r="M7">
        <v>29</v>
      </c>
      <c r="N7">
        <v>6.26</v>
      </c>
      <c r="O7">
        <v>41.07</v>
      </c>
    </row>
    <row r="8" spans="1:15" x14ac:dyDescent="0.25">
      <c r="A8" s="1">
        <v>46052</v>
      </c>
      <c r="B8" t="s">
        <v>24</v>
      </c>
      <c r="C8" t="s">
        <v>16</v>
      </c>
      <c r="D8" t="s">
        <v>20</v>
      </c>
      <c r="E8">
        <v>65</v>
      </c>
      <c r="F8">
        <v>251.55</v>
      </c>
      <c r="G8" s="2">
        <v>16350.75</v>
      </c>
      <c r="H8" t="s">
        <v>27</v>
      </c>
      <c r="I8">
        <v>16</v>
      </c>
      <c r="J8">
        <v>5.81</v>
      </c>
      <c r="K8">
        <v>0</v>
      </c>
      <c r="L8">
        <v>0.02</v>
      </c>
      <c r="M8">
        <v>29</v>
      </c>
      <c r="N8">
        <v>6.26</v>
      </c>
      <c r="O8">
        <v>57.09</v>
      </c>
    </row>
    <row r="9" spans="1:15" x14ac:dyDescent="0.25">
      <c r="A9" s="1">
        <v>46052</v>
      </c>
      <c r="B9" t="s">
        <v>22</v>
      </c>
      <c r="C9" t="s">
        <v>16</v>
      </c>
      <c r="D9" t="s">
        <v>17</v>
      </c>
      <c r="E9">
        <v>65</v>
      </c>
      <c r="F9">
        <v>217.6</v>
      </c>
      <c r="G9" s="2">
        <v>14144</v>
      </c>
      <c r="H9" t="s">
        <v>28</v>
      </c>
      <c r="I9">
        <v>0</v>
      </c>
      <c r="J9">
        <v>5.03</v>
      </c>
      <c r="K9">
        <v>0.42</v>
      </c>
      <c r="L9">
        <v>0.01</v>
      </c>
      <c r="M9">
        <v>29</v>
      </c>
      <c r="N9">
        <v>6.12</v>
      </c>
      <c r="O9">
        <v>40.58</v>
      </c>
    </row>
    <row r="10" spans="1:15" x14ac:dyDescent="0.25">
      <c r="A10" s="1">
        <v>46052</v>
      </c>
      <c r="B10" t="s">
        <v>24</v>
      </c>
      <c r="C10" t="s">
        <v>16</v>
      </c>
      <c r="D10" t="s">
        <v>20</v>
      </c>
      <c r="E10">
        <v>130</v>
      </c>
      <c r="F10">
        <v>234.9</v>
      </c>
      <c r="G10" s="2">
        <v>30537</v>
      </c>
      <c r="H10" t="s">
        <v>29</v>
      </c>
      <c r="I10">
        <v>30.54</v>
      </c>
      <c r="J10">
        <v>10.85</v>
      </c>
      <c r="K10">
        <v>0</v>
      </c>
      <c r="L10">
        <v>0.03</v>
      </c>
      <c r="M10">
        <v>58</v>
      </c>
      <c r="N10">
        <v>12.4</v>
      </c>
      <c r="O10">
        <v>111.82</v>
      </c>
    </row>
    <row r="11" spans="1:15" x14ac:dyDescent="0.25">
      <c r="A11" s="1">
        <v>46052</v>
      </c>
      <c r="B11" t="s">
        <v>24</v>
      </c>
      <c r="C11" t="s">
        <v>16</v>
      </c>
      <c r="D11" t="s">
        <v>17</v>
      </c>
      <c r="E11">
        <v>130</v>
      </c>
      <c r="F11">
        <v>201.25</v>
      </c>
      <c r="G11" s="2">
        <v>26162.5</v>
      </c>
      <c r="H11" t="s">
        <v>30</v>
      </c>
      <c r="I11">
        <v>0</v>
      </c>
      <c r="J11">
        <v>9.3000000000000007</v>
      </c>
      <c r="K11">
        <v>1.58</v>
      </c>
      <c r="L11">
        <v>0.02</v>
      </c>
      <c r="M11">
        <v>58</v>
      </c>
      <c r="N11">
        <v>12.12</v>
      </c>
      <c r="O11">
        <v>81.02</v>
      </c>
    </row>
    <row r="12" spans="1:15" x14ac:dyDescent="0.25">
      <c r="A12" s="1">
        <v>46052</v>
      </c>
      <c r="B12" t="s">
        <v>24</v>
      </c>
      <c r="C12" t="s">
        <v>16</v>
      </c>
      <c r="D12" t="s">
        <v>20</v>
      </c>
      <c r="E12">
        <v>65</v>
      </c>
      <c r="F12">
        <v>259.89999999999998</v>
      </c>
      <c r="G12" s="2">
        <v>16893.5</v>
      </c>
      <c r="H12" t="s">
        <v>31</v>
      </c>
      <c r="I12">
        <v>16.89</v>
      </c>
      <c r="J12">
        <v>6</v>
      </c>
      <c r="K12">
        <v>0</v>
      </c>
      <c r="L12">
        <v>0.02</v>
      </c>
      <c r="M12">
        <v>29</v>
      </c>
      <c r="N12">
        <v>6.3</v>
      </c>
      <c r="O12">
        <v>58.21</v>
      </c>
    </row>
    <row r="13" spans="1:15" x14ac:dyDescent="0.25">
      <c r="A13" s="1">
        <v>45806</v>
      </c>
      <c r="B13" t="s">
        <v>32</v>
      </c>
      <c r="C13" t="s">
        <v>16</v>
      </c>
      <c r="D13" t="s">
        <v>20</v>
      </c>
      <c r="E13">
        <v>150</v>
      </c>
      <c r="F13">
        <v>29.25</v>
      </c>
      <c r="G13" s="2">
        <v>4387.5</v>
      </c>
      <c r="H13" t="s">
        <v>33</v>
      </c>
      <c r="I13">
        <v>4.38</v>
      </c>
      <c r="J13">
        <v>1.56</v>
      </c>
      <c r="K13">
        <v>0</v>
      </c>
      <c r="L13">
        <v>0</v>
      </c>
      <c r="M13">
        <v>58</v>
      </c>
      <c r="N13">
        <v>10.72</v>
      </c>
      <c r="O13">
        <v>74.66</v>
      </c>
    </row>
    <row r="14" spans="1:15" x14ac:dyDescent="0.25">
      <c r="A14" s="1">
        <v>45806</v>
      </c>
      <c r="B14" t="s">
        <v>32</v>
      </c>
      <c r="C14" t="s">
        <v>16</v>
      </c>
      <c r="D14" t="s">
        <v>17</v>
      </c>
      <c r="E14">
        <v>150</v>
      </c>
      <c r="F14">
        <v>28.15</v>
      </c>
      <c r="G14" s="2">
        <v>4222.5</v>
      </c>
      <c r="H14" t="s">
        <v>34</v>
      </c>
      <c r="I14">
        <v>0</v>
      </c>
      <c r="J14">
        <v>1.5</v>
      </c>
      <c r="K14">
        <v>0</v>
      </c>
      <c r="L14">
        <v>0</v>
      </c>
      <c r="M14">
        <v>58</v>
      </c>
      <c r="N14">
        <v>10.72</v>
      </c>
      <c r="O14">
        <v>70.22</v>
      </c>
    </row>
    <row r="15" spans="1:15" x14ac:dyDescent="0.25">
      <c r="A15" s="1">
        <v>45806</v>
      </c>
      <c r="B15" t="s">
        <v>35</v>
      </c>
      <c r="C15" t="s">
        <v>16</v>
      </c>
      <c r="D15" t="s">
        <v>20</v>
      </c>
      <c r="E15">
        <v>75</v>
      </c>
      <c r="F15">
        <v>1.5</v>
      </c>
      <c r="G15" s="2">
        <v>112.5</v>
      </c>
      <c r="H15" t="s">
        <v>36</v>
      </c>
      <c r="I15">
        <v>0.61</v>
      </c>
      <c r="J15">
        <v>0.04</v>
      </c>
      <c r="K15">
        <v>0</v>
      </c>
      <c r="L15">
        <v>0</v>
      </c>
      <c r="M15">
        <v>29</v>
      </c>
      <c r="N15">
        <v>5.22</v>
      </c>
      <c r="O15">
        <v>34.869999999999997</v>
      </c>
    </row>
    <row r="16" spans="1:15" x14ac:dyDescent="0.25">
      <c r="A16" s="1">
        <v>46051</v>
      </c>
      <c r="B16" t="s">
        <v>37</v>
      </c>
      <c r="C16" t="s">
        <v>16</v>
      </c>
      <c r="D16" t="s">
        <v>17</v>
      </c>
      <c r="E16">
        <v>130</v>
      </c>
      <c r="F16">
        <v>178.75</v>
      </c>
      <c r="G16" s="2">
        <v>23237.5</v>
      </c>
      <c r="H16" t="s">
        <v>38</v>
      </c>
      <c r="I16">
        <v>0</v>
      </c>
      <c r="J16">
        <v>8.26</v>
      </c>
      <c r="K16">
        <v>0.61</v>
      </c>
      <c r="L16">
        <v>0.02</v>
      </c>
      <c r="M16">
        <v>58</v>
      </c>
      <c r="N16">
        <v>11.92</v>
      </c>
      <c r="O16">
        <v>78.81</v>
      </c>
    </row>
    <row r="17" spans="1:15" x14ac:dyDescent="0.25">
      <c r="A17" s="1">
        <v>46051</v>
      </c>
      <c r="B17" t="s">
        <v>39</v>
      </c>
      <c r="C17" t="s">
        <v>16</v>
      </c>
      <c r="D17" t="s">
        <v>20</v>
      </c>
      <c r="E17">
        <v>65</v>
      </c>
      <c r="F17">
        <v>161.55000000000001</v>
      </c>
      <c r="G17" s="2">
        <v>10500.75</v>
      </c>
      <c r="H17" t="s">
        <v>40</v>
      </c>
      <c r="I17">
        <v>10.19</v>
      </c>
      <c r="J17">
        <v>3.73</v>
      </c>
      <c r="K17">
        <v>0</v>
      </c>
      <c r="L17">
        <v>0.01</v>
      </c>
      <c r="M17">
        <v>29</v>
      </c>
      <c r="N17">
        <v>5.9</v>
      </c>
      <c r="O17">
        <v>48.83</v>
      </c>
    </row>
    <row r="18" spans="1:15" x14ac:dyDescent="0.25">
      <c r="A18" s="1">
        <v>46051</v>
      </c>
      <c r="B18" t="s">
        <v>37</v>
      </c>
      <c r="C18" t="s">
        <v>16</v>
      </c>
      <c r="D18" t="s">
        <v>20</v>
      </c>
      <c r="E18">
        <v>130</v>
      </c>
      <c r="F18">
        <v>167.8</v>
      </c>
      <c r="G18" s="2">
        <v>21814</v>
      </c>
      <c r="H18" t="s">
        <v>41</v>
      </c>
      <c r="I18">
        <v>21.81</v>
      </c>
      <c r="J18">
        <v>7.75</v>
      </c>
      <c r="K18">
        <v>0</v>
      </c>
      <c r="L18">
        <v>0.02</v>
      </c>
      <c r="M18">
        <v>58</v>
      </c>
      <c r="N18">
        <v>11.84</v>
      </c>
      <c r="O18">
        <v>99.42</v>
      </c>
    </row>
    <row r="19" spans="1:15" x14ac:dyDescent="0.25">
      <c r="A19" s="1">
        <v>46051</v>
      </c>
      <c r="B19" t="s">
        <v>39</v>
      </c>
      <c r="C19" t="s">
        <v>16</v>
      </c>
      <c r="D19" t="s">
        <v>17</v>
      </c>
      <c r="E19">
        <v>65</v>
      </c>
      <c r="F19">
        <v>199.6</v>
      </c>
      <c r="G19" s="2">
        <v>12974</v>
      </c>
      <c r="H19" t="s">
        <v>42</v>
      </c>
      <c r="I19">
        <v>0</v>
      </c>
      <c r="J19">
        <v>4.6100000000000003</v>
      </c>
      <c r="K19">
        <v>0.39</v>
      </c>
      <c r="L19">
        <v>0.01</v>
      </c>
      <c r="M19">
        <v>29</v>
      </c>
      <c r="N19">
        <v>6.06</v>
      </c>
      <c r="O19">
        <v>40.07</v>
      </c>
    </row>
    <row r="20" spans="1:15" x14ac:dyDescent="0.25">
      <c r="A20" s="1">
        <v>45989</v>
      </c>
      <c r="B20" t="s">
        <v>43</v>
      </c>
      <c r="C20" t="s">
        <v>16</v>
      </c>
      <c r="D20" t="s">
        <v>17</v>
      </c>
      <c r="E20">
        <v>375</v>
      </c>
      <c r="F20">
        <v>44.1</v>
      </c>
      <c r="G20" s="2">
        <v>16537.5</v>
      </c>
      <c r="H20" t="s">
        <v>44</v>
      </c>
      <c r="I20">
        <v>0</v>
      </c>
      <c r="J20">
        <v>5.88</v>
      </c>
      <c r="K20">
        <v>0.76</v>
      </c>
      <c r="L20">
        <v>0.02</v>
      </c>
      <c r="M20">
        <v>145</v>
      </c>
      <c r="N20">
        <v>27.16</v>
      </c>
      <c r="O20">
        <v>178.82</v>
      </c>
    </row>
    <row r="21" spans="1:15" x14ac:dyDescent="0.25">
      <c r="A21" s="1">
        <v>45989</v>
      </c>
      <c r="B21" t="s">
        <v>43</v>
      </c>
      <c r="C21" t="s">
        <v>16</v>
      </c>
      <c r="D21" t="s">
        <v>17</v>
      </c>
      <c r="E21">
        <v>75</v>
      </c>
      <c r="F21">
        <v>44.1</v>
      </c>
      <c r="G21" s="2">
        <v>3307.5</v>
      </c>
      <c r="H21" t="s">
        <v>45</v>
      </c>
      <c r="I21">
        <v>0</v>
      </c>
      <c r="J21">
        <v>1.18</v>
      </c>
      <c r="K21">
        <v>0</v>
      </c>
      <c r="L21">
        <v>0</v>
      </c>
      <c r="M21">
        <v>29</v>
      </c>
      <c r="N21">
        <v>5.44</v>
      </c>
      <c r="O21">
        <v>35.619999999999997</v>
      </c>
    </row>
    <row r="22" spans="1:15" x14ac:dyDescent="0.25">
      <c r="A22" s="1">
        <v>45989</v>
      </c>
      <c r="B22" t="s">
        <v>46</v>
      </c>
      <c r="C22" t="s">
        <v>16</v>
      </c>
      <c r="D22" t="s">
        <v>20</v>
      </c>
      <c r="E22">
        <v>75</v>
      </c>
      <c r="F22">
        <v>105</v>
      </c>
      <c r="G22" s="2">
        <v>7875</v>
      </c>
      <c r="H22" t="s">
        <v>47</v>
      </c>
      <c r="I22">
        <v>8</v>
      </c>
      <c r="J22">
        <v>2.8</v>
      </c>
      <c r="K22">
        <v>0</v>
      </c>
      <c r="L22">
        <v>0.01</v>
      </c>
      <c r="M22">
        <v>29</v>
      </c>
      <c r="N22">
        <v>5.72</v>
      </c>
      <c r="O22">
        <v>45.53</v>
      </c>
    </row>
    <row r="23" spans="1:15" x14ac:dyDescent="0.25">
      <c r="A23" s="1">
        <v>45989</v>
      </c>
      <c r="B23" t="s">
        <v>46</v>
      </c>
      <c r="C23" t="s">
        <v>16</v>
      </c>
      <c r="D23" t="s">
        <v>17</v>
      </c>
      <c r="E23">
        <v>75</v>
      </c>
      <c r="F23">
        <v>105.85</v>
      </c>
      <c r="G23" s="2">
        <v>7938.75</v>
      </c>
      <c r="H23" t="s">
        <v>48</v>
      </c>
      <c r="I23">
        <v>0</v>
      </c>
      <c r="J23">
        <v>2.82</v>
      </c>
      <c r="K23">
        <v>0.24</v>
      </c>
      <c r="L23">
        <v>0.01</v>
      </c>
      <c r="M23">
        <v>29</v>
      </c>
      <c r="N23">
        <v>5.72</v>
      </c>
      <c r="O23">
        <v>37.79</v>
      </c>
    </row>
    <row r="24" spans="1:15" x14ac:dyDescent="0.25">
      <c r="A24" s="1">
        <v>46050</v>
      </c>
      <c r="B24" t="s">
        <v>22</v>
      </c>
      <c r="C24" t="s">
        <v>16</v>
      </c>
      <c r="D24" t="s">
        <v>17</v>
      </c>
      <c r="E24">
        <v>195</v>
      </c>
      <c r="F24">
        <v>202.4</v>
      </c>
      <c r="G24" s="2">
        <v>39468</v>
      </c>
      <c r="H24" t="s">
        <v>49</v>
      </c>
      <c r="I24">
        <v>0</v>
      </c>
      <c r="J24">
        <v>14.01</v>
      </c>
      <c r="K24">
        <v>0</v>
      </c>
      <c r="L24">
        <v>0.03</v>
      </c>
      <c r="M24">
        <v>87</v>
      </c>
      <c r="N24">
        <v>18.18</v>
      </c>
      <c r="O24">
        <v>119.22</v>
      </c>
    </row>
    <row r="25" spans="1:15" x14ac:dyDescent="0.25">
      <c r="A25" s="1">
        <v>46050</v>
      </c>
      <c r="B25" t="s">
        <v>22</v>
      </c>
      <c r="C25" t="s">
        <v>16</v>
      </c>
      <c r="D25" t="s">
        <v>20</v>
      </c>
      <c r="E25">
        <v>195</v>
      </c>
      <c r="F25">
        <v>209.9</v>
      </c>
      <c r="G25" s="2">
        <v>40930.5</v>
      </c>
      <c r="H25" t="s">
        <v>50</v>
      </c>
      <c r="I25">
        <v>40.93</v>
      </c>
      <c r="J25">
        <v>14.54</v>
      </c>
      <c r="K25">
        <v>0</v>
      </c>
      <c r="L25">
        <v>0.04</v>
      </c>
      <c r="M25">
        <v>87</v>
      </c>
      <c r="N25">
        <v>18.28</v>
      </c>
      <c r="O25">
        <v>160.79</v>
      </c>
    </row>
    <row r="26" spans="1:15" x14ac:dyDescent="0.25">
      <c r="A26" s="1">
        <v>46050</v>
      </c>
      <c r="B26" t="s">
        <v>51</v>
      </c>
      <c r="C26" t="s">
        <v>16</v>
      </c>
      <c r="D26" t="s">
        <v>20</v>
      </c>
      <c r="E26">
        <v>195</v>
      </c>
      <c r="F26">
        <v>179.25</v>
      </c>
      <c r="G26" s="2">
        <v>34953.75</v>
      </c>
      <c r="H26" t="s">
        <v>52</v>
      </c>
      <c r="I26">
        <v>34.950000000000003</v>
      </c>
      <c r="J26">
        <v>12.42</v>
      </c>
      <c r="K26">
        <v>0</v>
      </c>
      <c r="L26">
        <v>0.04</v>
      </c>
      <c r="M26">
        <v>87</v>
      </c>
      <c r="N26">
        <v>17.899999999999999</v>
      </c>
      <c r="O26">
        <v>152.31</v>
      </c>
    </row>
    <row r="27" spans="1:15" x14ac:dyDescent="0.25">
      <c r="A27" s="1">
        <v>46050</v>
      </c>
      <c r="B27" t="s">
        <v>51</v>
      </c>
      <c r="C27" t="s">
        <v>16</v>
      </c>
      <c r="D27" t="s">
        <v>17</v>
      </c>
      <c r="E27">
        <v>65</v>
      </c>
      <c r="F27">
        <v>190.25</v>
      </c>
      <c r="G27" s="2">
        <v>12366.25</v>
      </c>
      <c r="H27" t="s">
        <v>53</v>
      </c>
      <c r="I27">
        <v>0</v>
      </c>
      <c r="J27">
        <v>4.3899999999999997</v>
      </c>
      <c r="K27">
        <v>0</v>
      </c>
      <c r="L27">
        <v>0.01</v>
      </c>
      <c r="M27">
        <v>29</v>
      </c>
      <c r="N27">
        <v>6.02</v>
      </c>
      <c r="O27">
        <v>39.42</v>
      </c>
    </row>
    <row r="28" spans="1:15" x14ac:dyDescent="0.25">
      <c r="A28" s="1">
        <v>46050</v>
      </c>
      <c r="B28" t="s">
        <v>51</v>
      </c>
      <c r="C28" t="s">
        <v>16</v>
      </c>
      <c r="D28" t="s">
        <v>17</v>
      </c>
      <c r="E28">
        <v>130</v>
      </c>
      <c r="F28">
        <v>200.4</v>
      </c>
      <c r="G28" s="2">
        <v>26052</v>
      </c>
      <c r="H28" t="s">
        <v>54</v>
      </c>
      <c r="I28">
        <v>0</v>
      </c>
      <c r="J28">
        <v>9.26</v>
      </c>
      <c r="K28">
        <v>1.1499999999999999</v>
      </c>
      <c r="L28">
        <v>0.03</v>
      </c>
      <c r="M28">
        <v>58</v>
      </c>
      <c r="N28">
        <v>12.12</v>
      </c>
      <c r="O28">
        <v>80.56</v>
      </c>
    </row>
    <row r="29" spans="1:15" x14ac:dyDescent="0.25">
      <c r="A29" s="1">
        <v>46050</v>
      </c>
      <c r="B29" t="s">
        <v>22</v>
      </c>
      <c r="C29" t="s">
        <v>16</v>
      </c>
      <c r="D29" t="s">
        <v>17</v>
      </c>
      <c r="E29">
        <v>65</v>
      </c>
      <c r="F29">
        <v>203.1</v>
      </c>
      <c r="G29" s="2">
        <v>13201.5</v>
      </c>
      <c r="H29" t="s">
        <v>55</v>
      </c>
      <c r="I29">
        <v>0</v>
      </c>
      <c r="J29">
        <v>4.6900000000000004</v>
      </c>
      <c r="K29">
        <v>1.85</v>
      </c>
      <c r="L29">
        <v>0.01</v>
      </c>
      <c r="M29">
        <v>29</v>
      </c>
      <c r="N29">
        <v>6.06</v>
      </c>
      <c r="O29">
        <v>41.61</v>
      </c>
    </row>
    <row r="30" spans="1:15" x14ac:dyDescent="0.25">
      <c r="A30" s="1">
        <v>46050</v>
      </c>
      <c r="B30" t="s">
        <v>22</v>
      </c>
      <c r="C30" t="s">
        <v>16</v>
      </c>
      <c r="D30" t="s">
        <v>20</v>
      </c>
      <c r="E30">
        <v>65</v>
      </c>
      <c r="F30">
        <v>219.9</v>
      </c>
      <c r="G30" s="2">
        <v>14293.5</v>
      </c>
      <c r="H30" t="s">
        <v>56</v>
      </c>
      <c r="I30">
        <v>14.12</v>
      </c>
      <c r="J30">
        <v>5.08</v>
      </c>
      <c r="K30">
        <v>0</v>
      </c>
      <c r="L30">
        <v>0.01</v>
      </c>
      <c r="M30">
        <v>29</v>
      </c>
      <c r="N30">
        <v>6.14</v>
      </c>
      <c r="O30">
        <v>54.35</v>
      </c>
    </row>
    <row r="31" spans="1:15" x14ac:dyDescent="0.25">
      <c r="A31" s="1">
        <v>45897</v>
      </c>
      <c r="B31" t="s">
        <v>57</v>
      </c>
      <c r="C31" t="s">
        <v>16</v>
      </c>
      <c r="D31" t="s">
        <v>17</v>
      </c>
      <c r="E31">
        <v>675</v>
      </c>
      <c r="F31">
        <v>40.07</v>
      </c>
      <c r="G31" s="2">
        <v>27048.75</v>
      </c>
      <c r="H31" t="s">
        <v>58</v>
      </c>
      <c r="I31">
        <v>0</v>
      </c>
      <c r="J31">
        <v>9.6199999999999992</v>
      </c>
      <c r="K31">
        <v>0.68</v>
      </c>
      <c r="L31">
        <v>0.01</v>
      </c>
      <c r="M31">
        <v>261</v>
      </c>
      <c r="N31">
        <v>48.76</v>
      </c>
      <c r="O31">
        <v>320.07</v>
      </c>
    </row>
    <row r="32" spans="1:15" x14ac:dyDescent="0.25">
      <c r="A32" s="1">
        <v>45897</v>
      </c>
      <c r="B32" t="s">
        <v>57</v>
      </c>
      <c r="C32" t="s">
        <v>16</v>
      </c>
      <c r="D32" t="s">
        <v>20</v>
      </c>
      <c r="E32">
        <v>675</v>
      </c>
      <c r="F32">
        <v>49.55</v>
      </c>
      <c r="G32" s="2">
        <v>33446.25</v>
      </c>
      <c r="H32" t="s">
        <v>59</v>
      </c>
      <c r="I32">
        <v>33.450000000000003</v>
      </c>
      <c r="J32">
        <v>11.88</v>
      </c>
      <c r="K32">
        <v>0</v>
      </c>
      <c r="L32">
        <v>0.03</v>
      </c>
      <c r="M32">
        <v>261</v>
      </c>
      <c r="N32">
        <v>49.14</v>
      </c>
      <c r="O32">
        <v>355.5</v>
      </c>
    </row>
    <row r="33" spans="1:15" x14ac:dyDescent="0.25">
      <c r="A33" s="1">
        <v>45897</v>
      </c>
      <c r="B33" t="s">
        <v>60</v>
      </c>
      <c r="C33" t="s">
        <v>16</v>
      </c>
      <c r="D33" t="s">
        <v>17</v>
      </c>
      <c r="E33">
        <v>600</v>
      </c>
      <c r="F33">
        <v>9.6</v>
      </c>
      <c r="G33" s="2">
        <v>5760</v>
      </c>
      <c r="H33" t="s">
        <v>61</v>
      </c>
      <c r="I33">
        <v>0</v>
      </c>
      <c r="J33">
        <v>2.0499999999999998</v>
      </c>
      <c r="K33">
        <v>0</v>
      </c>
      <c r="L33">
        <v>0</v>
      </c>
      <c r="M33">
        <v>232</v>
      </c>
      <c r="N33">
        <v>42.12</v>
      </c>
      <c r="O33">
        <v>276.17</v>
      </c>
    </row>
    <row r="34" spans="1:15" x14ac:dyDescent="0.25">
      <c r="A34" s="1">
        <v>45897</v>
      </c>
      <c r="B34" t="s">
        <v>60</v>
      </c>
      <c r="C34" t="s">
        <v>16</v>
      </c>
      <c r="D34" t="s">
        <v>17</v>
      </c>
      <c r="E34">
        <v>600</v>
      </c>
      <c r="F34">
        <v>8.25</v>
      </c>
      <c r="G34" s="2">
        <v>4950</v>
      </c>
      <c r="H34" t="s">
        <v>62</v>
      </c>
      <c r="I34">
        <v>0</v>
      </c>
      <c r="J34">
        <v>1.76</v>
      </c>
      <c r="K34">
        <v>0.32</v>
      </c>
      <c r="L34">
        <v>0</v>
      </c>
      <c r="M34">
        <v>232</v>
      </c>
      <c r="N34">
        <v>42.08</v>
      </c>
      <c r="O34">
        <v>276.16000000000003</v>
      </c>
    </row>
    <row r="35" spans="1:15" x14ac:dyDescent="0.25">
      <c r="A35" s="1">
        <v>45897</v>
      </c>
      <c r="B35" t="s">
        <v>60</v>
      </c>
      <c r="C35" t="s">
        <v>16</v>
      </c>
      <c r="D35" t="s">
        <v>20</v>
      </c>
      <c r="E35">
        <v>1200</v>
      </c>
      <c r="F35">
        <v>17.649999999999999</v>
      </c>
      <c r="G35" s="2">
        <v>21180</v>
      </c>
      <c r="H35" t="s">
        <v>63</v>
      </c>
      <c r="I35">
        <v>21.55</v>
      </c>
      <c r="J35">
        <v>7.53</v>
      </c>
      <c r="K35">
        <v>0</v>
      </c>
      <c r="L35">
        <v>0.02</v>
      </c>
      <c r="M35">
        <v>464</v>
      </c>
      <c r="N35">
        <v>84.88</v>
      </c>
      <c r="O35">
        <v>577.98</v>
      </c>
    </row>
    <row r="36" spans="1:15" x14ac:dyDescent="0.25">
      <c r="A36" s="1">
        <v>45988</v>
      </c>
      <c r="B36" t="s">
        <v>64</v>
      </c>
      <c r="C36" t="s">
        <v>16</v>
      </c>
      <c r="D36" t="s">
        <v>17</v>
      </c>
      <c r="E36">
        <v>75</v>
      </c>
      <c r="F36">
        <v>109</v>
      </c>
      <c r="G36" s="2">
        <v>8175</v>
      </c>
      <c r="H36" t="s">
        <v>65</v>
      </c>
      <c r="I36">
        <v>0</v>
      </c>
      <c r="J36">
        <v>2.9</v>
      </c>
      <c r="K36">
        <v>0</v>
      </c>
      <c r="L36">
        <v>0.01</v>
      </c>
      <c r="M36">
        <v>29</v>
      </c>
      <c r="N36">
        <v>5.74</v>
      </c>
      <c r="O36">
        <v>37.65</v>
      </c>
    </row>
    <row r="37" spans="1:15" x14ac:dyDescent="0.25">
      <c r="A37" s="1">
        <v>46108</v>
      </c>
      <c r="B37" t="s">
        <v>66</v>
      </c>
      <c r="C37" t="s">
        <v>16</v>
      </c>
      <c r="D37" t="s">
        <v>17</v>
      </c>
      <c r="E37">
        <v>260</v>
      </c>
      <c r="F37">
        <v>205.25</v>
      </c>
      <c r="G37" s="2">
        <v>53365</v>
      </c>
      <c r="H37" t="s">
        <v>67</v>
      </c>
      <c r="I37">
        <v>0</v>
      </c>
      <c r="J37">
        <v>18.96</v>
      </c>
      <c r="K37">
        <v>0</v>
      </c>
      <c r="L37">
        <v>0.05</v>
      </c>
      <c r="M37">
        <v>116</v>
      </c>
      <c r="N37">
        <v>24.3</v>
      </c>
      <c r="O37">
        <v>159.31</v>
      </c>
    </row>
    <row r="38" spans="1:15" x14ac:dyDescent="0.25">
      <c r="A38" s="1">
        <v>46108</v>
      </c>
      <c r="B38" t="s">
        <v>66</v>
      </c>
      <c r="C38" t="s">
        <v>16</v>
      </c>
      <c r="D38" t="s">
        <v>17</v>
      </c>
      <c r="E38">
        <v>195</v>
      </c>
      <c r="F38">
        <v>205.4</v>
      </c>
      <c r="G38" s="2">
        <v>40053</v>
      </c>
      <c r="H38" t="s">
        <v>68</v>
      </c>
      <c r="I38">
        <v>0</v>
      </c>
      <c r="J38">
        <v>14.23</v>
      </c>
      <c r="K38">
        <v>0</v>
      </c>
      <c r="L38">
        <v>0.04</v>
      </c>
      <c r="M38">
        <v>87</v>
      </c>
      <c r="N38">
        <v>18.22</v>
      </c>
      <c r="O38">
        <v>119.49</v>
      </c>
    </row>
    <row r="39" spans="1:15" x14ac:dyDescent="0.25">
      <c r="A39" s="1">
        <v>46108</v>
      </c>
      <c r="B39" t="s">
        <v>66</v>
      </c>
      <c r="C39" t="s">
        <v>16</v>
      </c>
      <c r="D39" t="s">
        <v>20</v>
      </c>
      <c r="E39">
        <v>520</v>
      </c>
      <c r="F39">
        <v>229.9</v>
      </c>
      <c r="G39" s="2">
        <v>119548</v>
      </c>
      <c r="H39" t="s">
        <v>69</v>
      </c>
      <c r="I39">
        <v>120.02</v>
      </c>
      <c r="J39">
        <v>42.48</v>
      </c>
      <c r="K39">
        <v>0</v>
      </c>
      <c r="L39">
        <v>0.11</v>
      </c>
      <c r="M39">
        <v>232</v>
      </c>
      <c r="N39">
        <v>49.42</v>
      </c>
      <c r="O39">
        <v>444.03</v>
      </c>
    </row>
    <row r="40" spans="1:15" x14ac:dyDescent="0.25">
      <c r="A40" s="1">
        <v>46108</v>
      </c>
      <c r="B40" t="s">
        <v>66</v>
      </c>
      <c r="C40" t="s">
        <v>16</v>
      </c>
      <c r="D40" t="s">
        <v>20</v>
      </c>
      <c r="E40">
        <v>390</v>
      </c>
      <c r="F40">
        <v>249.9</v>
      </c>
      <c r="G40" s="2">
        <v>97461</v>
      </c>
      <c r="H40" t="s">
        <v>70</v>
      </c>
      <c r="I40">
        <v>97.45</v>
      </c>
      <c r="J40">
        <v>34.619999999999997</v>
      </c>
      <c r="K40">
        <v>0</v>
      </c>
      <c r="L40">
        <v>0.11</v>
      </c>
      <c r="M40">
        <v>174</v>
      </c>
      <c r="N40">
        <v>37.56</v>
      </c>
      <c r="O40">
        <v>343.74</v>
      </c>
    </row>
    <row r="41" spans="1:15" x14ac:dyDescent="0.25">
      <c r="A41" s="1">
        <v>46108</v>
      </c>
      <c r="B41" t="s">
        <v>66</v>
      </c>
      <c r="C41" t="s">
        <v>16</v>
      </c>
      <c r="D41" t="s">
        <v>17</v>
      </c>
      <c r="E41">
        <v>130</v>
      </c>
      <c r="F41">
        <v>251.25</v>
      </c>
      <c r="G41" s="2">
        <v>32662.5</v>
      </c>
      <c r="H41" t="s">
        <v>71</v>
      </c>
      <c r="I41">
        <v>0</v>
      </c>
      <c r="J41">
        <v>11.6</v>
      </c>
      <c r="K41">
        <v>0</v>
      </c>
      <c r="L41">
        <v>0.04</v>
      </c>
      <c r="M41">
        <v>58</v>
      </c>
      <c r="N41">
        <v>12.52</v>
      </c>
      <c r="O41">
        <v>82.16</v>
      </c>
    </row>
    <row r="42" spans="1:15" x14ac:dyDescent="0.25">
      <c r="A42" s="1">
        <v>46108</v>
      </c>
      <c r="B42" t="s">
        <v>66</v>
      </c>
      <c r="C42" t="s">
        <v>16</v>
      </c>
      <c r="D42" t="s">
        <v>20</v>
      </c>
      <c r="E42">
        <v>130</v>
      </c>
      <c r="F42">
        <v>280.89999999999998</v>
      </c>
      <c r="G42" s="2">
        <v>36517</v>
      </c>
      <c r="H42" t="s">
        <v>72</v>
      </c>
      <c r="I42">
        <v>36.520000000000003</v>
      </c>
      <c r="J42">
        <v>12.97</v>
      </c>
      <c r="K42">
        <v>0</v>
      </c>
      <c r="L42">
        <v>0.04</v>
      </c>
      <c r="M42">
        <v>58</v>
      </c>
      <c r="N42">
        <v>12.78</v>
      </c>
      <c r="O42">
        <v>120.31</v>
      </c>
    </row>
    <row r="43" spans="1:15" x14ac:dyDescent="0.25">
      <c r="A43" s="1">
        <v>46108</v>
      </c>
      <c r="B43" t="s">
        <v>66</v>
      </c>
      <c r="C43" t="s">
        <v>16</v>
      </c>
      <c r="D43" t="s">
        <v>17</v>
      </c>
      <c r="E43">
        <v>65</v>
      </c>
      <c r="F43">
        <v>215.3</v>
      </c>
      <c r="G43" s="2">
        <v>13994.5</v>
      </c>
      <c r="H43" t="s">
        <v>73</v>
      </c>
      <c r="I43">
        <v>0</v>
      </c>
      <c r="J43">
        <v>4.97</v>
      </c>
      <c r="K43">
        <v>0</v>
      </c>
      <c r="L43">
        <v>0.01</v>
      </c>
      <c r="M43">
        <v>29</v>
      </c>
      <c r="N43">
        <v>6.12</v>
      </c>
      <c r="O43">
        <v>40.1</v>
      </c>
    </row>
    <row r="44" spans="1:15" x14ac:dyDescent="0.25">
      <c r="A44" s="1">
        <v>46108</v>
      </c>
      <c r="B44" t="s">
        <v>66</v>
      </c>
      <c r="C44" t="s">
        <v>16</v>
      </c>
      <c r="D44" t="s">
        <v>17</v>
      </c>
      <c r="E44">
        <v>390</v>
      </c>
      <c r="F44">
        <v>231.25</v>
      </c>
      <c r="G44" s="2">
        <v>90187.5</v>
      </c>
      <c r="H44" t="s">
        <v>74</v>
      </c>
      <c r="I44">
        <v>0</v>
      </c>
      <c r="J44">
        <v>32.04</v>
      </c>
      <c r="K44">
        <v>7</v>
      </c>
      <c r="L44">
        <v>0.09</v>
      </c>
      <c r="M44">
        <v>174</v>
      </c>
      <c r="N44">
        <v>37.1</v>
      </c>
      <c r="O44">
        <v>250.23</v>
      </c>
    </row>
    <row r="45" spans="1:15" x14ac:dyDescent="0.25">
      <c r="A45" s="1">
        <v>46049</v>
      </c>
      <c r="B45" t="s">
        <v>75</v>
      </c>
      <c r="C45" t="s">
        <v>16</v>
      </c>
      <c r="D45" t="s">
        <v>17</v>
      </c>
      <c r="E45">
        <v>65</v>
      </c>
      <c r="F45">
        <v>82</v>
      </c>
      <c r="G45" s="2">
        <v>5330</v>
      </c>
      <c r="H45" t="s">
        <v>76</v>
      </c>
      <c r="I45">
        <v>0</v>
      </c>
      <c r="J45">
        <v>1.89</v>
      </c>
      <c r="K45">
        <v>0.34</v>
      </c>
      <c r="L45">
        <v>0.01</v>
      </c>
      <c r="M45">
        <v>29</v>
      </c>
      <c r="N45">
        <v>5.56</v>
      </c>
      <c r="O45">
        <v>36.799999999999997</v>
      </c>
    </row>
    <row r="46" spans="1:15" x14ac:dyDescent="0.25">
      <c r="A46" s="1">
        <v>46049</v>
      </c>
      <c r="B46" t="s">
        <v>75</v>
      </c>
      <c r="C46" t="s">
        <v>16</v>
      </c>
      <c r="D46" t="s">
        <v>20</v>
      </c>
      <c r="E46">
        <v>130</v>
      </c>
      <c r="F46">
        <v>89.9</v>
      </c>
      <c r="G46" s="2">
        <v>11687</v>
      </c>
      <c r="H46" t="s">
        <v>77</v>
      </c>
      <c r="I46">
        <v>11.69</v>
      </c>
      <c r="J46">
        <v>4.1500000000000004</v>
      </c>
      <c r="K46">
        <v>0</v>
      </c>
      <c r="L46">
        <v>0.01</v>
      </c>
      <c r="M46">
        <v>58</v>
      </c>
      <c r="N46">
        <v>11.18</v>
      </c>
      <c r="O46">
        <v>85.03</v>
      </c>
    </row>
    <row r="47" spans="1:15" x14ac:dyDescent="0.25">
      <c r="A47" s="1">
        <v>46049</v>
      </c>
      <c r="B47" t="s">
        <v>75</v>
      </c>
      <c r="C47" t="s">
        <v>16</v>
      </c>
      <c r="D47" t="s">
        <v>17</v>
      </c>
      <c r="E47">
        <v>65</v>
      </c>
      <c r="F47">
        <v>91</v>
      </c>
      <c r="G47" s="2">
        <v>5915</v>
      </c>
      <c r="H47" t="s">
        <v>78</v>
      </c>
      <c r="I47">
        <v>0</v>
      </c>
      <c r="J47">
        <v>2.1</v>
      </c>
      <c r="K47">
        <v>0</v>
      </c>
      <c r="L47">
        <v>0.01</v>
      </c>
      <c r="M47">
        <v>29</v>
      </c>
      <c r="N47">
        <v>5.6</v>
      </c>
      <c r="O47">
        <v>36.71</v>
      </c>
    </row>
    <row r="48" spans="1:15" x14ac:dyDescent="0.25">
      <c r="A48" s="1">
        <v>46049</v>
      </c>
      <c r="B48" t="s">
        <v>79</v>
      </c>
      <c r="C48" t="s">
        <v>16</v>
      </c>
      <c r="D48" t="s">
        <v>20</v>
      </c>
      <c r="E48">
        <v>65</v>
      </c>
      <c r="F48">
        <v>195.25</v>
      </c>
      <c r="G48" s="2">
        <v>12691.25</v>
      </c>
      <c r="H48" t="s">
        <v>80</v>
      </c>
      <c r="I48">
        <v>12.69</v>
      </c>
      <c r="J48">
        <v>4.51</v>
      </c>
      <c r="K48">
        <v>0</v>
      </c>
      <c r="L48">
        <v>0.01</v>
      </c>
      <c r="M48">
        <v>29</v>
      </c>
      <c r="N48">
        <v>6.04</v>
      </c>
      <c r="O48">
        <v>52.25</v>
      </c>
    </row>
    <row r="49" spans="1:15" x14ac:dyDescent="0.25">
      <c r="A49" s="1">
        <v>46049</v>
      </c>
      <c r="B49" t="s">
        <v>79</v>
      </c>
      <c r="C49" t="s">
        <v>16</v>
      </c>
      <c r="D49" t="s">
        <v>20</v>
      </c>
      <c r="E49">
        <v>65</v>
      </c>
      <c r="F49">
        <v>181.25</v>
      </c>
      <c r="G49" s="2">
        <v>11781.25</v>
      </c>
      <c r="H49" t="s">
        <v>81</v>
      </c>
      <c r="I49">
        <v>11.62</v>
      </c>
      <c r="J49">
        <v>4.1900000000000004</v>
      </c>
      <c r="K49">
        <v>0</v>
      </c>
      <c r="L49">
        <v>0.01</v>
      </c>
      <c r="M49">
        <v>29</v>
      </c>
      <c r="N49">
        <v>5.98</v>
      </c>
      <c r="O49">
        <v>50.8</v>
      </c>
    </row>
    <row r="50" spans="1:15" x14ac:dyDescent="0.25">
      <c r="A50" s="1">
        <v>46049</v>
      </c>
      <c r="B50" t="s">
        <v>79</v>
      </c>
      <c r="C50" t="s">
        <v>16</v>
      </c>
      <c r="D50" t="s">
        <v>17</v>
      </c>
      <c r="E50">
        <v>65</v>
      </c>
      <c r="F50">
        <v>191.25</v>
      </c>
      <c r="G50" s="2">
        <v>12431.25</v>
      </c>
      <c r="H50" t="s">
        <v>82</v>
      </c>
      <c r="I50">
        <v>0</v>
      </c>
      <c r="J50">
        <v>4.42</v>
      </c>
      <c r="K50">
        <v>0</v>
      </c>
      <c r="L50">
        <v>0.01</v>
      </c>
      <c r="M50">
        <v>29</v>
      </c>
      <c r="N50">
        <v>6.02</v>
      </c>
      <c r="O50">
        <v>39.450000000000003</v>
      </c>
    </row>
    <row r="51" spans="1:15" x14ac:dyDescent="0.25">
      <c r="A51" s="1">
        <v>46049</v>
      </c>
      <c r="B51" t="s">
        <v>79</v>
      </c>
      <c r="C51" t="s">
        <v>16</v>
      </c>
      <c r="D51" t="s">
        <v>17</v>
      </c>
      <c r="E51">
        <v>65</v>
      </c>
      <c r="F51">
        <v>109.3</v>
      </c>
      <c r="G51" s="2">
        <v>7104.5</v>
      </c>
      <c r="H51" t="s">
        <v>83</v>
      </c>
      <c r="I51">
        <v>0</v>
      </c>
      <c r="J51">
        <v>2.52</v>
      </c>
      <c r="K51">
        <v>0.66</v>
      </c>
      <c r="L51">
        <v>0.01</v>
      </c>
      <c r="M51">
        <v>29</v>
      </c>
      <c r="N51">
        <v>5.68</v>
      </c>
      <c r="O51">
        <v>37.869999999999997</v>
      </c>
    </row>
    <row r="52" spans="1:15" x14ac:dyDescent="0.25">
      <c r="A52" s="1">
        <v>46080</v>
      </c>
      <c r="B52" t="s">
        <v>84</v>
      </c>
      <c r="C52" t="s">
        <v>16</v>
      </c>
      <c r="D52" t="s">
        <v>17</v>
      </c>
      <c r="E52">
        <v>65</v>
      </c>
      <c r="F52">
        <v>111.55</v>
      </c>
      <c r="G52" s="2">
        <v>7250.75</v>
      </c>
      <c r="H52" t="s">
        <v>85</v>
      </c>
      <c r="I52">
        <v>0</v>
      </c>
      <c r="J52">
        <v>2.58</v>
      </c>
      <c r="K52">
        <v>0.62</v>
      </c>
      <c r="L52">
        <v>0.01</v>
      </c>
      <c r="M52">
        <v>29</v>
      </c>
      <c r="N52">
        <v>5.68</v>
      </c>
      <c r="O52">
        <v>37.89</v>
      </c>
    </row>
    <row r="53" spans="1:15" x14ac:dyDescent="0.25">
      <c r="A53" s="1">
        <v>46080</v>
      </c>
      <c r="B53" t="s">
        <v>84</v>
      </c>
      <c r="C53" t="s">
        <v>16</v>
      </c>
      <c r="D53" t="s">
        <v>17</v>
      </c>
      <c r="E53">
        <v>65</v>
      </c>
      <c r="F53">
        <v>102.6</v>
      </c>
      <c r="G53" s="2">
        <v>6669</v>
      </c>
      <c r="H53" t="s">
        <v>86</v>
      </c>
      <c r="I53">
        <v>0</v>
      </c>
      <c r="J53">
        <v>2.37</v>
      </c>
      <c r="K53">
        <v>0</v>
      </c>
      <c r="L53">
        <v>0.01</v>
      </c>
      <c r="M53">
        <v>29</v>
      </c>
      <c r="N53">
        <v>5.64</v>
      </c>
      <c r="O53">
        <v>37.020000000000003</v>
      </c>
    </row>
    <row r="54" spans="1:15" x14ac:dyDescent="0.25">
      <c r="A54" s="1">
        <v>46080</v>
      </c>
      <c r="B54" t="s">
        <v>84</v>
      </c>
      <c r="C54" t="s">
        <v>16</v>
      </c>
      <c r="D54" t="s">
        <v>17</v>
      </c>
      <c r="E54">
        <v>65</v>
      </c>
      <c r="F54">
        <v>101.75</v>
      </c>
      <c r="G54" s="2">
        <v>6613.75</v>
      </c>
      <c r="H54" t="s">
        <v>87</v>
      </c>
      <c r="I54">
        <v>0</v>
      </c>
      <c r="J54">
        <v>2.35</v>
      </c>
      <c r="K54">
        <v>0</v>
      </c>
      <c r="L54">
        <v>0.01</v>
      </c>
      <c r="M54">
        <v>29</v>
      </c>
      <c r="N54">
        <v>5.64</v>
      </c>
      <c r="O54">
        <v>37</v>
      </c>
    </row>
    <row r="55" spans="1:15" x14ac:dyDescent="0.25">
      <c r="A55" s="1">
        <v>46080</v>
      </c>
      <c r="B55" t="s">
        <v>84</v>
      </c>
      <c r="C55" t="s">
        <v>16</v>
      </c>
      <c r="D55" t="s">
        <v>20</v>
      </c>
      <c r="E55">
        <v>195</v>
      </c>
      <c r="F55">
        <v>129.9</v>
      </c>
      <c r="G55" s="2">
        <v>25330.5</v>
      </c>
      <c r="H55" t="s">
        <v>88</v>
      </c>
      <c r="I55">
        <v>25.33</v>
      </c>
      <c r="J55">
        <v>9</v>
      </c>
      <c r="K55">
        <v>0</v>
      </c>
      <c r="L55">
        <v>0.03</v>
      </c>
      <c r="M55">
        <v>87</v>
      </c>
      <c r="N55">
        <v>17.28</v>
      </c>
      <c r="O55">
        <v>138.63999999999999</v>
      </c>
    </row>
    <row r="56" spans="1:15" x14ac:dyDescent="0.25">
      <c r="A56" s="1">
        <v>46080</v>
      </c>
      <c r="B56" t="s">
        <v>89</v>
      </c>
      <c r="C56" t="s">
        <v>16</v>
      </c>
      <c r="D56" t="s">
        <v>17</v>
      </c>
      <c r="E56">
        <v>130</v>
      </c>
      <c r="F56">
        <v>119.4</v>
      </c>
      <c r="G56" s="2">
        <v>15522</v>
      </c>
      <c r="H56" t="s">
        <v>90</v>
      </c>
      <c r="I56">
        <v>0</v>
      </c>
      <c r="J56">
        <v>5.52</v>
      </c>
      <c r="K56">
        <v>0</v>
      </c>
      <c r="L56">
        <v>0.02</v>
      </c>
      <c r="M56">
        <v>58</v>
      </c>
      <c r="N56">
        <v>11.44</v>
      </c>
      <c r="O56">
        <v>74.98</v>
      </c>
    </row>
    <row r="57" spans="1:15" x14ac:dyDescent="0.25">
      <c r="A57" s="1">
        <v>46080</v>
      </c>
      <c r="B57" t="s">
        <v>89</v>
      </c>
      <c r="C57" t="s">
        <v>16</v>
      </c>
      <c r="D57" t="s">
        <v>17</v>
      </c>
      <c r="E57">
        <v>650</v>
      </c>
      <c r="F57">
        <v>123.4</v>
      </c>
      <c r="G57" s="2">
        <v>80210</v>
      </c>
      <c r="H57" t="s">
        <v>91</v>
      </c>
      <c r="I57">
        <v>0</v>
      </c>
      <c r="J57">
        <v>28.5</v>
      </c>
      <c r="K57">
        <v>6.38</v>
      </c>
      <c r="L57">
        <v>0.08</v>
      </c>
      <c r="M57">
        <v>290</v>
      </c>
      <c r="N57">
        <v>57.36</v>
      </c>
      <c r="O57">
        <v>382.32</v>
      </c>
    </row>
    <row r="58" spans="1:15" x14ac:dyDescent="0.25">
      <c r="A58" s="1">
        <v>46080</v>
      </c>
      <c r="B58" t="s">
        <v>89</v>
      </c>
      <c r="C58" t="s">
        <v>16</v>
      </c>
      <c r="D58" t="s">
        <v>17</v>
      </c>
      <c r="E58">
        <v>130</v>
      </c>
      <c r="F58">
        <v>165.35</v>
      </c>
      <c r="G58" s="2">
        <v>21495.5</v>
      </c>
      <c r="H58" t="s">
        <v>92</v>
      </c>
      <c r="I58">
        <v>0</v>
      </c>
      <c r="J58">
        <v>7.64</v>
      </c>
      <c r="K58">
        <v>0</v>
      </c>
      <c r="L58">
        <v>0.02</v>
      </c>
      <c r="M58">
        <v>58</v>
      </c>
      <c r="N58">
        <v>11.8</v>
      </c>
      <c r="O58">
        <v>77.459999999999994</v>
      </c>
    </row>
    <row r="59" spans="1:15" x14ac:dyDescent="0.25">
      <c r="A59" s="1">
        <v>46080</v>
      </c>
      <c r="B59" t="s">
        <v>89</v>
      </c>
      <c r="C59" t="s">
        <v>16</v>
      </c>
      <c r="D59" t="s">
        <v>17</v>
      </c>
      <c r="E59">
        <v>130</v>
      </c>
      <c r="F59">
        <v>164.62</v>
      </c>
      <c r="G59" s="2">
        <v>21401.25</v>
      </c>
      <c r="H59" t="s">
        <v>93</v>
      </c>
      <c r="I59">
        <v>0</v>
      </c>
      <c r="J59">
        <v>7.6</v>
      </c>
      <c r="K59">
        <v>0</v>
      </c>
      <c r="L59">
        <v>0.02</v>
      </c>
      <c r="M59">
        <v>58</v>
      </c>
      <c r="N59">
        <v>11.8</v>
      </c>
      <c r="O59">
        <v>77.42</v>
      </c>
    </row>
    <row r="60" spans="1:15" x14ac:dyDescent="0.25">
      <c r="A60" s="1">
        <v>46080</v>
      </c>
      <c r="B60" t="s">
        <v>89</v>
      </c>
      <c r="C60" t="s">
        <v>16</v>
      </c>
      <c r="D60" t="s">
        <v>17</v>
      </c>
      <c r="E60">
        <v>130</v>
      </c>
      <c r="F60">
        <v>174.9</v>
      </c>
      <c r="G60" s="2">
        <v>22737</v>
      </c>
      <c r="H60" t="s">
        <v>94</v>
      </c>
      <c r="I60">
        <v>0</v>
      </c>
      <c r="J60">
        <v>8.08</v>
      </c>
      <c r="K60">
        <v>0</v>
      </c>
      <c r="L60">
        <v>0.02</v>
      </c>
      <c r="M60">
        <v>58</v>
      </c>
      <c r="N60">
        <v>11.88</v>
      </c>
      <c r="O60">
        <v>77.98</v>
      </c>
    </row>
    <row r="61" spans="1:15" x14ac:dyDescent="0.25">
      <c r="A61" s="1">
        <v>46080</v>
      </c>
      <c r="B61" t="s">
        <v>89</v>
      </c>
      <c r="C61" t="s">
        <v>16</v>
      </c>
      <c r="D61" t="s">
        <v>17</v>
      </c>
      <c r="E61">
        <v>325</v>
      </c>
      <c r="F61">
        <v>173.43</v>
      </c>
      <c r="G61" s="2">
        <v>56364.75</v>
      </c>
      <c r="H61" t="s">
        <v>95</v>
      </c>
      <c r="I61">
        <v>0</v>
      </c>
      <c r="J61">
        <v>20.03</v>
      </c>
      <c r="K61">
        <v>0</v>
      </c>
      <c r="L61">
        <v>0.05</v>
      </c>
      <c r="M61">
        <v>145</v>
      </c>
      <c r="N61">
        <v>29.7</v>
      </c>
      <c r="O61">
        <v>194.78</v>
      </c>
    </row>
    <row r="62" spans="1:15" x14ac:dyDescent="0.25">
      <c r="A62" s="1">
        <v>46080</v>
      </c>
      <c r="B62" t="s">
        <v>89</v>
      </c>
      <c r="C62" t="s">
        <v>16</v>
      </c>
      <c r="D62" t="s">
        <v>20</v>
      </c>
      <c r="E62">
        <v>780</v>
      </c>
      <c r="F62">
        <v>144.9</v>
      </c>
      <c r="G62" s="2">
        <v>113022</v>
      </c>
      <c r="H62" t="s">
        <v>96</v>
      </c>
      <c r="I62">
        <v>113.42</v>
      </c>
      <c r="J62">
        <v>40.159999999999997</v>
      </c>
      <c r="K62">
        <v>0</v>
      </c>
      <c r="L62">
        <v>0.12</v>
      </c>
      <c r="M62">
        <v>348</v>
      </c>
      <c r="N62">
        <v>69.900000000000006</v>
      </c>
      <c r="O62">
        <v>571.6</v>
      </c>
    </row>
    <row r="63" spans="1:15" x14ac:dyDescent="0.25">
      <c r="A63" s="1">
        <v>46080</v>
      </c>
      <c r="B63" t="s">
        <v>89</v>
      </c>
      <c r="C63" t="s">
        <v>16</v>
      </c>
      <c r="D63" t="s">
        <v>20</v>
      </c>
      <c r="E63">
        <v>715</v>
      </c>
      <c r="F63">
        <v>164</v>
      </c>
      <c r="G63" s="2">
        <v>117260</v>
      </c>
      <c r="H63" t="s">
        <v>97</v>
      </c>
      <c r="I63">
        <v>117.26</v>
      </c>
      <c r="J63">
        <v>41.65</v>
      </c>
      <c r="K63">
        <v>0</v>
      </c>
      <c r="L63">
        <v>0.11</v>
      </c>
      <c r="M63">
        <v>319</v>
      </c>
      <c r="N63">
        <v>64.94</v>
      </c>
      <c r="O63">
        <v>542.96</v>
      </c>
    </row>
    <row r="64" spans="1:15" x14ac:dyDescent="0.25">
      <c r="A64" s="1">
        <v>46079</v>
      </c>
      <c r="B64" t="s">
        <v>98</v>
      </c>
      <c r="C64" t="s">
        <v>16</v>
      </c>
      <c r="D64" t="s">
        <v>17</v>
      </c>
      <c r="E64">
        <v>325</v>
      </c>
      <c r="F64">
        <v>136.75</v>
      </c>
      <c r="G64" s="2">
        <v>44443.75</v>
      </c>
      <c r="H64" t="s">
        <v>99</v>
      </c>
      <c r="I64">
        <v>0</v>
      </c>
      <c r="J64">
        <v>15.79</v>
      </c>
      <c r="K64">
        <v>0</v>
      </c>
      <c r="L64">
        <v>0.04</v>
      </c>
      <c r="M64">
        <v>145</v>
      </c>
      <c r="N64">
        <v>28.96</v>
      </c>
      <c r="O64">
        <v>189.79</v>
      </c>
    </row>
    <row r="65" spans="1:15" x14ac:dyDescent="0.25">
      <c r="A65" s="1">
        <v>46079</v>
      </c>
      <c r="B65" t="s">
        <v>98</v>
      </c>
      <c r="C65" t="s">
        <v>16</v>
      </c>
      <c r="D65" t="s">
        <v>17</v>
      </c>
      <c r="E65">
        <v>390</v>
      </c>
      <c r="F65">
        <v>124.76</v>
      </c>
      <c r="G65" s="2">
        <v>48655.75</v>
      </c>
      <c r="H65" t="s">
        <v>100</v>
      </c>
      <c r="I65">
        <v>0</v>
      </c>
      <c r="J65">
        <v>17.28</v>
      </c>
      <c r="K65">
        <v>0</v>
      </c>
      <c r="L65">
        <v>0.05</v>
      </c>
      <c r="M65">
        <v>174</v>
      </c>
      <c r="N65">
        <v>34.44</v>
      </c>
      <c r="O65">
        <v>225.77</v>
      </c>
    </row>
    <row r="66" spans="1:15" x14ac:dyDescent="0.25">
      <c r="A66" s="1">
        <v>46079</v>
      </c>
      <c r="B66" t="s">
        <v>98</v>
      </c>
      <c r="C66" t="s">
        <v>16</v>
      </c>
      <c r="D66" t="s">
        <v>20</v>
      </c>
      <c r="E66">
        <v>715</v>
      </c>
      <c r="F66">
        <v>124.49</v>
      </c>
      <c r="G66" s="2">
        <v>89011</v>
      </c>
      <c r="H66" t="s">
        <v>101</v>
      </c>
      <c r="I66">
        <v>89.27</v>
      </c>
      <c r="J66">
        <v>31.64</v>
      </c>
      <c r="K66">
        <v>0</v>
      </c>
      <c r="L66">
        <v>0.1</v>
      </c>
      <c r="M66">
        <v>319</v>
      </c>
      <c r="N66">
        <v>63.14</v>
      </c>
      <c r="O66">
        <v>503.15</v>
      </c>
    </row>
    <row r="67" spans="1:15" x14ac:dyDescent="0.25">
      <c r="A67" s="1">
        <v>46079</v>
      </c>
      <c r="B67" t="s">
        <v>98</v>
      </c>
      <c r="C67" t="s">
        <v>16</v>
      </c>
      <c r="D67" t="s">
        <v>17</v>
      </c>
      <c r="E67">
        <v>65</v>
      </c>
      <c r="F67">
        <v>132.30000000000001</v>
      </c>
      <c r="G67" s="2">
        <v>8599.5</v>
      </c>
      <c r="H67" t="s">
        <v>102</v>
      </c>
      <c r="I67">
        <v>0</v>
      </c>
      <c r="J67">
        <v>3.06</v>
      </c>
      <c r="K67">
        <v>0</v>
      </c>
      <c r="L67">
        <v>0.01</v>
      </c>
      <c r="M67">
        <v>29</v>
      </c>
      <c r="N67">
        <v>5.78</v>
      </c>
      <c r="O67">
        <v>37.85</v>
      </c>
    </row>
    <row r="68" spans="1:15" x14ac:dyDescent="0.25">
      <c r="A68" s="1">
        <v>46079</v>
      </c>
      <c r="B68" t="s">
        <v>98</v>
      </c>
      <c r="C68" t="s">
        <v>16</v>
      </c>
      <c r="D68" t="s">
        <v>17</v>
      </c>
      <c r="E68">
        <v>195</v>
      </c>
      <c r="F68">
        <v>130.30000000000001</v>
      </c>
      <c r="G68" s="2">
        <v>25408.5</v>
      </c>
      <c r="H68" t="s">
        <v>103</v>
      </c>
      <c r="I68">
        <v>0</v>
      </c>
      <c r="J68">
        <v>9.0299999999999994</v>
      </c>
      <c r="K68">
        <v>0</v>
      </c>
      <c r="L68">
        <v>0.03</v>
      </c>
      <c r="M68">
        <v>87</v>
      </c>
      <c r="N68">
        <v>17.28</v>
      </c>
      <c r="O68">
        <v>113.34</v>
      </c>
    </row>
    <row r="69" spans="1:15" x14ac:dyDescent="0.25">
      <c r="A69" s="1">
        <v>46079</v>
      </c>
      <c r="B69" t="s">
        <v>98</v>
      </c>
      <c r="C69" t="s">
        <v>16</v>
      </c>
      <c r="D69" t="s">
        <v>17</v>
      </c>
      <c r="E69">
        <v>195</v>
      </c>
      <c r="F69">
        <v>129.65</v>
      </c>
      <c r="G69" s="2">
        <v>25281.75</v>
      </c>
      <c r="H69" t="s">
        <v>104</v>
      </c>
      <c r="I69">
        <v>0</v>
      </c>
      <c r="J69">
        <v>8.9700000000000006</v>
      </c>
      <c r="K69">
        <v>0</v>
      </c>
      <c r="L69">
        <v>0.03</v>
      </c>
      <c r="M69">
        <v>87</v>
      </c>
      <c r="N69">
        <v>17.28</v>
      </c>
      <c r="O69">
        <v>113.28</v>
      </c>
    </row>
    <row r="70" spans="1:15" x14ac:dyDescent="0.25">
      <c r="A70" s="1">
        <v>46079</v>
      </c>
      <c r="B70" t="s">
        <v>98</v>
      </c>
      <c r="C70" t="s">
        <v>16</v>
      </c>
      <c r="D70" t="s">
        <v>20</v>
      </c>
      <c r="E70">
        <v>780</v>
      </c>
      <c r="F70">
        <v>109.9</v>
      </c>
      <c r="G70" s="2">
        <v>85722</v>
      </c>
      <c r="H70" t="s">
        <v>105</v>
      </c>
      <c r="I70">
        <v>85.72</v>
      </c>
      <c r="J70">
        <v>30.46</v>
      </c>
      <c r="K70">
        <v>0</v>
      </c>
      <c r="L70">
        <v>0.09</v>
      </c>
      <c r="M70">
        <v>348</v>
      </c>
      <c r="N70">
        <v>68.14</v>
      </c>
      <c r="O70">
        <v>532.41</v>
      </c>
    </row>
    <row r="71" spans="1:15" x14ac:dyDescent="0.25">
      <c r="A71" s="1">
        <v>46079</v>
      </c>
      <c r="B71" t="s">
        <v>98</v>
      </c>
      <c r="C71" t="s">
        <v>16</v>
      </c>
      <c r="D71" t="s">
        <v>17</v>
      </c>
      <c r="E71">
        <v>130</v>
      </c>
      <c r="F71">
        <v>122.7</v>
      </c>
      <c r="G71" s="2">
        <v>15951</v>
      </c>
      <c r="H71" t="s">
        <v>106</v>
      </c>
      <c r="I71">
        <v>0</v>
      </c>
      <c r="J71">
        <v>5.66</v>
      </c>
      <c r="K71">
        <v>0</v>
      </c>
      <c r="L71">
        <v>0.02</v>
      </c>
      <c r="M71">
        <v>58</v>
      </c>
      <c r="N71">
        <v>11.48</v>
      </c>
      <c r="O71">
        <v>75.16</v>
      </c>
    </row>
    <row r="72" spans="1:15" x14ac:dyDescent="0.25">
      <c r="A72" s="1">
        <v>46079</v>
      </c>
      <c r="B72" t="s">
        <v>98</v>
      </c>
      <c r="C72" t="s">
        <v>16</v>
      </c>
      <c r="D72" t="s">
        <v>20</v>
      </c>
      <c r="E72">
        <v>780</v>
      </c>
      <c r="F72">
        <v>115.15</v>
      </c>
      <c r="G72" s="2">
        <v>89817</v>
      </c>
      <c r="H72" t="s">
        <v>107</v>
      </c>
      <c r="I72">
        <v>89.81</v>
      </c>
      <c r="J72">
        <v>31.91</v>
      </c>
      <c r="K72">
        <v>0</v>
      </c>
      <c r="L72">
        <v>0.09</v>
      </c>
      <c r="M72">
        <v>348</v>
      </c>
      <c r="N72">
        <v>68.400000000000006</v>
      </c>
      <c r="O72">
        <v>538.21</v>
      </c>
    </row>
    <row r="73" spans="1:15" x14ac:dyDescent="0.25">
      <c r="A73" s="1">
        <v>46079</v>
      </c>
      <c r="B73" t="s">
        <v>98</v>
      </c>
      <c r="C73" t="s">
        <v>16</v>
      </c>
      <c r="D73" t="s">
        <v>17</v>
      </c>
      <c r="E73">
        <v>715</v>
      </c>
      <c r="F73">
        <v>84.15</v>
      </c>
      <c r="G73" s="2">
        <v>60167.25</v>
      </c>
      <c r="H73" t="s">
        <v>108</v>
      </c>
      <c r="I73">
        <v>0</v>
      </c>
      <c r="J73">
        <v>21.37</v>
      </c>
      <c r="K73">
        <v>10</v>
      </c>
      <c r="L73">
        <v>7.0000000000000007E-2</v>
      </c>
      <c r="M73">
        <v>319</v>
      </c>
      <c r="N73">
        <v>61.3</v>
      </c>
      <c r="O73">
        <v>411.74</v>
      </c>
    </row>
    <row r="74" spans="1:15" x14ac:dyDescent="0.25">
      <c r="A74" s="1">
        <v>46079</v>
      </c>
      <c r="B74" t="s">
        <v>98</v>
      </c>
      <c r="C74" t="s">
        <v>16</v>
      </c>
      <c r="D74" t="s">
        <v>20</v>
      </c>
      <c r="E74">
        <v>715</v>
      </c>
      <c r="F74">
        <v>80</v>
      </c>
      <c r="G74" s="2">
        <v>57200</v>
      </c>
      <c r="H74" t="s">
        <v>109</v>
      </c>
      <c r="I74">
        <v>57.2</v>
      </c>
      <c r="J74">
        <v>20.32</v>
      </c>
      <c r="K74">
        <v>0</v>
      </c>
      <c r="L74">
        <v>0.06</v>
      </c>
      <c r="M74">
        <v>319</v>
      </c>
      <c r="N74">
        <v>61.08</v>
      </c>
      <c r="O74">
        <v>457.66</v>
      </c>
    </row>
    <row r="75" spans="1:15" x14ac:dyDescent="0.25">
      <c r="A75" s="1">
        <v>46079</v>
      </c>
      <c r="B75" t="s">
        <v>98</v>
      </c>
      <c r="C75" t="s">
        <v>16</v>
      </c>
      <c r="D75" t="s">
        <v>17</v>
      </c>
      <c r="E75">
        <v>780</v>
      </c>
      <c r="F75">
        <v>81.180000000000007</v>
      </c>
      <c r="G75" s="2">
        <v>63323</v>
      </c>
      <c r="H75" t="s">
        <v>110</v>
      </c>
      <c r="I75">
        <v>0</v>
      </c>
      <c r="J75">
        <v>22.5</v>
      </c>
      <c r="K75">
        <v>0</v>
      </c>
      <c r="L75">
        <v>0.08</v>
      </c>
      <c r="M75">
        <v>348</v>
      </c>
      <c r="N75">
        <v>66.72</v>
      </c>
      <c r="O75">
        <v>437.3</v>
      </c>
    </row>
    <row r="76" spans="1:15" x14ac:dyDescent="0.25">
      <c r="A76" s="1">
        <v>46079</v>
      </c>
      <c r="B76" t="s">
        <v>98</v>
      </c>
      <c r="C76" t="s">
        <v>16</v>
      </c>
      <c r="D76" t="s">
        <v>17</v>
      </c>
      <c r="E76">
        <v>195</v>
      </c>
      <c r="F76">
        <v>130.35</v>
      </c>
      <c r="G76" s="2">
        <v>25418.25</v>
      </c>
      <c r="H76" t="s">
        <v>111</v>
      </c>
      <c r="I76">
        <v>0</v>
      </c>
      <c r="J76">
        <v>9.0299999999999994</v>
      </c>
      <c r="K76">
        <v>0</v>
      </c>
      <c r="L76">
        <v>0.03</v>
      </c>
      <c r="M76">
        <v>87</v>
      </c>
      <c r="N76">
        <v>17.3</v>
      </c>
      <c r="O76">
        <v>113.36</v>
      </c>
    </row>
    <row r="77" spans="1:15" x14ac:dyDescent="0.25">
      <c r="A77" s="1">
        <v>45986</v>
      </c>
      <c r="B77" t="s">
        <v>112</v>
      </c>
      <c r="C77" t="s">
        <v>16</v>
      </c>
      <c r="D77" t="s">
        <v>17</v>
      </c>
      <c r="E77">
        <v>450</v>
      </c>
      <c r="F77">
        <v>14.75</v>
      </c>
      <c r="G77" s="2">
        <v>6637.5</v>
      </c>
      <c r="H77" t="s">
        <v>113</v>
      </c>
      <c r="I77">
        <v>0</v>
      </c>
      <c r="J77">
        <v>2.36</v>
      </c>
      <c r="K77">
        <v>0</v>
      </c>
      <c r="L77">
        <v>0</v>
      </c>
      <c r="M77">
        <v>174</v>
      </c>
      <c r="N77">
        <v>31.76</v>
      </c>
      <c r="O77">
        <v>208.12</v>
      </c>
    </row>
    <row r="78" spans="1:15" x14ac:dyDescent="0.25">
      <c r="A78" s="1">
        <v>45986</v>
      </c>
      <c r="B78" t="s">
        <v>112</v>
      </c>
      <c r="C78" t="s">
        <v>16</v>
      </c>
      <c r="D78" t="s">
        <v>20</v>
      </c>
      <c r="E78">
        <v>450</v>
      </c>
      <c r="F78">
        <v>19.75</v>
      </c>
      <c r="G78" s="2">
        <v>8887.5</v>
      </c>
      <c r="H78" t="s">
        <v>114</v>
      </c>
      <c r="I78">
        <v>9</v>
      </c>
      <c r="J78">
        <v>3.16</v>
      </c>
      <c r="K78">
        <v>0</v>
      </c>
      <c r="L78">
        <v>0.01</v>
      </c>
      <c r="M78">
        <v>174</v>
      </c>
      <c r="N78">
        <v>31.9</v>
      </c>
      <c r="O78">
        <v>218.07</v>
      </c>
    </row>
    <row r="79" spans="1:15" x14ac:dyDescent="0.25">
      <c r="A79" s="1">
        <v>46078</v>
      </c>
      <c r="B79" t="s">
        <v>115</v>
      </c>
      <c r="C79" t="s">
        <v>16</v>
      </c>
      <c r="D79" t="s">
        <v>17</v>
      </c>
      <c r="E79">
        <v>65</v>
      </c>
      <c r="F79">
        <v>153.25</v>
      </c>
      <c r="G79" s="2">
        <v>9961.25</v>
      </c>
      <c r="H79" t="s">
        <v>116</v>
      </c>
      <c r="I79">
        <v>0</v>
      </c>
      <c r="J79">
        <v>3.54</v>
      </c>
      <c r="K79">
        <v>0</v>
      </c>
      <c r="L79">
        <v>0.01</v>
      </c>
      <c r="M79">
        <v>29</v>
      </c>
      <c r="N79">
        <v>5.86</v>
      </c>
      <c r="O79">
        <v>38.409999999999997</v>
      </c>
    </row>
    <row r="80" spans="1:15" x14ac:dyDescent="0.25">
      <c r="A80" s="1">
        <v>46078</v>
      </c>
      <c r="B80" t="s">
        <v>115</v>
      </c>
      <c r="C80" t="s">
        <v>16</v>
      </c>
      <c r="D80" t="s">
        <v>17</v>
      </c>
      <c r="E80">
        <v>65</v>
      </c>
      <c r="F80">
        <v>150.55000000000001</v>
      </c>
      <c r="G80" s="2">
        <v>9785.75</v>
      </c>
      <c r="H80" t="s">
        <v>117</v>
      </c>
      <c r="I80">
        <v>0</v>
      </c>
      <c r="J80">
        <v>3.48</v>
      </c>
      <c r="K80">
        <v>0</v>
      </c>
      <c r="L80">
        <v>0.01</v>
      </c>
      <c r="M80">
        <v>29</v>
      </c>
      <c r="N80">
        <v>5.84</v>
      </c>
      <c r="O80">
        <v>38.33</v>
      </c>
    </row>
    <row r="81" spans="1:15" x14ac:dyDescent="0.25">
      <c r="A81" s="1">
        <v>46078</v>
      </c>
      <c r="B81" t="s">
        <v>115</v>
      </c>
      <c r="C81" t="s">
        <v>16</v>
      </c>
      <c r="D81" t="s">
        <v>17</v>
      </c>
      <c r="E81">
        <v>65</v>
      </c>
      <c r="F81">
        <v>147.85</v>
      </c>
      <c r="G81" s="2">
        <v>9610.25</v>
      </c>
      <c r="H81" t="s">
        <v>118</v>
      </c>
      <c r="I81">
        <v>0</v>
      </c>
      <c r="J81">
        <v>3.41</v>
      </c>
      <c r="K81">
        <v>0</v>
      </c>
      <c r="L81">
        <v>0.01</v>
      </c>
      <c r="M81">
        <v>29</v>
      </c>
      <c r="N81">
        <v>5.84</v>
      </c>
      <c r="O81">
        <v>38.26</v>
      </c>
    </row>
    <row r="82" spans="1:15" x14ac:dyDescent="0.25">
      <c r="A82" s="1">
        <v>46078</v>
      </c>
      <c r="B82" t="s">
        <v>115</v>
      </c>
      <c r="C82" t="s">
        <v>16</v>
      </c>
      <c r="D82" t="s">
        <v>17</v>
      </c>
      <c r="E82">
        <v>65</v>
      </c>
      <c r="F82">
        <v>142.25</v>
      </c>
      <c r="G82" s="2">
        <v>9246.25</v>
      </c>
      <c r="H82" t="s">
        <v>119</v>
      </c>
      <c r="I82">
        <v>0</v>
      </c>
      <c r="J82">
        <v>3.29</v>
      </c>
      <c r="K82">
        <v>0</v>
      </c>
      <c r="L82">
        <v>0.01</v>
      </c>
      <c r="M82">
        <v>29</v>
      </c>
      <c r="N82">
        <v>5.82</v>
      </c>
      <c r="O82">
        <v>38.119999999999997</v>
      </c>
    </row>
    <row r="83" spans="1:15" x14ac:dyDescent="0.25">
      <c r="A83" s="1">
        <v>46078</v>
      </c>
      <c r="B83" t="s">
        <v>115</v>
      </c>
      <c r="C83" t="s">
        <v>16</v>
      </c>
      <c r="D83" t="s">
        <v>20</v>
      </c>
      <c r="E83">
        <v>455</v>
      </c>
      <c r="F83">
        <v>175.82</v>
      </c>
      <c r="G83" s="2">
        <v>80002</v>
      </c>
      <c r="H83" t="s">
        <v>120</v>
      </c>
      <c r="I83">
        <v>80</v>
      </c>
      <c r="J83">
        <v>28.42</v>
      </c>
      <c r="K83">
        <v>0</v>
      </c>
      <c r="L83">
        <v>0.08</v>
      </c>
      <c r="M83">
        <v>203</v>
      </c>
      <c r="N83">
        <v>41.68</v>
      </c>
      <c r="O83">
        <v>353.18</v>
      </c>
    </row>
    <row r="84" spans="1:15" x14ac:dyDescent="0.25">
      <c r="A84" s="1">
        <v>46078</v>
      </c>
      <c r="B84" t="s">
        <v>115</v>
      </c>
      <c r="C84" t="s">
        <v>16</v>
      </c>
      <c r="D84" t="s">
        <v>17</v>
      </c>
      <c r="E84">
        <v>65</v>
      </c>
      <c r="F84">
        <v>151.25</v>
      </c>
      <c r="G84" s="2">
        <v>9831.25</v>
      </c>
      <c r="H84" t="s">
        <v>121</v>
      </c>
      <c r="I84">
        <v>0</v>
      </c>
      <c r="J84">
        <v>3.49</v>
      </c>
      <c r="K84">
        <v>0</v>
      </c>
      <c r="L84">
        <v>0.01</v>
      </c>
      <c r="M84">
        <v>29</v>
      </c>
      <c r="N84">
        <v>5.86</v>
      </c>
      <c r="O84">
        <v>38.36</v>
      </c>
    </row>
    <row r="85" spans="1:15" x14ac:dyDescent="0.25">
      <c r="A85" s="1">
        <v>46078</v>
      </c>
      <c r="B85" t="s">
        <v>115</v>
      </c>
      <c r="C85" t="s">
        <v>16</v>
      </c>
      <c r="D85" t="s">
        <v>17</v>
      </c>
      <c r="E85">
        <v>65</v>
      </c>
      <c r="F85">
        <v>153.30000000000001</v>
      </c>
      <c r="G85" s="2">
        <v>9964.5</v>
      </c>
      <c r="H85" t="s">
        <v>122</v>
      </c>
      <c r="I85">
        <v>0</v>
      </c>
      <c r="J85">
        <v>3.54</v>
      </c>
      <c r="K85">
        <v>2</v>
      </c>
      <c r="L85">
        <v>0.01</v>
      </c>
      <c r="M85">
        <v>29</v>
      </c>
      <c r="N85">
        <v>5.86</v>
      </c>
      <c r="O85">
        <v>40.409999999999997</v>
      </c>
    </row>
    <row r="86" spans="1:15" x14ac:dyDescent="0.25">
      <c r="A86" s="1">
        <v>46078</v>
      </c>
      <c r="B86" t="s">
        <v>115</v>
      </c>
      <c r="C86" t="s">
        <v>16</v>
      </c>
      <c r="D86" t="s">
        <v>17</v>
      </c>
      <c r="E86">
        <v>65</v>
      </c>
      <c r="F86">
        <v>154.44999999999999</v>
      </c>
      <c r="G86" s="2">
        <v>10039.25</v>
      </c>
      <c r="H86" t="s">
        <v>123</v>
      </c>
      <c r="I86">
        <v>0</v>
      </c>
      <c r="J86">
        <v>3.57</v>
      </c>
      <c r="K86">
        <v>0</v>
      </c>
      <c r="L86">
        <v>0.01</v>
      </c>
      <c r="M86">
        <v>29</v>
      </c>
      <c r="N86">
        <v>5.86</v>
      </c>
      <c r="O86">
        <v>38.44</v>
      </c>
    </row>
    <row r="87" spans="1:15" x14ac:dyDescent="0.25">
      <c r="A87" s="1">
        <v>45985</v>
      </c>
      <c r="B87" t="s">
        <v>124</v>
      </c>
      <c r="C87" t="s">
        <v>16</v>
      </c>
      <c r="D87" t="s">
        <v>17</v>
      </c>
      <c r="E87">
        <v>75</v>
      </c>
      <c r="F87">
        <v>71.75</v>
      </c>
      <c r="G87" s="2">
        <v>5381.25</v>
      </c>
      <c r="H87" t="s">
        <v>125</v>
      </c>
      <c r="I87">
        <v>0</v>
      </c>
      <c r="J87">
        <v>1.91</v>
      </c>
      <c r="K87">
        <v>0</v>
      </c>
      <c r="L87">
        <v>0.01</v>
      </c>
      <c r="M87">
        <v>29</v>
      </c>
      <c r="N87">
        <v>5.56</v>
      </c>
      <c r="O87">
        <v>36.479999999999997</v>
      </c>
    </row>
    <row r="88" spans="1:15" x14ac:dyDescent="0.25">
      <c r="A88" s="1">
        <v>45985</v>
      </c>
      <c r="B88" t="s">
        <v>124</v>
      </c>
      <c r="C88" t="s">
        <v>16</v>
      </c>
      <c r="D88" t="s">
        <v>20</v>
      </c>
      <c r="E88">
        <v>75</v>
      </c>
      <c r="F88">
        <v>74.75</v>
      </c>
      <c r="G88" s="2">
        <v>5606.25</v>
      </c>
      <c r="H88" t="s">
        <v>126</v>
      </c>
      <c r="I88">
        <v>6</v>
      </c>
      <c r="J88">
        <v>1.99</v>
      </c>
      <c r="K88">
        <v>0</v>
      </c>
      <c r="L88">
        <v>0.01</v>
      </c>
      <c r="M88">
        <v>29</v>
      </c>
      <c r="N88">
        <v>5.58</v>
      </c>
      <c r="O88">
        <v>42.58</v>
      </c>
    </row>
    <row r="89" spans="1:15" x14ac:dyDescent="0.25">
      <c r="A89" s="1">
        <v>46105</v>
      </c>
      <c r="B89" t="s">
        <v>127</v>
      </c>
      <c r="C89" t="s">
        <v>16</v>
      </c>
      <c r="D89" t="s">
        <v>17</v>
      </c>
      <c r="E89">
        <v>390</v>
      </c>
      <c r="F89">
        <v>91.25</v>
      </c>
      <c r="G89" s="2">
        <v>35587.5</v>
      </c>
      <c r="H89" t="s">
        <v>128</v>
      </c>
      <c r="I89">
        <v>0</v>
      </c>
      <c r="J89">
        <v>12.65</v>
      </c>
      <c r="K89">
        <v>2.87</v>
      </c>
      <c r="L89">
        <v>0.04</v>
      </c>
      <c r="M89">
        <v>174</v>
      </c>
      <c r="N89">
        <v>33.6</v>
      </c>
      <c r="O89">
        <v>223.16</v>
      </c>
    </row>
    <row r="90" spans="1:15" x14ac:dyDescent="0.25">
      <c r="A90" s="1">
        <v>46105</v>
      </c>
      <c r="B90" t="s">
        <v>127</v>
      </c>
      <c r="C90" t="s">
        <v>16</v>
      </c>
      <c r="D90" t="s">
        <v>17</v>
      </c>
      <c r="E90">
        <v>390</v>
      </c>
      <c r="F90">
        <v>78.819999999999993</v>
      </c>
      <c r="G90" s="2">
        <v>30738.5</v>
      </c>
      <c r="H90" t="s">
        <v>129</v>
      </c>
      <c r="I90">
        <v>0</v>
      </c>
      <c r="J90">
        <v>10.92</v>
      </c>
      <c r="K90">
        <v>0</v>
      </c>
      <c r="L90">
        <v>0.05</v>
      </c>
      <c r="M90">
        <v>174</v>
      </c>
      <c r="N90">
        <v>33.26</v>
      </c>
      <c r="O90">
        <v>218.23</v>
      </c>
    </row>
    <row r="91" spans="1:15" x14ac:dyDescent="0.25">
      <c r="A91" s="1">
        <v>46105</v>
      </c>
      <c r="B91" t="s">
        <v>127</v>
      </c>
      <c r="C91" t="s">
        <v>16</v>
      </c>
      <c r="D91" t="s">
        <v>20</v>
      </c>
      <c r="E91">
        <v>1170</v>
      </c>
      <c r="F91">
        <v>139.9</v>
      </c>
      <c r="G91" s="2">
        <v>163683</v>
      </c>
      <c r="H91" t="s">
        <v>130</v>
      </c>
      <c r="I91">
        <v>163.68</v>
      </c>
      <c r="J91">
        <v>58.15</v>
      </c>
      <c r="K91">
        <v>0</v>
      </c>
      <c r="L91">
        <v>0.17</v>
      </c>
      <c r="M91">
        <v>522</v>
      </c>
      <c r="N91">
        <v>104.46</v>
      </c>
      <c r="O91">
        <v>848.46</v>
      </c>
    </row>
    <row r="92" spans="1:15" x14ac:dyDescent="0.25">
      <c r="A92" s="1">
        <v>46105</v>
      </c>
      <c r="B92" t="s">
        <v>127</v>
      </c>
      <c r="C92" t="s">
        <v>16</v>
      </c>
      <c r="D92" t="s">
        <v>17</v>
      </c>
      <c r="E92">
        <v>390</v>
      </c>
      <c r="F92">
        <v>104.67</v>
      </c>
      <c r="G92" s="2">
        <v>40826.5</v>
      </c>
      <c r="H92" t="s">
        <v>131</v>
      </c>
      <c r="I92">
        <v>0</v>
      </c>
      <c r="J92">
        <v>14.51</v>
      </c>
      <c r="K92">
        <v>0</v>
      </c>
      <c r="L92">
        <v>0.05</v>
      </c>
      <c r="M92">
        <v>174</v>
      </c>
      <c r="N92">
        <v>33.94</v>
      </c>
      <c r="O92">
        <v>222.5</v>
      </c>
    </row>
    <row r="93" spans="1:15" x14ac:dyDescent="0.25">
      <c r="A93" s="1">
        <v>46105</v>
      </c>
      <c r="B93" t="s">
        <v>132</v>
      </c>
      <c r="C93" t="s">
        <v>16</v>
      </c>
      <c r="D93" t="s">
        <v>17</v>
      </c>
      <c r="E93">
        <v>65</v>
      </c>
      <c r="F93">
        <v>69.150000000000006</v>
      </c>
      <c r="G93" s="2">
        <v>4494.75</v>
      </c>
      <c r="H93" t="s">
        <v>133</v>
      </c>
      <c r="I93">
        <v>0</v>
      </c>
      <c r="J93">
        <v>1.6</v>
      </c>
      <c r="K93">
        <v>0.13</v>
      </c>
      <c r="L93">
        <v>0</v>
      </c>
      <c r="M93">
        <v>29</v>
      </c>
      <c r="N93">
        <v>5.5</v>
      </c>
      <c r="O93">
        <v>36.229999999999997</v>
      </c>
    </row>
    <row r="94" spans="1:15" x14ac:dyDescent="0.25">
      <c r="A94" s="1">
        <v>46105</v>
      </c>
      <c r="B94" t="s">
        <v>132</v>
      </c>
      <c r="C94" t="s">
        <v>16</v>
      </c>
      <c r="D94" t="s">
        <v>20</v>
      </c>
      <c r="E94">
        <v>65</v>
      </c>
      <c r="F94">
        <v>74.8</v>
      </c>
      <c r="G94" s="2">
        <v>4862</v>
      </c>
      <c r="H94" t="s">
        <v>134</v>
      </c>
      <c r="I94">
        <v>5.32</v>
      </c>
      <c r="J94">
        <v>1.73</v>
      </c>
      <c r="K94">
        <v>0</v>
      </c>
      <c r="L94">
        <v>0</v>
      </c>
      <c r="M94">
        <v>29</v>
      </c>
      <c r="N94">
        <v>5.54</v>
      </c>
      <c r="O94">
        <v>41.59</v>
      </c>
    </row>
    <row r="95" spans="1:15" x14ac:dyDescent="0.25">
      <c r="A95" s="1">
        <v>46077</v>
      </c>
      <c r="B95" t="s">
        <v>135</v>
      </c>
      <c r="C95" t="s">
        <v>16</v>
      </c>
      <c r="D95" t="s">
        <v>17</v>
      </c>
      <c r="E95">
        <v>325</v>
      </c>
      <c r="F95">
        <v>86.05</v>
      </c>
      <c r="G95" s="2">
        <v>27966.25</v>
      </c>
      <c r="H95" t="s">
        <v>136</v>
      </c>
      <c r="I95">
        <v>0</v>
      </c>
      <c r="J95">
        <v>9.93</v>
      </c>
      <c r="K95">
        <v>1.77</v>
      </c>
      <c r="L95">
        <v>0.03</v>
      </c>
      <c r="M95">
        <v>145</v>
      </c>
      <c r="N95">
        <v>27.9</v>
      </c>
      <c r="O95">
        <v>184.63</v>
      </c>
    </row>
    <row r="96" spans="1:15" x14ac:dyDescent="0.25">
      <c r="A96" s="1">
        <v>46077</v>
      </c>
      <c r="B96" t="s">
        <v>135</v>
      </c>
      <c r="C96" t="s">
        <v>16</v>
      </c>
      <c r="D96" t="s">
        <v>17</v>
      </c>
      <c r="E96">
        <v>195</v>
      </c>
      <c r="F96">
        <v>85.75</v>
      </c>
      <c r="G96" s="2">
        <v>16721.25</v>
      </c>
      <c r="H96" t="s">
        <v>137</v>
      </c>
      <c r="I96">
        <v>0</v>
      </c>
      <c r="J96">
        <v>5.94</v>
      </c>
      <c r="K96">
        <v>0</v>
      </c>
      <c r="L96">
        <v>0.03</v>
      </c>
      <c r="M96">
        <v>87</v>
      </c>
      <c r="N96">
        <v>16.739999999999998</v>
      </c>
      <c r="O96">
        <v>109.71</v>
      </c>
    </row>
    <row r="97" spans="1:15" x14ac:dyDescent="0.25">
      <c r="A97" s="1">
        <v>46077</v>
      </c>
      <c r="B97" t="s">
        <v>135</v>
      </c>
      <c r="C97" t="s">
        <v>16</v>
      </c>
      <c r="D97" t="s">
        <v>17</v>
      </c>
      <c r="E97">
        <v>195</v>
      </c>
      <c r="F97">
        <v>81.37</v>
      </c>
      <c r="G97" s="2">
        <v>15869.75</v>
      </c>
      <c r="H97" t="s">
        <v>138</v>
      </c>
      <c r="I97">
        <v>0</v>
      </c>
      <c r="J97">
        <v>5.64</v>
      </c>
      <c r="K97">
        <v>0</v>
      </c>
      <c r="L97">
        <v>0.02</v>
      </c>
      <c r="M97">
        <v>87</v>
      </c>
      <c r="N97">
        <v>16.68</v>
      </c>
      <c r="O97">
        <v>109.34</v>
      </c>
    </row>
    <row r="98" spans="1:15" x14ac:dyDescent="0.25">
      <c r="A98" s="1">
        <v>46077</v>
      </c>
      <c r="B98" t="s">
        <v>135</v>
      </c>
      <c r="C98" t="s">
        <v>16</v>
      </c>
      <c r="D98" t="s">
        <v>20</v>
      </c>
      <c r="E98">
        <v>845</v>
      </c>
      <c r="F98">
        <v>106.9</v>
      </c>
      <c r="G98" s="2">
        <v>90330.5</v>
      </c>
      <c r="H98" t="s">
        <v>139</v>
      </c>
      <c r="I98">
        <v>90.45</v>
      </c>
      <c r="J98">
        <v>32.1</v>
      </c>
      <c r="K98">
        <v>0</v>
      </c>
      <c r="L98">
        <v>0.08</v>
      </c>
      <c r="M98">
        <v>377</v>
      </c>
      <c r="N98">
        <v>73.680000000000007</v>
      </c>
      <c r="O98">
        <v>573.30999999999995</v>
      </c>
    </row>
    <row r="99" spans="1:15" x14ac:dyDescent="0.25">
      <c r="A99" s="1">
        <v>46077</v>
      </c>
      <c r="B99" t="s">
        <v>140</v>
      </c>
      <c r="C99" t="s">
        <v>16</v>
      </c>
      <c r="D99" t="s">
        <v>17</v>
      </c>
      <c r="E99">
        <v>700</v>
      </c>
      <c r="F99">
        <v>10.95</v>
      </c>
      <c r="G99" s="2">
        <v>7665</v>
      </c>
      <c r="H99" t="s">
        <v>141</v>
      </c>
      <c r="I99">
        <v>0</v>
      </c>
      <c r="J99">
        <v>2.72</v>
      </c>
      <c r="K99">
        <v>0.23</v>
      </c>
      <c r="L99">
        <v>0.01</v>
      </c>
      <c r="M99">
        <v>29</v>
      </c>
      <c r="N99">
        <v>5.72</v>
      </c>
      <c r="O99">
        <v>37.68</v>
      </c>
    </row>
    <row r="100" spans="1:15" x14ac:dyDescent="0.25">
      <c r="A100" s="1">
        <v>46077</v>
      </c>
      <c r="B100" t="s">
        <v>140</v>
      </c>
      <c r="C100" t="s">
        <v>16</v>
      </c>
      <c r="D100" t="s">
        <v>20</v>
      </c>
      <c r="E100">
        <v>700</v>
      </c>
      <c r="F100">
        <v>10.8</v>
      </c>
      <c r="G100" s="2">
        <v>7560</v>
      </c>
      <c r="H100" t="s">
        <v>142</v>
      </c>
      <c r="I100">
        <v>7.56</v>
      </c>
      <c r="J100">
        <v>2.69</v>
      </c>
      <c r="K100">
        <v>0</v>
      </c>
      <c r="L100">
        <v>0.01</v>
      </c>
      <c r="M100">
        <v>29</v>
      </c>
      <c r="N100">
        <v>5.7</v>
      </c>
      <c r="O100">
        <v>44.96</v>
      </c>
    </row>
    <row r="101" spans="1:15" x14ac:dyDescent="0.25">
      <c r="A101" s="1">
        <v>46077</v>
      </c>
      <c r="B101" t="s">
        <v>135</v>
      </c>
      <c r="C101" t="s">
        <v>16</v>
      </c>
      <c r="D101" t="s">
        <v>17</v>
      </c>
      <c r="E101">
        <v>65</v>
      </c>
      <c r="F101">
        <v>87.95</v>
      </c>
      <c r="G101" s="2">
        <v>5716.75</v>
      </c>
      <c r="H101" t="s">
        <v>143</v>
      </c>
      <c r="I101">
        <v>0</v>
      </c>
      <c r="J101">
        <v>2.0299999999999998</v>
      </c>
      <c r="K101">
        <v>0</v>
      </c>
      <c r="L101">
        <v>0.01</v>
      </c>
      <c r="M101">
        <v>29</v>
      </c>
      <c r="N101">
        <v>5.58</v>
      </c>
      <c r="O101">
        <v>36.619999999999997</v>
      </c>
    </row>
    <row r="102" spans="1:15" x14ac:dyDescent="0.25">
      <c r="A102" s="1">
        <v>46077</v>
      </c>
      <c r="B102" t="s">
        <v>135</v>
      </c>
      <c r="C102" t="s">
        <v>16</v>
      </c>
      <c r="D102" t="s">
        <v>17</v>
      </c>
      <c r="E102">
        <v>65</v>
      </c>
      <c r="F102">
        <v>86.3</v>
      </c>
      <c r="G102" s="2">
        <v>5609.5</v>
      </c>
      <c r="H102" t="s">
        <v>144</v>
      </c>
      <c r="I102">
        <v>0</v>
      </c>
      <c r="J102">
        <v>1.99</v>
      </c>
      <c r="K102">
        <v>0</v>
      </c>
      <c r="L102">
        <v>0.01</v>
      </c>
      <c r="M102">
        <v>29</v>
      </c>
      <c r="N102">
        <v>5.58</v>
      </c>
      <c r="O102">
        <v>36.58</v>
      </c>
    </row>
    <row r="103" spans="1:15" x14ac:dyDescent="0.25">
      <c r="A103" s="1">
        <v>45800</v>
      </c>
      <c r="B103" t="s">
        <v>35</v>
      </c>
      <c r="C103" t="s">
        <v>16</v>
      </c>
      <c r="D103" t="s">
        <v>17</v>
      </c>
      <c r="E103">
        <v>75</v>
      </c>
      <c r="F103">
        <v>24.65</v>
      </c>
      <c r="G103" s="2">
        <v>1848.75</v>
      </c>
      <c r="H103" t="s">
        <v>145</v>
      </c>
      <c r="I103">
        <v>0</v>
      </c>
      <c r="J103">
        <v>0.66</v>
      </c>
      <c r="K103">
        <v>0</v>
      </c>
      <c r="L103">
        <v>0</v>
      </c>
      <c r="M103">
        <v>29</v>
      </c>
      <c r="N103">
        <v>5.34</v>
      </c>
      <c r="O103">
        <v>35</v>
      </c>
    </row>
    <row r="104" spans="1:15" x14ac:dyDescent="0.25">
      <c r="A104" s="1">
        <v>46104</v>
      </c>
      <c r="B104" t="s">
        <v>146</v>
      </c>
      <c r="C104" t="s">
        <v>16</v>
      </c>
      <c r="D104" t="s">
        <v>20</v>
      </c>
      <c r="E104">
        <v>650</v>
      </c>
      <c r="F104">
        <v>229.9</v>
      </c>
      <c r="G104" s="2">
        <v>149435</v>
      </c>
      <c r="H104" t="s">
        <v>147</v>
      </c>
      <c r="I104">
        <v>148.99</v>
      </c>
      <c r="J104">
        <v>53.1</v>
      </c>
      <c r="K104">
        <v>0</v>
      </c>
      <c r="L104">
        <v>0.13</v>
      </c>
      <c r="M104">
        <v>290</v>
      </c>
      <c r="N104">
        <v>61.8</v>
      </c>
      <c r="O104">
        <v>554.02</v>
      </c>
    </row>
    <row r="105" spans="1:15" x14ac:dyDescent="0.25">
      <c r="A105" s="1">
        <v>46104</v>
      </c>
      <c r="B105" t="s">
        <v>146</v>
      </c>
      <c r="C105" t="s">
        <v>16</v>
      </c>
      <c r="D105" t="s">
        <v>17</v>
      </c>
      <c r="E105">
        <v>65</v>
      </c>
      <c r="F105">
        <v>191.5</v>
      </c>
      <c r="G105" s="2">
        <v>12447.5</v>
      </c>
      <c r="H105" t="s">
        <v>148</v>
      </c>
      <c r="I105">
        <v>0</v>
      </c>
      <c r="J105">
        <v>4.42</v>
      </c>
      <c r="K105">
        <v>0</v>
      </c>
      <c r="L105">
        <v>0.01</v>
      </c>
      <c r="M105">
        <v>29</v>
      </c>
      <c r="N105">
        <v>6.02</v>
      </c>
      <c r="O105">
        <v>39.450000000000003</v>
      </c>
    </row>
    <row r="106" spans="1:15" x14ac:dyDescent="0.25">
      <c r="A106" s="1">
        <v>46104</v>
      </c>
      <c r="B106" t="s">
        <v>146</v>
      </c>
      <c r="C106" t="s">
        <v>16</v>
      </c>
      <c r="D106" t="s">
        <v>17</v>
      </c>
      <c r="E106">
        <v>130</v>
      </c>
      <c r="F106">
        <v>202.35</v>
      </c>
      <c r="G106" s="2">
        <v>26305.5</v>
      </c>
      <c r="H106" t="s">
        <v>149</v>
      </c>
      <c r="I106">
        <v>0</v>
      </c>
      <c r="J106">
        <v>9.35</v>
      </c>
      <c r="K106">
        <v>0</v>
      </c>
      <c r="L106">
        <v>0.03</v>
      </c>
      <c r="M106">
        <v>58</v>
      </c>
      <c r="N106">
        <v>12.12</v>
      </c>
      <c r="O106">
        <v>79.5</v>
      </c>
    </row>
    <row r="107" spans="1:15" x14ac:dyDescent="0.25">
      <c r="A107" s="1">
        <v>46104</v>
      </c>
      <c r="B107" t="s">
        <v>146</v>
      </c>
      <c r="C107" t="s">
        <v>16</v>
      </c>
      <c r="D107" t="s">
        <v>17</v>
      </c>
      <c r="E107">
        <v>130</v>
      </c>
      <c r="F107">
        <v>197.9</v>
      </c>
      <c r="G107" s="2">
        <v>25727</v>
      </c>
      <c r="H107" t="s">
        <v>150</v>
      </c>
      <c r="I107">
        <v>0</v>
      </c>
      <c r="J107">
        <v>9.14</v>
      </c>
      <c r="K107">
        <v>0</v>
      </c>
      <c r="L107">
        <v>0.02</v>
      </c>
      <c r="M107">
        <v>58</v>
      </c>
      <c r="N107">
        <v>12.08</v>
      </c>
      <c r="O107">
        <v>79.239999999999995</v>
      </c>
    </row>
    <row r="108" spans="1:15" x14ac:dyDescent="0.25">
      <c r="A108" s="1">
        <v>46104</v>
      </c>
      <c r="B108" t="s">
        <v>146</v>
      </c>
      <c r="C108" t="s">
        <v>16</v>
      </c>
      <c r="D108" t="s">
        <v>17</v>
      </c>
      <c r="E108">
        <v>195</v>
      </c>
      <c r="F108">
        <v>199.25</v>
      </c>
      <c r="G108" s="2">
        <v>38853.75</v>
      </c>
      <c r="H108" t="s">
        <v>151</v>
      </c>
      <c r="I108">
        <v>0</v>
      </c>
      <c r="J108">
        <v>13.8</v>
      </c>
      <c r="K108">
        <v>4</v>
      </c>
      <c r="L108">
        <v>0.04</v>
      </c>
      <c r="M108">
        <v>87</v>
      </c>
      <c r="N108">
        <v>18.16</v>
      </c>
      <c r="O108">
        <v>123</v>
      </c>
    </row>
    <row r="109" spans="1:15" x14ac:dyDescent="0.25">
      <c r="A109" s="1">
        <v>46104</v>
      </c>
      <c r="B109" t="s">
        <v>146</v>
      </c>
      <c r="C109" t="s">
        <v>16</v>
      </c>
      <c r="D109" t="s">
        <v>17</v>
      </c>
      <c r="E109">
        <v>130</v>
      </c>
      <c r="F109">
        <v>200.3</v>
      </c>
      <c r="G109" s="2">
        <v>26039</v>
      </c>
      <c r="H109" t="s">
        <v>152</v>
      </c>
      <c r="I109">
        <v>0</v>
      </c>
      <c r="J109">
        <v>9.25</v>
      </c>
      <c r="K109">
        <v>0</v>
      </c>
      <c r="L109">
        <v>0.03</v>
      </c>
      <c r="M109">
        <v>58</v>
      </c>
      <c r="N109">
        <v>12.1</v>
      </c>
      <c r="O109">
        <v>79.38</v>
      </c>
    </row>
    <row r="110" spans="1:15" x14ac:dyDescent="0.25">
      <c r="A110" s="1">
        <v>46076</v>
      </c>
      <c r="B110" t="s">
        <v>153</v>
      </c>
      <c r="C110" t="s">
        <v>16</v>
      </c>
      <c r="D110" t="s">
        <v>17</v>
      </c>
      <c r="E110">
        <v>260</v>
      </c>
      <c r="F110">
        <v>106.9</v>
      </c>
      <c r="G110" s="2">
        <v>27794</v>
      </c>
      <c r="H110" t="s">
        <v>154</v>
      </c>
      <c r="I110">
        <v>0</v>
      </c>
      <c r="J110">
        <v>9.8800000000000008</v>
      </c>
      <c r="K110">
        <v>0.83</v>
      </c>
      <c r="L110">
        <v>0.03</v>
      </c>
      <c r="M110">
        <v>116</v>
      </c>
      <c r="N110">
        <v>22.66</v>
      </c>
      <c r="O110">
        <v>149.4</v>
      </c>
    </row>
    <row r="111" spans="1:15" x14ac:dyDescent="0.25">
      <c r="A111" s="1">
        <v>46076</v>
      </c>
      <c r="B111" t="s">
        <v>155</v>
      </c>
      <c r="C111" t="s">
        <v>16</v>
      </c>
      <c r="D111" t="s">
        <v>20</v>
      </c>
      <c r="E111">
        <v>650</v>
      </c>
      <c r="F111">
        <v>18.399999999999999</v>
      </c>
      <c r="G111" s="2">
        <v>11960</v>
      </c>
      <c r="H111" t="s">
        <v>156</v>
      </c>
      <c r="I111">
        <v>11.96</v>
      </c>
      <c r="J111">
        <v>4.25</v>
      </c>
      <c r="K111">
        <v>0</v>
      </c>
      <c r="L111">
        <v>0.01</v>
      </c>
      <c r="M111">
        <v>290</v>
      </c>
      <c r="N111">
        <v>52.96</v>
      </c>
      <c r="O111">
        <v>359.18</v>
      </c>
    </row>
    <row r="112" spans="1:15" x14ac:dyDescent="0.25">
      <c r="A112" s="1">
        <v>46076</v>
      </c>
      <c r="B112" t="s">
        <v>157</v>
      </c>
      <c r="C112" t="s">
        <v>16</v>
      </c>
      <c r="D112" t="s">
        <v>17</v>
      </c>
      <c r="E112">
        <v>260</v>
      </c>
      <c r="F112">
        <v>94.7</v>
      </c>
      <c r="G112" s="2">
        <v>24622</v>
      </c>
      <c r="H112" t="s">
        <v>158</v>
      </c>
      <c r="I112">
        <v>0</v>
      </c>
      <c r="J112">
        <v>8.74</v>
      </c>
      <c r="K112">
        <v>1.79</v>
      </c>
      <c r="L112">
        <v>0.02</v>
      </c>
      <c r="M112">
        <v>116</v>
      </c>
      <c r="N112">
        <v>22.44</v>
      </c>
      <c r="O112">
        <v>148.99</v>
      </c>
    </row>
    <row r="113" spans="1:15" x14ac:dyDescent="0.25">
      <c r="A113" s="1">
        <v>46076</v>
      </c>
      <c r="B113" t="s">
        <v>157</v>
      </c>
      <c r="C113" t="s">
        <v>16</v>
      </c>
      <c r="D113" t="s">
        <v>17</v>
      </c>
      <c r="E113">
        <v>65</v>
      </c>
      <c r="F113">
        <v>84.2</v>
      </c>
      <c r="G113" s="2">
        <v>5473</v>
      </c>
      <c r="H113" t="s">
        <v>159</v>
      </c>
      <c r="I113">
        <v>0</v>
      </c>
      <c r="J113">
        <v>1.94</v>
      </c>
      <c r="K113">
        <v>0</v>
      </c>
      <c r="L113">
        <v>0.01</v>
      </c>
      <c r="M113">
        <v>29</v>
      </c>
      <c r="N113">
        <v>5.58</v>
      </c>
      <c r="O113">
        <v>36.53</v>
      </c>
    </row>
    <row r="114" spans="1:15" x14ac:dyDescent="0.25">
      <c r="A114" s="1">
        <v>46076</v>
      </c>
      <c r="B114" t="s">
        <v>157</v>
      </c>
      <c r="C114" t="s">
        <v>16</v>
      </c>
      <c r="D114" t="s">
        <v>17</v>
      </c>
      <c r="E114">
        <v>65</v>
      </c>
      <c r="F114">
        <v>81.650000000000006</v>
      </c>
      <c r="G114" s="2">
        <v>5307.25</v>
      </c>
      <c r="H114" t="s">
        <v>160</v>
      </c>
      <c r="I114">
        <v>0</v>
      </c>
      <c r="J114">
        <v>1.89</v>
      </c>
      <c r="K114">
        <v>0</v>
      </c>
      <c r="L114">
        <v>0.01</v>
      </c>
      <c r="M114">
        <v>29</v>
      </c>
      <c r="N114">
        <v>5.56</v>
      </c>
      <c r="O114">
        <v>36.46</v>
      </c>
    </row>
    <row r="115" spans="1:15" x14ac:dyDescent="0.25">
      <c r="A115" s="1">
        <v>46076</v>
      </c>
      <c r="B115" t="s">
        <v>157</v>
      </c>
      <c r="C115" t="s">
        <v>16</v>
      </c>
      <c r="D115" t="s">
        <v>17</v>
      </c>
      <c r="E115">
        <v>65</v>
      </c>
      <c r="F115">
        <v>79.3</v>
      </c>
      <c r="G115" s="2">
        <v>5154.5</v>
      </c>
      <c r="H115" t="s">
        <v>161</v>
      </c>
      <c r="I115">
        <v>0</v>
      </c>
      <c r="J115">
        <v>1.83</v>
      </c>
      <c r="K115">
        <v>0</v>
      </c>
      <c r="L115">
        <v>0.01</v>
      </c>
      <c r="M115">
        <v>29</v>
      </c>
      <c r="N115">
        <v>5.56</v>
      </c>
      <c r="O115">
        <v>36.4</v>
      </c>
    </row>
    <row r="116" spans="1:15" x14ac:dyDescent="0.25">
      <c r="A116" s="1">
        <v>46076</v>
      </c>
      <c r="B116" t="s">
        <v>157</v>
      </c>
      <c r="C116" t="s">
        <v>16</v>
      </c>
      <c r="D116" t="s">
        <v>17</v>
      </c>
      <c r="E116">
        <v>130</v>
      </c>
      <c r="F116">
        <v>89.55</v>
      </c>
      <c r="G116" s="2">
        <v>11641.5</v>
      </c>
      <c r="H116" t="s">
        <v>162</v>
      </c>
      <c r="I116">
        <v>0</v>
      </c>
      <c r="J116">
        <v>4.1399999999999997</v>
      </c>
      <c r="K116">
        <v>0</v>
      </c>
      <c r="L116">
        <v>0.01</v>
      </c>
      <c r="M116">
        <v>58</v>
      </c>
      <c r="N116">
        <v>11.18</v>
      </c>
      <c r="O116">
        <v>73.33</v>
      </c>
    </row>
    <row r="117" spans="1:15" x14ac:dyDescent="0.25">
      <c r="A117" s="1">
        <v>46076</v>
      </c>
      <c r="B117" t="s">
        <v>157</v>
      </c>
      <c r="C117" t="s">
        <v>16</v>
      </c>
      <c r="D117" t="s">
        <v>17</v>
      </c>
      <c r="E117">
        <v>130</v>
      </c>
      <c r="F117">
        <v>89.65</v>
      </c>
      <c r="G117" s="2">
        <v>11654.5</v>
      </c>
      <c r="H117" t="s">
        <v>163</v>
      </c>
      <c r="I117">
        <v>0</v>
      </c>
      <c r="J117">
        <v>4.1399999999999997</v>
      </c>
      <c r="K117">
        <v>0</v>
      </c>
      <c r="L117">
        <v>0.02</v>
      </c>
      <c r="M117">
        <v>58</v>
      </c>
      <c r="N117">
        <v>11.2</v>
      </c>
      <c r="O117">
        <v>73.36</v>
      </c>
    </row>
    <row r="118" spans="1:15" x14ac:dyDescent="0.25">
      <c r="A118" s="1">
        <v>46076</v>
      </c>
      <c r="B118" t="s">
        <v>157</v>
      </c>
      <c r="C118" t="s">
        <v>16</v>
      </c>
      <c r="D118" t="s">
        <v>20</v>
      </c>
      <c r="E118">
        <v>715</v>
      </c>
      <c r="F118">
        <v>109.9</v>
      </c>
      <c r="G118" s="2">
        <v>78578.5</v>
      </c>
      <c r="H118" t="s">
        <v>164</v>
      </c>
      <c r="I118">
        <v>78.56</v>
      </c>
      <c r="J118">
        <v>27.92</v>
      </c>
      <c r="K118">
        <v>0</v>
      </c>
      <c r="L118">
        <v>0.09</v>
      </c>
      <c r="M118">
        <v>319</v>
      </c>
      <c r="N118">
        <v>62.48</v>
      </c>
      <c r="O118">
        <v>488.05</v>
      </c>
    </row>
    <row r="119" spans="1:15" x14ac:dyDescent="0.25">
      <c r="A119" s="1">
        <v>46076</v>
      </c>
      <c r="B119" t="s">
        <v>153</v>
      </c>
      <c r="C119" t="s">
        <v>16</v>
      </c>
      <c r="D119" t="s">
        <v>20</v>
      </c>
      <c r="E119">
        <v>260</v>
      </c>
      <c r="F119">
        <v>114.9</v>
      </c>
      <c r="G119" s="2">
        <v>29874</v>
      </c>
      <c r="H119" t="s">
        <v>165</v>
      </c>
      <c r="I119">
        <v>29.88</v>
      </c>
      <c r="J119">
        <v>10.62</v>
      </c>
      <c r="K119">
        <v>0</v>
      </c>
      <c r="L119">
        <v>0.02</v>
      </c>
      <c r="M119">
        <v>116</v>
      </c>
      <c r="N119">
        <v>22.8</v>
      </c>
      <c r="O119">
        <v>179.32</v>
      </c>
    </row>
    <row r="120" spans="1:15" x14ac:dyDescent="0.25">
      <c r="A120" s="1">
        <v>46076</v>
      </c>
      <c r="B120" t="s">
        <v>155</v>
      </c>
      <c r="C120" t="s">
        <v>16</v>
      </c>
      <c r="D120" t="s">
        <v>17</v>
      </c>
      <c r="E120">
        <v>650</v>
      </c>
      <c r="F120">
        <v>19.7</v>
      </c>
      <c r="G120" s="2">
        <v>12805</v>
      </c>
      <c r="H120" t="s">
        <v>166</v>
      </c>
      <c r="I120">
        <v>0</v>
      </c>
      <c r="J120">
        <v>4.54</v>
      </c>
      <c r="K120">
        <v>0.38</v>
      </c>
      <c r="L120">
        <v>0.02</v>
      </c>
      <c r="M120">
        <v>290</v>
      </c>
      <c r="N120">
        <v>53</v>
      </c>
      <c r="O120">
        <v>347.94</v>
      </c>
    </row>
    <row r="121" spans="1:15" x14ac:dyDescent="0.25">
      <c r="A121" s="1">
        <v>46076</v>
      </c>
      <c r="B121" t="s">
        <v>155</v>
      </c>
      <c r="C121" t="s">
        <v>16</v>
      </c>
      <c r="D121" t="s">
        <v>20</v>
      </c>
      <c r="E121">
        <v>650</v>
      </c>
      <c r="F121">
        <v>22</v>
      </c>
      <c r="G121" s="2">
        <v>14300</v>
      </c>
      <c r="H121" t="s">
        <v>167</v>
      </c>
      <c r="I121">
        <v>14.59</v>
      </c>
      <c r="J121">
        <v>5.08</v>
      </c>
      <c r="K121">
        <v>0</v>
      </c>
      <c r="L121">
        <v>0.01</v>
      </c>
      <c r="M121">
        <v>290</v>
      </c>
      <c r="N121">
        <v>53.12</v>
      </c>
      <c r="O121">
        <v>362.8</v>
      </c>
    </row>
    <row r="122" spans="1:15" x14ac:dyDescent="0.25">
      <c r="A122" s="1">
        <v>45982</v>
      </c>
      <c r="B122" t="s">
        <v>124</v>
      </c>
      <c r="C122" t="s">
        <v>16</v>
      </c>
      <c r="D122" t="s">
        <v>20</v>
      </c>
      <c r="E122">
        <v>75</v>
      </c>
      <c r="F122">
        <v>119.9</v>
      </c>
      <c r="G122" s="2">
        <v>8992.5</v>
      </c>
      <c r="H122" t="s">
        <v>168</v>
      </c>
      <c r="I122">
        <v>9</v>
      </c>
      <c r="J122">
        <v>3.2</v>
      </c>
      <c r="K122">
        <v>0</v>
      </c>
      <c r="L122">
        <v>0.01</v>
      </c>
      <c r="M122">
        <v>29</v>
      </c>
      <c r="N122">
        <v>5.8</v>
      </c>
      <c r="O122">
        <v>47.01</v>
      </c>
    </row>
    <row r="123" spans="1:15" x14ac:dyDescent="0.25">
      <c r="A123" s="1">
        <v>45798</v>
      </c>
      <c r="B123" t="s">
        <v>169</v>
      </c>
      <c r="C123" t="s">
        <v>16</v>
      </c>
      <c r="D123" t="s">
        <v>17</v>
      </c>
      <c r="E123">
        <v>150</v>
      </c>
      <c r="F123">
        <v>125.6</v>
      </c>
      <c r="G123" s="2">
        <v>18840</v>
      </c>
      <c r="H123" t="s">
        <v>170</v>
      </c>
      <c r="I123">
        <v>0</v>
      </c>
      <c r="J123">
        <v>6.69</v>
      </c>
      <c r="K123">
        <v>1</v>
      </c>
      <c r="L123">
        <v>0.02</v>
      </c>
      <c r="M123">
        <v>58</v>
      </c>
      <c r="N123">
        <v>11.64</v>
      </c>
      <c r="O123">
        <v>77.349999999999994</v>
      </c>
    </row>
    <row r="124" spans="1:15" x14ac:dyDescent="0.25">
      <c r="A124" s="1">
        <v>45798</v>
      </c>
      <c r="B124" t="s">
        <v>169</v>
      </c>
      <c r="C124" t="s">
        <v>16</v>
      </c>
      <c r="D124" t="s">
        <v>20</v>
      </c>
      <c r="E124">
        <v>150</v>
      </c>
      <c r="F124">
        <v>77.349999999999994</v>
      </c>
      <c r="G124" s="2">
        <v>11602.5</v>
      </c>
      <c r="H124" t="s">
        <v>171</v>
      </c>
      <c r="I124">
        <v>12</v>
      </c>
      <c r="J124">
        <v>4.12</v>
      </c>
      <c r="K124">
        <v>0</v>
      </c>
      <c r="L124">
        <v>0.01</v>
      </c>
      <c r="M124">
        <v>58</v>
      </c>
      <c r="N124">
        <v>11.18</v>
      </c>
      <c r="O124">
        <v>85.31</v>
      </c>
    </row>
    <row r="125" spans="1:15" x14ac:dyDescent="0.25">
      <c r="A125" s="1">
        <v>45890</v>
      </c>
      <c r="B125" t="s">
        <v>172</v>
      </c>
      <c r="C125" t="s">
        <v>16</v>
      </c>
      <c r="D125" t="s">
        <v>17</v>
      </c>
      <c r="E125">
        <v>1500</v>
      </c>
      <c r="F125">
        <v>9.9</v>
      </c>
      <c r="G125" s="2">
        <v>14850</v>
      </c>
      <c r="H125" t="s">
        <v>173</v>
      </c>
      <c r="I125">
        <v>0</v>
      </c>
      <c r="J125">
        <v>5.28</v>
      </c>
      <c r="K125">
        <v>1</v>
      </c>
      <c r="L125">
        <v>0.01</v>
      </c>
      <c r="M125">
        <v>580</v>
      </c>
      <c r="N125">
        <v>105.36</v>
      </c>
      <c r="O125">
        <v>691.65</v>
      </c>
    </row>
    <row r="126" spans="1:15" x14ac:dyDescent="0.25">
      <c r="A126" s="1">
        <v>45890</v>
      </c>
      <c r="B126" t="s">
        <v>172</v>
      </c>
      <c r="C126" t="s">
        <v>16</v>
      </c>
      <c r="D126" t="s">
        <v>20</v>
      </c>
      <c r="E126">
        <v>450</v>
      </c>
      <c r="F126">
        <v>3.8</v>
      </c>
      <c r="G126" s="2">
        <v>1710</v>
      </c>
      <c r="H126" t="s">
        <v>174</v>
      </c>
      <c r="I126">
        <v>1.71</v>
      </c>
      <c r="J126">
        <v>0.61</v>
      </c>
      <c r="K126">
        <v>0</v>
      </c>
      <c r="L126">
        <v>0</v>
      </c>
      <c r="M126">
        <v>174</v>
      </c>
      <c r="N126">
        <v>31.42</v>
      </c>
      <c r="O126">
        <v>207.74</v>
      </c>
    </row>
    <row r="127" spans="1:15" x14ac:dyDescent="0.25">
      <c r="A127" s="1">
        <v>45890</v>
      </c>
      <c r="B127" t="s">
        <v>172</v>
      </c>
      <c r="C127" t="s">
        <v>16</v>
      </c>
      <c r="D127" t="s">
        <v>20</v>
      </c>
      <c r="E127">
        <v>1500</v>
      </c>
      <c r="F127">
        <v>3.8</v>
      </c>
      <c r="G127" s="2">
        <v>5700</v>
      </c>
      <c r="H127" t="s">
        <v>175</v>
      </c>
      <c r="I127">
        <v>5.72</v>
      </c>
      <c r="J127">
        <v>2.02</v>
      </c>
      <c r="K127">
        <v>0</v>
      </c>
      <c r="L127">
        <v>0</v>
      </c>
      <c r="M127">
        <v>580</v>
      </c>
      <c r="N127">
        <v>104.76</v>
      </c>
      <c r="O127">
        <v>692.5</v>
      </c>
    </row>
    <row r="128" spans="1:15" x14ac:dyDescent="0.25">
      <c r="A128" s="1">
        <v>45890</v>
      </c>
      <c r="B128" t="s">
        <v>172</v>
      </c>
      <c r="C128" t="s">
        <v>16</v>
      </c>
      <c r="D128" t="s">
        <v>20</v>
      </c>
      <c r="E128">
        <v>900</v>
      </c>
      <c r="F128">
        <v>4.1500000000000004</v>
      </c>
      <c r="G128" s="2">
        <v>3735</v>
      </c>
      <c r="H128" t="s">
        <v>176</v>
      </c>
      <c r="I128">
        <v>3.73</v>
      </c>
      <c r="J128">
        <v>1.33</v>
      </c>
      <c r="K128">
        <v>0</v>
      </c>
      <c r="L128">
        <v>0</v>
      </c>
      <c r="M128">
        <v>348</v>
      </c>
      <c r="N128">
        <v>62.88</v>
      </c>
      <c r="O128">
        <v>415.94</v>
      </c>
    </row>
    <row r="129" spans="1:15" x14ac:dyDescent="0.25">
      <c r="A129" s="1">
        <v>45890</v>
      </c>
      <c r="B129" t="s">
        <v>172</v>
      </c>
      <c r="C129" t="s">
        <v>16</v>
      </c>
      <c r="D129" t="s">
        <v>20</v>
      </c>
      <c r="E129">
        <v>150</v>
      </c>
      <c r="F129">
        <v>12.05</v>
      </c>
      <c r="G129" s="2">
        <v>1807.5</v>
      </c>
      <c r="H129" t="s">
        <v>177</v>
      </c>
      <c r="I129">
        <v>1.86</v>
      </c>
      <c r="J129">
        <v>0.64</v>
      </c>
      <c r="K129">
        <v>0</v>
      </c>
      <c r="L129">
        <v>0</v>
      </c>
      <c r="M129">
        <v>58</v>
      </c>
      <c r="N129">
        <v>10.56</v>
      </c>
      <c r="O129">
        <v>71.06</v>
      </c>
    </row>
    <row r="130" spans="1:15" x14ac:dyDescent="0.25">
      <c r="A130" s="1">
        <v>45890</v>
      </c>
      <c r="B130" t="s">
        <v>172</v>
      </c>
      <c r="C130" t="s">
        <v>16</v>
      </c>
      <c r="D130" t="s">
        <v>17</v>
      </c>
      <c r="E130">
        <v>750</v>
      </c>
      <c r="F130">
        <v>13.45</v>
      </c>
      <c r="G130" s="2">
        <v>10087.5</v>
      </c>
      <c r="H130" t="s">
        <v>178</v>
      </c>
      <c r="I130">
        <v>0</v>
      </c>
      <c r="J130">
        <v>3.58</v>
      </c>
      <c r="K130">
        <v>0</v>
      </c>
      <c r="L130">
        <v>0.01</v>
      </c>
      <c r="M130">
        <v>290</v>
      </c>
      <c r="N130">
        <v>52.84</v>
      </c>
      <c r="O130">
        <v>346.43</v>
      </c>
    </row>
    <row r="131" spans="1:15" x14ac:dyDescent="0.25">
      <c r="A131" s="1">
        <v>45890</v>
      </c>
      <c r="B131" t="s">
        <v>172</v>
      </c>
      <c r="C131" t="s">
        <v>16</v>
      </c>
      <c r="D131" t="s">
        <v>17</v>
      </c>
      <c r="E131">
        <v>750</v>
      </c>
      <c r="F131">
        <v>14.68</v>
      </c>
      <c r="G131" s="2">
        <v>11017.5</v>
      </c>
      <c r="H131" t="s">
        <v>179</v>
      </c>
      <c r="I131">
        <v>0</v>
      </c>
      <c r="J131">
        <v>3.91</v>
      </c>
      <c r="K131">
        <v>0</v>
      </c>
      <c r="L131">
        <v>0.01</v>
      </c>
      <c r="M131">
        <v>290</v>
      </c>
      <c r="N131">
        <v>52.92</v>
      </c>
      <c r="O131">
        <v>346.84</v>
      </c>
    </row>
    <row r="132" spans="1:15" x14ac:dyDescent="0.25">
      <c r="A132" s="1">
        <v>45981</v>
      </c>
      <c r="B132" t="s">
        <v>124</v>
      </c>
      <c r="C132" t="s">
        <v>16</v>
      </c>
      <c r="D132" t="s">
        <v>17</v>
      </c>
      <c r="E132">
        <v>75</v>
      </c>
      <c r="F132">
        <v>103.15</v>
      </c>
      <c r="G132" s="2">
        <v>7736.25</v>
      </c>
      <c r="H132" t="s">
        <v>180</v>
      </c>
      <c r="I132">
        <v>0</v>
      </c>
      <c r="J132">
        <v>2.75</v>
      </c>
      <c r="K132">
        <v>0</v>
      </c>
      <c r="L132">
        <v>0.01</v>
      </c>
      <c r="M132">
        <v>29</v>
      </c>
      <c r="N132">
        <v>5.72</v>
      </c>
      <c r="O132">
        <v>37.479999999999997</v>
      </c>
    </row>
    <row r="133" spans="1:15" x14ac:dyDescent="0.25">
      <c r="A133" s="1">
        <v>46101</v>
      </c>
      <c r="B133" t="s">
        <v>181</v>
      </c>
      <c r="C133" t="s">
        <v>16</v>
      </c>
      <c r="D133" t="s">
        <v>20</v>
      </c>
      <c r="E133">
        <v>260</v>
      </c>
      <c r="F133">
        <v>177.36</v>
      </c>
      <c r="G133" s="2">
        <v>46114.25</v>
      </c>
      <c r="H133" t="s">
        <v>182</v>
      </c>
      <c r="I133">
        <v>45.85</v>
      </c>
      <c r="J133">
        <v>16.39</v>
      </c>
      <c r="K133">
        <v>0</v>
      </c>
      <c r="L133">
        <v>0.04</v>
      </c>
      <c r="M133">
        <v>116</v>
      </c>
      <c r="N133">
        <v>23.84</v>
      </c>
      <c r="O133">
        <v>202.12</v>
      </c>
    </row>
    <row r="134" spans="1:15" x14ac:dyDescent="0.25">
      <c r="A134" s="1">
        <v>46101</v>
      </c>
      <c r="B134" t="s">
        <v>181</v>
      </c>
      <c r="C134" t="s">
        <v>16</v>
      </c>
      <c r="D134" t="s">
        <v>17</v>
      </c>
      <c r="E134">
        <v>65</v>
      </c>
      <c r="F134">
        <v>206.05</v>
      </c>
      <c r="G134" s="2">
        <v>13393.25</v>
      </c>
      <c r="H134" t="s">
        <v>183</v>
      </c>
      <c r="I134">
        <v>0</v>
      </c>
      <c r="J134">
        <v>4.76</v>
      </c>
      <c r="K134">
        <v>0</v>
      </c>
      <c r="L134">
        <v>0.01</v>
      </c>
      <c r="M134">
        <v>29</v>
      </c>
      <c r="N134">
        <v>6.08</v>
      </c>
      <c r="O134">
        <v>39.85</v>
      </c>
    </row>
    <row r="135" spans="1:15" x14ac:dyDescent="0.25">
      <c r="A135" s="1">
        <v>46101</v>
      </c>
      <c r="B135" t="s">
        <v>181</v>
      </c>
      <c r="C135" t="s">
        <v>16</v>
      </c>
      <c r="D135" t="s">
        <v>17</v>
      </c>
      <c r="E135">
        <v>65</v>
      </c>
      <c r="F135">
        <v>213.35</v>
      </c>
      <c r="G135" s="2">
        <v>13867.75</v>
      </c>
      <c r="H135" t="s">
        <v>184</v>
      </c>
      <c r="I135">
        <v>0</v>
      </c>
      <c r="J135">
        <v>4.93</v>
      </c>
      <c r="K135">
        <v>0</v>
      </c>
      <c r="L135">
        <v>0.01</v>
      </c>
      <c r="M135">
        <v>29</v>
      </c>
      <c r="N135">
        <v>6.12</v>
      </c>
      <c r="O135">
        <v>40.06</v>
      </c>
    </row>
    <row r="136" spans="1:15" x14ac:dyDescent="0.25">
      <c r="A136" s="1">
        <v>46101</v>
      </c>
      <c r="B136" t="s">
        <v>181</v>
      </c>
      <c r="C136" t="s">
        <v>16</v>
      </c>
      <c r="D136" t="s">
        <v>17</v>
      </c>
      <c r="E136">
        <v>65</v>
      </c>
      <c r="F136">
        <v>209.45</v>
      </c>
      <c r="G136" s="2">
        <v>13614.25</v>
      </c>
      <c r="H136" t="s">
        <v>185</v>
      </c>
      <c r="I136">
        <v>0</v>
      </c>
      <c r="J136">
        <v>4.84</v>
      </c>
      <c r="K136">
        <v>0</v>
      </c>
      <c r="L136">
        <v>0.01</v>
      </c>
      <c r="M136">
        <v>29</v>
      </c>
      <c r="N136">
        <v>6.1</v>
      </c>
      <c r="O136">
        <v>39.950000000000003</v>
      </c>
    </row>
    <row r="137" spans="1:15" x14ac:dyDescent="0.25">
      <c r="A137" s="1">
        <v>46101</v>
      </c>
      <c r="B137" t="s">
        <v>181</v>
      </c>
      <c r="C137" t="s">
        <v>16</v>
      </c>
      <c r="D137" t="s">
        <v>17</v>
      </c>
      <c r="E137">
        <v>325</v>
      </c>
      <c r="F137">
        <v>238.83</v>
      </c>
      <c r="G137" s="2">
        <v>77623</v>
      </c>
      <c r="H137" t="s">
        <v>186</v>
      </c>
      <c r="I137">
        <v>0</v>
      </c>
      <c r="J137">
        <v>27.57</v>
      </c>
      <c r="K137">
        <v>5</v>
      </c>
      <c r="L137">
        <v>0.08</v>
      </c>
      <c r="M137">
        <v>145</v>
      </c>
      <c r="N137">
        <v>31.1</v>
      </c>
      <c r="O137">
        <v>208.75</v>
      </c>
    </row>
    <row r="138" spans="1:15" x14ac:dyDescent="0.25">
      <c r="A138" s="1">
        <v>46101</v>
      </c>
      <c r="B138" t="s">
        <v>181</v>
      </c>
      <c r="C138" t="s">
        <v>16</v>
      </c>
      <c r="D138" t="s">
        <v>20</v>
      </c>
      <c r="E138">
        <v>390</v>
      </c>
      <c r="F138">
        <v>269.89999999999998</v>
      </c>
      <c r="G138" s="2">
        <v>105261</v>
      </c>
      <c r="H138" t="s">
        <v>187</v>
      </c>
      <c r="I138">
        <v>105.26</v>
      </c>
      <c r="J138">
        <v>37.4</v>
      </c>
      <c r="K138">
        <v>0</v>
      </c>
      <c r="L138">
        <v>0.12</v>
      </c>
      <c r="M138">
        <v>174</v>
      </c>
      <c r="N138">
        <v>38.08</v>
      </c>
      <c r="O138">
        <v>354.86</v>
      </c>
    </row>
    <row r="139" spans="1:15" x14ac:dyDescent="0.25">
      <c r="A139" s="1">
        <v>46101</v>
      </c>
      <c r="B139" t="s">
        <v>181</v>
      </c>
      <c r="C139" t="s">
        <v>16</v>
      </c>
      <c r="D139" t="s">
        <v>17</v>
      </c>
      <c r="E139">
        <v>65</v>
      </c>
      <c r="F139">
        <v>251.55</v>
      </c>
      <c r="G139" s="2">
        <v>16350.75</v>
      </c>
      <c r="H139" t="s">
        <v>188</v>
      </c>
      <c r="I139">
        <v>0</v>
      </c>
      <c r="J139">
        <v>5.81</v>
      </c>
      <c r="K139">
        <v>0</v>
      </c>
      <c r="L139">
        <v>0.02</v>
      </c>
      <c r="M139">
        <v>29</v>
      </c>
      <c r="N139">
        <v>6.26</v>
      </c>
      <c r="O139">
        <v>41.09</v>
      </c>
    </row>
    <row r="140" spans="1:15" x14ac:dyDescent="0.25">
      <c r="A140" s="1">
        <v>46101</v>
      </c>
      <c r="B140" t="s">
        <v>181</v>
      </c>
      <c r="C140" t="s">
        <v>16</v>
      </c>
      <c r="D140" t="s">
        <v>17</v>
      </c>
      <c r="E140">
        <v>130</v>
      </c>
      <c r="F140">
        <v>216.2</v>
      </c>
      <c r="G140" s="2">
        <v>28106</v>
      </c>
      <c r="H140" t="s">
        <v>189</v>
      </c>
      <c r="I140">
        <v>0</v>
      </c>
      <c r="J140">
        <v>9.98</v>
      </c>
      <c r="K140">
        <v>0</v>
      </c>
      <c r="L140">
        <v>0.02</v>
      </c>
      <c r="M140">
        <v>58</v>
      </c>
      <c r="N140">
        <v>12.24</v>
      </c>
      <c r="O140">
        <v>80.239999999999995</v>
      </c>
    </row>
    <row r="141" spans="1:15" x14ac:dyDescent="0.25">
      <c r="A141" s="1">
        <v>46101</v>
      </c>
      <c r="B141" t="s">
        <v>181</v>
      </c>
      <c r="C141" t="s">
        <v>16</v>
      </c>
      <c r="D141" t="s">
        <v>20</v>
      </c>
      <c r="E141">
        <v>65</v>
      </c>
      <c r="F141">
        <v>259.89999999999998</v>
      </c>
      <c r="G141" s="2">
        <v>16893.5</v>
      </c>
      <c r="H141" t="s">
        <v>190</v>
      </c>
      <c r="I141">
        <v>16.89</v>
      </c>
      <c r="J141">
        <v>6</v>
      </c>
      <c r="K141">
        <v>0</v>
      </c>
      <c r="L141">
        <v>0.02</v>
      </c>
      <c r="M141">
        <v>29</v>
      </c>
      <c r="N141">
        <v>6.3</v>
      </c>
      <c r="O141">
        <v>58.21</v>
      </c>
    </row>
    <row r="142" spans="1:15" x14ac:dyDescent="0.25">
      <c r="A142" s="1">
        <v>46073</v>
      </c>
      <c r="B142" t="s">
        <v>155</v>
      </c>
      <c r="C142" t="s">
        <v>16</v>
      </c>
      <c r="D142" t="s">
        <v>17</v>
      </c>
      <c r="E142">
        <v>65</v>
      </c>
      <c r="F142">
        <v>55.8</v>
      </c>
      <c r="G142" s="2">
        <v>3627</v>
      </c>
      <c r="H142" t="s">
        <v>191</v>
      </c>
      <c r="I142">
        <v>0</v>
      </c>
      <c r="J142">
        <v>1.29</v>
      </c>
      <c r="K142">
        <v>0</v>
      </c>
      <c r="L142">
        <v>0</v>
      </c>
      <c r="M142">
        <v>29</v>
      </c>
      <c r="N142">
        <v>5.46</v>
      </c>
      <c r="O142">
        <v>35.75</v>
      </c>
    </row>
    <row r="143" spans="1:15" x14ac:dyDescent="0.25">
      <c r="A143" s="1">
        <v>46073</v>
      </c>
      <c r="B143" t="s">
        <v>155</v>
      </c>
      <c r="C143" t="s">
        <v>16</v>
      </c>
      <c r="D143" t="s">
        <v>17</v>
      </c>
      <c r="E143">
        <v>65</v>
      </c>
      <c r="F143">
        <v>60.55</v>
      </c>
      <c r="G143" s="2">
        <v>3935.75</v>
      </c>
      <c r="H143" t="s">
        <v>192</v>
      </c>
      <c r="I143">
        <v>0</v>
      </c>
      <c r="J143">
        <v>1.4</v>
      </c>
      <c r="K143">
        <v>0</v>
      </c>
      <c r="L143">
        <v>0</v>
      </c>
      <c r="M143">
        <v>29</v>
      </c>
      <c r="N143">
        <v>5.48</v>
      </c>
      <c r="O143">
        <v>35.880000000000003</v>
      </c>
    </row>
    <row r="144" spans="1:15" x14ac:dyDescent="0.25">
      <c r="A144" s="1">
        <v>46073</v>
      </c>
      <c r="B144" t="s">
        <v>193</v>
      </c>
      <c r="C144" t="s">
        <v>16</v>
      </c>
      <c r="D144" t="s">
        <v>17</v>
      </c>
      <c r="E144">
        <v>195</v>
      </c>
      <c r="F144">
        <v>176.45</v>
      </c>
      <c r="G144" s="2">
        <v>34407.75</v>
      </c>
      <c r="H144" t="s">
        <v>194</v>
      </c>
      <c r="I144">
        <v>0</v>
      </c>
      <c r="J144">
        <v>12.23</v>
      </c>
      <c r="K144">
        <v>1.61</v>
      </c>
      <c r="L144">
        <v>0.03</v>
      </c>
      <c r="M144">
        <v>87</v>
      </c>
      <c r="N144">
        <v>17.88</v>
      </c>
      <c r="O144">
        <v>118.75</v>
      </c>
    </row>
    <row r="145" spans="1:15" x14ac:dyDescent="0.25">
      <c r="A145" s="1">
        <v>46073</v>
      </c>
      <c r="B145" t="s">
        <v>155</v>
      </c>
      <c r="C145" t="s">
        <v>16</v>
      </c>
      <c r="D145" t="s">
        <v>17</v>
      </c>
      <c r="E145">
        <v>65</v>
      </c>
      <c r="F145">
        <v>50.4</v>
      </c>
      <c r="G145" s="2">
        <v>3276</v>
      </c>
      <c r="H145" t="s">
        <v>195</v>
      </c>
      <c r="I145">
        <v>0</v>
      </c>
      <c r="J145">
        <v>1.1599999999999999</v>
      </c>
      <c r="K145">
        <v>0</v>
      </c>
      <c r="L145">
        <v>0</v>
      </c>
      <c r="M145">
        <v>29</v>
      </c>
      <c r="N145">
        <v>5.42</v>
      </c>
      <c r="O145">
        <v>35.58</v>
      </c>
    </row>
    <row r="146" spans="1:15" x14ac:dyDescent="0.25">
      <c r="A146" s="1">
        <v>46073</v>
      </c>
      <c r="B146" t="s">
        <v>193</v>
      </c>
      <c r="C146" t="s">
        <v>16</v>
      </c>
      <c r="D146" t="s">
        <v>20</v>
      </c>
      <c r="E146">
        <v>195</v>
      </c>
      <c r="F146">
        <v>199.9</v>
      </c>
      <c r="G146" s="2">
        <v>38980.5</v>
      </c>
      <c r="H146" t="s">
        <v>196</v>
      </c>
      <c r="I146">
        <v>38.979999999999997</v>
      </c>
      <c r="J146">
        <v>13.85</v>
      </c>
      <c r="K146">
        <v>0</v>
      </c>
      <c r="L146">
        <v>0.04</v>
      </c>
      <c r="M146">
        <v>87</v>
      </c>
      <c r="N146">
        <v>18.16</v>
      </c>
      <c r="O146">
        <v>158.03</v>
      </c>
    </row>
    <row r="147" spans="1:15" x14ac:dyDescent="0.25">
      <c r="A147" s="1">
        <v>46073</v>
      </c>
      <c r="B147" t="s">
        <v>155</v>
      </c>
      <c r="C147" t="s">
        <v>16</v>
      </c>
      <c r="D147" t="s">
        <v>17</v>
      </c>
      <c r="E147">
        <v>65</v>
      </c>
      <c r="F147">
        <v>54.35</v>
      </c>
      <c r="G147" s="2">
        <v>3532.75</v>
      </c>
      <c r="H147" t="s">
        <v>197</v>
      </c>
      <c r="I147">
        <v>0</v>
      </c>
      <c r="J147">
        <v>1.26</v>
      </c>
      <c r="K147">
        <v>0</v>
      </c>
      <c r="L147">
        <v>0</v>
      </c>
      <c r="M147">
        <v>29</v>
      </c>
      <c r="N147">
        <v>5.44</v>
      </c>
      <c r="O147">
        <v>35.700000000000003</v>
      </c>
    </row>
    <row r="148" spans="1:15" x14ac:dyDescent="0.25">
      <c r="A148" s="1">
        <v>46073</v>
      </c>
      <c r="B148" t="s">
        <v>155</v>
      </c>
      <c r="C148" t="s">
        <v>16</v>
      </c>
      <c r="D148" t="s">
        <v>17</v>
      </c>
      <c r="E148">
        <v>195</v>
      </c>
      <c r="F148">
        <v>102.85</v>
      </c>
      <c r="G148" s="2">
        <v>20055.75</v>
      </c>
      <c r="H148" t="s">
        <v>198</v>
      </c>
      <c r="I148">
        <v>0</v>
      </c>
      <c r="J148">
        <v>7.14</v>
      </c>
      <c r="K148">
        <v>0</v>
      </c>
      <c r="L148">
        <v>0.03</v>
      </c>
      <c r="M148">
        <v>87</v>
      </c>
      <c r="N148">
        <v>16.920000000000002</v>
      </c>
      <c r="O148">
        <v>111.09</v>
      </c>
    </row>
    <row r="149" spans="1:15" x14ac:dyDescent="0.25">
      <c r="A149" s="1">
        <v>46073</v>
      </c>
      <c r="B149" t="s">
        <v>193</v>
      </c>
      <c r="C149" t="s">
        <v>16</v>
      </c>
      <c r="D149" t="s">
        <v>20</v>
      </c>
      <c r="E149">
        <v>65</v>
      </c>
      <c r="F149">
        <v>172</v>
      </c>
      <c r="G149" s="2">
        <v>11180</v>
      </c>
      <c r="H149" t="s">
        <v>199</v>
      </c>
      <c r="I149">
        <v>11.18</v>
      </c>
      <c r="J149">
        <v>3.97</v>
      </c>
      <c r="K149">
        <v>0</v>
      </c>
      <c r="L149">
        <v>0.01</v>
      </c>
      <c r="M149">
        <v>29</v>
      </c>
      <c r="N149">
        <v>5.94</v>
      </c>
      <c r="O149">
        <v>50.1</v>
      </c>
    </row>
    <row r="150" spans="1:15" x14ac:dyDescent="0.25">
      <c r="A150" s="1">
        <v>46073</v>
      </c>
      <c r="B150" t="s">
        <v>155</v>
      </c>
      <c r="C150" t="s">
        <v>16</v>
      </c>
      <c r="D150" t="s">
        <v>17</v>
      </c>
      <c r="E150">
        <v>65</v>
      </c>
      <c r="F150">
        <v>55.35</v>
      </c>
      <c r="G150" s="2">
        <v>3597.75</v>
      </c>
      <c r="H150" t="s">
        <v>200</v>
      </c>
      <c r="I150">
        <v>0</v>
      </c>
      <c r="J150">
        <v>1.28</v>
      </c>
      <c r="K150">
        <v>0</v>
      </c>
      <c r="L150">
        <v>0</v>
      </c>
      <c r="M150">
        <v>29</v>
      </c>
      <c r="N150">
        <v>5.46</v>
      </c>
      <c r="O150">
        <v>35.74</v>
      </c>
    </row>
    <row r="151" spans="1:15" x14ac:dyDescent="0.25">
      <c r="A151" s="1">
        <v>46073</v>
      </c>
      <c r="B151" t="s">
        <v>193</v>
      </c>
      <c r="C151" t="s">
        <v>16</v>
      </c>
      <c r="D151" t="s">
        <v>17</v>
      </c>
      <c r="E151">
        <v>130</v>
      </c>
      <c r="F151">
        <v>169.75</v>
      </c>
      <c r="G151" s="2">
        <v>22067.5</v>
      </c>
      <c r="H151" t="s">
        <v>201</v>
      </c>
      <c r="I151">
        <v>0</v>
      </c>
      <c r="J151">
        <v>7.84</v>
      </c>
      <c r="K151">
        <v>0</v>
      </c>
      <c r="L151">
        <v>0.02</v>
      </c>
      <c r="M151">
        <v>58</v>
      </c>
      <c r="N151">
        <v>11.84</v>
      </c>
      <c r="O151">
        <v>77.7</v>
      </c>
    </row>
    <row r="152" spans="1:15" x14ac:dyDescent="0.25">
      <c r="A152" s="1">
        <v>46073</v>
      </c>
      <c r="B152" t="s">
        <v>193</v>
      </c>
      <c r="C152" t="s">
        <v>16</v>
      </c>
      <c r="D152" t="s">
        <v>20</v>
      </c>
      <c r="E152">
        <v>130</v>
      </c>
      <c r="F152">
        <v>169.25</v>
      </c>
      <c r="G152" s="2">
        <v>22002.5</v>
      </c>
      <c r="H152" t="s">
        <v>202</v>
      </c>
      <c r="I152">
        <v>22</v>
      </c>
      <c r="J152">
        <v>7.82</v>
      </c>
      <c r="K152">
        <v>0</v>
      </c>
      <c r="L152">
        <v>0.02</v>
      </c>
      <c r="M152">
        <v>58</v>
      </c>
      <c r="N152">
        <v>11.86</v>
      </c>
      <c r="O152">
        <v>99.7</v>
      </c>
    </row>
    <row r="153" spans="1:15" x14ac:dyDescent="0.25">
      <c r="A153" s="1">
        <v>46073</v>
      </c>
      <c r="B153" t="s">
        <v>155</v>
      </c>
      <c r="C153" t="s">
        <v>16</v>
      </c>
      <c r="D153" t="s">
        <v>17</v>
      </c>
      <c r="E153">
        <v>130</v>
      </c>
      <c r="F153">
        <v>63</v>
      </c>
      <c r="G153" s="2">
        <v>8190</v>
      </c>
      <c r="H153" t="s">
        <v>203</v>
      </c>
      <c r="I153">
        <v>0</v>
      </c>
      <c r="J153">
        <v>2.91</v>
      </c>
      <c r="K153">
        <v>1.39</v>
      </c>
      <c r="L153">
        <v>0.01</v>
      </c>
      <c r="M153">
        <v>58</v>
      </c>
      <c r="N153">
        <v>10.96</v>
      </c>
      <c r="O153">
        <v>73.27</v>
      </c>
    </row>
    <row r="154" spans="1:15" x14ac:dyDescent="0.25">
      <c r="A154" s="1">
        <v>46073</v>
      </c>
      <c r="B154" t="s">
        <v>193</v>
      </c>
      <c r="C154" t="s">
        <v>16</v>
      </c>
      <c r="D154" t="s">
        <v>20</v>
      </c>
      <c r="E154">
        <v>130</v>
      </c>
      <c r="F154">
        <v>114.8</v>
      </c>
      <c r="G154" s="2">
        <v>14924</v>
      </c>
      <c r="H154" t="s">
        <v>204</v>
      </c>
      <c r="I154">
        <v>14.84</v>
      </c>
      <c r="J154">
        <v>5.3</v>
      </c>
      <c r="K154">
        <v>0</v>
      </c>
      <c r="L154">
        <v>0.01</v>
      </c>
      <c r="M154">
        <v>58</v>
      </c>
      <c r="N154">
        <v>11.4</v>
      </c>
      <c r="O154">
        <v>89.55</v>
      </c>
    </row>
    <row r="155" spans="1:15" x14ac:dyDescent="0.25">
      <c r="A155" s="1">
        <v>46073</v>
      </c>
      <c r="B155" t="s">
        <v>193</v>
      </c>
      <c r="C155" t="s">
        <v>16</v>
      </c>
      <c r="D155" t="s">
        <v>17</v>
      </c>
      <c r="E155">
        <v>65</v>
      </c>
      <c r="F155">
        <v>182.25</v>
      </c>
      <c r="G155" s="2">
        <v>11846.25</v>
      </c>
      <c r="H155" t="s">
        <v>205</v>
      </c>
      <c r="I155">
        <v>0</v>
      </c>
      <c r="J155">
        <v>4.21</v>
      </c>
      <c r="K155">
        <v>0</v>
      </c>
      <c r="L155">
        <v>0.01</v>
      </c>
      <c r="M155">
        <v>29</v>
      </c>
      <c r="N155">
        <v>5.98</v>
      </c>
      <c r="O155">
        <v>39.200000000000003</v>
      </c>
    </row>
    <row r="156" spans="1:15" x14ac:dyDescent="0.25">
      <c r="A156" s="1">
        <v>46100</v>
      </c>
      <c r="B156" t="s">
        <v>206</v>
      </c>
      <c r="C156" t="s">
        <v>16</v>
      </c>
      <c r="D156" t="s">
        <v>17</v>
      </c>
      <c r="E156">
        <v>65</v>
      </c>
      <c r="F156">
        <v>237.7</v>
      </c>
      <c r="G156" s="2">
        <v>15450.5</v>
      </c>
      <c r="H156" t="s">
        <v>207</v>
      </c>
      <c r="I156">
        <v>0</v>
      </c>
      <c r="J156">
        <v>5.49</v>
      </c>
      <c r="K156">
        <v>0</v>
      </c>
      <c r="L156">
        <v>0.02</v>
      </c>
      <c r="M156">
        <v>29</v>
      </c>
      <c r="N156">
        <v>6.22</v>
      </c>
      <c r="O156">
        <v>40.729999999999997</v>
      </c>
    </row>
    <row r="157" spans="1:15" x14ac:dyDescent="0.25">
      <c r="A157" s="1">
        <v>46100</v>
      </c>
      <c r="B157" t="s">
        <v>206</v>
      </c>
      <c r="C157" t="s">
        <v>16</v>
      </c>
      <c r="D157" t="s">
        <v>20</v>
      </c>
      <c r="E157">
        <v>390</v>
      </c>
      <c r="F157">
        <v>249.9</v>
      </c>
      <c r="G157" s="2">
        <v>97461</v>
      </c>
      <c r="H157" t="s">
        <v>208</v>
      </c>
      <c r="I157">
        <v>97.21</v>
      </c>
      <c r="J157">
        <v>34.619999999999997</v>
      </c>
      <c r="K157">
        <v>0</v>
      </c>
      <c r="L157">
        <v>0.11</v>
      </c>
      <c r="M157">
        <v>174</v>
      </c>
      <c r="N157">
        <v>37.56</v>
      </c>
      <c r="O157">
        <v>343.5</v>
      </c>
    </row>
    <row r="158" spans="1:15" x14ac:dyDescent="0.25">
      <c r="A158" s="1">
        <v>46100</v>
      </c>
      <c r="B158" t="s">
        <v>206</v>
      </c>
      <c r="C158" t="s">
        <v>16</v>
      </c>
      <c r="D158" t="s">
        <v>17</v>
      </c>
      <c r="E158">
        <v>390</v>
      </c>
      <c r="F158">
        <v>202.61</v>
      </c>
      <c r="G158" s="2">
        <v>79020.5</v>
      </c>
      <c r="H158" t="s">
        <v>209</v>
      </c>
      <c r="I158">
        <v>0</v>
      </c>
      <c r="J158">
        <v>28.08</v>
      </c>
      <c r="K158">
        <v>5</v>
      </c>
      <c r="L158">
        <v>7.0000000000000007E-2</v>
      </c>
      <c r="M158">
        <v>174</v>
      </c>
      <c r="N158">
        <v>36.36</v>
      </c>
      <c r="O158">
        <v>243.51</v>
      </c>
    </row>
    <row r="159" spans="1:15" x14ac:dyDescent="0.25">
      <c r="A159" s="1">
        <v>46100</v>
      </c>
      <c r="B159" t="s">
        <v>206</v>
      </c>
      <c r="C159" t="s">
        <v>16</v>
      </c>
      <c r="D159" t="s">
        <v>20</v>
      </c>
      <c r="E159">
        <v>325</v>
      </c>
      <c r="F159">
        <v>270.08</v>
      </c>
      <c r="G159" s="2">
        <v>87779.25</v>
      </c>
      <c r="H159" t="s">
        <v>210</v>
      </c>
      <c r="I159">
        <v>87.78</v>
      </c>
      <c r="J159">
        <v>31.2</v>
      </c>
      <c r="K159">
        <v>0</v>
      </c>
      <c r="L159">
        <v>0.1</v>
      </c>
      <c r="M159">
        <v>145</v>
      </c>
      <c r="N159">
        <v>31.72</v>
      </c>
      <c r="O159">
        <v>295.8</v>
      </c>
    </row>
    <row r="160" spans="1:15" x14ac:dyDescent="0.25">
      <c r="A160" s="1">
        <v>46100</v>
      </c>
      <c r="B160" t="s">
        <v>206</v>
      </c>
      <c r="C160" t="s">
        <v>16</v>
      </c>
      <c r="D160" t="s">
        <v>17</v>
      </c>
      <c r="E160">
        <v>130</v>
      </c>
      <c r="F160">
        <v>231.6</v>
      </c>
      <c r="G160" s="2">
        <v>30108</v>
      </c>
      <c r="H160" t="s">
        <v>211</v>
      </c>
      <c r="I160">
        <v>0</v>
      </c>
      <c r="J160">
        <v>10.7</v>
      </c>
      <c r="K160">
        <v>0</v>
      </c>
      <c r="L160">
        <v>0.04</v>
      </c>
      <c r="M160">
        <v>58</v>
      </c>
      <c r="N160">
        <v>12.36</v>
      </c>
      <c r="O160">
        <v>81.099999999999994</v>
      </c>
    </row>
    <row r="161" spans="1:15" x14ac:dyDescent="0.25">
      <c r="A161" s="1">
        <v>46100</v>
      </c>
      <c r="B161" t="s">
        <v>206</v>
      </c>
      <c r="C161" t="s">
        <v>16</v>
      </c>
      <c r="D161" t="s">
        <v>17</v>
      </c>
      <c r="E161">
        <v>130</v>
      </c>
      <c r="F161">
        <v>231.25</v>
      </c>
      <c r="G161" s="2">
        <v>30062.5</v>
      </c>
      <c r="H161" t="s">
        <v>212</v>
      </c>
      <c r="I161">
        <v>0</v>
      </c>
      <c r="J161">
        <v>10.68</v>
      </c>
      <c r="K161">
        <v>0</v>
      </c>
      <c r="L161">
        <v>0.03</v>
      </c>
      <c r="M161">
        <v>58</v>
      </c>
      <c r="N161">
        <v>12.36</v>
      </c>
      <c r="O161">
        <v>81.069999999999993</v>
      </c>
    </row>
    <row r="162" spans="1:15" x14ac:dyDescent="0.25">
      <c r="A162" s="1">
        <v>46041</v>
      </c>
      <c r="B162" t="s">
        <v>213</v>
      </c>
      <c r="C162" t="s">
        <v>16</v>
      </c>
      <c r="D162" t="s">
        <v>20</v>
      </c>
      <c r="E162">
        <v>65</v>
      </c>
      <c r="F162">
        <v>4.4000000000000004</v>
      </c>
      <c r="G162" s="2">
        <v>286</v>
      </c>
      <c r="H162" t="s">
        <v>214</v>
      </c>
      <c r="I162">
        <v>0</v>
      </c>
      <c r="J162">
        <v>0.1</v>
      </c>
      <c r="K162">
        <v>0</v>
      </c>
      <c r="L162">
        <v>0</v>
      </c>
      <c r="M162">
        <v>29</v>
      </c>
      <c r="N162">
        <v>5.24</v>
      </c>
      <c r="O162">
        <v>34.340000000000003</v>
      </c>
    </row>
    <row r="163" spans="1:15" x14ac:dyDescent="0.25">
      <c r="A163" s="1">
        <v>46072</v>
      </c>
      <c r="B163" t="s">
        <v>215</v>
      </c>
      <c r="C163" t="s">
        <v>16</v>
      </c>
      <c r="D163" t="s">
        <v>17</v>
      </c>
      <c r="E163">
        <v>130</v>
      </c>
      <c r="F163">
        <v>115.45</v>
      </c>
      <c r="G163" s="2">
        <v>15008.5</v>
      </c>
      <c r="H163" t="s">
        <v>216</v>
      </c>
      <c r="I163">
        <v>0</v>
      </c>
      <c r="J163">
        <v>5.33</v>
      </c>
      <c r="K163">
        <v>1.2</v>
      </c>
      <c r="L163">
        <v>0.02</v>
      </c>
      <c r="M163">
        <v>58</v>
      </c>
      <c r="N163">
        <v>11.4</v>
      </c>
      <c r="O163">
        <v>75.95</v>
      </c>
    </row>
    <row r="164" spans="1:15" x14ac:dyDescent="0.25">
      <c r="A164" s="1">
        <v>46072</v>
      </c>
      <c r="B164" t="s">
        <v>215</v>
      </c>
      <c r="C164" t="s">
        <v>16</v>
      </c>
      <c r="D164" t="s">
        <v>20</v>
      </c>
      <c r="E164">
        <v>65</v>
      </c>
      <c r="F164">
        <v>115.9</v>
      </c>
      <c r="G164" s="2">
        <v>7533.5</v>
      </c>
      <c r="H164" t="s">
        <v>217</v>
      </c>
      <c r="I164">
        <v>7.26</v>
      </c>
      <c r="J164">
        <v>2.68</v>
      </c>
      <c r="K164">
        <v>0</v>
      </c>
      <c r="L164">
        <v>0.01</v>
      </c>
      <c r="M164">
        <v>29</v>
      </c>
      <c r="N164">
        <v>5.7</v>
      </c>
      <c r="O164">
        <v>44.65</v>
      </c>
    </row>
    <row r="165" spans="1:15" x14ac:dyDescent="0.25">
      <c r="A165" s="1">
        <v>46072</v>
      </c>
      <c r="B165" t="s">
        <v>215</v>
      </c>
      <c r="C165" t="s">
        <v>16</v>
      </c>
      <c r="D165" t="s">
        <v>20</v>
      </c>
      <c r="E165">
        <v>65</v>
      </c>
      <c r="F165">
        <v>113.9</v>
      </c>
      <c r="G165" s="2">
        <v>7403.5</v>
      </c>
      <c r="H165" t="s">
        <v>218</v>
      </c>
      <c r="I165">
        <v>7.4</v>
      </c>
      <c r="J165">
        <v>2.63</v>
      </c>
      <c r="K165">
        <v>0</v>
      </c>
      <c r="L165">
        <v>0.01</v>
      </c>
      <c r="M165">
        <v>29</v>
      </c>
      <c r="N165">
        <v>5.7</v>
      </c>
      <c r="O165">
        <v>44.74</v>
      </c>
    </row>
    <row r="166" spans="1:15" x14ac:dyDescent="0.25">
      <c r="A166" s="1">
        <v>46072</v>
      </c>
      <c r="B166" t="s">
        <v>215</v>
      </c>
      <c r="C166" t="s">
        <v>16</v>
      </c>
      <c r="D166" t="s">
        <v>20</v>
      </c>
      <c r="E166">
        <v>65</v>
      </c>
      <c r="F166">
        <v>107.75</v>
      </c>
      <c r="G166" s="2">
        <v>7003.75</v>
      </c>
      <c r="H166" t="s">
        <v>219</v>
      </c>
      <c r="I166">
        <v>7</v>
      </c>
      <c r="J166">
        <v>2.4900000000000002</v>
      </c>
      <c r="K166">
        <v>0</v>
      </c>
      <c r="L166">
        <v>0.01</v>
      </c>
      <c r="M166">
        <v>29</v>
      </c>
      <c r="N166">
        <v>5.66</v>
      </c>
      <c r="O166">
        <v>44.16</v>
      </c>
    </row>
    <row r="167" spans="1:15" x14ac:dyDescent="0.25">
      <c r="A167" s="1">
        <v>46072</v>
      </c>
      <c r="B167" t="s">
        <v>215</v>
      </c>
      <c r="C167" t="s">
        <v>16</v>
      </c>
      <c r="D167" t="s">
        <v>17</v>
      </c>
      <c r="E167">
        <v>130</v>
      </c>
      <c r="F167">
        <v>97.7</v>
      </c>
      <c r="G167" s="2">
        <v>12701</v>
      </c>
      <c r="H167" t="s">
        <v>220</v>
      </c>
      <c r="I167">
        <v>0</v>
      </c>
      <c r="J167">
        <v>4.5199999999999996</v>
      </c>
      <c r="K167">
        <v>0</v>
      </c>
      <c r="L167">
        <v>0.02</v>
      </c>
      <c r="M167">
        <v>58</v>
      </c>
      <c r="N167">
        <v>11.24</v>
      </c>
      <c r="O167">
        <v>73.78</v>
      </c>
    </row>
    <row r="168" spans="1:15" x14ac:dyDescent="0.25">
      <c r="A168" s="1">
        <v>46072</v>
      </c>
      <c r="B168" t="s">
        <v>215</v>
      </c>
      <c r="C168" t="s">
        <v>16</v>
      </c>
      <c r="D168" t="s">
        <v>20</v>
      </c>
      <c r="E168">
        <v>130</v>
      </c>
      <c r="F168">
        <v>99.9</v>
      </c>
      <c r="G168" s="2">
        <v>12987</v>
      </c>
      <c r="H168" t="s">
        <v>221</v>
      </c>
      <c r="I168">
        <v>12.98</v>
      </c>
      <c r="J168">
        <v>4.62</v>
      </c>
      <c r="K168">
        <v>0</v>
      </c>
      <c r="L168">
        <v>0.02</v>
      </c>
      <c r="M168">
        <v>58</v>
      </c>
      <c r="N168">
        <v>11.28</v>
      </c>
      <c r="O168">
        <v>86.9</v>
      </c>
    </row>
    <row r="169" spans="1:15" x14ac:dyDescent="0.25">
      <c r="A169" s="1">
        <v>46072</v>
      </c>
      <c r="B169" t="s">
        <v>157</v>
      </c>
      <c r="C169" t="s">
        <v>16</v>
      </c>
      <c r="D169" t="s">
        <v>17</v>
      </c>
      <c r="E169">
        <v>65</v>
      </c>
      <c r="F169">
        <v>162.25</v>
      </c>
      <c r="G169" s="2">
        <v>10546.25</v>
      </c>
      <c r="H169" t="s">
        <v>222</v>
      </c>
      <c r="I169">
        <v>0</v>
      </c>
      <c r="J169">
        <v>3.75</v>
      </c>
      <c r="K169">
        <v>0.32</v>
      </c>
      <c r="L169">
        <v>0.01</v>
      </c>
      <c r="M169">
        <v>29</v>
      </c>
      <c r="N169">
        <v>5.9</v>
      </c>
      <c r="O169">
        <v>38.979999999999997</v>
      </c>
    </row>
    <row r="170" spans="1:15" x14ac:dyDescent="0.25">
      <c r="A170" s="1">
        <v>46072</v>
      </c>
      <c r="B170" t="s">
        <v>157</v>
      </c>
      <c r="C170" t="s">
        <v>16</v>
      </c>
      <c r="D170" t="s">
        <v>20</v>
      </c>
      <c r="E170">
        <v>65</v>
      </c>
      <c r="F170">
        <v>189.9</v>
      </c>
      <c r="G170" s="2">
        <v>12343.5</v>
      </c>
      <c r="H170" t="s">
        <v>223</v>
      </c>
      <c r="I170">
        <v>12.34</v>
      </c>
      <c r="J170">
        <v>4.3899999999999997</v>
      </c>
      <c r="K170">
        <v>0</v>
      </c>
      <c r="L170">
        <v>0.01</v>
      </c>
      <c r="M170">
        <v>29</v>
      </c>
      <c r="N170">
        <v>6.02</v>
      </c>
      <c r="O170">
        <v>51.76</v>
      </c>
    </row>
    <row r="171" spans="1:15" x14ac:dyDescent="0.25">
      <c r="A171" s="1">
        <v>46072</v>
      </c>
      <c r="B171" t="s">
        <v>215</v>
      </c>
      <c r="C171" t="s">
        <v>16</v>
      </c>
      <c r="D171" t="s">
        <v>17</v>
      </c>
      <c r="E171">
        <v>65</v>
      </c>
      <c r="F171">
        <v>118.8</v>
      </c>
      <c r="G171" s="2">
        <v>7722</v>
      </c>
      <c r="H171" t="s">
        <v>224</v>
      </c>
      <c r="I171">
        <v>0</v>
      </c>
      <c r="J171">
        <v>2.74</v>
      </c>
      <c r="K171">
        <v>0</v>
      </c>
      <c r="L171">
        <v>0.01</v>
      </c>
      <c r="M171">
        <v>29</v>
      </c>
      <c r="N171">
        <v>5.72</v>
      </c>
      <c r="O171">
        <v>37.47</v>
      </c>
    </row>
    <row r="172" spans="1:15" x14ac:dyDescent="0.25">
      <c r="A172" s="1">
        <v>46072</v>
      </c>
      <c r="B172" t="s">
        <v>193</v>
      </c>
      <c r="C172" t="s">
        <v>16</v>
      </c>
      <c r="D172" t="s">
        <v>17</v>
      </c>
      <c r="E172">
        <v>130</v>
      </c>
      <c r="F172">
        <v>122.3</v>
      </c>
      <c r="G172" s="2">
        <v>15899</v>
      </c>
      <c r="H172" t="s">
        <v>225</v>
      </c>
      <c r="I172">
        <v>0</v>
      </c>
      <c r="J172">
        <v>5.64</v>
      </c>
      <c r="K172">
        <v>0.48</v>
      </c>
      <c r="L172">
        <v>0.02</v>
      </c>
      <c r="M172">
        <v>58</v>
      </c>
      <c r="N172">
        <v>11.44</v>
      </c>
      <c r="O172">
        <v>75.58</v>
      </c>
    </row>
    <row r="173" spans="1:15" x14ac:dyDescent="0.25">
      <c r="A173" s="1">
        <v>45979</v>
      </c>
      <c r="B173" t="s">
        <v>226</v>
      </c>
      <c r="C173" t="s">
        <v>16</v>
      </c>
      <c r="D173" t="s">
        <v>20</v>
      </c>
      <c r="E173">
        <v>300</v>
      </c>
      <c r="F173">
        <v>28.85</v>
      </c>
      <c r="G173" s="2">
        <v>8655</v>
      </c>
      <c r="H173" t="s">
        <v>227</v>
      </c>
      <c r="I173">
        <v>8.66</v>
      </c>
      <c r="J173">
        <v>3.08</v>
      </c>
      <c r="K173">
        <v>0</v>
      </c>
      <c r="L173">
        <v>0</v>
      </c>
      <c r="M173">
        <v>116</v>
      </c>
      <c r="N173">
        <v>21.44</v>
      </c>
      <c r="O173">
        <v>149.18</v>
      </c>
    </row>
    <row r="174" spans="1:15" x14ac:dyDescent="0.25">
      <c r="A174" s="1">
        <v>45979</v>
      </c>
      <c r="B174" t="s">
        <v>226</v>
      </c>
      <c r="C174" t="s">
        <v>16</v>
      </c>
      <c r="D174" t="s">
        <v>20</v>
      </c>
      <c r="E174">
        <v>75</v>
      </c>
      <c r="F174">
        <v>45.25</v>
      </c>
      <c r="G174" s="2">
        <v>3393.75</v>
      </c>
      <c r="H174" t="s">
        <v>228</v>
      </c>
      <c r="I174">
        <v>3.39</v>
      </c>
      <c r="J174">
        <v>1.21</v>
      </c>
      <c r="K174">
        <v>0</v>
      </c>
      <c r="L174">
        <v>0</v>
      </c>
      <c r="M174">
        <v>29</v>
      </c>
      <c r="N174">
        <v>5.44</v>
      </c>
      <c r="O174">
        <v>39.04</v>
      </c>
    </row>
    <row r="175" spans="1:15" x14ac:dyDescent="0.25">
      <c r="A175" s="1">
        <v>45979</v>
      </c>
      <c r="B175" t="s">
        <v>226</v>
      </c>
      <c r="C175" t="s">
        <v>16</v>
      </c>
      <c r="D175" t="s">
        <v>17</v>
      </c>
      <c r="E175">
        <v>75</v>
      </c>
      <c r="F175">
        <v>76.650000000000006</v>
      </c>
      <c r="G175" s="2">
        <v>5748.75</v>
      </c>
      <c r="H175" t="s">
        <v>229</v>
      </c>
      <c r="I175">
        <v>0</v>
      </c>
      <c r="J175">
        <v>2.04</v>
      </c>
      <c r="K175">
        <v>0</v>
      </c>
      <c r="L175">
        <v>0.01</v>
      </c>
      <c r="M175">
        <v>29</v>
      </c>
      <c r="N175">
        <v>5.58</v>
      </c>
      <c r="O175">
        <v>36.630000000000003</v>
      </c>
    </row>
    <row r="176" spans="1:15" x14ac:dyDescent="0.25">
      <c r="A176" s="1">
        <v>45979</v>
      </c>
      <c r="B176" t="s">
        <v>226</v>
      </c>
      <c r="C176" t="s">
        <v>16</v>
      </c>
      <c r="D176" t="s">
        <v>17</v>
      </c>
      <c r="E176">
        <v>300</v>
      </c>
      <c r="F176">
        <v>79.7</v>
      </c>
      <c r="G176" s="2">
        <v>23910</v>
      </c>
      <c r="H176" t="s">
        <v>230</v>
      </c>
      <c r="I176">
        <v>0</v>
      </c>
      <c r="J176">
        <v>8.49</v>
      </c>
      <c r="K176">
        <v>0</v>
      </c>
      <c r="L176">
        <v>0.03</v>
      </c>
      <c r="M176">
        <v>116</v>
      </c>
      <c r="N176">
        <v>22.4</v>
      </c>
      <c r="O176">
        <v>146.91999999999999</v>
      </c>
    </row>
    <row r="177" spans="1:15" x14ac:dyDescent="0.25">
      <c r="A177" s="1">
        <v>45979</v>
      </c>
      <c r="B177" t="s">
        <v>226</v>
      </c>
      <c r="C177" t="s">
        <v>16</v>
      </c>
      <c r="D177" t="s">
        <v>20</v>
      </c>
      <c r="E177">
        <v>375</v>
      </c>
      <c r="F177">
        <v>59.9</v>
      </c>
      <c r="G177" s="2">
        <v>22462.5</v>
      </c>
      <c r="H177" t="s">
        <v>231</v>
      </c>
      <c r="I177">
        <v>22.46</v>
      </c>
      <c r="J177">
        <v>7.99</v>
      </c>
      <c r="K177">
        <v>0</v>
      </c>
      <c r="L177">
        <v>0.01</v>
      </c>
      <c r="M177">
        <v>145</v>
      </c>
      <c r="N177">
        <v>27.52</v>
      </c>
      <c r="O177">
        <v>202.98</v>
      </c>
    </row>
    <row r="178" spans="1:15" x14ac:dyDescent="0.25">
      <c r="A178" s="1">
        <v>45979</v>
      </c>
      <c r="B178" t="s">
        <v>226</v>
      </c>
      <c r="C178" t="s">
        <v>16</v>
      </c>
      <c r="D178" t="s">
        <v>17</v>
      </c>
      <c r="E178">
        <v>375</v>
      </c>
      <c r="F178">
        <v>52.25</v>
      </c>
      <c r="G178" s="2">
        <v>19593.75</v>
      </c>
      <c r="H178" t="s">
        <v>232</v>
      </c>
      <c r="I178">
        <v>0</v>
      </c>
      <c r="J178">
        <v>6.96</v>
      </c>
      <c r="K178">
        <v>1.0900000000000001</v>
      </c>
      <c r="L178">
        <v>0.01</v>
      </c>
      <c r="M178">
        <v>145</v>
      </c>
      <c r="N178">
        <v>27.38</v>
      </c>
      <c r="O178">
        <v>180.44</v>
      </c>
    </row>
    <row r="179" spans="1:15" x14ac:dyDescent="0.25">
      <c r="A179" s="1">
        <v>45979</v>
      </c>
      <c r="B179" t="s">
        <v>233</v>
      </c>
      <c r="C179" t="s">
        <v>16</v>
      </c>
      <c r="D179" t="s">
        <v>20</v>
      </c>
      <c r="E179">
        <v>750</v>
      </c>
      <c r="F179">
        <v>30.1</v>
      </c>
      <c r="G179" s="2">
        <v>22575</v>
      </c>
      <c r="H179" t="s">
        <v>234</v>
      </c>
      <c r="I179">
        <v>22.49</v>
      </c>
      <c r="J179">
        <v>8.02</v>
      </c>
      <c r="K179">
        <v>0</v>
      </c>
      <c r="L179">
        <v>0.02</v>
      </c>
      <c r="M179">
        <v>290</v>
      </c>
      <c r="N179">
        <v>53.64</v>
      </c>
      <c r="O179">
        <v>374.17</v>
      </c>
    </row>
    <row r="180" spans="1:15" x14ac:dyDescent="0.25">
      <c r="A180" s="1">
        <v>45979</v>
      </c>
      <c r="B180" t="s">
        <v>233</v>
      </c>
      <c r="C180" t="s">
        <v>16</v>
      </c>
      <c r="D180" t="s">
        <v>17</v>
      </c>
      <c r="E180">
        <v>75</v>
      </c>
      <c r="F180">
        <v>37.9</v>
      </c>
      <c r="G180" s="2">
        <v>2842.5</v>
      </c>
      <c r="H180" t="s">
        <v>235</v>
      </c>
      <c r="I180">
        <v>0</v>
      </c>
      <c r="J180">
        <v>1.01</v>
      </c>
      <c r="K180">
        <v>0</v>
      </c>
      <c r="L180">
        <v>0</v>
      </c>
      <c r="M180">
        <v>29</v>
      </c>
      <c r="N180">
        <v>5.4</v>
      </c>
      <c r="O180">
        <v>35.409999999999997</v>
      </c>
    </row>
    <row r="181" spans="1:15" x14ac:dyDescent="0.25">
      <c r="A181" s="1">
        <v>45979</v>
      </c>
      <c r="B181" t="s">
        <v>233</v>
      </c>
      <c r="C181" t="s">
        <v>16</v>
      </c>
      <c r="D181" t="s">
        <v>17</v>
      </c>
      <c r="E181">
        <v>225</v>
      </c>
      <c r="F181">
        <v>39.6</v>
      </c>
      <c r="G181" s="2">
        <v>8910</v>
      </c>
      <c r="H181" t="s">
        <v>236</v>
      </c>
      <c r="I181">
        <v>0</v>
      </c>
      <c r="J181">
        <v>3.17</v>
      </c>
      <c r="K181">
        <v>0</v>
      </c>
      <c r="L181">
        <v>0.01</v>
      </c>
      <c r="M181">
        <v>87</v>
      </c>
      <c r="N181">
        <v>16.239999999999998</v>
      </c>
      <c r="O181">
        <v>106.42</v>
      </c>
    </row>
    <row r="182" spans="1:15" x14ac:dyDescent="0.25">
      <c r="A182" s="1">
        <v>45979</v>
      </c>
      <c r="B182" t="s">
        <v>233</v>
      </c>
      <c r="C182" t="s">
        <v>16</v>
      </c>
      <c r="D182" t="s">
        <v>17</v>
      </c>
      <c r="E182">
        <v>450</v>
      </c>
      <c r="F182">
        <v>40.97</v>
      </c>
      <c r="G182" s="2">
        <v>18438.75</v>
      </c>
      <c r="H182" t="s">
        <v>237</v>
      </c>
      <c r="I182">
        <v>0</v>
      </c>
      <c r="J182">
        <v>6.55</v>
      </c>
      <c r="K182">
        <v>0.91</v>
      </c>
      <c r="L182">
        <v>0.02</v>
      </c>
      <c r="M182">
        <v>174</v>
      </c>
      <c r="N182">
        <v>32.520000000000003</v>
      </c>
      <c r="O182">
        <v>214</v>
      </c>
    </row>
    <row r="183" spans="1:15" x14ac:dyDescent="0.25">
      <c r="A183" s="1">
        <v>46099</v>
      </c>
      <c r="B183" t="s">
        <v>238</v>
      </c>
      <c r="C183" t="s">
        <v>16</v>
      </c>
      <c r="D183" t="s">
        <v>17</v>
      </c>
      <c r="E183">
        <v>65</v>
      </c>
      <c r="F183">
        <v>185.25</v>
      </c>
      <c r="G183" s="2">
        <v>12041.25</v>
      </c>
      <c r="H183" t="s">
        <v>239</v>
      </c>
      <c r="I183">
        <v>0</v>
      </c>
      <c r="J183">
        <v>4.28</v>
      </c>
      <c r="K183">
        <v>0</v>
      </c>
      <c r="L183">
        <v>0.01</v>
      </c>
      <c r="M183">
        <v>29</v>
      </c>
      <c r="N183">
        <v>6</v>
      </c>
      <c r="O183">
        <v>39.29</v>
      </c>
    </row>
    <row r="184" spans="1:15" x14ac:dyDescent="0.25">
      <c r="A184" s="1">
        <v>46099</v>
      </c>
      <c r="B184" t="s">
        <v>238</v>
      </c>
      <c r="C184" t="s">
        <v>16</v>
      </c>
      <c r="D184" t="s">
        <v>20</v>
      </c>
      <c r="E184">
        <v>325</v>
      </c>
      <c r="F184">
        <v>129.28</v>
      </c>
      <c r="G184" s="2">
        <v>42012.75</v>
      </c>
      <c r="H184" t="s">
        <v>240</v>
      </c>
      <c r="I184">
        <v>42</v>
      </c>
      <c r="J184">
        <v>14.93</v>
      </c>
      <c r="K184">
        <v>0</v>
      </c>
      <c r="L184">
        <v>0.05</v>
      </c>
      <c r="M184">
        <v>145</v>
      </c>
      <c r="N184">
        <v>28.8</v>
      </c>
      <c r="O184">
        <v>230.78</v>
      </c>
    </row>
    <row r="185" spans="1:15" x14ac:dyDescent="0.25">
      <c r="A185" s="1">
        <v>46099</v>
      </c>
      <c r="B185" t="s">
        <v>238</v>
      </c>
      <c r="C185" t="s">
        <v>16</v>
      </c>
      <c r="D185" t="s">
        <v>17</v>
      </c>
      <c r="E185">
        <v>65</v>
      </c>
      <c r="F185">
        <v>185</v>
      </c>
      <c r="G185" s="2">
        <v>12025</v>
      </c>
      <c r="H185" t="s">
        <v>241</v>
      </c>
      <c r="I185">
        <v>0</v>
      </c>
      <c r="J185">
        <v>4.2699999999999996</v>
      </c>
      <c r="K185">
        <v>0</v>
      </c>
      <c r="L185">
        <v>0.01</v>
      </c>
      <c r="M185">
        <v>29</v>
      </c>
      <c r="N185">
        <v>6</v>
      </c>
      <c r="O185">
        <v>39.28</v>
      </c>
    </row>
    <row r="186" spans="1:15" x14ac:dyDescent="0.25">
      <c r="A186" s="1">
        <v>46099</v>
      </c>
      <c r="B186" t="s">
        <v>238</v>
      </c>
      <c r="C186" t="s">
        <v>16</v>
      </c>
      <c r="D186" t="s">
        <v>17</v>
      </c>
      <c r="E186">
        <v>65</v>
      </c>
      <c r="F186">
        <v>182.7</v>
      </c>
      <c r="G186" s="2">
        <v>11875.5</v>
      </c>
      <c r="H186" t="s">
        <v>242</v>
      </c>
      <c r="I186">
        <v>0</v>
      </c>
      <c r="J186">
        <v>4.22</v>
      </c>
      <c r="K186">
        <v>0</v>
      </c>
      <c r="L186">
        <v>0.01</v>
      </c>
      <c r="M186">
        <v>29</v>
      </c>
      <c r="N186">
        <v>5.98</v>
      </c>
      <c r="O186">
        <v>39.21</v>
      </c>
    </row>
    <row r="187" spans="1:15" x14ac:dyDescent="0.25">
      <c r="A187" s="1">
        <v>46099</v>
      </c>
      <c r="B187" t="s">
        <v>238</v>
      </c>
      <c r="C187" t="s">
        <v>16</v>
      </c>
      <c r="D187" t="s">
        <v>17</v>
      </c>
      <c r="E187">
        <v>65</v>
      </c>
      <c r="F187">
        <v>181.3</v>
      </c>
      <c r="G187" s="2">
        <v>11784.5</v>
      </c>
      <c r="H187" t="s">
        <v>243</v>
      </c>
      <c r="I187">
        <v>0</v>
      </c>
      <c r="J187">
        <v>4.1900000000000004</v>
      </c>
      <c r="K187">
        <v>2</v>
      </c>
      <c r="L187">
        <v>0.01</v>
      </c>
      <c r="M187">
        <v>29</v>
      </c>
      <c r="N187">
        <v>5.98</v>
      </c>
      <c r="O187">
        <v>41.18</v>
      </c>
    </row>
    <row r="188" spans="1:15" x14ac:dyDescent="0.25">
      <c r="A188" s="1">
        <v>46099</v>
      </c>
      <c r="B188" t="s">
        <v>238</v>
      </c>
      <c r="C188" t="s">
        <v>16</v>
      </c>
      <c r="D188" t="s">
        <v>17</v>
      </c>
      <c r="E188">
        <v>65</v>
      </c>
      <c r="F188">
        <v>185.2</v>
      </c>
      <c r="G188" s="2">
        <v>12038</v>
      </c>
      <c r="H188" t="s">
        <v>244</v>
      </c>
      <c r="I188">
        <v>0</v>
      </c>
      <c r="J188">
        <v>4.28</v>
      </c>
      <c r="K188">
        <v>0</v>
      </c>
      <c r="L188">
        <v>0.01</v>
      </c>
      <c r="M188">
        <v>29</v>
      </c>
      <c r="N188">
        <v>6</v>
      </c>
      <c r="O188">
        <v>39.29</v>
      </c>
    </row>
    <row r="189" spans="1:15" x14ac:dyDescent="0.25">
      <c r="A189" s="1">
        <v>46071</v>
      </c>
      <c r="B189" t="s">
        <v>245</v>
      </c>
      <c r="C189" t="s">
        <v>16</v>
      </c>
      <c r="D189" t="s">
        <v>17</v>
      </c>
      <c r="E189">
        <v>65</v>
      </c>
      <c r="F189">
        <v>116.25</v>
      </c>
      <c r="G189" s="2">
        <v>7556.25</v>
      </c>
      <c r="H189" t="s">
        <v>246</v>
      </c>
      <c r="I189">
        <v>0</v>
      </c>
      <c r="J189">
        <v>2.68</v>
      </c>
      <c r="K189">
        <v>0</v>
      </c>
      <c r="L189">
        <v>0.01</v>
      </c>
      <c r="M189">
        <v>29</v>
      </c>
      <c r="N189">
        <v>5.7</v>
      </c>
      <c r="O189">
        <v>37.39</v>
      </c>
    </row>
    <row r="190" spans="1:15" x14ac:dyDescent="0.25">
      <c r="A190" s="1">
        <v>46071</v>
      </c>
      <c r="B190" t="s">
        <v>247</v>
      </c>
      <c r="C190" t="s">
        <v>16</v>
      </c>
      <c r="D190" t="s">
        <v>17</v>
      </c>
      <c r="E190">
        <v>65</v>
      </c>
      <c r="F190">
        <v>110.4</v>
      </c>
      <c r="G190" s="2">
        <v>7176</v>
      </c>
      <c r="H190" t="s">
        <v>248</v>
      </c>
      <c r="I190">
        <v>0</v>
      </c>
      <c r="J190">
        <v>2.5499999999999998</v>
      </c>
      <c r="K190">
        <v>0</v>
      </c>
      <c r="L190">
        <v>0.01</v>
      </c>
      <c r="M190">
        <v>29</v>
      </c>
      <c r="N190">
        <v>5.68</v>
      </c>
      <c r="O190">
        <v>37.24</v>
      </c>
    </row>
    <row r="191" spans="1:15" x14ac:dyDescent="0.25">
      <c r="A191" s="1">
        <v>46071</v>
      </c>
      <c r="B191" t="s">
        <v>245</v>
      </c>
      <c r="C191" t="s">
        <v>16</v>
      </c>
      <c r="D191" t="s">
        <v>20</v>
      </c>
      <c r="E191">
        <v>65</v>
      </c>
      <c r="F191">
        <v>132</v>
      </c>
      <c r="G191" s="2">
        <v>8580</v>
      </c>
      <c r="H191" t="s">
        <v>249</v>
      </c>
      <c r="I191">
        <v>8.58</v>
      </c>
      <c r="J191">
        <v>3.05</v>
      </c>
      <c r="K191">
        <v>0</v>
      </c>
      <c r="L191">
        <v>0.01</v>
      </c>
      <c r="M191">
        <v>29</v>
      </c>
      <c r="N191">
        <v>5.78</v>
      </c>
      <c r="O191">
        <v>46.42</v>
      </c>
    </row>
    <row r="192" spans="1:15" x14ac:dyDescent="0.25">
      <c r="A192" s="1">
        <v>46071</v>
      </c>
      <c r="B192" t="s">
        <v>247</v>
      </c>
      <c r="C192" t="s">
        <v>16</v>
      </c>
      <c r="D192" t="s">
        <v>17</v>
      </c>
      <c r="E192">
        <v>65</v>
      </c>
      <c r="F192">
        <v>109.5</v>
      </c>
      <c r="G192" s="2">
        <v>7117.5</v>
      </c>
      <c r="H192" t="s">
        <v>250</v>
      </c>
      <c r="I192">
        <v>0</v>
      </c>
      <c r="J192">
        <v>2.5299999999999998</v>
      </c>
      <c r="K192">
        <v>0.43</v>
      </c>
      <c r="L192">
        <v>0.01</v>
      </c>
      <c r="M192">
        <v>29</v>
      </c>
      <c r="N192">
        <v>5.68</v>
      </c>
      <c r="O192">
        <v>37.65</v>
      </c>
    </row>
    <row r="193" spans="1:15" x14ac:dyDescent="0.25">
      <c r="A193" s="1">
        <v>46071</v>
      </c>
      <c r="B193" t="s">
        <v>247</v>
      </c>
      <c r="C193" t="s">
        <v>16</v>
      </c>
      <c r="D193" t="s">
        <v>20</v>
      </c>
      <c r="E193">
        <v>130</v>
      </c>
      <c r="F193">
        <v>114.9</v>
      </c>
      <c r="G193" s="2">
        <v>14937</v>
      </c>
      <c r="H193" t="s">
        <v>251</v>
      </c>
      <c r="I193">
        <v>14.94</v>
      </c>
      <c r="J193">
        <v>5.31</v>
      </c>
      <c r="K193">
        <v>0</v>
      </c>
      <c r="L193">
        <v>0.01</v>
      </c>
      <c r="M193">
        <v>58</v>
      </c>
      <c r="N193">
        <v>11.4</v>
      </c>
      <c r="O193">
        <v>89.66</v>
      </c>
    </row>
    <row r="194" spans="1:15" x14ac:dyDescent="0.25">
      <c r="A194" s="1">
        <v>46071</v>
      </c>
      <c r="B194" t="s">
        <v>245</v>
      </c>
      <c r="C194" t="s">
        <v>16</v>
      </c>
      <c r="D194" t="s">
        <v>17</v>
      </c>
      <c r="E194">
        <v>130</v>
      </c>
      <c r="F194">
        <v>103.8</v>
      </c>
      <c r="G194" s="2">
        <v>13494</v>
      </c>
      <c r="H194" t="s">
        <v>252</v>
      </c>
      <c r="I194">
        <v>0</v>
      </c>
      <c r="J194">
        <v>4.79</v>
      </c>
      <c r="K194">
        <v>1.57</v>
      </c>
      <c r="L194">
        <v>0.01</v>
      </c>
      <c r="M194">
        <v>58</v>
      </c>
      <c r="N194">
        <v>11.3</v>
      </c>
      <c r="O194">
        <v>75.67</v>
      </c>
    </row>
    <row r="195" spans="1:15" x14ac:dyDescent="0.25">
      <c r="A195" s="1">
        <v>46071</v>
      </c>
      <c r="B195" t="s">
        <v>245</v>
      </c>
      <c r="C195" t="s">
        <v>16</v>
      </c>
      <c r="D195" t="s">
        <v>20</v>
      </c>
      <c r="E195">
        <v>130</v>
      </c>
      <c r="F195">
        <v>106.05</v>
      </c>
      <c r="G195" s="2">
        <v>13786.5</v>
      </c>
      <c r="H195" t="s">
        <v>253</v>
      </c>
      <c r="I195">
        <v>13.79</v>
      </c>
      <c r="J195">
        <v>4.9000000000000004</v>
      </c>
      <c r="K195">
        <v>0</v>
      </c>
      <c r="L195">
        <v>0.01</v>
      </c>
      <c r="M195">
        <v>58</v>
      </c>
      <c r="N195">
        <v>11.32</v>
      </c>
      <c r="O195">
        <v>88.02</v>
      </c>
    </row>
    <row r="196" spans="1:15" x14ac:dyDescent="0.25">
      <c r="A196" s="1">
        <v>46071</v>
      </c>
      <c r="B196" t="s">
        <v>245</v>
      </c>
      <c r="C196" t="s">
        <v>16</v>
      </c>
      <c r="D196" t="s">
        <v>17</v>
      </c>
      <c r="E196">
        <v>65</v>
      </c>
      <c r="F196">
        <v>125.35</v>
      </c>
      <c r="G196" s="2">
        <v>8147.75</v>
      </c>
      <c r="H196" t="s">
        <v>254</v>
      </c>
      <c r="I196">
        <v>0</v>
      </c>
      <c r="J196">
        <v>2.89</v>
      </c>
      <c r="K196">
        <v>0</v>
      </c>
      <c r="L196">
        <v>0.01</v>
      </c>
      <c r="M196">
        <v>29</v>
      </c>
      <c r="N196">
        <v>5.74</v>
      </c>
      <c r="O196">
        <v>37.64</v>
      </c>
    </row>
    <row r="197" spans="1:15" x14ac:dyDescent="0.25">
      <c r="A197" s="1">
        <v>46071</v>
      </c>
      <c r="B197" t="s">
        <v>245</v>
      </c>
      <c r="C197" t="s">
        <v>16</v>
      </c>
      <c r="D197" t="s">
        <v>20</v>
      </c>
      <c r="E197">
        <v>65</v>
      </c>
      <c r="F197">
        <v>139.9</v>
      </c>
      <c r="G197" s="2">
        <v>9093.5</v>
      </c>
      <c r="H197" t="s">
        <v>255</v>
      </c>
      <c r="I197">
        <v>9.09</v>
      </c>
      <c r="J197">
        <v>3.23</v>
      </c>
      <c r="K197">
        <v>0</v>
      </c>
      <c r="L197">
        <v>0.01</v>
      </c>
      <c r="M197">
        <v>29</v>
      </c>
      <c r="N197">
        <v>5.8</v>
      </c>
      <c r="O197">
        <v>47.13</v>
      </c>
    </row>
    <row r="198" spans="1:15" x14ac:dyDescent="0.25">
      <c r="A198" s="1">
        <v>46071</v>
      </c>
      <c r="B198" t="s">
        <v>245</v>
      </c>
      <c r="C198" t="s">
        <v>16</v>
      </c>
      <c r="D198" t="s">
        <v>20</v>
      </c>
      <c r="E198">
        <v>65</v>
      </c>
      <c r="F198">
        <v>127.9</v>
      </c>
      <c r="G198" s="2">
        <v>8313.5</v>
      </c>
      <c r="H198" t="s">
        <v>256</v>
      </c>
      <c r="I198">
        <v>8.6</v>
      </c>
      <c r="J198">
        <v>2.95</v>
      </c>
      <c r="K198">
        <v>0</v>
      </c>
      <c r="L198">
        <v>0.01</v>
      </c>
      <c r="M198">
        <v>29</v>
      </c>
      <c r="N198">
        <v>5.76</v>
      </c>
      <c r="O198">
        <v>46.32</v>
      </c>
    </row>
    <row r="199" spans="1:15" x14ac:dyDescent="0.25">
      <c r="A199" s="1">
        <v>46071</v>
      </c>
      <c r="B199" t="s">
        <v>245</v>
      </c>
      <c r="C199" t="s">
        <v>16</v>
      </c>
      <c r="D199" t="s">
        <v>17</v>
      </c>
      <c r="E199">
        <v>65</v>
      </c>
      <c r="F199">
        <v>118.95</v>
      </c>
      <c r="G199" s="2">
        <v>7731.75</v>
      </c>
      <c r="H199" t="s">
        <v>257</v>
      </c>
      <c r="I199">
        <v>0</v>
      </c>
      <c r="J199">
        <v>2.75</v>
      </c>
      <c r="K199">
        <v>0</v>
      </c>
      <c r="L199">
        <v>0.01</v>
      </c>
      <c r="M199">
        <v>29</v>
      </c>
      <c r="N199">
        <v>5.72</v>
      </c>
      <c r="O199">
        <v>37.479999999999997</v>
      </c>
    </row>
    <row r="200" spans="1:15" x14ac:dyDescent="0.25">
      <c r="A200" s="1">
        <v>45978</v>
      </c>
      <c r="B200" t="s">
        <v>226</v>
      </c>
      <c r="C200" t="s">
        <v>16</v>
      </c>
      <c r="D200" t="s">
        <v>20</v>
      </c>
      <c r="E200">
        <v>75</v>
      </c>
      <c r="F200">
        <v>97.25</v>
      </c>
      <c r="G200" s="2">
        <v>7293.75</v>
      </c>
      <c r="H200" t="s">
        <v>258</v>
      </c>
      <c r="I200">
        <v>7</v>
      </c>
      <c r="J200">
        <v>2.59</v>
      </c>
      <c r="K200">
        <v>0</v>
      </c>
      <c r="L200">
        <v>0.01</v>
      </c>
      <c r="M200">
        <v>29</v>
      </c>
      <c r="N200">
        <v>5.68</v>
      </c>
      <c r="O200">
        <v>44.28</v>
      </c>
    </row>
    <row r="201" spans="1:15" x14ac:dyDescent="0.25">
      <c r="A201" s="1">
        <v>45978</v>
      </c>
      <c r="B201" t="s">
        <v>226</v>
      </c>
      <c r="C201" t="s">
        <v>16</v>
      </c>
      <c r="D201" t="s">
        <v>17</v>
      </c>
      <c r="E201">
        <v>75</v>
      </c>
      <c r="F201">
        <v>87.1</v>
      </c>
      <c r="G201" s="2">
        <v>6532.5</v>
      </c>
      <c r="H201" t="s">
        <v>259</v>
      </c>
      <c r="I201">
        <v>0</v>
      </c>
      <c r="J201">
        <v>2.3199999999999998</v>
      </c>
      <c r="K201">
        <v>0</v>
      </c>
      <c r="L201">
        <v>0.01</v>
      </c>
      <c r="M201">
        <v>29</v>
      </c>
      <c r="N201">
        <v>5.64</v>
      </c>
      <c r="O201">
        <v>36.97</v>
      </c>
    </row>
    <row r="202" spans="1:15" x14ac:dyDescent="0.25">
      <c r="A202" s="1">
        <v>46098</v>
      </c>
      <c r="B202" t="s">
        <v>260</v>
      </c>
      <c r="C202" t="s">
        <v>16</v>
      </c>
      <c r="D202" t="s">
        <v>20</v>
      </c>
      <c r="E202">
        <v>1300</v>
      </c>
      <c r="F202">
        <v>1.4</v>
      </c>
      <c r="G202" s="2">
        <v>1820</v>
      </c>
      <c r="H202" t="s">
        <v>261</v>
      </c>
      <c r="I202">
        <v>1.82</v>
      </c>
      <c r="J202">
        <v>0.64</v>
      </c>
      <c r="K202">
        <v>0</v>
      </c>
      <c r="L202">
        <v>0</v>
      </c>
      <c r="M202">
        <v>580</v>
      </c>
      <c r="N202">
        <v>104.54</v>
      </c>
      <c r="O202">
        <v>687</v>
      </c>
    </row>
    <row r="203" spans="1:15" x14ac:dyDescent="0.25">
      <c r="A203" s="1">
        <v>46098</v>
      </c>
      <c r="B203" t="s">
        <v>260</v>
      </c>
      <c r="C203" t="s">
        <v>16</v>
      </c>
      <c r="D203" t="s">
        <v>20</v>
      </c>
      <c r="E203">
        <v>1300</v>
      </c>
      <c r="F203">
        <v>1.4</v>
      </c>
      <c r="G203" s="2">
        <v>1820</v>
      </c>
      <c r="H203" t="s">
        <v>262</v>
      </c>
      <c r="I203">
        <v>1.82</v>
      </c>
      <c r="J203">
        <v>0.65</v>
      </c>
      <c r="K203">
        <v>0</v>
      </c>
      <c r="L203">
        <v>0</v>
      </c>
      <c r="M203">
        <v>580</v>
      </c>
      <c r="N203">
        <v>104.52</v>
      </c>
      <c r="O203">
        <v>686.99</v>
      </c>
    </row>
    <row r="204" spans="1:15" x14ac:dyDescent="0.25">
      <c r="A204" s="1">
        <v>46098</v>
      </c>
      <c r="B204" t="s">
        <v>260</v>
      </c>
      <c r="C204" t="s">
        <v>16</v>
      </c>
      <c r="D204" t="s">
        <v>17</v>
      </c>
      <c r="E204">
        <v>650</v>
      </c>
      <c r="F204">
        <v>4.8</v>
      </c>
      <c r="G204" s="2">
        <v>3120</v>
      </c>
      <c r="H204" t="s">
        <v>263</v>
      </c>
      <c r="I204">
        <v>0</v>
      </c>
      <c r="J204">
        <v>1.1100000000000001</v>
      </c>
      <c r="K204">
        <v>0</v>
      </c>
      <c r="L204">
        <v>0</v>
      </c>
      <c r="M204">
        <v>290</v>
      </c>
      <c r="N204">
        <v>52.4</v>
      </c>
      <c r="O204">
        <v>343.51</v>
      </c>
    </row>
    <row r="205" spans="1:15" x14ac:dyDescent="0.25">
      <c r="A205" s="1">
        <v>46098</v>
      </c>
      <c r="B205" t="s">
        <v>260</v>
      </c>
      <c r="C205" t="s">
        <v>16</v>
      </c>
      <c r="D205" t="s">
        <v>17</v>
      </c>
      <c r="E205">
        <v>650</v>
      </c>
      <c r="F205">
        <v>4.25</v>
      </c>
      <c r="G205" s="2">
        <v>2762.5</v>
      </c>
      <c r="H205" t="s">
        <v>264</v>
      </c>
      <c r="I205">
        <v>0</v>
      </c>
      <c r="J205">
        <v>0.98</v>
      </c>
      <c r="K205">
        <v>0</v>
      </c>
      <c r="L205">
        <v>0</v>
      </c>
      <c r="M205">
        <v>290</v>
      </c>
      <c r="N205">
        <v>52.38</v>
      </c>
      <c r="O205">
        <v>343.36</v>
      </c>
    </row>
    <row r="206" spans="1:15" x14ac:dyDescent="0.25">
      <c r="A206" s="1">
        <v>46098</v>
      </c>
      <c r="B206" t="s">
        <v>260</v>
      </c>
      <c r="C206" t="s">
        <v>16</v>
      </c>
      <c r="D206" t="s">
        <v>17</v>
      </c>
      <c r="E206">
        <v>650</v>
      </c>
      <c r="F206">
        <v>4.3</v>
      </c>
      <c r="G206" s="2">
        <v>2795</v>
      </c>
      <c r="H206" t="s">
        <v>265</v>
      </c>
      <c r="I206">
        <v>0</v>
      </c>
      <c r="J206">
        <v>1</v>
      </c>
      <c r="K206">
        <v>0</v>
      </c>
      <c r="L206">
        <v>0</v>
      </c>
      <c r="M206">
        <v>290</v>
      </c>
      <c r="N206">
        <v>52.38</v>
      </c>
      <c r="O206">
        <v>343.38</v>
      </c>
    </row>
    <row r="207" spans="1:15" x14ac:dyDescent="0.25">
      <c r="A207" s="1">
        <v>46098</v>
      </c>
      <c r="B207" t="s">
        <v>260</v>
      </c>
      <c r="C207" t="s">
        <v>16</v>
      </c>
      <c r="D207" t="s">
        <v>17</v>
      </c>
      <c r="E207">
        <v>650</v>
      </c>
      <c r="F207">
        <v>4.3</v>
      </c>
      <c r="G207" s="2">
        <v>2795</v>
      </c>
      <c r="H207" t="s">
        <v>266</v>
      </c>
      <c r="I207">
        <v>0</v>
      </c>
      <c r="J207">
        <v>0.99</v>
      </c>
      <c r="K207">
        <v>0</v>
      </c>
      <c r="L207">
        <v>0</v>
      </c>
      <c r="M207">
        <v>290</v>
      </c>
      <c r="N207">
        <v>52.38</v>
      </c>
      <c r="O207">
        <v>343.37</v>
      </c>
    </row>
    <row r="208" spans="1:15" x14ac:dyDescent="0.25">
      <c r="A208" s="1">
        <v>46098</v>
      </c>
      <c r="B208" t="s">
        <v>260</v>
      </c>
      <c r="C208" t="s">
        <v>16</v>
      </c>
      <c r="D208" t="s">
        <v>17</v>
      </c>
      <c r="E208">
        <v>650</v>
      </c>
      <c r="F208">
        <v>4.3499999999999996</v>
      </c>
      <c r="G208" s="2">
        <v>2827.5</v>
      </c>
      <c r="H208" t="s">
        <v>267</v>
      </c>
      <c r="I208">
        <v>0</v>
      </c>
      <c r="J208">
        <v>1</v>
      </c>
      <c r="K208">
        <v>1</v>
      </c>
      <c r="L208">
        <v>0</v>
      </c>
      <c r="M208">
        <v>290</v>
      </c>
      <c r="N208">
        <v>52.38</v>
      </c>
      <c r="O208">
        <v>344.38</v>
      </c>
    </row>
    <row r="209" spans="1:15" x14ac:dyDescent="0.25">
      <c r="A209" s="1">
        <v>46098</v>
      </c>
      <c r="B209" t="s">
        <v>260</v>
      </c>
      <c r="C209" t="s">
        <v>16</v>
      </c>
      <c r="D209" t="s">
        <v>17</v>
      </c>
      <c r="E209">
        <v>650</v>
      </c>
      <c r="F209">
        <v>4.8</v>
      </c>
      <c r="G209" s="2">
        <v>3120</v>
      </c>
      <c r="H209" t="s">
        <v>268</v>
      </c>
      <c r="I209">
        <v>0</v>
      </c>
      <c r="J209">
        <v>1.1100000000000001</v>
      </c>
      <c r="K209">
        <v>0</v>
      </c>
      <c r="L209">
        <v>0</v>
      </c>
      <c r="M209">
        <v>290</v>
      </c>
      <c r="N209">
        <v>52.4</v>
      </c>
      <c r="O209">
        <v>343.51</v>
      </c>
    </row>
    <row r="210" spans="1:15" x14ac:dyDescent="0.25">
      <c r="A210" s="1">
        <v>46098</v>
      </c>
      <c r="B210" t="s">
        <v>260</v>
      </c>
      <c r="C210" t="s">
        <v>16</v>
      </c>
      <c r="D210" t="s">
        <v>17</v>
      </c>
      <c r="E210">
        <v>650</v>
      </c>
      <c r="F210">
        <v>4.6500000000000004</v>
      </c>
      <c r="G210" s="2">
        <v>3022.5</v>
      </c>
      <c r="H210" t="s">
        <v>269</v>
      </c>
      <c r="I210">
        <v>0</v>
      </c>
      <c r="J210">
        <v>1.08</v>
      </c>
      <c r="K210">
        <v>0</v>
      </c>
      <c r="L210">
        <v>0</v>
      </c>
      <c r="M210">
        <v>290</v>
      </c>
      <c r="N210">
        <v>52.4</v>
      </c>
      <c r="O210">
        <v>343.48</v>
      </c>
    </row>
    <row r="211" spans="1:15" x14ac:dyDescent="0.25">
      <c r="A211" s="1">
        <v>46098</v>
      </c>
      <c r="B211" t="s">
        <v>260</v>
      </c>
      <c r="C211" t="s">
        <v>16</v>
      </c>
      <c r="D211" t="s">
        <v>17</v>
      </c>
      <c r="E211">
        <v>650</v>
      </c>
      <c r="F211">
        <v>4.8</v>
      </c>
      <c r="G211" s="2">
        <v>3120</v>
      </c>
      <c r="H211" t="s">
        <v>270</v>
      </c>
      <c r="I211">
        <v>0</v>
      </c>
      <c r="J211">
        <v>1.1100000000000001</v>
      </c>
      <c r="K211">
        <v>0</v>
      </c>
      <c r="L211">
        <v>0</v>
      </c>
      <c r="M211">
        <v>290</v>
      </c>
      <c r="N211">
        <v>52.4</v>
      </c>
      <c r="O211">
        <v>343.51</v>
      </c>
    </row>
    <row r="212" spans="1:15" x14ac:dyDescent="0.25">
      <c r="A212" s="1">
        <v>46098</v>
      </c>
      <c r="B212" t="s">
        <v>260</v>
      </c>
      <c r="C212" t="s">
        <v>16</v>
      </c>
      <c r="D212" t="s">
        <v>20</v>
      </c>
      <c r="E212">
        <v>1300</v>
      </c>
      <c r="F212">
        <v>1.2</v>
      </c>
      <c r="G212" s="2">
        <v>1560</v>
      </c>
      <c r="H212" t="s">
        <v>271</v>
      </c>
      <c r="I212">
        <v>1.56</v>
      </c>
      <c r="J212">
        <v>0.55000000000000004</v>
      </c>
      <c r="K212">
        <v>0</v>
      </c>
      <c r="L212">
        <v>0</v>
      </c>
      <c r="M212">
        <v>580</v>
      </c>
      <c r="N212">
        <v>104.5</v>
      </c>
      <c r="O212">
        <v>686.61</v>
      </c>
    </row>
    <row r="213" spans="1:15" x14ac:dyDescent="0.25">
      <c r="A213" s="1">
        <v>46098</v>
      </c>
      <c r="B213" t="s">
        <v>260</v>
      </c>
      <c r="C213" t="s">
        <v>16</v>
      </c>
      <c r="D213" t="s">
        <v>20</v>
      </c>
      <c r="E213">
        <v>1300</v>
      </c>
      <c r="F213">
        <v>1.4</v>
      </c>
      <c r="G213" s="2">
        <v>1820</v>
      </c>
      <c r="H213" t="s">
        <v>272</v>
      </c>
      <c r="I213">
        <v>1.8</v>
      </c>
      <c r="J213">
        <v>0.65</v>
      </c>
      <c r="K213">
        <v>0</v>
      </c>
      <c r="L213">
        <v>0</v>
      </c>
      <c r="M213">
        <v>580</v>
      </c>
      <c r="N213">
        <v>104.52</v>
      </c>
      <c r="O213">
        <v>686.97</v>
      </c>
    </row>
    <row r="214" spans="1:15" x14ac:dyDescent="0.25">
      <c r="A214" s="1">
        <v>46070</v>
      </c>
      <c r="B214" t="s">
        <v>273</v>
      </c>
      <c r="C214" t="s">
        <v>16</v>
      </c>
      <c r="D214" t="s">
        <v>17</v>
      </c>
      <c r="E214">
        <v>130</v>
      </c>
      <c r="F214">
        <v>37.5</v>
      </c>
      <c r="G214" s="2">
        <v>4875</v>
      </c>
      <c r="H214" t="s">
        <v>274</v>
      </c>
      <c r="I214">
        <v>0</v>
      </c>
      <c r="J214">
        <v>1.73</v>
      </c>
      <c r="K214">
        <v>0.15</v>
      </c>
      <c r="L214">
        <v>0</v>
      </c>
      <c r="M214">
        <v>58</v>
      </c>
      <c r="N214">
        <v>10.76</v>
      </c>
      <c r="O214">
        <v>70.64</v>
      </c>
    </row>
    <row r="215" spans="1:15" x14ac:dyDescent="0.25">
      <c r="A215" s="1">
        <v>46070</v>
      </c>
      <c r="B215" t="s">
        <v>273</v>
      </c>
      <c r="C215" t="s">
        <v>16</v>
      </c>
      <c r="D215" t="s">
        <v>20</v>
      </c>
      <c r="E215">
        <v>130</v>
      </c>
      <c r="F215">
        <v>13.05</v>
      </c>
      <c r="G215" s="2">
        <v>1696.5</v>
      </c>
      <c r="H215" t="s">
        <v>275</v>
      </c>
      <c r="I215">
        <v>1.7</v>
      </c>
      <c r="J215">
        <v>0.6</v>
      </c>
      <c r="K215">
        <v>0</v>
      </c>
      <c r="L215">
        <v>0</v>
      </c>
      <c r="M215">
        <v>58</v>
      </c>
      <c r="N215">
        <v>10.54</v>
      </c>
      <c r="O215">
        <v>70.84</v>
      </c>
    </row>
    <row r="216" spans="1:15" x14ac:dyDescent="0.25">
      <c r="A216" s="1">
        <v>46070</v>
      </c>
      <c r="B216" t="s">
        <v>276</v>
      </c>
      <c r="C216" t="s">
        <v>16</v>
      </c>
      <c r="D216" t="s">
        <v>17</v>
      </c>
      <c r="E216">
        <v>65</v>
      </c>
      <c r="F216">
        <v>65.8</v>
      </c>
      <c r="G216" s="2">
        <v>4277</v>
      </c>
      <c r="H216" t="s">
        <v>277</v>
      </c>
      <c r="I216">
        <v>0</v>
      </c>
      <c r="J216">
        <v>1.52</v>
      </c>
      <c r="K216">
        <v>0.85</v>
      </c>
      <c r="L216">
        <v>0</v>
      </c>
      <c r="M216">
        <v>29</v>
      </c>
      <c r="N216">
        <v>5.5</v>
      </c>
      <c r="O216">
        <v>36.869999999999997</v>
      </c>
    </row>
    <row r="217" spans="1:15" x14ac:dyDescent="0.25">
      <c r="A217" s="1">
        <v>46070</v>
      </c>
      <c r="B217" t="s">
        <v>276</v>
      </c>
      <c r="C217" t="s">
        <v>16</v>
      </c>
      <c r="D217" t="s">
        <v>20</v>
      </c>
      <c r="E217">
        <v>65</v>
      </c>
      <c r="F217">
        <v>76.45</v>
      </c>
      <c r="G217" s="2">
        <v>4969.25</v>
      </c>
      <c r="H217" t="s">
        <v>278</v>
      </c>
      <c r="I217">
        <v>4.6900000000000004</v>
      </c>
      <c r="J217">
        <v>1.77</v>
      </c>
      <c r="K217">
        <v>0</v>
      </c>
      <c r="L217">
        <v>0.01</v>
      </c>
      <c r="M217">
        <v>29</v>
      </c>
      <c r="N217">
        <v>5.54</v>
      </c>
      <c r="O217">
        <v>41.01</v>
      </c>
    </row>
    <row r="218" spans="1:15" x14ac:dyDescent="0.25">
      <c r="A218" s="1">
        <v>46070</v>
      </c>
      <c r="B218" t="s">
        <v>276</v>
      </c>
      <c r="C218" t="s">
        <v>16</v>
      </c>
      <c r="D218" t="s">
        <v>17</v>
      </c>
      <c r="E218">
        <v>65</v>
      </c>
      <c r="F218">
        <v>116.9</v>
      </c>
      <c r="G218" s="2">
        <v>7598.5</v>
      </c>
      <c r="H218" t="s">
        <v>279</v>
      </c>
      <c r="I218">
        <v>0</v>
      </c>
      <c r="J218">
        <v>2.7</v>
      </c>
      <c r="K218">
        <v>0</v>
      </c>
      <c r="L218">
        <v>0.01</v>
      </c>
      <c r="M218">
        <v>29</v>
      </c>
      <c r="N218">
        <v>5.7</v>
      </c>
      <c r="O218">
        <v>37.409999999999997</v>
      </c>
    </row>
    <row r="219" spans="1:15" x14ac:dyDescent="0.25">
      <c r="A219" s="1">
        <v>46070</v>
      </c>
      <c r="B219" t="s">
        <v>276</v>
      </c>
      <c r="C219" t="s">
        <v>16</v>
      </c>
      <c r="D219" t="s">
        <v>20</v>
      </c>
      <c r="E219">
        <v>65</v>
      </c>
      <c r="F219">
        <v>147.9</v>
      </c>
      <c r="G219" s="2">
        <v>9613.5</v>
      </c>
      <c r="H219" t="s">
        <v>280</v>
      </c>
      <c r="I219">
        <v>9.61</v>
      </c>
      <c r="J219">
        <v>3.42</v>
      </c>
      <c r="K219">
        <v>0</v>
      </c>
      <c r="L219">
        <v>0.01</v>
      </c>
      <c r="M219">
        <v>29</v>
      </c>
      <c r="N219">
        <v>5.84</v>
      </c>
      <c r="O219">
        <v>47.88</v>
      </c>
    </row>
    <row r="220" spans="1:15" x14ac:dyDescent="0.25">
      <c r="A220" s="1">
        <v>46097</v>
      </c>
      <c r="B220" t="s">
        <v>281</v>
      </c>
      <c r="C220" t="s">
        <v>16</v>
      </c>
      <c r="D220" t="s">
        <v>20</v>
      </c>
      <c r="E220">
        <v>1040</v>
      </c>
      <c r="F220">
        <v>31.65</v>
      </c>
      <c r="G220" s="2">
        <v>32916</v>
      </c>
      <c r="H220" t="s">
        <v>282</v>
      </c>
      <c r="I220">
        <v>33</v>
      </c>
      <c r="J220">
        <v>11.7</v>
      </c>
      <c r="K220">
        <v>0</v>
      </c>
      <c r="L220">
        <v>0.03</v>
      </c>
      <c r="M220">
        <v>464</v>
      </c>
      <c r="N220">
        <v>85.64</v>
      </c>
      <c r="O220">
        <v>594.37</v>
      </c>
    </row>
    <row r="221" spans="1:15" x14ac:dyDescent="0.25">
      <c r="A221" s="1">
        <v>46069</v>
      </c>
      <c r="B221" t="s">
        <v>283</v>
      </c>
      <c r="C221" t="s">
        <v>16</v>
      </c>
      <c r="D221" t="s">
        <v>20</v>
      </c>
      <c r="E221">
        <v>2100</v>
      </c>
      <c r="F221">
        <v>3.9</v>
      </c>
      <c r="G221" s="2">
        <v>8190</v>
      </c>
      <c r="H221" t="s">
        <v>284</v>
      </c>
      <c r="I221">
        <v>8</v>
      </c>
      <c r="J221">
        <v>2.91</v>
      </c>
      <c r="K221">
        <v>0</v>
      </c>
      <c r="L221">
        <v>0</v>
      </c>
      <c r="M221">
        <v>87</v>
      </c>
      <c r="N221">
        <v>16.2</v>
      </c>
      <c r="O221">
        <v>114.11</v>
      </c>
    </row>
    <row r="222" spans="1:15" x14ac:dyDescent="0.25">
      <c r="A222" s="1">
        <v>45792</v>
      </c>
      <c r="B222" t="s">
        <v>285</v>
      </c>
      <c r="C222" t="s">
        <v>16</v>
      </c>
      <c r="D222" t="s">
        <v>17</v>
      </c>
      <c r="E222">
        <v>75</v>
      </c>
      <c r="F222">
        <v>73</v>
      </c>
      <c r="G222" s="2">
        <v>5475</v>
      </c>
      <c r="H222" t="s">
        <v>286</v>
      </c>
      <c r="I222">
        <v>0</v>
      </c>
      <c r="J222">
        <v>1.95</v>
      </c>
      <c r="K222">
        <v>0</v>
      </c>
      <c r="L222">
        <v>0.01</v>
      </c>
      <c r="M222">
        <v>29</v>
      </c>
      <c r="N222">
        <v>5.58</v>
      </c>
      <c r="O222">
        <v>36.54</v>
      </c>
    </row>
    <row r="223" spans="1:15" x14ac:dyDescent="0.25">
      <c r="A223" s="1">
        <v>45792</v>
      </c>
      <c r="B223" t="s">
        <v>285</v>
      </c>
      <c r="C223" t="s">
        <v>16</v>
      </c>
      <c r="D223" t="s">
        <v>17</v>
      </c>
      <c r="E223">
        <v>750</v>
      </c>
      <c r="F223">
        <v>21.25</v>
      </c>
      <c r="G223" s="2">
        <v>15937.5</v>
      </c>
      <c r="H223" t="s">
        <v>287</v>
      </c>
      <c r="I223">
        <v>0</v>
      </c>
      <c r="J223">
        <v>5.67</v>
      </c>
      <c r="K223">
        <v>1.74</v>
      </c>
      <c r="L223">
        <v>0.02</v>
      </c>
      <c r="M223">
        <v>290</v>
      </c>
      <c r="N223">
        <v>53.24</v>
      </c>
      <c r="O223">
        <v>350.67</v>
      </c>
    </row>
    <row r="224" spans="1:15" x14ac:dyDescent="0.25">
      <c r="A224" s="1">
        <v>45792</v>
      </c>
      <c r="B224" t="s">
        <v>285</v>
      </c>
      <c r="C224" t="s">
        <v>16</v>
      </c>
      <c r="D224" t="s">
        <v>20</v>
      </c>
      <c r="E224">
        <v>300</v>
      </c>
      <c r="F224">
        <v>18.850000000000001</v>
      </c>
      <c r="G224" s="2">
        <v>5655</v>
      </c>
      <c r="H224" t="s">
        <v>288</v>
      </c>
      <c r="I224">
        <v>5.65</v>
      </c>
      <c r="J224">
        <v>2</v>
      </c>
      <c r="K224">
        <v>0</v>
      </c>
      <c r="L224">
        <v>0</v>
      </c>
      <c r="M224">
        <v>116</v>
      </c>
      <c r="N224">
        <v>21.26</v>
      </c>
      <c r="O224">
        <v>144.91</v>
      </c>
    </row>
    <row r="225" spans="1:15" x14ac:dyDescent="0.25">
      <c r="A225" s="1">
        <v>45792</v>
      </c>
      <c r="B225" t="s">
        <v>289</v>
      </c>
      <c r="C225" t="s">
        <v>16</v>
      </c>
      <c r="D225" t="s">
        <v>17</v>
      </c>
      <c r="E225">
        <v>75</v>
      </c>
      <c r="F225">
        <v>114.9</v>
      </c>
      <c r="G225" s="2">
        <v>8617.5</v>
      </c>
      <c r="H225" t="s">
        <v>290</v>
      </c>
      <c r="I225">
        <v>0</v>
      </c>
      <c r="J225">
        <v>3.06</v>
      </c>
      <c r="K225">
        <v>0.26</v>
      </c>
      <c r="L225">
        <v>0.01</v>
      </c>
      <c r="M225">
        <v>29</v>
      </c>
      <c r="N225">
        <v>5.78</v>
      </c>
      <c r="O225">
        <v>38.11</v>
      </c>
    </row>
    <row r="226" spans="1:15" x14ac:dyDescent="0.25">
      <c r="A226" s="1">
        <v>45792</v>
      </c>
      <c r="B226" t="s">
        <v>289</v>
      </c>
      <c r="C226" t="s">
        <v>16</v>
      </c>
      <c r="D226" t="s">
        <v>20</v>
      </c>
      <c r="E226">
        <v>75</v>
      </c>
      <c r="F226">
        <v>131.5</v>
      </c>
      <c r="G226" s="2">
        <v>9862.5</v>
      </c>
      <c r="H226" t="s">
        <v>291</v>
      </c>
      <c r="I226">
        <v>9.8699999999999992</v>
      </c>
      <c r="J226">
        <v>3.5</v>
      </c>
      <c r="K226">
        <v>0</v>
      </c>
      <c r="L226">
        <v>0.01</v>
      </c>
      <c r="M226">
        <v>29</v>
      </c>
      <c r="N226">
        <v>5.86</v>
      </c>
      <c r="O226">
        <v>48.24</v>
      </c>
    </row>
    <row r="227" spans="1:15" x14ac:dyDescent="0.25">
      <c r="A227" s="1">
        <v>45792</v>
      </c>
      <c r="B227" t="s">
        <v>285</v>
      </c>
      <c r="C227" t="s">
        <v>16</v>
      </c>
      <c r="D227" t="s">
        <v>17</v>
      </c>
      <c r="E227">
        <v>75</v>
      </c>
      <c r="F227">
        <v>99.2</v>
      </c>
      <c r="G227" s="2">
        <v>7440</v>
      </c>
      <c r="H227" t="s">
        <v>292</v>
      </c>
      <c r="I227">
        <v>0</v>
      </c>
      <c r="J227">
        <v>2.64</v>
      </c>
      <c r="K227">
        <v>0</v>
      </c>
      <c r="L227">
        <v>0.01</v>
      </c>
      <c r="M227">
        <v>29</v>
      </c>
      <c r="N227">
        <v>5.7</v>
      </c>
      <c r="O227">
        <v>37.35</v>
      </c>
    </row>
    <row r="228" spans="1:15" x14ac:dyDescent="0.25">
      <c r="A228" s="1">
        <v>45792</v>
      </c>
      <c r="B228" t="s">
        <v>285</v>
      </c>
      <c r="C228" t="s">
        <v>16</v>
      </c>
      <c r="D228" t="s">
        <v>20</v>
      </c>
      <c r="E228">
        <v>750</v>
      </c>
      <c r="F228">
        <v>16.25</v>
      </c>
      <c r="G228" s="2">
        <v>12187.5</v>
      </c>
      <c r="H228" t="s">
        <v>293</v>
      </c>
      <c r="I228">
        <v>12.19</v>
      </c>
      <c r="J228">
        <v>4.33</v>
      </c>
      <c r="K228">
        <v>0</v>
      </c>
      <c r="L228">
        <v>0.01</v>
      </c>
      <c r="M228">
        <v>290</v>
      </c>
      <c r="N228">
        <v>52.98</v>
      </c>
      <c r="O228">
        <v>359.51</v>
      </c>
    </row>
    <row r="229" spans="1:15" x14ac:dyDescent="0.25">
      <c r="A229" s="1">
        <v>45792</v>
      </c>
      <c r="B229" t="s">
        <v>285</v>
      </c>
      <c r="C229" t="s">
        <v>16</v>
      </c>
      <c r="D229" t="s">
        <v>20</v>
      </c>
      <c r="E229">
        <v>150</v>
      </c>
      <c r="F229">
        <v>95.25</v>
      </c>
      <c r="G229" s="2">
        <v>14287.5</v>
      </c>
      <c r="H229" t="s">
        <v>294</v>
      </c>
      <c r="I229">
        <v>14.29</v>
      </c>
      <c r="J229">
        <v>5.08</v>
      </c>
      <c r="K229">
        <v>0</v>
      </c>
      <c r="L229">
        <v>0.01</v>
      </c>
      <c r="M229">
        <v>58</v>
      </c>
      <c r="N229">
        <v>11.36</v>
      </c>
      <c r="O229">
        <v>88.74</v>
      </c>
    </row>
    <row r="230" spans="1:15" x14ac:dyDescent="0.25">
      <c r="A230" s="1">
        <v>45792</v>
      </c>
      <c r="B230" t="s">
        <v>285</v>
      </c>
      <c r="C230" t="s">
        <v>16</v>
      </c>
      <c r="D230" t="s">
        <v>17</v>
      </c>
      <c r="E230">
        <v>150</v>
      </c>
      <c r="F230">
        <v>81</v>
      </c>
      <c r="G230" s="2">
        <v>12150</v>
      </c>
      <c r="H230" t="s">
        <v>295</v>
      </c>
      <c r="I230">
        <v>0</v>
      </c>
      <c r="J230">
        <v>4.32</v>
      </c>
      <c r="K230">
        <v>0</v>
      </c>
      <c r="L230">
        <v>0.01</v>
      </c>
      <c r="M230">
        <v>58</v>
      </c>
      <c r="N230">
        <v>11.22</v>
      </c>
      <c r="O230">
        <v>73.55</v>
      </c>
    </row>
    <row r="231" spans="1:15" x14ac:dyDescent="0.25">
      <c r="A231" s="1">
        <v>45792</v>
      </c>
      <c r="B231" t="s">
        <v>285</v>
      </c>
      <c r="C231" t="s">
        <v>16</v>
      </c>
      <c r="D231" t="s">
        <v>17</v>
      </c>
      <c r="E231">
        <v>150</v>
      </c>
      <c r="F231">
        <v>38.25</v>
      </c>
      <c r="G231" s="2">
        <v>5737.5</v>
      </c>
      <c r="H231" t="s">
        <v>296</v>
      </c>
      <c r="I231">
        <v>0</v>
      </c>
      <c r="J231">
        <v>2.04</v>
      </c>
      <c r="K231">
        <v>0</v>
      </c>
      <c r="L231">
        <v>0.01</v>
      </c>
      <c r="M231">
        <v>58</v>
      </c>
      <c r="N231">
        <v>10.8</v>
      </c>
      <c r="O231">
        <v>70.849999999999994</v>
      </c>
    </row>
    <row r="232" spans="1:15" x14ac:dyDescent="0.25">
      <c r="A232" s="1">
        <v>45762</v>
      </c>
      <c r="B232" t="s">
        <v>297</v>
      </c>
      <c r="C232" t="s">
        <v>16</v>
      </c>
      <c r="D232" t="s">
        <v>20</v>
      </c>
      <c r="E232">
        <v>150</v>
      </c>
      <c r="F232">
        <v>17.7</v>
      </c>
      <c r="G232" s="2">
        <v>2655</v>
      </c>
      <c r="H232" t="s">
        <v>298</v>
      </c>
      <c r="I232">
        <v>3</v>
      </c>
      <c r="J232">
        <v>0.94</v>
      </c>
      <c r="K232">
        <v>0</v>
      </c>
      <c r="L232">
        <v>0</v>
      </c>
      <c r="M232">
        <v>58</v>
      </c>
      <c r="N232">
        <v>10.6</v>
      </c>
      <c r="O232">
        <v>72.540000000000006</v>
      </c>
    </row>
    <row r="233" spans="1:15" x14ac:dyDescent="0.25">
      <c r="A233" s="1">
        <v>45762</v>
      </c>
      <c r="B233" t="s">
        <v>297</v>
      </c>
      <c r="C233" t="s">
        <v>16</v>
      </c>
      <c r="D233" t="s">
        <v>17</v>
      </c>
      <c r="E233">
        <v>75</v>
      </c>
      <c r="F233">
        <v>23</v>
      </c>
      <c r="G233" s="2">
        <v>1725</v>
      </c>
      <c r="H233" t="s">
        <v>299</v>
      </c>
      <c r="I233">
        <v>0</v>
      </c>
      <c r="J233">
        <v>0.61</v>
      </c>
      <c r="K233">
        <v>0</v>
      </c>
      <c r="L233">
        <v>0</v>
      </c>
      <c r="M233">
        <v>29</v>
      </c>
      <c r="N233">
        <v>5.32</v>
      </c>
      <c r="O233">
        <v>34.93</v>
      </c>
    </row>
    <row r="234" spans="1:15" x14ac:dyDescent="0.25">
      <c r="A234" s="1">
        <v>45762</v>
      </c>
      <c r="B234" t="s">
        <v>297</v>
      </c>
      <c r="C234" t="s">
        <v>16</v>
      </c>
      <c r="D234" t="s">
        <v>17</v>
      </c>
      <c r="E234">
        <v>75</v>
      </c>
      <c r="F234">
        <v>23.5</v>
      </c>
      <c r="G234" s="2">
        <v>1762.5</v>
      </c>
      <c r="H234" t="s">
        <v>300</v>
      </c>
      <c r="I234">
        <v>0</v>
      </c>
      <c r="J234">
        <v>0.63</v>
      </c>
      <c r="K234">
        <v>0</v>
      </c>
      <c r="L234">
        <v>0</v>
      </c>
      <c r="M234">
        <v>29</v>
      </c>
      <c r="N234">
        <v>5.34</v>
      </c>
      <c r="O234">
        <v>34.97</v>
      </c>
    </row>
    <row r="235" spans="1:15" x14ac:dyDescent="0.25">
      <c r="A235" s="1">
        <v>45975</v>
      </c>
      <c r="B235" t="s">
        <v>301</v>
      </c>
      <c r="C235" t="s">
        <v>16</v>
      </c>
      <c r="D235" t="s">
        <v>17</v>
      </c>
      <c r="E235">
        <v>75</v>
      </c>
      <c r="F235">
        <v>76.349999999999994</v>
      </c>
      <c r="G235" s="2">
        <v>5726.25</v>
      </c>
      <c r="H235" t="s">
        <v>302</v>
      </c>
      <c r="I235">
        <v>0</v>
      </c>
      <c r="J235">
        <v>2.0299999999999998</v>
      </c>
      <c r="K235">
        <v>0</v>
      </c>
      <c r="L235">
        <v>0.01</v>
      </c>
      <c r="M235">
        <v>29</v>
      </c>
      <c r="N235">
        <v>5.58</v>
      </c>
      <c r="O235">
        <v>36.619999999999997</v>
      </c>
    </row>
    <row r="236" spans="1:15" x14ac:dyDescent="0.25">
      <c r="A236" s="1">
        <v>45975</v>
      </c>
      <c r="B236" t="s">
        <v>301</v>
      </c>
      <c r="C236" t="s">
        <v>16</v>
      </c>
      <c r="D236" t="s">
        <v>20</v>
      </c>
      <c r="E236">
        <v>150</v>
      </c>
      <c r="F236">
        <v>74.900000000000006</v>
      </c>
      <c r="G236" s="2">
        <v>11235</v>
      </c>
      <c r="H236" t="s">
        <v>303</v>
      </c>
      <c r="I236">
        <v>11</v>
      </c>
      <c r="J236">
        <v>4</v>
      </c>
      <c r="K236">
        <v>0</v>
      </c>
      <c r="L236">
        <v>0.02</v>
      </c>
      <c r="M236">
        <v>58</v>
      </c>
      <c r="N236">
        <v>11.16</v>
      </c>
      <c r="O236">
        <v>84.18</v>
      </c>
    </row>
    <row r="237" spans="1:15" x14ac:dyDescent="0.25">
      <c r="A237" s="1">
        <v>45975</v>
      </c>
      <c r="B237" t="s">
        <v>301</v>
      </c>
      <c r="C237" t="s">
        <v>16</v>
      </c>
      <c r="D237" t="s">
        <v>17</v>
      </c>
      <c r="E237">
        <v>75</v>
      </c>
      <c r="F237">
        <v>62.95</v>
      </c>
      <c r="G237" s="2">
        <v>4721.25</v>
      </c>
      <c r="H237" t="s">
        <v>304</v>
      </c>
      <c r="I237">
        <v>0</v>
      </c>
      <c r="J237">
        <v>1.68</v>
      </c>
      <c r="K237">
        <v>0</v>
      </c>
      <c r="L237">
        <v>0</v>
      </c>
      <c r="M237">
        <v>29</v>
      </c>
      <c r="N237">
        <v>5.52</v>
      </c>
      <c r="O237">
        <v>36.200000000000003</v>
      </c>
    </row>
    <row r="238" spans="1:15" x14ac:dyDescent="0.25">
      <c r="A238" s="1">
        <v>45974</v>
      </c>
      <c r="B238" t="s">
        <v>305</v>
      </c>
      <c r="C238" t="s">
        <v>16</v>
      </c>
      <c r="D238" t="s">
        <v>20</v>
      </c>
      <c r="E238">
        <v>75</v>
      </c>
      <c r="F238">
        <v>119</v>
      </c>
      <c r="G238" s="2">
        <v>8925</v>
      </c>
      <c r="H238" t="s">
        <v>306</v>
      </c>
      <c r="I238">
        <v>9</v>
      </c>
      <c r="J238">
        <v>3.17</v>
      </c>
      <c r="K238">
        <v>0</v>
      </c>
      <c r="L238">
        <v>0.01</v>
      </c>
      <c r="M238">
        <v>29</v>
      </c>
      <c r="N238">
        <v>5.8</v>
      </c>
      <c r="O238">
        <v>46.98</v>
      </c>
    </row>
    <row r="239" spans="1:15" x14ac:dyDescent="0.25">
      <c r="A239" s="1">
        <v>46094</v>
      </c>
      <c r="B239" t="s">
        <v>307</v>
      </c>
      <c r="C239" t="s">
        <v>16</v>
      </c>
      <c r="D239" t="s">
        <v>17</v>
      </c>
      <c r="E239">
        <v>130</v>
      </c>
      <c r="F239">
        <v>197.8</v>
      </c>
      <c r="G239" s="2">
        <v>25714</v>
      </c>
      <c r="H239" t="s">
        <v>308</v>
      </c>
      <c r="I239">
        <v>0</v>
      </c>
      <c r="J239">
        <v>9.14</v>
      </c>
      <c r="K239">
        <v>0</v>
      </c>
      <c r="L239">
        <v>0.03</v>
      </c>
      <c r="M239">
        <v>58</v>
      </c>
      <c r="N239">
        <v>12.08</v>
      </c>
      <c r="O239">
        <v>79.25</v>
      </c>
    </row>
    <row r="240" spans="1:15" x14ac:dyDescent="0.25">
      <c r="A240" s="1">
        <v>46094</v>
      </c>
      <c r="B240" t="s">
        <v>307</v>
      </c>
      <c r="C240" t="s">
        <v>16</v>
      </c>
      <c r="D240" t="s">
        <v>20</v>
      </c>
      <c r="E240">
        <v>65</v>
      </c>
      <c r="F240">
        <v>244.9</v>
      </c>
      <c r="G240" s="2">
        <v>15918.5</v>
      </c>
      <c r="H240" t="s">
        <v>309</v>
      </c>
      <c r="I240">
        <v>15.57</v>
      </c>
      <c r="J240">
        <v>5.66</v>
      </c>
      <c r="K240">
        <v>0</v>
      </c>
      <c r="L240">
        <v>0.02</v>
      </c>
      <c r="M240">
        <v>29</v>
      </c>
      <c r="N240">
        <v>6.24</v>
      </c>
      <c r="O240">
        <v>56.49</v>
      </c>
    </row>
    <row r="241" spans="1:15" x14ac:dyDescent="0.25">
      <c r="A241" s="1">
        <v>46094</v>
      </c>
      <c r="B241" t="s">
        <v>307</v>
      </c>
      <c r="C241" t="s">
        <v>16</v>
      </c>
      <c r="D241" t="s">
        <v>20</v>
      </c>
      <c r="E241">
        <v>715</v>
      </c>
      <c r="F241">
        <v>249.9</v>
      </c>
      <c r="G241" s="2">
        <v>178678.5</v>
      </c>
      <c r="H241" t="s">
        <v>310</v>
      </c>
      <c r="I241">
        <v>178.67</v>
      </c>
      <c r="J241">
        <v>63.47</v>
      </c>
      <c r="K241">
        <v>0</v>
      </c>
      <c r="L241">
        <v>0.19</v>
      </c>
      <c r="M241">
        <v>319</v>
      </c>
      <c r="N241">
        <v>68.86</v>
      </c>
      <c r="O241">
        <v>630.19000000000005</v>
      </c>
    </row>
    <row r="242" spans="1:15" x14ac:dyDescent="0.25">
      <c r="A242" s="1">
        <v>46094</v>
      </c>
      <c r="B242" t="s">
        <v>281</v>
      </c>
      <c r="C242" t="s">
        <v>16</v>
      </c>
      <c r="D242" t="s">
        <v>17</v>
      </c>
      <c r="E242">
        <v>130</v>
      </c>
      <c r="F242">
        <v>192.25</v>
      </c>
      <c r="G242" s="2">
        <v>24992.5</v>
      </c>
      <c r="H242" t="s">
        <v>311</v>
      </c>
      <c r="I242">
        <v>0</v>
      </c>
      <c r="J242">
        <v>8.8800000000000008</v>
      </c>
      <c r="K242">
        <v>0</v>
      </c>
      <c r="L242">
        <v>0.03</v>
      </c>
      <c r="M242">
        <v>58</v>
      </c>
      <c r="N242">
        <v>12.04</v>
      </c>
      <c r="O242">
        <v>78.95</v>
      </c>
    </row>
    <row r="243" spans="1:15" x14ac:dyDescent="0.25">
      <c r="A243" s="1">
        <v>46094</v>
      </c>
      <c r="B243" t="s">
        <v>281</v>
      </c>
      <c r="C243" t="s">
        <v>16</v>
      </c>
      <c r="D243" t="s">
        <v>17</v>
      </c>
      <c r="E243">
        <v>130</v>
      </c>
      <c r="F243">
        <v>189.25</v>
      </c>
      <c r="G243" s="2">
        <v>24602.5</v>
      </c>
      <c r="H243" t="s">
        <v>312</v>
      </c>
      <c r="I243">
        <v>0</v>
      </c>
      <c r="J243">
        <v>8.74</v>
      </c>
      <c r="K243">
        <v>0</v>
      </c>
      <c r="L243">
        <v>0.02</v>
      </c>
      <c r="M243">
        <v>58</v>
      </c>
      <c r="N243">
        <v>12.02</v>
      </c>
      <c r="O243">
        <v>78.78</v>
      </c>
    </row>
    <row r="244" spans="1:15" x14ac:dyDescent="0.25">
      <c r="A244" s="1">
        <v>46094</v>
      </c>
      <c r="B244" t="s">
        <v>281</v>
      </c>
      <c r="C244" t="s">
        <v>16</v>
      </c>
      <c r="D244" t="s">
        <v>17</v>
      </c>
      <c r="E244">
        <v>130</v>
      </c>
      <c r="F244">
        <v>176</v>
      </c>
      <c r="G244" s="2">
        <v>22880</v>
      </c>
      <c r="H244" t="s">
        <v>313</v>
      </c>
      <c r="I244">
        <v>0</v>
      </c>
      <c r="J244">
        <v>8.1199999999999992</v>
      </c>
      <c r="K244">
        <v>0</v>
      </c>
      <c r="L244">
        <v>0.02</v>
      </c>
      <c r="M244">
        <v>58</v>
      </c>
      <c r="N244">
        <v>11.92</v>
      </c>
      <c r="O244">
        <v>78.06</v>
      </c>
    </row>
    <row r="245" spans="1:15" x14ac:dyDescent="0.25">
      <c r="A245" s="1">
        <v>46094</v>
      </c>
      <c r="B245" t="s">
        <v>281</v>
      </c>
      <c r="C245" t="s">
        <v>16</v>
      </c>
      <c r="D245" t="s">
        <v>17</v>
      </c>
      <c r="E245">
        <v>130</v>
      </c>
      <c r="F245">
        <v>174.35</v>
      </c>
      <c r="G245" s="2">
        <v>22665.5</v>
      </c>
      <c r="H245" t="s">
        <v>314</v>
      </c>
      <c r="I245">
        <v>0</v>
      </c>
      <c r="J245">
        <v>8.06</v>
      </c>
      <c r="K245">
        <v>0</v>
      </c>
      <c r="L245">
        <v>0.02</v>
      </c>
      <c r="M245">
        <v>58</v>
      </c>
      <c r="N245">
        <v>11.88</v>
      </c>
      <c r="O245">
        <v>77.959999999999994</v>
      </c>
    </row>
    <row r="246" spans="1:15" x14ac:dyDescent="0.25">
      <c r="A246" s="1">
        <v>46094</v>
      </c>
      <c r="B246" t="s">
        <v>281</v>
      </c>
      <c r="C246" t="s">
        <v>16</v>
      </c>
      <c r="D246" t="s">
        <v>17</v>
      </c>
      <c r="E246">
        <v>130</v>
      </c>
      <c r="F246">
        <v>174.45</v>
      </c>
      <c r="G246" s="2">
        <v>22678.5</v>
      </c>
      <c r="H246" t="s">
        <v>315</v>
      </c>
      <c r="I246">
        <v>0</v>
      </c>
      <c r="J246">
        <v>8.06</v>
      </c>
      <c r="K246">
        <v>0</v>
      </c>
      <c r="L246">
        <v>0.02</v>
      </c>
      <c r="M246">
        <v>58</v>
      </c>
      <c r="N246">
        <v>11.88</v>
      </c>
      <c r="O246">
        <v>77.959999999999994</v>
      </c>
    </row>
    <row r="247" spans="1:15" x14ac:dyDescent="0.25">
      <c r="A247" s="1">
        <v>46094</v>
      </c>
      <c r="B247" t="s">
        <v>281</v>
      </c>
      <c r="C247" t="s">
        <v>16</v>
      </c>
      <c r="D247" t="s">
        <v>17</v>
      </c>
      <c r="E247">
        <v>130</v>
      </c>
      <c r="F247">
        <v>172.3</v>
      </c>
      <c r="G247" s="2">
        <v>22399</v>
      </c>
      <c r="H247" t="s">
        <v>316</v>
      </c>
      <c r="I247">
        <v>0</v>
      </c>
      <c r="J247">
        <v>7.96</v>
      </c>
      <c r="K247">
        <v>0</v>
      </c>
      <c r="L247">
        <v>0.02</v>
      </c>
      <c r="M247">
        <v>58</v>
      </c>
      <c r="N247">
        <v>11.88</v>
      </c>
      <c r="O247">
        <v>77.86</v>
      </c>
    </row>
    <row r="248" spans="1:15" x14ac:dyDescent="0.25">
      <c r="A248" s="1">
        <v>46094</v>
      </c>
      <c r="B248" t="s">
        <v>281</v>
      </c>
      <c r="C248" t="s">
        <v>16</v>
      </c>
      <c r="D248" t="s">
        <v>17</v>
      </c>
      <c r="E248">
        <v>130</v>
      </c>
      <c r="F248">
        <v>167.35</v>
      </c>
      <c r="G248" s="2">
        <v>21755.5</v>
      </c>
      <c r="H248" t="s">
        <v>317</v>
      </c>
      <c r="I248">
        <v>0</v>
      </c>
      <c r="J248">
        <v>7.72</v>
      </c>
      <c r="K248">
        <v>0</v>
      </c>
      <c r="L248">
        <v>0.02</v>
      </c>
      <c r="M248">
        <v>58</v>
      </c>
      <c r="N248">
        <v>11.84</v>
      </c>
      <c r="O248">
        <v>77.58</v>
      </c>
    </row>
    <row r="249" spans="1:15" x14ac:dyDescent="0.25">
      <c r="A249" s="1">
        <v>46094</v>
      </c>
      <c r="B249" t="s">
        <v>281</v>
      </c>
      <c r="C249" t="s">
        <v>16</v>
      </c>
      <c r="D249" t="s">
        <v>17</v>
      </c>
      <c r="E249">
        <v>130</v>
      </c>
      <c r="F249">
        <v>163.35</v>
      </c>
      <c r="G249" s="2">
        <v>21235.5</v>
      </c>
      <c r="H249" t="s">
        <v>318</v>
      </c>
      <c r="I249">
        <v>0</v>
      </c>
      <c r="J249">
        <v>7.54</v>
      </c>
      <c r="K249">
        <v>0</v>
      </c>
      <c r="L249">
        <v>0.02</v>
      </c>
      <c r="M249">
        <v>58</v>
      </c>
      <c r="N249">
        <v>11.8</v>
      </c>
      <c r="O249">
        <v>77.36</v>
      </c>
    </row>
    <row r="250" spans="1:15" x14ac:dyDescent="0.25">
      <c r="A250" s="1">
        <v>46094</v>
      </c>
      <c r="B250" t="s">
        <v>281</v>
      </c>
      <c r="C250" t="s">
        <v>16</v>
      </c>
      <c r="D250" t="s">
        <v>20</v>
      </c>
      <c r="E250">
        <v>1040</v>
      </c>
      <c r="F250">
        <v>143.05000000000001</v>
      </c>
      <c r="G250" s="2">
        <v>148755.75</v>
      </c>
      <c r="H250" t="s">
        <v>319</v>
      </c>
      <c r="I250">
        <v>148.77000000000001</v>
      </c>
      <c r="J250">
        <v>52.84</v>
      </c>
      <c r="K250">
        <v>0</v>
      </c>
      <c r="L250">
        <v>0.16</v>
      </c>
      <c r="M250">
        <v>464</v>
      </c>
      <c r="N250">
        <v>93.1</v>
      </c>
      <c r="O250">
        <v>758.87</v>
      </c>
    </row>
    <row r="251" spans="1:15" x14ac:dyDescent="0.25">
      <c r="A251" s="1">
        <v>46094</v>
      </c>
      <c r="B251" t="s">
        <v>281</v>
      </c>
      <c r="C251" t="s">
        <v>16</v>
      </c>
      <c r="D251" t="s">
        <v>17</v>
      </c>
      <c r="E251">
        <v>1040</v>
      </c>
      <c r="F251">
        <v>148.4</v>
      </c>
      <c r="G251" s="2">
        <v>154336</v>
      </c>
      <c r="H251" t="s">
        <v>320</v>
      </c>
      <c r="I251">
        <v>0</v>
      </c>
      <c r="J251">
        <v>54.84</v>
      </c>
      <c r="K251">
        <v>9.99</v>
      </c>
      <c r="L251">
        <v>0.15</v>
      </c>
      <c r="M251">
        <v>464</v>
      </c>
      <c r="N251">
        <v>93.42</v>
      </c>
      <c r="O251">
        <v>622.4</v>
      </c>
    </row>
    <row r="252" spans="1:15" x14ac:dyDescent="0.25">
      <c r="A252" s="1">
        <v>46094</v>
      </c>
      <c r="B252" t="s">
        <v>307</v>
      </c>
      <c r="C252" t="s">
        <v>16</v>
      </c>
      <c r="D252" t="s">
        <v>17</v>
      </c>
      <c r="E252">
        <v>325</v>
      </c>
      <c r="F252">
        <v>219.76</v>
      </c>
      <c r="G252" s="2">
        <v>71425.25</v>
      </c>
      <c r="H252" t="s">
        <v>321</v>
      </c>
      <c r="I252">
        <v>0</v>
      </c>
      <c r="J252">
        <v>25.38</v>
      </c>
      <c r="K252">
        <v>0</v>
      </c>
      <c r="L252">
        <v>7.0000000000000007E-2</v>
      </c>
      <c r="M252">
        <v>145</v>
      </c>
      <c r="N252">
        <v>30.7</v>
      </c>
      <c r="O252">
        <v>201.15</v>
      </c>
    </row>
    <row r="253" spans="1:15" x14ac:dyDescent="0.25">
      <c r="A253" s="1">
        <v>46094</v>
      </c>
      <c r="B253" t="s">
        <v>307</v>
      </c>
      <c r="C253" t="s">
        <v>16</v>
      </c>
      <c r="D253" t="s">
        <v>17</v>
      </c>
      <c r="E253">
        <v>325</v>
      </c>
      <c r="F253">
        <v>214.81</v>
      </c>
      <c r="G253" s="2">
        <v>69819.75</v>
      </c>
      <c r="H253" t="s">
        <v>322</v>
      </c>
      <c r="I253">
        <v>0</v>
      </c>
      <c r="J253">
        <v>24.81</v>
      </c>
      <c r="K253">
        <v>5.01</v>
      </c>
      <c r="L253">
        <v>0.06</v>
      </c>
      <c r="M253">
        <v>145</v>
      </c>
      <c r="N253">
        <v>30.58</v>
      </c>
      <c r="O253">
        <v>205.46</v>
      </c>
    </row>
    <row r="254" spans="1:15" x14ac:dyDescent="0.25">
      <c r="A254" s="1">
        <v>46035</v>
      </c>
      <c r="B254" t="s">
        <v>213</v>
      </c>
      <c r="C254" t="s">
        <v>16</v>
      </c>
      <c r="D254" t="s">
        <v>17</v>
      </c>
      <c r="E254">
        <v>65</v>
      </c>
      <c r="F254">
        <v>67.25</v>
      </c>
      <c r="G254" s="2">
        <v>4371.25</v>
      </c>
      <c r="H254" t="s">
        <v>323</v>
      </c>
      <c r="I254">
        <v>0</v>
      </c>
      <c r="J254">
        <v>1.55</v>
      </c>
      <c r="K254">
        <v>0</v>
      </c>
      <c r="L254">
        <v>0</v>
      </c>
      <c r="M254">
        <v>29</v>
      </c>
      <c r="N254">
        <v>5.5</v>
      </c>
      <c r="O254">
        <v>36.049999999999997</v>
      </c>
    </row>
    <row r="255" spans="1:15" x14ac:dyDescent="0.25">
      <c r="A255" s="1">
        <v>45973</v>
      </c>
      <c r="B255" t="s">
        <v>305</v>
      </c>
      <c r="C255" t="s">
        <v>16</v>
      </c>
      <c r="D255" t="s">
        <v>17</v>
      </c>
      <c r="E255">
        <v>75</v>
      </c>
      <c r="F255">
        <v>97.35</v>
      </c>
      <c r="G255" s="2">
        <v>7301.25</v>
      </c>
      <c r="H255" t="s">
        <v>324</v>
      </c>
      <c r="I255">
        <v>0</v>
      </c>
      <c r="J255">
        <v>2.59</v>
      </c>
      <c r="K255">
        <v>0</v>
      </c>
      <c r="L255">
        <v>0.01</v>
      </c>
      <c r="M255">
        <v>29</v>
      </c>
      <c r="N255">
        <v>5.68</v>
      </c>
      <c r="O255">
        <v>37.28</v>
      </c>
    </row>
    <row r="256" spans="1:15" x14ac:dyDescent="0.25">
      <c r="A256" s="1">
        <v>45973</v>
      </c>
      <c r="B256" t="s">
        <v>325</v>
      </c>
      <c r="C256" t="s">
        <v>16</v>
      </c>
      <c r="D256" t="s">
        <v>20</v>
      </c>
      <c r="E256">
        <v>75</v>
      </c>
      <c r="F256">
        <v>102.1</v>
      </c>
      <c r="G256" s="2">
        <v>7657.5</v>
      </c>
      <c r="H256" t="s">
        <v>326</v>
      </c>
      <c r="I256">
        <v>8</v>
      </c>
      <c r="J256">
        <v>2.72</v>
      </c>
      <c r="K256">
        <v>0</v>
      </c>
      <c r="L256">
        <v>0.01</v>
      </c>
      <c r="M256">
        <v>29</v>
      </c>
      <c r="N256">
        <v>5.72</v>
      </c>
      <c r="O256">
        <v>45.45</v>
      </c>
    </row>
    <row r="257" spans="1:15" x14ac:dyDescent="0.25">
      <c r="A257" s="1">
        <v>45973</v>
      </c>
      <c r="B257" t="s">
        <v>325</v>
      </c>
      <c r="C257" t="s">
        <v>16</v>
      </c>
      <c r="D257" t="s">
        <v>17</v>
      </c>
      <c r="E257">
        <v>75</v>
      </c>
      <c r="F257">
        <v>113.35</v>
      </c>
      <c r="G257" s="2">
        <v>8501.25</v>
      </c>
      <c r="H257" t="s">
        <v>327</v>
      </c>
      <c r="I257">
        <v>0</v>
      </c>
      <c r="J257">
        <v>3.02</v>
      </c>
      <c r="K257">
        <v>0</v>
      </c>
      <c r="L257">
        <v>0.01</v>
      </c>
      <c r="M257">
        <v>29</v>
      </c>
      <c r="N257">
        <v>5.76</v>
      </c>
      <c r="O257">
        <v>37.79</v>
      </c>
    </row>
    <row r="258" spans="1:15" x14ac:dyDescent="0.25">
      <c r="A258" s="1">
        <v>46093</v>
      </c>
      <c r="B258" t="s">
        <v>328</v>
      </c>
      <c r="C258" t="s">
        <v>16</v>
      </c>
      <c r="D258" t="s">
        <v>17</v>
      </c>
      <c r="E258">
        <v>130</v>
      </c>
      <c r="F258">
        <v>282.10000000000002</v>
      </c>
      <c r="G258" s="2">
        <v>36673</v>
      </c>
      <c r="H258" t="s">
        <v>329</v>
      </c>
      <c r="I258">
        <v>0</v>
      </c>
      <c r="J258">
        <v>13.02</v>
      </c>
      <c r="K258">
        <v>0</v>
      </c>
      <c r="L258">
        <v>0.04</v>
      </c>
      <c r="M258">
        <v>58</v>
      </c>
      <c r="N258">
        <v>12.8</v>
      </c>
      <c r="O258">
        <v>83.86</v>
      </c>
    </row>
    <row r="259" spans="1:15" x14ac:dyDescent="0.25">
      <c r="A259" s="1">
        <v>46093</v>
      </c>
      <c r="B259" t="s">
        <v>328</v>
      </c>
      <c r="C259" t="s">
        <v>16</v>
      </c>
      <c r="D259" t="s">
        <v>17</v>
      </c>
      <c r="E259">
        <v>65</v>
      </c>
      <c r="F259">
        <v>265.25</v>
      </c>
      <c r="G259" s="2">
        <v>17241.25</v>
      </c>
      <c r="H259" t="s">
        <v>330</v>
      </c>
      <c r="I259">
        <v>0</v>
      </c>
      <c r="J259">
        <v>6.13</v>
      </c>
      <c r="K259">
        <v>0</v>
      </c>
      <c r="L259">
        <v>0.02</v>
      </c>
      <c r="M259">
        <v>29</v>
      </c>
      <c r="N259">
        <v>6.32</v>
      </c>
      <c r="O259">
        <v>41.47</v>
      </c>
    </row>
    <row r="260" spans="1:15" x14ac:dyDescent="0.25">
      <c r="A260" s="1">
        <v>46093</v>
      </c>
      <c r="B260" t="s">
        <v>328</v>
      </c>
      <c r="C260" t="s">
        <v>16</v>
      </c>
      <c r="D260" t="s">
        <v>20</v>
      </c>
      <c r="E260">
        <v>585</v>
      </c>
      <c r="F260">
        <v>299.89999999999998</v>
      </c>
      <c r="G260" s="2">
        <v>175441.5</v>
      </c>
      <c r="H260" t="s">
        <v>331</v>
      </c>
      <c r="I260">
        <v>175.39</v>
      </c>
      <c r="J260">
        <v>62.34</v>
      </c>
      <c r="K260">
        <v>0</v>
      </c>
      <c r="L260">
        <v>0.18</v>
      </c>
      <c r="M260">
        <v>261</v>
      </c>
      <c r="N260">
        <v>58.24</v>
      </c>
      <c r="O260">
        <v>557.15</v>
      </c>
    </row>
    <row r="261" spans="1:15" x14ac:dyDescent="0.25">
      <c r="A261" s="1">
        <v>46093</v>
      </c>
      <c r="B261" t="s">
        <v>332</v>
      </c>
      <c r="C261" t="s">
        <v>16</v>
      </c>
      <c r="D261" t="s">
        <v>17</v>
      </c>
      <c r="E261">
        <v>65</v>
      </c>
      <c r="F261">
        <v>202</v>
      </c>
      <c r="G261" s="2">
        <v>13130</v>
      </c>
      <c r="H261" t="s">
        <v>333</v>
      </c>
      <c r="I261">
        <v>0</v>
      </c>
      <c r="J261">
        <v>4.67</v>
      </c>
      <c r="K261">
        <v>0</v>
      </c>
      <c r="L261">
        <v>0.01</v>
      </c>
      <c r="M261">
        <v>29</v>
      </c>
      <c r="N261">
        <v>6.06</v>
      </c>
      <c r="O261">
        <v>39.74</v>
      </c>
    </row>
    <row r="262" spans="1:15" x14ac:dyDescent="0.25">
      <c r="A262" s="1">
        <v>46093</v>
      </c>
      <c r="B262" t="s">
        <v>332</v>
      </c>
      <c r="C262" t="s">
        <v>16</v>
      </c>
      <c r="D262" t="s">
        <v>20</v>
      </c>
      <c r="E262">
        <v>130</v>
      </c>
      <c r="F262">
        <v>197.05</v>
      </c>
      <c r="G262" s="2">
        <v>25616.5</v>
      </c>
      <c r="H262" t="s">
        <v>334</v>
      </c>
      <c r="I262">
        <v>25.62</v>
      </c>
      <c r="J262">
        <v>9.1</v>
      </c>
      <c r="K262">
        <v>0</v>
      </c>
      <c r="L262">
        <v>0.02</v>
      </c>
      <c r="M262">
        <v>58</v>
      </c>
      <c r="N262">
        <v>12.08</v>
      </c>
      <c r="O262">
        <v>104.82</v>
      </c>
    </row>
    <row r="263" spans="1:15" x14ac:dyDescent="0.25">
      <c r="A263" s="1">
        <v>46093</v>
      </c>
      <c r="B263" t="s">
        <v>328</v>
      </c>
      <c r="C263" t="s">
        <v>16</v>
      </c>
      <c r="D263" t="s">
        <v>17</v>
      </c>
      <c r="E263">
        <v>130</v>
      </c>
      <c r="F263">
        <v>282.10000000000002</v>
      </c>
      <c r="G263" s="2">
        <v>36673</v>
      </c>
      <c r="H263" t="s">
        <v>335</v>
      </c>
      <c r="I263">
        <v>0</v>
      </c>
      <c r="J263">
        <v>13.03</v>
      </c>
      <c r="K263">
        <v>5.2</v>
      </c>
      <c r="L263">
        <v>0.04</v>
      </c>
      <c r="M263">
        <v>58</v>
      </c>
      <c r="N263">
        <v>12.8</v>
      </c>
      <c r="O263">
        <v>89.07</v>
      </c>
    </row>
    <row r="264" spans="1:15" x14ac:dyDescent="0.25">
      <c r="A264" s="1">
        <v>46093</v>
      </c>
      <c r="B264" t="s">
        <v>328</v>
      </c>
      <c r="C264" t="s">
        <v>16</v>
      </c>
      <c r="D264" t="s">
        <v>17</v>
      </c>
      <c r="E264">
        <v>130</v>
      </c>
      <c r="F264">
        <v>291.7</v>
      </c>
      <c r="G264" s="2">
        <v>37921</v>
      </c>
      <c r="H264" t="s">
        <v>336</v>
      </c>
      <c r="I264">
        <v>0</v>
      </c>
      <c r="J264">
        <v>13.48</v>
      </c>
      <c r="K264">
        <v>0</v>
      </c>
      <c r="L264">
        <v>0.04</v>
      </c>
      <c r="M264">
        <v>58</v>
      </c>
      <c r="N264">
        <v>12.88</v>
      </c>
      <c r="O264">
        <v>84.4</v>
      </c>
    </row>
    <row r="265" spans="1:15" x14ac:dyDescent="0.25">
      <c r="A265" s="1">
        <v>46093</v>
      </c>
      <c r="B265" t="s">
        <v>328</v>
      </c>
      <c r="C265" t="s">
        <v>16</v>
      </c>
      <c r="D265" t="s">
        <v>17</v>
      </c>
      <c r="E265">
        <v>130</v>
      </c>
      <c r="F265">
        <v>292.14999999999998</v>
      </c>
      <c r="G265" s="2">
        <v>37979.5</v>
      </c>
      <c r="H265" t="s">
        <v>337</v>
      </c>
      <c r="I265">
        <v>0</v>
      </c>
      <c r="J265">
        <v>13.5</v>
      </c>
      <c r="K265">
        <v>0</v>
      </c>
      <c r="L265">
        <v>0.04</v>
      </c>
      <c r="M265">
        <v>58</v>
      </c>
      <c r="N265">
        <v>12.88</v>
      </c>
      <c r="O265">
        <v>84.42</v>
      </c>
    </row>
    <row r="266" spans="1:15" x14ac:dyDescent="0.25">
      <c r="A266" s="1">
        <v>46093</v>
      </c>
      <c r="B266" t="s">
        <v>332</v>
      </c>
      <c r="C266" t="s">
        <v>16</v>
      </c>
      <c r="D266" t="s">
        <v>17</v>
      </c>
      <c r="E266">
        <v>65</v>
      </c>
      <c r="F266">
        <v>209.85</v>
      </c>
      <c r="G266" s="2">
        <v>13640.25</v>
      </c>
      <c r="H266" t="s">
        <v>338</v>
      </c>
      <c r="I266">
        <v>0</v>
      </c>
      <c r="J266">
        <v>4.8499999999999996</v>
      </c>
      <c r="K266">
        <v>0.8</v>
      </c>
      <c r="L266">
        <v>0.01</v>
      </c>
      <c r="M266">
        <v>29</v>
      </c>
      <c r="N266">
        <v>6.1</v>
      </c>
      <c r="O266">
        <v>40.76</v>
      </c>
    </row>
    <row r="267" spans="1:15" x14ac:dyDescent="0.25">
      <c r="A267" s="1">
        <v>46065</v>
      </c>
      <c r="B267" t="s">
        <v>283</v>
      </c>
      <c r="C267" t="s">
        <v>16</v>
      </c>
      <c r="D267" t="s">
        <v>17</v>
      </c>
      <c r="E267">
        <v>1400</v>
      </c>
      <c r="F267">
        <v>3.1</v>
      </c>
      <c r="G267" s="2">
        <v>4340</v>
      </c>
      <c r="H267" t="s">
        <v>339</v>
      </c>
      <c r="I267">
        <v>0</v>
      </c>
      <c r="J267">
        <v>1.54</v>
      </c>
      <c r="K267">
        <v>0</v>
      </c>
      <c r="L267">
        <v>0</v>
      </c>
      <c r="M267">
        <v>58</v>
      </c>
      <c r="N267">
        <v>10.72</v>
      </c>
      <c r="O267">
        <v>70.260000000000005</v>
      </c>
    </row>
    <row r="268" spans="1:15" x14ac:dyDescent="0.25">
      <c r="A268" s="1">
        <v>46003</v>
      </c>
      <c r="B268" t="s">
        <v>340</v>
      </c>
      <c r="C268" t="s">
        <v>16</v>
      </c>
      <c r="D268" t="s">
        <v>20</v>
      </c>
      <c r="E268">
        <v>750</v>
      </c>
      <c r="F268">
        <v>13</v>
      </c>
      <c r="G268" s="2">
        <v>9750</v>
      </c>
      <c r="H268" t="s">
        <v>341</v>
      </c>
      <c r="I268">
        <v>10</v>
      </c>
      <c r="J268">
        <v>3.46</v>
      </c>
      <c r="K268">
        <v>0</v>
      </c>
      <c r="L268">
        <v>0.01</v>
      </c>
      <c r="M268">
        <v>290</v>
      </c>
      <c r="N268">
        <v>52.82</v>
      </c>
      <c r="O268">
        <v>356.29</v>
      </c>
    </row>
    <row r="269" spans="1:15" x14ac:dyDescent="0.25">
      <c r="A269" s="1">
        <v>46003</v>
      </c>
      <c r="B269" t="s">
        <v>340</v>
      </c>
      <c r="C269" t="s">
        <v>16</v>
      </c>
      <c r="D269" t="s">
        <v>17</v>
      </c>
      <c r="E269">
        <v>150</v>
      </c>
      <c r="F269">
        <v>18.100000000000001</v>
      </c>
      <c r="G269" s="2">
        <v>2715</v>
      </c>
      <c r="H269" t="s">
        <v>342</v>
      </c>
      <c r="I269">
        <v>0</v>
      </c>
      <c r="J269">
        <v>0.96</v>
      </c>
      <c r="K269">
        <v>0</v>
      </c>
      <c r="L269">
        <v>0</v>
      </c>
      <c r="M269">
        <v>58</v>
      </c>
      <c r="N269">
        <v>10.62</v>
      </c>
      <c r="O269">
        <v>69.58</v>
      </c>
    </row>
    <row r="270" spans="1:15" x14ac:dyDescent="0.25">
      <c r="A270" s="1">
        <v>46003</v>
      </c>
      <c r="B270" t="s">
        <v>340</v>
      </c>
      <c r="C270" t="s">
        <v>16</v>
      </c>
      <c r="D270" t="s">
        <v>17</v>
      </c>
      <c r="E270">
        <v>150</v>
      </c>
      <c r="F270">
        <v>19.25</v>
      </c>
      <c r="G270" s="2">
        <v>2887.5</v>
      </c>
      <c r="H270" t="s">
        <v>343</v>
      </c>
      <c r="I270">
        <v>0</v>
      </c>
      <c r="J270">
        <v>1.02</v>
      </c>
      <c r="K270">
        <v>0</v>
      </c>
      <c r="L270">
        <v>0</v>
      </c>
      <c r="M270">
        <v>58</v>
      </c>
      <c r="N270">
        <v>10.64</v>
      </c>
      <c r="O270">
        <v>69.66</v>
      </c>
    </row>
    <row r="271" spans="1:15" x14ac:dyDescent="0.25">
      <c r="A271" s="1">
        <v>46003</v>
      </c>
      <c r="B271" t="s">
        <v>340</v>
      </c>
      <c r="C271" t="s">
        <v>16</v>
      </c>
      <c r="D271" t="s">
        <v>17</v>
      </c>
      <c r="E271">
        <v>150</v>
      </c>
      <c r="F271">
        <v>21.25</v>
      </c>
      <c r="G271" s="2">
        <v>3187.5</v>
      </c>
      <c r="H271" t="s">
        <v>344</v>
      </c>
      <c r="I271">
        <v>0</v>
      </c>
      <c r="J271">
        <v>1.1299999999999999</v>
      </c>
      <c r="K271">
        <v>0</v>
      </c>
      <c r="L271">
        <v>0</v>
      </c>
      <c r="M271">
        <v>58</v>
      </c>
      <c r="N271">
        <v>10.64</v>
      </c>
      <c r="O271">
        <v>69.77</v>
      </c>
    </row>
    <row r="272" spans="1:15" x14ac:dyDescent="0.25">
      <c r="A272" s="1">
        <v>46003</v>
      </c>
      <c r="B272" t="s">
        <v>340</v>
      </c>
      <c r="C272" t="s">
        <v>16</v>
      </c>
      <c r="D272" t="s">
        <v>17</v>
      </c>
      <c r="E272">
        <v>75</v>
      </c>
      <c r="F272">
        <v>29.1</v>
      </c>
      <c r="G272" s="2">
        <v>2182.5</v>
      </c>
      <c r="H272" t="s">
        <v>345</v>
      </c>
      <c r="I272">
        <v>0</v>
      </c>
      <c r="J272">
        <v>0.78</v>
      </c>
      <c r="K272">
        <v>0</v>
      </c>
      <c r="L272">
        <v>0</v>
      </c>
      <c r="M272">
        <v>29</v>
      </c>
      <c r="N272">
        <v>5.36</v>
      </c>
      <c r="O272">
        <v>35.14</v>
      </c>
    </row>
    <row r="273" spans="1:15" x14ac:dyDescent="0.25">
      <c r="A273" s="1">
        <v>46003</v>
      </c>
      <c r="B273" t="s">
        <v>340</v>
      </c>
      <c r="C273" t="s">
        <v>16</v>
      </c>
      <c r="D273" t="s">
        <v>17</v>
      </c>
      <c r="E273">
        <v>75</v>
      </c>
      <c r="F273">
        <v>21.25</v>
      </c>
      <c r="G273" s="2">
        <v>1593.75</v>
      </c>
      <c r="H273" t="s">
        <v>346</v>
      </c>
      <c r="I273">
        <v>0</v>
      </c>
      <c r="J273">
        <v>0.56999999999999995</v>
      </c>
      <c r="K273">
        <v>0</v>
      </c>
      <c r="L273">
        <v>0</v>
      </c>
      <c r="M273">
        <v>29</v>
      </c>
      <c r="N273">
        <v>5.32</v>
      </c>
      <c r="O273">
        <v>34.89</v>
      </c>
    </row>
    <row r="274" spans="1:15" x14ac:dyDescent="0.25">
      <c r="A274" s="1">
        <v>45881</v>
      </c>
      <c r="B274" t="s">
        <v>347</v>
      </c>
      <c r="C274" t="s">
        <v>16</v>
      </c>
      <c r="D274" t="s">
        <v>17</v>
      </c>
      <c r="E274">
        <v>75</v>
      </c>
      <c r="F274">
        <v>82.3</v>
      </c>
      <c r="G274" s="2">
        <v>6172.5</v>
      </c>
      <c r="H274" t="s">
        <v>348</v>
      </c>
      <c r="I274">
        <v>0</v>
      </c>
      <c r="J274">
        <v>2.19</v>
      </c>
      <c r="K274">
        <v>0</v>
      </c>
      <c r="L274">
        <v>0.01</v>
      </c>
      <c r="M274">
        <v>29</v>
      </c>
      <c r="N274">
        <v>5.62</v>
      </c>
      <c r="O274">
        <v>36.82</v>
      </c>
    </row>
    <row r="275" spans="1:15" x14ac:dyDescent="0.25">
      <c r="A275" s="1">
        <v>45881</v>
      </c>
      <c r="B275" t="s">
        <v>347</v>
      </c>
      <c r="C275" t="s">
        <v>16</v>
      </c>
      <c r="D275" t="s">
        <v>17</v>
      </c>
      <c r="E275">
        <v>150</v>
      </c>
      <c r="F275">
        <v>66.05</v>
      </c>
      <c r="G275" s="2">
        <v>9907.5</v>
      </c>
      <c r="H275" t="s">
        <v>349</v>
      </c>
      <c r="I275">
        <v>0</v>
      </c>
      <c r="J275">
        <v>3.52</v>
      </c>
      <c r="K275">
        <v>1</v>
      </c>
      <c r="L275">
        <v>0.01</v>
      </c>
      <c r="M275">
        <v>58</v>
      </c>
      <c r="N275">
        <v>11.08</v>
      </c>
      <c r="O275">
        <v>73.61</v>
      </c>
    </row>
    <row r="276" spans="1:15" x14ac:dyDescent="0.25">
      <c r="A276" s="1">
        <v>45881</v>
      </c>
      <c r="B276" t="s">
        <v>347</v>
      </c>
      <c r="C276" t="s">
        <v>16</v>
      </c>
      <c r="D276" t="s">
        <v>17</v>
      </c>
      <c r="E276">
        <v>225</v>
      </c>
      <c r="F276">
        <v>44.3</v>
      </c>
      <c r="G276" s="2">
        <v>9967.5</v>
      </c>
      <c r="H276" t="s">
        <v>350</v>
      </c>
      <c r="I276">
        <v>0</v>
      </c>
      <c r="J276">
        <v>3.54</v>
      </c>
      <c r="K276">
        <v>0</v>
      </c>
      <c r="L276">
        <v>0.01</v>
      </c>
      <c r="M276">
        <v>87</v>
      </c>
      <c r="N276">
        <v>16.3</v>
      </c>
      <c r="O276">
        <v>106.85</v>
      </c>
    </row>
    <row r="277" spans="1:15" x14ac:dyDescent="0.25">
      <c r="A277" s="1">
        <v>45881</v>
      </c>
      <c r="B277" t="s">
        <v>347</v>
      </c>
      <c r="C277" t="s">
        <v>16</v>
      </c>
      <c r="D277" t="s">
        <v>20</v>
      </c>
      <c r="E277">
        <v>450</v>
      </c>
      <c r="F277">
        <v>59.65</v>
      </c>
      <c r="G277" s="2">
        <v>26842.5</v>
      </c>
      <c r="H277" t="s">
        <v>351</v>
      </c>
      <c r="I277">
        <v>27</v>
      </c>
      <c r="J277">
        <v>9.5399999999999991</v>
      </c>
      <c r="K277">
        <v>0</v>
      </c>
      <c r="L277">
        <v>0.02</v>
      </c>
      <c r="M277">
        <v>174</v>
      </c>
      <c r="N277">
        <v>33.04</v>
      </c>
      <c r="O277">
        <v>243.6</v>
      </c>
    </row>
    <row r="278" spans="1:15" x14ac:dyDescent="0.25">
      <c r="A278" s="1">
        <v>46092</v>
      </c>
      <c r="B278" t="s">
        <v>352</v>
      </c>
      <c r="C278" t="s">
        <v>16</v>
      </c>
      <c r="D278" t="s">
        <v>17</v>
      </c>
      <c r="E278">
        <v>65</v>
      </c>
      <c r="F278">
        <v>190.4</v>
      </c>
      <c r="G278" s="2">
        <v>12376</v>
      </c>
      <c r="H278" t="s">
        <v>353</v>
      </c>
      <c r="I278">
        <v>0</v>
      </c>
      <c r="J278">
        <v>4.4000000000000004</v>
      </c>
      <c r="K278">
        <v>0</v>
      </c>
      <c r="L278">
        <v>0.01</v>
      </c>
      <c r="M278">
        <v>29</v>
      </c>
      <c r="N278">
        <v>6.02</v>
      </c>
      <c r="O278">
        <v>39.43</v>
      </c>
    </row>
    <row r="279" spans="1:15" x14ac:dyDescent="0.25">
      <c r="A279" s="1">
        <v>46092</v>
      </c>
      <c r="B279" t="s">
        <v>352</v>
      </c>
      <c r="C279" t="s">
        <v>16</v>
      </c>
      <c r="D279" t="s">
        <v>17</v>
      </c>
      <c r="E279">
        <v>325</v>
      </c>
      <c r="F279">
        <v>190</v>
      </c>
      <c r="G279" s="2">
        <v>61750</v>
      </c>
      <c r="H279" t="s">
        <v>354</v>
      </c>
      <c r="I279">
        <v>0</v>
      </c>
      <c r="J279">
        <v>21.94</v>
      </c>
      <c r="K279">
        <v>3</v>
      </c>
      <c r="L279">
        <v>0.06</v>
      </c>
      <c r="M279">
        <v>145</v>
      </c>
      <c r="N279">
        <v>30.08</v>
      </c>
      <c r="O279">
        <v>200.08</v>
      </c>
    </row>
    <row r="280" spans="1:15" x14ac:dyDescent="0.25">
      <c r="A280" s="1">
        <v>46092</v>
      </c>
      <c r="B280" t="s">
        <v>352</v>
      </c>
      <c r="C280" t="s">
        <v>16</v>
      </c>
      <c r="D280" t="s">
        <v>17</v>
      </c>
      <c r="E280">
        <v>195</v>
      </c>
      <c r="F280">
        <v>188.32</v>
      </c>
      <c r="G280" s="2">
        <v>36728.25</v>
      </c>
      <c r="H280" t="s">
        <v>355</v>
      </c>
      <c r="I280">
        <v>0</v>
      </c>
      <c r="J280">
        <v>13.05</v>
      </c>
      <c r="K280">
        <v>0</v>
      </c>
      <c r="L280">
        <v>0.03</v>
      </c>
      <c r="M280">
        <v>87</v>
      </c>
      <c r="N280">
        <v>18.02</v>
      </c>
      <c r="O280">
        <v>118.1</v>
      </c>
    </row>
    <row r="281" spans="1:15" x14ac:dyDescent="0.25">
      <c r="A281" s="1">
        <v>46092</v>
      </c>
      <c r="B281" t="s">
        <v>352</v>
      </c>
      <c r="C281" t="s">
        <v>16</v>
      </c>
      <c r="D281" t="s">
        <v>20</v>
      </c>
      <c r="E281">
        <v>585</v>
      </c>
      <c r="F281">
        <v>219.9</v>
      </c>
      <c r="G281" s="2">
        <v>128641.5</v>
      </c>
      <c r="H281" t="s">
        <v>356</v>
      </c>
      <c r="I281">
        <v>129</v>
      </c>
      <c r="J281">
        <v>45.72</v>
      </c>
      <c r="K281">
        <v>0</v>
      </c>
      <c r="L281">
        <v>0.12</v>
      </c>
      <c r="M281">
        <v>261</v>
      </c>
      <c r="N281">
        <v>55.26</v>
      </c>
      <c r="O281">
        <v>491.1</v>
      </c>
    </row>
    <row r="282" spans="1:15" x14ac:dyDescent="0.25">
      <c r="A282" s="1">
        <v>46064</v>
      </c>
      <c r="B282" t="s">
        <v>283</v>
      </c>
      <c r="C282" t="s">
        <v>16</v>
      </c>
      <c r="D282" t="s">
        <v>17</v>
      </c>
      <c r="E282">
        <v>700</v>
      </c>
      <c r="F282">
        <v>5.15</v>
      </c>
      <c r="G282" s="2">
        <v>3605</v>
      </c>
      <c r="H282" t="s">
        <v>357</v>
      </c>
      <c r="I282">
        <v>0</v>
      </c>
      <c r="J282">
        <v>1.28</v>
      </c>
      <c r="K282">
        <v>0</v>
      </c>
      <c r="L282">
        <v>0</v>
      </c>
      <c r="M282">
        <v>29</v>
      </c>
      <c r="N282">
        <v>5.46</v>
      </c>
      <c r="O282">
        <v>35.74</v>
      </c>
    </row>
    <row r="283" spans="1:15" x14ac:dyDescent="0.25">
      <c r="A283" s="1">
        <v>46002</v>
      </c>
      <c r="B283" t="s">
        <v>340</v>
      </c>
      <c r="C283" t="s">
        <v>16</v>
      </c>
      <c r="D283" t="s">
        <v>17</v>
      </c>
      <c r="E283">
        <v>75</v>
      </c>
      <c r="F283">
        <v>82.25</v>
      </c>
      <c r="G283" s="2">
        <v>6168.75</v>
      </c>
      <c r="H283" t="s">
        <v>358</v>
      </c>
      <c r="I283">
        <v>0</v>
      </c>
      <c r="J283">
        <v>2.19</v>
      </c>
      <c r="K283">
        <v>0</v>
      </c>
      <c r="L283">
        <v>0.01</v>
      </c>
      <c r="M283">
        <v>29</v>
      </c>
      <c r="N283">
        <v>5.62</v>
      </c>
      <c r="O283">
        <v>36.82</v>
      </c>
    </row>
    <row r="284" spans="1:15" x14ac:dyDescent="0.25">
      <c r="A284" s="1">
        <v>46002</v>
      </c>
      <c r="B284" t="s">
        <v>340</v>
      </c>
      <c r="C284" t="s">
        <v>16</v>
      </c>
      <c r="D284" t="s">
        <v>17</v>
      </c>
      <c r="E284">
        <v>75</v>
      </c>
      <c r="F284">
        <v>61.25</v>
      </c>
      <c r="G284" s="2">
        <v>4593.75</v>
      </c>
      <c r="H284" t="s">
        <v>359</v>
      </c>
      <c r="I284">
        <v>0</v>
      </c>
      <c r="J284">
        <v>1.63</v>
      </c>
      <c r="K284">
        <v>0</v>
      </c>
      <c r="L284">
        <v>0</v>
      </c>
      <c r="M284">
        <v>29</v>
      </c>
      <c r="N284">
        <v>5.52</v>
      </c>
      <c r="O284">
        <v>36.15</v>
      </c>
    </row>
    <row r="285" spans="1:15" x14ac:dyDescent="0.25">
      <c r="A285" s="1">
        <v>45910</v>
      </c>
      <c r="B285" t="s">
        <v>360</v>
      </c>
      <c r="C285" t="s">
        <v>16</v>
      </c>
      <c r="D285" t="s">
        <v>17</v>
      </c>
      <c r="E285">
        <v>75</v>
      </c>
      <c r="F285">
        <v>128.5</v>
      </c>
      <c r="G285" s="2">
        <v>9637.5</v>
      </c>
      <c r="H285" t="s">
        <v>361</v>
      </c>
      <c r="I285">
        <v>0</v>
      </c>
      <c r="J285">
        <v>3.42</v>
      </c>
      <c r="K285">
        <v>0</v>
      </c>
      <c r="L285">
        <v>0.01</v>
      </c>
      <c r="M285">
        <v>29</v>
      </c>
      <c r="N285">
        <v>5.84</v>
      </c>
      <c r="O285">
        <v>38.270000000000003</v>
      </c>
    </row>
    <row r="286" spans="1:15" x14ac:dyDescent="0.25">
      <c r="A286" s="1">
        <v>45910</v>
      </c>
      <c r="B286" t="s">
        <v>360</v>
      </c>
      <c r="C286" t="s">
        <v>16</v>
      </c>
      <c r="D286" t="s">
        <v>17</v>
      </c>
      <c r="E286">
        <v>75</v>
      </c>
      <c r="F286">
        <v>125.05</v>
      </c>
      <c r="G286" s="2">
        <v>9378.75</v>
      </c>
      <c r="H286" t="s">
        <v>362</v>
      </c>
      <c r="I286">
        <v>0</v>
      </c>
      <c r="J286">
        <v>3.33</v>
      </c>
      <c r="K286">
        <v>0</v>
      </c>
      <c r="L286">
        <v>0.01</v>
      </c>
      <c r="M286">
        <v>29</v>
      </c>
      <c r="N286">
        <v>5.82</v>
      </c>
      <c r="O286">
        <v>38.159999999999997</v>
      </c>
    </row>
    <row r="287" spans="1:15" x14ac:dyDescent="0.25">
      <c r="A287" s="1">
        <v>45910</v>
      </c>
      <c r="B287" t="s">
        <v>360</v>
      </c>
      <c r="C287" t="s">
        <v>16</v>
      </c>
      <c r="D287" t="s">
        <v>20</v>
      </c>
      <c r="E287">
        <v>150</v>
      </c>
      <c r="F287">
        <v>118.7</v>
      </c>
      <c r="G287" s="2">
        <v>17805</v>
      </c>
      <c r="H287" t="s">
        <v>363</v>
      </c>
      <c r="I287">
        <v>17.399999999999999</v>
      </c>
      <c r="J287">
        <v>6.33</v>
      </c>
      <c r="K287">
        <v>0</v>
      </c>
      <c r="L287">
        <v>0.02</v>
      </c>
      <c r="M287">
        <v>58</v>
      </c>
      <c r="N287">
        <v>11.58</v>
      </c>
      <c r="O287">
        <v>93.33</v>
      </c>
    </row>
    <row r="288" spans="1:15" x14ac:dyDescent="0.25">
      <c r="A288" s="1">
        <v>45910</v>
      </c>
      <c r="B288" t="s">
        <v>360</v>
      </c>
      <c r="C288" t="s">
        <v>16</v>
      </c>
      <c r="D288" t="s">
        <v>17</v>
      </c>
      <c r="E288">
        <v>150</v>
      </c>
      <c r="F288">
        <v>121.9</v>
      </c>
      <c r="G288" s="2">
        <v>18285</v>
      </c>
      <c r="H288" t="s">
        <v>364</v>
      </c>
      <c r="I288">
        <v>0</v>
      </c>
      <c r="J288">
        <v>6.5</v>
      </c>
      <c r="K288">
        <v>1.39</v>
      </c>
      <c r="L288">
        <v>0.02</v>
      </c>
      <c r="M288">
        <v>58</v>
      </c>
      <c r="N288">
        <v>11.62</v>
      </c>
      <c r="O288">
        <v>77.53</v>
      </c>
    </row>
    <row r="289" spans="1:15" x14ac:dyDescent="0.25">
      <c r="A289" s="1">
        <v>45910</v>
      </c>
      <c r="B289" t="s">
        <v>360</v>
      </c>
      <c r="C289" t="s">
        <v>16</v>
      </c>
      <c r="D289" t="s">
        <v>20</v>
      </c>
      <c r="E289">
        <v>150</v>
      </c>
      <c r="F289">
        <v>119</v>
      </c>
      <c r="G289" s="2">
        <v>17850</v>
      </c>
      <c r="H289" t="s">
        <v>365</v>
      </c>
      <c r="I289">
        <v>17.850000000000001</v>
      </c>
      <c r="J289">
        <v>6.34</v>
      </c>
      <c r="K289">
        <v>0</v>
      </c>
      <c r="L289">
        <v>0.02</v>
      </c>
      <c r="M289">
        <v>58</v>
      </c>
      <c r="N289">
        <v>11.58</v>
      </c>
      <c r="O289">
        <v>93.79</v>
      </c>
    </row>
    <row r="290" spans="1:15" x14ac:dyDescent="0.25">
      <c r="A290" s="1">
        <v>45910</v>
      </c>
      <c r="B290" t="s">
        <v>366</v>
      </c>
      <c r="C290" t="s">
        <v>16</v>
      </c>
      <c r="D290" t="s">
        <v>17</v>
      </c>
      <c r="E290">
        <v>225</v>
      </c>
      <c r="F290">
        <v>90.8</v>
      </c>
      <c r="G290" s="2">
        <v>20430</v>
      </c>
      <c r="H290" t="s">
        <v>367</v>
      </c>
      <c r="I290">
        <v>0</v>
      </c>
      <c r="J290">
        <v>7.26</v>
      </c>
      <c r="K290">
        <v>0.61</v>
      </c>
      <c r="L290">
        <v>0.02</v>
      </c>
      <c r="M290">
        <v>87</v>
      </c>
      <c r="N290">
        <v>16.98</v>
      </c>
      <c r="O290">
        <v>111.87</v>
      </c>
    </row>
    <row r="291" spans="1:15" x14ac:dyDescent="0.25">
      <c r="A291" s="1">
        <v>45910</v>
      </c>
      <c r="B291" t="s">
        <v>366</v>
      </c>
      <c r="C291" t="s">
        <v>16</v>
      </c>
      <c r="D291" t="s">
        <v>20</v>
      </c>
      <c r="E291">
        <v>225</v>
      </c>
      <c r="F291">
        <v>87.8</v>
      </c>
      <c r="G291" s="2">
        <v>19755</v>
      </c>
      <c r="H291" t="s">
        <v>368</v>
      </c>
      <c r="I291">
        <v>19.760000000000002</v>
      </c>
      <c r="J291">
        <v>7.02</v>
      </c>
      <c r="K291">
        <v>0</v>
      </c>
      <c r="L291">
        <v>0.02</v>
      </c>
      <c r="M291">
        <v>87</v>
      </c>
      <c r="N291">
        <v>16.920000000000002</v>
      </c>
      <c r="O291">
        <v>130.72</v>
      </c>
    </row>
    <row r="292" spans="1:15" x14ac:dyDescent="0.25">
      <c r="A292" s="1">
        <v>45971</v>
      </c>
      <c r="B292" t="s">
        <v>369</v>
      </c>
      <c r="C292" t="s">
        <v>16</v>
      </c>
      <c r="D292" t="s">
        <v>17</v>
      </c>
      <c r="E292">
        <v>75</v>
      </c>
      <c r="F292">
        <v>68.3</v>
      </c>
      <c r="G292" s="2">
        <v>5122.5</v>
      </c>
      <c r="H292" t="s">
        <v>370</v>
      </c>
      <c r="I292">
        <v>0</v>
      </c>
      <c r="J292">
        <v>1.82</v>
      </c>
      <c r="K292">
        <v>0</v>
      </c>
      <c r="L292">
        <v>0.01</v>
      </c>
      <c r="M292">
        <v>29</v>
      </c>
      <c r="N292">
        <v>5.54</v>
      </c>
      <c r="O292">
        <v>36.369999999999997</v>
      </c>
    </row>
    <row r="293" spans="1:15" x14ac:dyDescent="0.25">
      <c r="A293" s="1">
        <v>45971</v>
      </c>
      <c r="B293" t="s">
        <v>369</v>
      </c>
      <c r="C293" t="s">
        <v>16</v>
      </c>
      <c r="D293" t="s">
        <v>20</v>
      </c>
      <c r="E293">
        <v>75</v>
      </c>
      <c r="F293">
        <v>64.25</v>
      </c>
      <c r="G293" s="2">
        <v>4818.75</v>
      </c>
      <c r="H293" t="s">
        <v>371</v>
      </c>
      <c r="I293">
        <v>4.6399999999999997</v>
      </c>
      <c r="J293">
        <v>1.71</v>
      </c>
      <c r="K293">
        <v>0</v>
      </c>
      <c r="L293">
        <v>0</v>
      </c>
      <c r="M293">
        <v>29</v>
      </c>
      <c r="N293">
        <v>5.52</v>
      </c>
      <c r="O293">
        <v>40.869999999999997</v>
      </c>
    </row>
    <row r="294" spans="1:15" x14ac:dyDescent="0.25">
      <c r="A294" s="1">
        <v>45971</v>
      </c>
      <c r="B294" t="s">
        <v>372</v>
      </c>
      <c r="C294" t="s">
        <v>16</v>
      </c>
      <c r="D294" t="s">
        <v>17</v>
      </c>
      <c r="E294">
        <v>75</v>
      </c>
      <c r="F294">
        <v>80.55</v>
      </c>
      <c r="G294" s="2">
        <v>6041.25</v>
      </c>
      <c r="H294" t="s">
        <v>373</v>
      </c>
      <c r="I294">
        <v>0</v>
      </c>
      <c r="J294">
        <v>2.15</v>
      </c>
      <c r="K294">
        <v>0</v>
      </c>
      <c r="L294">
        <v>0.01</v>
      </c>
      <c r="M294">
        <v>29</v>
      </c>
      <c r="N294">
        <v>5.6</v>
      </c>
      <c r="O294">
        <v>36.76</v>
      </c>
    </row>
    <row r="295" spans="1:15" x14ac:dyDescent="0.25">
      <c r="A295" s="1">
        <v>45971</v>
      </c>
      <c r="B295" t="s">
        <v>372</v>
      </c>
      <c r="C295" t="s">
        <v>16</v>
      </c>
      <c r="D295" t="s">
        <v>20</v>
      </c>
      <c r="E295">
        <v>75</v>
      </c>
      <c r="F295">
        <v>84.85</v>
      </c>
      <c r="G295" s="2">
        <v>6363.75</v>
      </c>
      <c r="H295" t="s">
        <v>374</v>
      </c>
      <c r="I295">
        <v>6.36</v>
      </c>
      <c r="J295">
        <v>2.2599999999999998</v>
      </c>
      <c r="K295">
        <v>0</v>
      </c>
      <c r="L295">
        <v>0.01</v>
      </c>
      <c r="M295">
        <v>29</v>
      </c>
      <c r="N295">
        <v>5.62</v>
      </c>
      <c r="O295">
        <v>43.25</v>
      </c>
    </row>
    <row r="296" spans="1:15" x14ac:dyDescent="0.25">
      <c r="A296" s="1">
        <v>45909</v>
      </c>
      <c r="B296" t="s">
        <v>375</v>
      </c>
      <c r="C296" t="s">
        <v>16</v>
      </c>
      <c r="D296" t="s">
        <v>20</v>
      </c>
      <c r="E296">
        <v>750</v>
      </c>
      <c r="F296">
        <v>52.95</v>
      </c>
      <c r="G296" s="2">
        <v>39712.5</v>
      </c>
      <c r="H296" t="s">
        <v>376</v>
      </c>
      <c r="I296">
        <v>39.28</v>
      </c>
      <c r="J296">
        <v>14.1</v>
      </c>
      <c r="K296">
        <v>0</v>
      </c>
      <c r="L296">
        <v>0.02</v>
      </c>
      <c r="M296">
        <v>290</v>
      </c>
      <c r="N296">
        <v>54.76</v>
      </c>
      <c r="O296">
        <v>398.16</v>
      </c>
    </row>
    <row r="297" spans="1:15" x14ac:dyDescent="0.25">
      <c r="A297" s="1">
        <v>45909</v>
      </c>
      <c r="B297" t="s">
        <v>375</v>
      </c>
      <c r="C297" t="s">
        <v>16</v>
      </c>
      <c r="D297" t="s">
        <v>17</v>
      </c>
      <c r="E297">
        <v>750</v>
      </c>
      <c r="F297">
        <v>47.05</v>
      </c>
      <c r="G297" s="2">
        <v>35287.5</v>
      </c>
      <c r="H297" t="s">
        <v>377</v>
      </c>
      <c r="I297">
        <v>0</v>
      </c>
      <c r="J297">
        <v>12.54</v>
      </c>
      <c r="K297">
        <v>1.06</v>
      </c>
      <c r="L297">
        <v>0.04</v>
      </c>
      <c r="M297">
        <v>290</v>
      </c>
      <c r="N297">
        <v>54.48</v>
      </c>
      <c r="O297">
        <v>358.12</v>
      </c>
    </row>
    <row r="298" spans="1:15" x14ac:dyDescent="0.25">
      <c r="A298" s="1">
        <v>45909</v>
      </c>
      <c r="B298" t="s">
        <v>378</v>
      </c>
      <c r="C298" t="s">
        <v>16</v>
      </c>
      <c r="D298" t="s">
        <v>20</v>
      </c>
      <c r="E298">
        <v>900</v>
      </c>
      <c r="F298">
        <v>3.45</v>
      </c>
      <c r="G298" s="2">
        <v>3105</v>
      </c>
      <c r="H298" t="s">
        <v>379</v>
      </c>
      <c r="I298">
        <v>3.11</v>
      </c>
      <c r="J298">
        <v>1.1000000000000001</v>
      </c>
      <c r="K298">
        <v>0</v>
      </c>
      <c r="L298">
        <v>0</v>
      </c>
      <c r="M298">
        <v>348</v>
      </c>
      <c r="N298">
        <v>62.84</v>
      </c>
      <c r="O298">
        <v>415.05</v>
      </c>
    </row>
    <row r="299" spans="1:15" x14ac:dyDescent="0.25">
      <c r="A299" s="1">
        <v>45909</v>
      </c>
      <c r="B299" t="s">
        <v>378</v>
      </c>
      <c r="C299" t="s">
        <v>16</v>
      </c>
      <c r="D299" t="s">
        <v>20</v>
      </c>
      <c r="E299">
        <v>1500</v>
      </c>
      <c r="F299">
        <v>3.65</v>
      </c>
      <c r="G299" s="2">
        <v>5475</v>
      </c>
      <c r="H299" t="s">
        <v>380</v>
      </c>
      <c r="I299">
        <v>5.48</v>
      </c>
      <c r="J299">
        <v>1.95</v>
      </c>
      <c r="K299">
        <v>0</v>
      </c>
      <c r="L299">
        <v>0.01</v>
      </c>
      <c r="M299">
        <v>580</v>
      </c>
      <c r="N299">
        <v>104.76</v>
      </c>
      <c r="O299">
        <v>692.2</v>
      </c>
    </row>
    <row r="300" spans="1:15" x14ac:dyDescent="0.25">
      <c r="A300" s="1">
        <v>45909</v>
      </c>
      <c r="B300" t="s">
        <v>378</v>
      </c>
      <c r="C300" t="s">
        <v>16</v>
      </c>
      <c r="D300" t="s">
        <v>20</v>
      </c>
      <c r="E300">
        <v>1500</v>
      </c>
      <c r="F300">
        <v>3.3</v>
      </c>
      <c r="G300" s="2">
        <v>4950</v>
      </c>
      <c r="H300" t="s">
        <v>381</v>
      </c>
      <c r="I300">
        <v>4.95</v>
      </c>
      <c r="J300">
        <v>1.76</v>
      </c>
      <c r="K300">
        <v>0</v>
      </c>
      <c r="L300">
        <v>0</v>
      </c>
      <c r="M300">
        <v>580</v>
      </c>
      <c r="N300">
        <v>104.72</v>
      </c>
      <c r="O300">
        <v>691.43</v>
      </c>
    </row>
    <row r="301" spans="1:15" x14ac:dyDescent="0.25">
      <c r="A301" s="1">
        <v>45909</v>
      </c>
      <c r="B301" t="s">
        <v>378</v>
      </c>
      <c r="C301" t="s">
        <v>16</v>
      </c>
      <c r="D301" t="s">
        <v>20</v>
      </c>
      <c r="E301">
        <v>1500</v>
      </c>
      <c r="F301">
        <v>3.4</v>
      </c>
      <c r="G301" s="2">
        <v>5100</v>
      </c>
      <c r="H301" t="s">
        <v>382</v>
      </c>
      <c r="I301">
        <v>5.0999999999999996</v>
      </c>
      <c r="J301">
        <v>1.81</v>
      </c>
      <c r="K301">
        <v>0</v>
      </c>
      <c r="L301">
        <v>0</v>
      </c>
      <c r="M301">
        <v>580</v>
      </c>
      <c r="N301">
        <v>104.74</v>
      </c>
      <c r="O301">
        <v>691.65</v>
      </c>
    </row>
    <row r="302" spans="1:15" x14ac:dyDescent="0.25">
      <c r="A302" s="1">
        <v>45909</v>
      </c>
      <c r="B302" t="s">
        <v>378</v>
      </c>
      <c r="C302" t="s">
        <v>16</v>
      </c>
      <c r="D302" t="s">
        <v>17</v>
      </c>
      <c r="E302">
        <v>1350</v>
      </c>
      <c r="F302">
        <v>9.25</v>
      </c>
      <c r="G302" s="2">
        <v>12487.5</v>
      </c>
      <c r="H302" t="s">
        <v>383</v>
      </c>
      <c r="I302">
        <v>0</v>
      </c>
      <c r="J302">
        <v>4.4400000000000004</v>
      </c>
      <c r="K302">
        <v>0</v>
      </c>
      <c r="L302">
        <v>0.01</v>
      </c>
      <c r="M302">
        <v>522</v>
      </c>
      <c r="N302">
        <v>94.76</v>
      </c>
      <c r="O302">
        <v>621.21</v>
      </c>
    </row>
    <row r="303" spans="1:15" x14ac:dyDescent="0.25">
      <c r="A303" s="1">
        <v>45909</v>
      </c>
      <c r="B303" t="s">
        <v>378</v>
      </c>
      <c r="C303" t="s">
        <v>16</v>
      </c>
      <c r="D303" t="s">
        <v>17</v>
      </c>
      <c r="E303">
        <v>1350</v>
      </c>
      <c r="F303">
        <v>10.7</v>
      </c>
      <c r="G303" s="2">
        <v>14445</v>
      </c>
      <c r="H303" t="s">
        <v>384</v>
      </c>
      <c r="I303">
        <v>0</v>
      </c>
      <c r="J303">
        <v>5.14</v>
      </c>
      <c r="K303">
        <v>0</v>
      </c>
      <c r="L303">
        <v>0.01</v>
      </c>
      <c r="M303">
        <v>522</v>
      </c>
      <c r="N303">
        <v>94.88</v>
      </c>
      <c r="O303">
        <v>622.03</v>
      </c>
    </row>
    <row r="304" spans="1:15" x14ac:dyDescent="0.25">
      <c r="A304" s="1">
        <v>45909</v>
      </c>
      <c r="B304" t="s">
        <v>385</v>
      </c>
      <c r="C304" t="s">
        <v>16</v>
      </c>
      <c r="D304" t="s">
        <v>17</v>
      </c>
      <c r="E304">
        <v>450</v>
      </c>
      <c r="F304">
        <v>53.25</v>
      </c>
      <c r="G304" s="2">
        <v>23962.5</v>
      </c>
      <c r="H304" t="s">
        <v>386</v>
      </c>
      <c r="I304">
        <v>0</v>
      </c>
      <c r="J304">
        <v>8.51</v>
      </c>
      <c r="K304">
        <v>0.72</v>
      </c>
      <c r="L304">
        <v>0.02</v>
      </c>
      <c r="M304">
        <v>174</v>
      </c>
      <c r="N304">
        <v>32.86</v>
      </c>
      <c r="O304">
        <v>216.11</v>
      </c>
    </row>
    <row r="305" spans="1:15" x14ac:dyDescent="0.25">
      <c r="A305" s="1">
        <v>45909</v>
      </c>
      <c r="B305" t="s">
        <v>385</v>
      </c>
      <c r="C305" t="s">
        <v>16</v>
      </c>
      <c r="D305" t="s">
        <v>20</v>
      </c>
      <c r="E305">
        <v>450</v>
      </c>
      <c r="F305">
        <v>57.95</v>
      </c>
      <c r="G305" s="2">
        <v>26077.5</v>
      </c>
      <c r="H305" t="s">
        <v>387</v>
      </c>
      <c r="I305">
        <v>26.09</v>
      </c>
      <c r="J305">
        <v>9.26</v>
      </c>
      <c r="K305">
        <v>0</v>
      </c>
      <c r="L305">
        <v>0.02</v>
      </c>
      <c r="M305">
        <v>174</v>
      </c>
      <c r="N305">
        <v>33</v>
      </c>
      <c r="O305">
        <v>242.37</v>
      </c>
    </row>
    <row r="306" spans="1:15" x14ac:dyDescent="0.25">
      <c r="A306" s="1">
        <v>45909</v>
      </c>
      <c r="B306" t="s">
        <v>378</v>
      </c>
      <c r="C306" t="s">
        <v>16</v>
      </c>
      <c r="D306" t="s">
        <v>17</v>
      </c>
      <c r="E306">
        <v>1350</v>
      </c>
      <c r="F306">
        <v>16.3</v>
      </c>
      <c r="G306" s="2">
        <v>22005</v>
      </c>
      <c r="H306" t="s">
        <v>388</v>
      </c>
      <c r="I306">
        <v>0</v>
      </c>
      <c r="J306">
        <v>7.81</v>
      </c>
      <c r="K306">
        <v>0</v>
      </c>
      <c r="L306">
        <v>0.02</v>
      </c>
      <c r="M306">
        <v>522</v>
      </c>
      <c r="N306">
        <v>95.36</v>
      </c>
      <c r="O306">
        <v>625.19000000000005</v>
      </c>
    </row>
    <row r="307" spans="1:15" x14ac:dyDescent="0.25">
      <c r="A307" s="1">
        <v>45909</v>
      </c>
      <c r="B307" t="s">
        <v>378</v>
      </c>
      <c r="C307" t="s">
        <v>16</v>
      </c>
      <c r="D307" t="s">
        <v>17</v>
      </c>
      <c r="E307">
        <v>1350</v>
      </c>
      <c r="F307">
        <v>14.25</v>
      </c>
      <c r="G307" s="2">
        <v>19237.5</v>
      </c>
      <c r="H307" t="s">
        <v>389</v>
      </c>
      <c r="I307">
        <v>0</v>
      </c>
      <c r="J307">
        <v>6.84</v>
      </c>
      <c r="K307">
        <v>2.2200000000000002</v>
      </c>
      <c r="L307">
        <v>0.02</v>
      </c>
      <c r="M307">
        <v>522</v>
      </c>
      <c r="N307">
        <v>95.2</v>
      </c>
      <c r="O307">
        <v>626.28</v>
      </c>
    </row>
    <row r="308" spans="1:15" x14ac:dyDescent="0.25">
      <c r="A308" s="1">
        <v>46090</v>
      </c>
      <c r="B308" t="s">
        <v>390</v>
      </c>
      <c r="C308" t="s">
        <v>16</v>
      </c>
      <c r="D308" t="s">
        <v>17</v>
      </c>
      <c r="E308">
        <v>65</v>
      </c>
      <c r="F308">
        <v>241.55</v>
      </c>
      <c r="G308" s="2">
        <v>15700.75</v>
      </c>
      <c r="H308" t="s">
        <v>391</v>
      </c>
      <c r="I308">
        <v>0</v>
      </c>
      <c r="J308">
        <v>5.58</v>
      </c>
      <c r="K308">
        <v>0</v>
      </c>
      <c r="L308">
        <v>0.02</v>
      </c>
      <c r="M308">
        <v>29</v>
      </c>
      <c r="N308">
        <v>6.22</v>
      </c>
      <c r="O308">
        <v>40.82</v>
      </c>
    </row>
    <row r="309" spans="1:15" x14ac:dyDescent="0.25">
      <c r="A309" s="1">
        <v>46090</v>
      </c>
      <c r="B309" t="s">
        <v>390</v>
      </c>
      <c r="C309" t="s">
        <v>16</v>
      </c>
      <c r="D309" t="s">
        <v>17</v>
      </c>
      <c r="E309">
        <v>65</v>
      </c>
      <c r="F309">
        <v>266.3</v>
      </c>
      <c r="G309" s="2">
        <v>17309.5</v>
      </c>
      <c r="H309" t="s">
        <v>392</v>
      </c>
      <c r="I309">
        <v>0</v>
      </c>
      <c r="J309">
        <v>6.15</v>
      </c>
      <c r="K309">
        <v>0</v>
      </c>
      <c r="L309">
        <v>0.02</v>
      </c>
      <c r="M309">
        <v>29</v>
      </c>
      <c r="N309">
        <v>6.34</v>
      </c>
      <c r="O309">
        <v>41.51</v>
      </c>
    </row>
    <row r="310" spans="1:15" x14ac:dyDescent="0.25">
      <c r="A310" s="1">
        <v>46090</v>
      </c>
      <c r="B310" t="s">
        <v>390</v>
      </c>
      <c r="C310" t="s">
        <v>16</v>
      </c>
      <c r="D310" t="s">
        <v>17</v>
      </c>
      <c r="E310">
        <v>65</v>
      </c>
      <c r="F310">
        <v>258.7</v>
      </c>
      <c r="G310" s="2">
        <v>16815.5</v>
      </c>
      <c r="H310" t="s">
        <v>393</v>
      </c>
      <c r="I310">
        <v>0</v>
      </c>
      <c r="J310">
        <v>5.97</v>
      </c>
      <c r="K310">
        <v>0</v>
      </c>
      <c r="L310">
        <v>0.02</v>
      </c>
      <c r="M310">
        <v>29</v>
      </c>
      <c r="N310">
        <v>6.3</v>
      </c>
      <c r="O310">
        <v>41.29</v>
      </c>
    </row>
    <row r="311" spans="1:15" x14ac:dyDescent="0.25">
      <c r="A311" s="1">
        <v>46090</v>
      </c>
      <c r="B311" t="s">
        <v>390</v>
      </c>
      <c r="C311" t="s">
        <v>16</v>
      </c>
      <c r="D311" t="s">
        <v>17</v>
      </c>
      <c r="E311">
        <v>65</v>
      </c>
      <c r="F311">
        <v>241.6</v>
      </c>
      <c r="G311" s="2">
        <v>15704</v>
      </c>
      <c r="H311" t="s">
        <v>394</v>
      </c>
      <c r="I311">
        <v>0</v>
      </c>
      <c r="J311">
        <v>5.58</v>
      </c>
      <c r="K311">
        <v>3</v>
      </c>
      <c r="L311">
        <v>0.02</v>
      </c>
      <c r="M311">
        <v>29</v>
      </c>
      <c r="N311">
        <v>6.22</v>
      </c>
      <c r="O311">
        <v>43.82</v>
      </c>
    </row>
    <row r="312" spans="1:15" x14ac:dyDescent="0.25">
      <c r="A312" s="1">
        <v>46090</v>
      </c>
      <c r="B312" t="s">
        <v>390</v>
      </c>
      <c r="C312" t="s">
        <v>16</v>
      </c>
      <c r="D312" t="s">
        <v>20</v>
      </c>
      <c r="E312">
        <v>390</v>
      </c>
      <c r="F312">
        <v>309.89999999999998</v>
      </c>
      <c r="G312" s="2">
        <v>120861</v>
      </c>
      <c r="H312" t="s">
        <v>395</v>
      </c>
      <c r="I312">
        <v>120.99</v>
      </c>
      <c r="J312">
        <v>42.95</v>
      </c>
      <c r="K312">
        <v>0</v>
      </c>
      <c r="L312">
        <v>0.12</v>
      </c>
      <c r="M312">
        <v>174</v>
      </c>
      <c r="N312">
        <v>39.1</v>
      </c>
      <c r="O312">
        <v>377.16</v>
      </c>
    </row>
    <row r="313" spans="1:15" x14ac:dyDescent="0.25">
      <c r="A313" s="1">
        <v>46090</v>
      </c>
      <c r="B313" t="s">
        <v>390</v>
      </c>
      <c r="C313" t="s">
        <v>16</v>
      </c>
      <c r="D313" t="s">
        <v>17</v>
      </c>
      <c r="E313">
        <v>65</v>
      </c>
      <c r="F313">
        <v>230.25</v>
      </c>
      <c r="G313" s="2">
        <v>14966.25</v>
      </c>
      <c r="H313" t="s">
        <v>396</v>
      </c>
      <c r="I313">
        <v>0</v>
      </c>
      <c r="J313">
        <v>5.32</v>
      </c>
      <c r="K313">
        <v>0</v>
      </c>
      <c r="L313">
        <v>0.02</v>
      </c>
      <c r="M313">
        <v>29</v>
      </c>
      <c r="N313">
        <v>6.18</v>
      </c>
      <c r="O313">
        <v>40.520000000000003</v>
      </c>
    </row>
    <row r="314" spans="1:15" x14ac:dyDescent="0.25">
      <c r="A314" s="1">
        <v>46090</v>
      </c>
      <c r="B314" t="s">
        <v>390</v>
      </c>
      <c r="C314" t="s">
        <v>16</v>
      </c>
      <c r="D314" t="s">
        <v>17</v>
      </c>
      <c r="E314">
        <v>65</v>
      </c>
      <c r="F314">
        <v>221.05</v>
      </c>
      <c r="G314" s="2">
        <v>14368.25</v>
      </c>
      <c r="H314" t="s">
        <v>397</v>
      </c>
      <c r="I314">
        <v>0</v>
      </c>
      <c r="J314">
        <v>5.1100000000000003</v>
      </c>
      <c r="K314">
        <v>0</v>
      </c>
      <c r="L314">
        <v>0.01</v>
      </c>
      <c r="M314">
        <v>29</v>
      </c>
      <c r="N314">
        <v>6.14</v>
      </c>
      <c r="O314">
        <v>40.26</v>
      </c>
    </row>
    <row r="315" spans="1:15" x14ac:dyDescent="0.25">
      <c r="A315" s="1">
        <v>45756</v>
      </c>
      <c r="B315" t="s">
        <v>398</v>
      </c>
      <c r="C315" t="s">
        <v>16</v>
      </c>
      <c r="D315" t="s">
        <v>20</v>
      </c>
      <c r="E315">
        <v>900</v>
      </c>
      <c r="F315">
        <v>4.1500000000000004</v>
      </c>
      <c r="G315" s="2">
        <v>3735</v>
      </c>
      <c r="H315" t="s">
        <v>399</v>
      </c>
      <c r="I315">
        <v>3.74</v>
      </c>
      <c r="J315">
        <v>1.32</v>
      </c>
      <c r="K315">
        <v>0</v>
      </c>
      <c r="L315">
        <v>0</v>
      </c>
      <c r="M315">
        <v>348</v>
      </c>
      <c r="N315">
        <v>62.88</v>
      </c>
      <c r="O315">
        <v>415.94</v>
      </c>
    </row>
    <row r="316" spans="1:15" x14ac:dyDescent="0.25">
      <c r="A316" s="1">
        <v>45756</v>
      </c>
      <c r="B316" t="s">
        <v>398</v>
      </c>
      <c r="C316" t="s">
        <v>16</v>
      </c>
      <c r="D316" t="s">
        <v>17</v>
      </c>
      <c r="E316">
        <v>450</v>
      </c>
      <c r="F316">
        <v>8.75</v>
      </c>
      <c r="G316" s="2">
        <v>3937.5</v>
      </c>
      <c r="H316" t="s">
        <v>400</v>
      </c>
      <c r="I316">
        <v>0</v>
      </c>
      <c r="J316">
        <v>1.4</v>
      </c>
      <c r="K316">
        <v>0.55000000000000004</v>
      </c>
      <c r="L316">
        <v>0</v>
      </c>
      <c r="M316">
        <v>174</v>
      </c>
      <c r="N316">
        <v>31.58</v>
      </c>
      <c r="O316">
        <v>207.53</v>
      </c>
    </row>
    <row r="317" spans="1:15" x14ac:dyDescent="0.25">
      <c r="A317" s="1">
        <v>45756</v>
      </c>
      <c r="B317" t="s">
        <v>401</v>
      </c>
      <c r="C317" t="s">
        <v>16</v>
      </c>
      <c r="D317" t="s">
        <v>20</v>
      </c>
      <c r="E317">
        <v>750</v>
      </c>
      <c r="F317">
        <v>7.25</v>
      </c>
      <c r="G317" s="2">
        <v>5437.5</v>
      </c>
      <c r="H317" t="s">
        <v>402</v>
      </c>
      <c r="I317">
        <v>5.44</v>
      </c>
      <c r="J317">
        <v>1.93</v>
      </c>
      <c r="K317">
        <v>0</v>
      </c>
      <c r="L317">
        <v>0.01</v>
      </c>
      <c r="M317">
        <v>290</v>
      </c>
      <c r="N317">
        <v>52.54</v>
      </c>
      <c r="O317">
        <v>349.92</v>
      </c>
    </row>
    <row r="318" spans="1:15" x14ac:dyDescent="0.25">
      <c r="A318" s="1">
        <v>45756</v>
      </c>
      <c r="B318" t="s">
        <v>401</v>
      </c>
      <c r="C318" t="s">
        <v>16</v>
      </c>
      <c r="D318" t="s">
        <v>17</v>
      </c>
      <c r="E318">
        <v>750</v>
      </c>
      <c r="F318">
        <v>9.6</v>
      </c>
      <c r="G318" s="2">
        <v>7200</v>
      </c>
      <c r="H318" t="s">
        <v>403</v>
      </c>
      <c r="I318">
        <v>0</v>
      </c>
      <c r="J318">
        <v>2.5499999999999998</v>
      </c>
      <c r="K318">
        <v>0.22</v>
      </c>
      <c r="L318">
        <v>0</v>
      </c>
      <c r="M318">
        <v>290</v>
      </c>
      <c r="N318">
        <v>52.66</v>
      </c>
      <c r="O318">
        <v>345.43</v>
      </c>
    </row>
    <row r="319" spans="1:15" x14ac:dyDescent="0.25">
      <c r="A319" s="1">
        <v>45756</v>
      </c>
      <c r="B319" t="s">
        <v>398</v>
      </c>
      <c r="C319" t="s">
        <v>16</v>
      </c>
      <c r="D319" t="s">
        <v>17</v>
      </c>
      <c r="E319">
        <v>75</v>
      </c>
      <c r="F319">
        <v>9.25</v>
      </c>
      <c r="G319" s="2">
        <v>693.75</v>
      </c>
      <c r="H319" t="s">
        <v>404</v>
      </c>
      <c r="I319">
        <v>0</v>
      </c>
      <c r="J319">
        <v>0.25</v>
      </c>
      <c r="K319">
        <v>0</v>
      </c>
      <c r="L319">
        <v>0</v>
      </c>
      <c r="M319">
        <v>29</v>
      </c>
      <c r="N319">
        <v>5.26</v>
      </c>
      <c r="O319">
        <v>34.51</v>
      </c>
    </row>
    <row r="320" spans="1:15" x14ac:dyDescent="0.25">
      <c r="A320" s="1">
        <v>45756</v>
      </c>
      <c r="B320" t="s">
        <v>398</v>
      </c>
      <c r="C320" t="s">
        <v>16</v>
      </c>
      <c r="D320" t="s">
        <v>17</v>
      </c>
      <c r="E320">
        <v>75</v>
      </c>
      <c r="F320">
        <v>13.15</v>
      </c>
      <c r="G320" s="2">
        <v>986.25</v>
      </c>
      <c r="H320" t="s">
        <v>405</v>
      </c>
      <c r="I320">
        <v>0</v>
      </c>
      <c r="J320">
        <v>0.35</v>
      </c>
      <c r="K320">
        <v>0</v>
      </c>
      <c r="L320">
        <v>0</v>
      </c>
      <c r="M320">
        <v>29</v>
      </c>
      <c r="N320">
        <v>5.28</v>
      </c>
      <c r="O320">
        <v>34.630000000000003</v>
      </c>
    </row>
    <row r="321" spans="1:15" x14ac:dyDescent="0.25">
      <c r="A321" s="1">
        <v>45756</v>
      </c>
      <c r="B321" t="s">
        <v>398</v>
      </c>
      <c r="C321" t="s">
        <v>16</v>
      </c>
      <c r="D321" t="s">
        <v>17</v>
      </c>
      <c r="E321">
        <v>75</v>
      </c>
      <c r="F321">
        <v>19.3</v>
      </c>
      <c r="G321" s="2">
        <v>1447.5</v>
      </c>
      <c r="H321" t="s">
        <v>406</v>
      </c>
      <c r="I321">
        <v>0</v>
      </c>
      <c r="J321">
        <v>0.51</v>
      </c>
      <c r="K321">
        <v>0</v>
      </c>
      <c r="L321">
        <v>0</v>
      </c>
      <c r="M321">
        <v>29</v>
      </c>
      <c r="N321">
        <v>5.32</v>
      </c>
      <c r="O321">
        <v>34.83</v>
      </c>
    </row>
    <row r="322" spans="1:15" x14ac:dyDescent="0.25">
      <c r="A322" s="1">
        <v>45756</v>
      </c>
      <c r="B322" t="s">
        <v>407</v>
      </c>
      <c r="C322" t="s">
        <v>16</v>
      </c>
      <c r="D322" t="s">
        <v>20</v>
      </c>
      <c r="E322">
        <v>75</v>
      </c>
      <c r="F322">
        <v>28.15</v>
      </c>
      <c r="G322" s="2">
        <v>2111.25</v>
      </c>
      <c r="H322" t="s">
        <v>408</v>
      </c>
      <c r="I322">
        <v>2.11</v>
      </c>
      <c r="J322">
        <v>0.75</v>
      </c>
      <c r="K322">
        <v>0</v>
      </c>
      <c r="L322">
        <v>0</v>
      </c>
      <c r="M322">
        <v>29</v>
      </c>
      <c r="N322">
        <v>5.36</v>
      </c>
      <c r="O322">
        <v>37.22</v>
      </c>
    </row>
    <row r="323" spans="1:15" x14ac:dyDescent="0.25">
      <c r="A323" s="1">
        <v>45756</v>
      </c>
      <c r="B323" t="s">
        <v>407</v>
      </c>
      <c r="C323" t="s">
        <v>16</v>
      </c>
      <c r="D323" t="s">
        <v>17</v>
      </c>
      <c r="E323">
        <v>75</v>
      </c>
      <c r="F323">
        <v>32.200000000000003</v>
      </c>
      <c r="G323" s="2">
        <v>2415</v>
      </c>
      <c r="H323" t="s">
        <v>409</v>
      </c>
      <c r="I323">
        <v>0</v>
      </c>
      <c r="J323">
        <v>0.86</v>
      </c>
      <c r="K323">
        <v>0</v>
      </c>
      <c r="L323">
        <v>0</v>
      </c>
      <c r="M323">
        <v>29</v>
      </c>
      <c r="N323">
        <v>5.38</v>
      </c>
      <c r="O323">
        <v>35.24</v>
      </c>
    </row>
    <row r="324" spans="1:15" x14ac:dyDescent="0.25">
      <c r="A324" s="1">
        <v>45756</v>
      </c>
      <c r="B324" t="s">
        <v>398</v>
      </c>
      <c r="C324" t="s">
        <v>16</v>
      </c>
      <c r="D324" t="s">
        <v>17</v>
      </c>
      <c r="E324">
        <v>75</v>
      </c>
      <c r="F324">
        <v>23.4</v>
      </c>
      <c r="G324" s="2">
        <v>1755</v>
      </c>
      <c r="H324" t="s">
        <v>410</v>
      </c>
      <c r="I324">
        <v>0</v>
      </c>
      <c r="J324">
        <v>0.62</v>
      </c>
      <c r="K324">
        <v>0</v>
      </c>
      <c r="L324">
        <v>0</v>
      </c>
      <c r="M324">
        <v>29</v>
      </c>
      <c r="N324">
        <v>5.34</v>
      </c>
      <c r="O324">
        <v>34.96</v>
      </c>
    </row>
    <row r="325" spans="1:15" x14ac:dyDescent="0.25">
      <c r="A325" s="1">
        <v>45756</v>
      </c>
      <c r="B325" t="s">
        <v>398</v>
      </c>
      <c r="C325" t="s">
        <v>16</v>
      </c>
      <c r="D325" t="s">
        <v>17</v>
      </c>
      <c r="E325">
        <v>75</v>
      </c>
      <c r="F325">
        <v>28.15</v>
      </c>
      <c r="G325" s="2">
        <v>2111.25</v>
      </c>
      <c r="H325" t="s">
        <v>411</v>
      </c>
      <c r="I325">
        <v>0</v>
      </c>
      <c r="J325">
        <v>0.75</v>
      </c>
      <c r="K325">
        <v>0</v>
      </c>
      <c r="L325">
        <v>0</v>
      </c>
      <c r="M325">
        <v>29</v>
      </c>
      <c r="N325">
        <v>5.36</v>
      </c>
      <c r="O325">
        <v>35.11</v>
      </c>
    </row>
    <row r="326" spans="1:15" x14ac:dyDescent="0.25">
      <c r="A326" s="1">
        <v>45756</v>
      </c>
      <c r="B326" t="s">
        <v>398</v>
      </c>
      <c r="C326" t="s">
        <v>16</v>
      </c>
      <c r="D326" t="s">
        <v>17</v>
      </c>
      <c r="E326">
        <v>75</v>
      </c>
      <c r="F326">
        <v>69.05</v>
      </c>
      <c r="G326" s="2">
        <v>5178.75</v>
      </c>
      <c r="H326" t="s">
        <v>412</v>
      </c>
      <c r="I326">
        <v>0</v>
      </c>
      <c r="J326">
        <v>1.84</v>
      </c>
      <c r="K326">
        <v>0</v>
      </c>
      <c r="L326">
        <v>0.01</v>
      </c>
      <c r="M326">
        <v>29</v>
      </c>
      <c r="N326">
        <v>5.56</v>
      </c>
      <c r="O326">
        <v>36.409999999999997</v>
      </c>
    </row>
    <row r="327" spans="1:15" x14ac:dyDescent="0.25">
      <c r="A327" s="1">
        <v>45756</v>
      </c>
      <c r="B327" t="s">
        <v>407</v>
      </c>
      <c r="C327" t="s">
        <v>16</v>
      </c>
      <c r="D327" t="s">
        <v>20</v>
      </c>
      <c r="E327">
        <v>75</v>
      </c>
      <c r="F327">
        <v>83.25</v>
      </c>
      <c r="G327" s="2">
        <v>6243.75</v>
      </c>
      <c r="H327" t="s">
        <v>413</v>
      </c>
      <c r="I327">
        <v>6.24</v>
      </c>
      <c r="J327">
        <v>2.2200000000000002</v>
      </c>
      <c r="K327">
        <v>0</v>
      </c>
      <c r="L327">
        <v>0.01</v>
      </c>
      <c r="M327">
        <v>29</v>
      </c>
      <c r="N327">
        <v>5.62</v>
      </c>
      <c r="O327">
        <v>43.09</v>
      </c>
    </row>
    <row r="328" spans="1:15" x14ac:dyDescent="0.25">
      <c r="A328" s="1">
        <v>45756</v>
      </c>
      <c r="B328" t="s">
        <v>407</v>
      </c>
      <c r="C328" t="s">
        <v>16</v>
      </c>
      <c r="D328" t="s">
        <v>17</v>
      </c>
      <c r="E328">
        <v>75</v>
      </c>
      <c r="F328">
        <v>68.099999999999994</v>
      </c>
      <c r="G328" s="2">
        <v>5107.5</v>
      </c>
      <c r="H328" t="s">
        <v>414</v>
      </c>
      <c r="I328">
        <v>0</v>
      </c>
      <c r="J328">
        <v>1.81</v>
      </c>
      <c r="K328">
        <v>0.23</v>
      </c>
      <c r="L328">
        <v>0.01</v>
      </c>
      <c r="M328">
        <v>29</v>
      </c>
      <c r="N328">
        <v>5.54</v>
      </c>
      <c r="O328">
        <v>36.590000000000003</v>
      </c>
    </row>
    <row r="329" spans="1:15" x14ac:dyDescent="0.25">
      <c r="A329" s="1">
        <v>45756</v>
      </c>
      <c r="B329" t="s">
        <v>398</v>
      </c>
      <c r="C329" t="s">
        <v>16</v>
      </c>
      <c r="D329" t="s">
        <v>17</v>
      </c>
      <c r="E329">
        <v>75</v>
      </c>
      <c r="F329">
        <v>83.3</v>
      </c>
      <c r="G329" s="2">
        <v>6247.5</v>
      </c>
      <c r="H329" t="s">
        <v>415</v>
      </c>
      <c r="I329">
        <v>0</v>
      </c>
      <c r="J329">
        <v>2.2200000000000002</v>
      </c>
      <c r="K329">
        <v>0</v>
      </c>
      <c r="L329">
        <v>0.01</v>
      </c>
      <c r="M329">
        <v>29</v>
      </c>
      <c r="N329">
        <v>5.62</v>
      </c>
      <c r="O329">
        <v>36.85</v>
      </c>
    </row>
    <row r="330" spans="1:15" x14ac:dyDescent="0.25">
      <c r="A330" s="1">
        <v>45756</v>
      </c>
      <c r="B330" t="s">
        <v>398</v>
      </c>
      <c r="C330" t="s">
        <v>16</v>
      </c>
      <c r="D330" t="s">
        <v>20</v>
      </c>
      <c r="E330">
        <v>75</v>
      </c>
      <c r="F330">
        <v>81</v>
      </c>
      <c r="G330" s="2">
        <v>6075</v>
      </c>
      <c r="H330" t="s">
        <v>416</v>
      </c>
      <c r="I330">
        <v>6.47</v>
      </c>
      <c r="J330">
        <v>2.16</v>
      </c>
      <c r="K330">
        <v>0</v>
      </c>
      <c r="L330">
        <v>0.01</v>
      </c>
      <c r="M330">
        <v>29</v>
      </c>
      <c r="N330">
        <v>5.62</v>
      </c>
      <c r="O330">
        <v>43.26</v>
      </c>
    </row>
    <row r="331" spans="1:15" x14ac:dyDescent="0.25">
      <c r="A331" s="1">
        <v>45908</v>
      </c>
      <c r="B331" t="s">
        <v>378</v>
      </c>
      <c r="C331" t="s">
        <v>16</v>
      </c>
      <c r="D331" t="s">
        <v>20</v>
      </c>
      <c r="E331">
        <v>75</v>
      </c>
      <c r="F331">
        <v>21.95</v>
      </c>
      <c r="G331" s="2">
        <v>1646.25</v>
      </c>
      <c r="H331" t="s">
        <v>417</v>
      </c>
      <c r="I331">
        <v>1.65</v>
      </c>
      <c r="J331">
        <v>0.57999999999999996</v>
      </c>
      <c r="K331">
        <v>0</v>
      </c>
      <c r="L331">
        <v>0</v>
      </c>
      <c r="M331">
        <v>29</v>
      </c>
      <c r="N331">
        <v>5.32</v>
      </c>
      <c r="O331">
        <v>36.549999999999997</v>
      </c>
    </row>
    <row r="332" spans="1:15" x14ac:dyDescent="0.25">
      <c r="A332" s="1">
        <v>45908</v>
      </c>
      <c r="B332" t="s">
        <v>378</v>
      </c>
      <c r="C332" t="s">
        <v>16</v>
      </c>
      <c r="D332" t="s">
        <v>20</v>
      </c>
      <c r="E332">
        <v>975</v>
      </c>
      <c r="F332">
        <v>18.25</v>
      </c>
      <c r="G332" s="2">
        <v>17793.75</v>
      </c>
      <c r="H332" t="s">
        <v>418</v>
      </c>
      <c r="I332">
        <v>17.809999999999999</v>
      </c>
      <c r="J332">
        <v>6.33</v>
      </c>
      <c r="K332">
        <v>0</v>
      </c>
      <c r="L332">
        <v>0.02</v>
      </c>
      <c r="M332">
        <v>377</v>
      </c>
      <c r="N332">
        <v>69.02</v>
      </c>
      <c r="O332">
        <v>470.18</v>
      </c>
    </row>
    <row r="333" spans="1:15" x14ac:dyDescent="0.25">
      <c r="A333" s="1">
        <v>45908</v>
      </c>
      <c r="B333" t="s">
        <v>378</v>
      </c>
      <c r="C333" t="s">
        <v>16</v>
      </c>
      <c r="D333" t="s">
        <v>20</v>
      </c>
      <c r="E333">
        <v>150</v>
      </c>
      <c r="F333">
        <v>19.95</v>
      </c>
      <c r="G333" s="2">
        <v>2992.5</v>
      </c>
      <c r="H333" t="s">
        <v>419</v>
      </c>
      <c r="I333">
        <v>2.99</v>
      </c>
      <c r="J333">
        <v>1.06</v>
      </c>
      <c r="K333">
        <v>0</v>
      </c>
      <c r="L333">
        <v>0</v>
      </c>
      <c r="M333">
        <v>58</v>
      </c>
      <c r="N333">
        <v>10.64</v>
      </c>
      <c r="O333">
        <v>72.69</v>
      </c>
    </row>
    <row r="334" spans="1:15" x14ac:dyDescent="0.25">
      <c r="A334" s="1">
        <v>45908</v>
      </c>
      <c r="B334" t="s">
        <v>378</v>
      </c>
      <c r="C334" t="s">
        <v>16</v>
      </c>
      <c r="D334" t="s">
        <v>17</v>
      </c>
      <c r="E334">
        <v>450</v>
      </c>
      <c r="F334">
        <v>30.4</v>
      </c>
      <c r="G334" s="2">
        <v>13680</v>
      </c>
      <c r="H334" t="s">
        <v>420</v>
      </c>
      <c r="I334">
        <v>0</v>
      </c>
      <c r="J334">
        <v>4.8600000000000003</v>
      </c>
      <c r="K334">
        <v>0</v>
      </c>
      <c r="L334">
        <v>0.01</v>
      </c>
      <c r="M334">
        <v>174</v>
      </c>
      <c r="N334">
        <v>32.200000000000003</v>
      </c>
      <c r="O334">
        <v>211.07</v>
      </c>
    </row>
    <row r="335" spans="1:15" x14ac:dyDescent="0.25">
      <c r="A335" s="1">
        <v>45908</v>
      </c>
      <c r="B335" t="s">
        <v>378</v>
      </c>
      <c r="C335" t="s">
        <v>16</v>
      </c>
      <c r="D335" t="s">
        <v>17</v>
      </c>
      <c r="E335">
        <v>450</v>
      </c>
      <c r="F335">
        <v>31.9</v>
      </c>
      <c r="G335" s="2">
        <v>14355</v>
      </c>
      <c r="H335" t="s">
        <v>421</v>
      </c>
      <c r="I335">
        <v>0</v>
      </c>
      <c r="J335">
        <v>5.0999999999999996</v>
      </c>
      <c r="K335">
        <v>2</v>
      </c>
      <c r="L335">
        <v>0.01</v>
      </c>
      <c r="M335">
        <v>174</v>
      </c>
      <c r="N335">
        <v>32.24</v>
      </c>
      <c r="O335">
        <v>213.35</v>
      </c>
    </row>
    <row r="336" spans="1:15" x14ac:dyDescent="0.25">
      <c r="A336" s="1">
        <v>45908</v>
      </c>
      <c r="B336" t="s">
        <v>378</v>
      </c>
      <c r="C336" t="s">
        <v>16</v>
      </c>
      <c r="D336" t="s">
        <v>17</v>
      </c>
      <c r="E336">
        <v>450</v>
      </c>
      <c r="F336">
        <v>41.05</v>
      </c>
      <c r="G336" s="2">
        <v>18472.5</v>
      </c>
      <c r="H336" t="s">
        <v>422</v>
      </c>
      <c r="I336">
        <v>0</v>
      </c>
      <c r="J336">
        <v>6.56</v>
      </c>
      <c r="K336">
        <v>0</v>
      </c>
      <c r="L336">
        <v>0.02</v>
      </c>
      <c r="M336">
        <v>174</v>
      </c>
      <c r="N336">
        <v>32.5</v>
      </c>
      <c r="O336">
        <v>213.08</v>
      </c>
    </row>
    <row r="337" spans="1:15" x14ac:dyDescent="0.25">
      <c r="A337" s="1">
        <v>45908</v>
      </c>
      <c r="B337" t="s">
        <v>378</v>
      </c>
      <c r="C337" t="s">
        <v>16</v>
      </c>
      <c r="D337" t="s">
        <v>20</v>
      </c>
      <c r="E337">
        <v>900</v>
      </c>
      <c r="F337">
        <v>37.950000000000003</v>
      </c>
      <c r="G337" s="2">
        <v>34155</v>
      </c>
      <c r="H337" t="s">
        <v>423</v>
      </c>
      <c r="I337">
        <v>34.42</v>
      </c>
      <c r="J337">
        <v>12.14</v>
      </c>
      <c r="K337">
        <v>0</v>
      </c>
      <c r="L337">
        <v>0.03</v>
      </c>
      <c r="M337">
        <v>348</v>
      </c>
      <c r="N337">
        <v>64.84</v>
      </c>
      <c r="O337">
        <v>459.43</v>
      </c>
    </row>
    <row r="338" spans="1:15" x14ac:dyDescent="0.25">
      <c r="A338" s="1">
        <v>45908</v>
      </c>
      <c r="B338" t="s">
        <v>378</v>
      </c>
      <c r="C338" t="s">
        <v>16</v>
      </c>
      <c r="D338" t="s">
        <v>17</v>
      </c>
      <c r="E338">
        <v>450</v>
      </c>
      <c r="F338">
        <v>34.950000000000003</v>
      </c>
      <c r="G338" s="2">
        <v>15727.5</v>
      </c>
      <c r="H338" t="s">
        <v>424</v>
      </c>
      <c r="I338">
        <v>0</v>
      </c>
      <c r="J338">
        <v>5.58</v>
      </c>
      <c r="K338">
        <v>0</v>
      </c>
      <c r="L338">
        <v>0.02</v>
      </c>
      <c r="M338">
        <v>174</v>
      </c>
      <c r="N338">
        <v>32.32</v>
      </c>
      <c r="O338">
        <v>211.92</v>
      </c>
    </row>
    <row r="339" spans="1:15" x14ac:dyDescent="0.25">
      <c r="A339" s="1">
        <v>45908</v>
      </c>
      <c r="B339" t="s">
        <v>378</v>
      </c>
      <c r="C339" t="s">
        <v>16</v>
      </c>
      <c r="D339" t="s">
        <v>17</v>
      </c>
      <c r="E339">
        <v>450</v>
      </c>
      <c r="F339">
        <v>38.65</v>
      </c>
      <c r="G339" s="2">
        <v>17392.5</v>
      </c>
      <c r="H339" t="s">
        <v>425</v>
      </c>
      <c r="I339">
        <v>0</v>
      </c>
      <c r="J339">
        <v>6.18</v>
      </c>
      <c r="K339">
        <v>0</v>
      </c>
      <c r="L339">
        <v>0.01</v>
      </c>
      <c r="M339">
        <v>174</v>
      </c>
      <c r="N339">
        <v>32.42</v>
      </c>
      <c r="O339">
        <v>212.61</v>
      </c>
    </row>
    <row r="340" spans="1:15" x14ac:dyDescent="0.25">
      <c r="A340" s="1">
        <v>45908</v>
      </c>
      <c r="B340" t="s">
        <v>378</v>
      </c>
      <c r="C340" t="s">
        <v>16</v>
      </c>
      <c r="D340" t="s">
        <v>20</v>
      </c>
      <c r="E340">
        <v>150</v>
      </c>
      <c r="F340">
        <v>20.95</v>
      </c>
      <c r="G340" s="2">
        <v>3142.5</v>
      </c>
      <c r="H340" t="s">
        <v>426</v>
      </c>
      <c r="I340">
        <v>3.14</v>
      </c>
      <c r="J340">
        <v>1.1200000000000001</v>
      </c>
      <c r="K340">
        <v>0</v>
      </c>
      <c r="L340">
        <v>0</v>
      </c>
      <c r="M340">
        <v>58</v>
      </c>
      <c r="N340">
        <v>10.64</v>
      </c>
      <c r="O340">
        <v>72.900000000000006</v>
      </c>
    </row>
    <row r="341" spans="1:15" x14ac:dyDescent="0.25">
      <c r="A341" s="1">
        <v>45785</v>
      </c>
      <c r="B341" t="s">
        <v>427</v>
      </c>
      <c r="C341" t="s">
        <v>16</v>
      </c>
      <c r="D341" t="s">
        <v>20</v>
      </c>
      <c r="E341">
        <v>225</v>
      </c>
      <c r="F341">
        <v>10.199999999999999</v>
      </c>
      <c r="G341" s="2">
        <v>2295</v>
      </c>
      <c r="H341" t="s">
        <v>428</v>
      </c>
      <c r="I341">
        <v>2.2999999999999998</v>
      </c>
      <c r="J341">
        <v>0.81</v>
      </c>
      <c r="K341">
        <v>0</v>
      </c>
      <c r="L341">
        <v>0</v>
      </c>
      <c r="M341">
        <v>87</v>
      </c>
      <c r="N341">
        <v>15.8</v>
      </c>
      <c r="O341">
        <v>105.91</v>
      </c>
    </row>
    <row r="342" spans="1:15" x14ac:dyDescent="0.25">
      <c r="A342" s="1">
        <v>45785</v>
      </c>
      <c r="B342" t="s">
        <v>427</v>
      </c>
      <c r="C342" t="s">
        <v>16</v>
      </c>
      <c r="D342" t="s">
        <v>17</v>
      </c>
      <c r="E342">
        <v>225</v>
      </c>
      <c r="F342">
        <v>11.65</v>
      </c>
      <c r="G342" s="2">
        <v>2621.25</v>
      </c>
      <c r="H342" t="s">
        <v>429</v>
      </c>
      <c r="I342">
        <v>0</v>
      </c>
      <c r="J342">
        <v>0.93</v>
      </c>
      <c r="K342">
        <v>0</v>
      </c>
      <c r="L342">
        <v>0</v>
      </c>
      <c r="M342">
        <v>87</v>
      </c>
      <c r="N342">
        <v>15.82</v>
      </c>
      <c r="O342">
        <v>103.75</v>
      </c>
    </row>
    <row r="343" spans="1:15" x14ac:dyDescent="0.25">
      <c r="A343" s="1">
        <v>45785</v>
      </c>
      <c r="B343" t="s">
        <v>427</v>
      </c>
      <c r="C343" t="s">
        <v>16</v>
      </c>
      <c r="D343" t="s">
        <v>20</v>
      </c>
      <c r="E343">
        <v>300</v>
      </c>
      <c r="F343">
        <v>11.35</v>
      </c>
      <c r="G343" s="2">
        <v>3405</v>
      </c>
      <c r="H343" t="s">
        <v>430</v>
      </c>
      <c r="I343">
        <v>3.7</v>
      </c>
      <c r="J343">
        <v>1.2</v>
      </c>
      <c r="K343">
        <v>0</v>
      </c>
      <c r="L343">
        <v>0</v>
      </c>
      <c r="M343">
        <v>116</v>
      </c>
      <c r="N343">
        <v>21.1</v>
      </c>
      <c r="O343">
        <v>142</v>
      </c>
    </row>
    <row r="344" spans="1:15" x14ac:dyDescent="0.25">
      <c r="A344" s="1">
        <v>45785</v>
      </c>
      <c r="B344" t="s">
        <v>427</v>
      </c>
      <c r="C344" t="s">
        <v>16</v>
      </c>
      <c r="D344" t="s">
        <v>17</v>
      </c>
      <c r="E344">
        <v>75</v>
      </c>
      <c r="F344">
        <v>16.350000000000001</v>
      </c>
      <c r="G344" s="2">
        <v>1226.25</v>
      </c>
      <c r="H344" t="s">
        <v>431</v>
      </c>
      <c r="I344">
        <v>0</v>
      </c>
      <c r="J344">
        <v>0.44</v>
      </c>
      <c r="K344">
        <v>0</v>
      </c>
      <c r="L344">
        <v>0</v>
      </c>
      <c r="M344">
        <v>29</v>
      </c>
      <c r="N344">
        <v>5.3</v>
      </c>
      <c r="O344">
        <v>34.74</v>
      </c>
    </row>
    <row r="345" spans="1:15" x14ac:dyDescent="0.25">
      <c r="A345" s="1">
        <v>45785</v>
      </c>
      <c r="B345" t="s">
        <v>427</v>
      </c>
      <c r="C345" t="s">
        <v>16</v>
      </c>
      <c r="D345" t="s">
        <v>17</v>
      </c>
      <c r="E345">
        <v>75</v>
      </c>
      <c r="F345">
        <v>24.85</v>
      </c>
      <c r="G345" s="2">
        <v>1863.75</v>
      </c>
      <c r="H345" t="s">
        <v>432</v>
      </c>
      <c r="I345">
        <v>0</v>
      </c>
      <c r="J345">
        <v>0.66</v>
      </c>
      <c r="K345">
        <v>0</v>
      </c>
      <c r="L345">
        <v>0</v>
      </c>
      <c r="M345">
        <v>29</v>
      </c>
      <c r="N345">
        <v>5.34</v>
      </c>
      <c r="O345">
        <v>35</v>
      </c>
    </row>
    <row r="346" spans="1:15" x14ac:dyDescent="0.25">
      <c r="A346" s="1">
        <v>45785</v>
      </c>
      <c r="B346" t="s">
        <v>427</v>
      </c>
      <c r="C346" t="s">
        <v>16</v>
      </c>
      <c r="D346" t="s">
        <v>17</v>
      </c>
      <c r="E346">
        <v>150</v>
      </c>
      <c r="F346">
        <v>37.450000000000003</v>
      </c>
      <c r="G346" s="2">
        <v>5617.5</v>
      </c>
      <c r="H346" t="s">
        <v>433</v>
      </c>
      <c r="I346">
        <v>0</v>
      </c>
      <c r="J346">
        <v>2</v>
      </c>
      <c r="K346">
        <v>0</v>
      </c>
      <c r="L346">
        <v>0.01</v>
      </c>
      <c r="M346">
        <v>58</v>
      </c>
      <c r="N346">
        <v>10.8</v>
      </c>
      <c r="O346">
        <v>70.81</v>
      </c>
    </row>
    <row r="347" spans="1:15" x14ac:dyDescent="0.25">
      <c r="A347" s="1">
        <v>45999</v>
      </c>
      <c r="B347" t="s">
        <v>434</v>
      </c>
      <c r="C347" t="s">
        <v>16</v>
      </c>
      <c r="D347" t="s">
        <v>20</v>
      </c>
      <c r="E347">
        <v>75</v>
      </c>
      <c r="F347">
        <v>77.25</v>
      </c>
      <c r="G347" s="2">
        <v>5793.75</v>
      </c>
      <c r="H347" t="s">
        <v>435</v>
      </c>
      <c r="I347">
        <v>6</v>
      </c>
      <c r="J347">
        <v>2.06</v>
      </c>
      <c r="K347">
        <v>0</v>
      </c>
      <c r="L347">
        <v>0.01</v>
      </c>
      <c r="M347">
        <v>29</v>
      </c>
      <c r="N347">
        <v>5.6</v>
      </c>
      <c r="O347">
        <v>42.67</v>
      </c>
    </row>
    <row r="348" spans="1:15" x14ac:dyDescent="0.25">
      <c r="A348" s="1">
        <v>45755</v>
      </c>
      <c r="B348" t="s">
        <v>436</v>
      </c>
      <c r="C348" t="s">
        <v>16</v>
      </c>
      <c r="D348" t="s">
        <v>17</v>
      </c>
      <c r="E348">
        <v>75</v>
      </c>
      <c r="F348">
        <v>154.19999999999999</v>
      </c>
      <c r="G348" s="2">
        <v>11565</v>
      </c>
      <c r="H348" t="s">
        <v>437</v>
      </c>
      <c r="I348">
        <v>0</v>
      </c>
      <c r="J348">
        <v>4.1100000000000003</v>
      </c>
      <c r="K348">
        <v>0</v>
      </c>
      <c r="L348">
        <v>0.01</v>
      </c>
      <c r="M348">
        <v>29</v>
      </c>
      <c r="N348">
        <v>5.96</v>
      </c>
      <c r="O348">
        <v>39.08</v>
      </c>
    </row>
    <row r="349" spans="1:15" x14ac:dyDescent="0.25">
      <c r="A349" s="1">
        <v>45755</v>
      </c>
      <c r="B349" t="s">
        <v>436</v>
      </c>
      <c r="C349" t="s">
        <v>16</v>
      </c>
      <c r="D349" t="s">
        <v>20</v>
      </c>
      <c r="E349">
        <v>75</v>
      </c>
      <c r="F349">
        <v>167.95</v>
      </c>
      <c r="G349" s="2">
        <v>12596.25</v>
      </c>
      <c r="H349" t="s">
        <v>438</v>
      </c>
      <c r="I349">
        <v>12.65</v>
      </c>
      <c r="J349">
        <v>4.4800000000000004</v>
      </c>
      <c r="K349">
        <v>0</v>
      </c>
      <c r="L349">
        <v>0.01</v>
      </c>
      <c r="M349">
        <v>29</v>
      </c>
      <c r="N349">
        <v>6.02</v>
      </c>
      <c r="O349">
        <v>52.16</v>
      </c>
    </row>
    <row r="350" spans="1:15" x14ac:dyDescent="0.25">
      <c r="A350" s="1">
        <v>45755</v>
      </c>
      <c r="B350" t="s">
        <v>439</v>
      </c>
      <c r="C350" t="s">
        <v>16</v>
      </c>
      <c r="D350" t="s">
        <v>17</v>
      </c>
      <c r="E350">
        <v>75</v>
      </c>
      <c r="F350">
        <v>138.5</v>
      </c>
      <c r="G350" s="2">
        <v>10387.5</v>
      </c>
      <c r="H350" t="s">
        <v>440</v>
      </c>
      <c r="I350">
        <v>0</v>
      </c>
      <c r="J350">
        <v>3.69</v>
      </c>
      <c r="K350">
        <v>0.89</v>
      </c>
      <c r="L350">
        <v>0.01</v>
      </c>
      <c r="M350">
        <v>29</v>
      </c>
      <c r="N350">
        <v>5.88</v>
      </c>
      <c r="O350">
        <v>39.47</v>
      </c>
    </row>
    <row r="351" spans="1:15" x14ac:dyDescent="0.25">
      <c r="A351" s="1">
        <v>45755</v>
      </c>
      <c r="B351" t="s">
        <v>439</v>
      </c>
      <c r="C351" t="s">
        <v>16</v>
      </c>
      <c r="D351" t="s">
        <v>20</v>
      </c>
      <c r="E351">
        <v>75</v>
      </c>
      <c r="F351">
        <v>149.80000000000001</v>
      </c>
      <c r="G351" s="2">
        <v>11235</v>
      </c>
      <c r="H351" t="s">
        <v>441</v>
      </c>
      <c r="I351">
        <v>11.24</v>
      </c>
      <c r="J351">
        <v>3.99</v>
      </c>
      <c r="K351">
        <v>0</v>
      </c>
      <c r="L351">
        <v>0.01</v>
      </c>
      <c r="M351">
        <v>29</v>
      </c>
      <c r="N351">
        <v>5.94</v>
      </c>
      <c r="O351">
        <v>50.18</v>
      </c>
    </row>
    <row r="352" spans="1:15" x14ac:dyDescent="0.25">
      <c r="A352" s="1">
        <v>45755</v>
      </c>
      <c r="B352" t="s">
        <v>436</v>
      </c>
      <c r="C352" t="s">
        <v>16</v>
      </c>
      <c r="D352" t="s">
        <v>17</v>
      </c>
      <c r="E352">
        <v>75</v>
      </c>
      <c r="F352">
        <v>215.85</v>
      </c>
      <c r="G352" s="2">
        <v>16188.75</v>
      </c>
      <c r="H352" t="s">
        <v>442</v>
      </c>
      <c r="I352">
        <v>0</v>
      </c>
      <c r="J352">
        <v>5.75</v>
      </c>
      <c r="K352">
        <v>0.83</v>
      </c>
      <c r="L352">
        <v>0.02</v>
      </c>
      <c r="M352">
        <v>29</v>
      </c>
      <c r="N352">
        <v>6.26</v>
      </c>
      <c r="O352">
        <v>41.86</v>
      </c>
    </row>
    <row r="353" spans="1:15" x14ac:dyDescent="0.25">
      <c r="A353" s="1">
        <v>45755</v>
      </c>
      <c r="B353" t="s">
        <v>436</v>
      </c>
      <c r="C353" t="s">
        <v>16</v>
      </c>
      <c r="D353" t="s">
        <v>20</v>
      </c>
      <c r="E353">
        <v>75</v>
      </c>
      <c r="F353">
        <v>228.5</v>
      </c>
      <c r="G353" s="2">
        <v>17137.5</v>
      </c>
      <c r="H353" t="s">
        <v>443</v>
      </c>
      <c r="I353">
        <v>17.14</v>
      </c>
      <c r="J353">
        <v>6.09</v>
      </c>
      <c r="K353">
        <v>0</v>
      </c>
      <c r="L353">
        <v>0.02</v>
      </c>
      <c r="M353">
        <v>29</v>
      </c>
      <c r="N353">
        <v>6.32</v>
      </c>
      <c r="O353">
        <v>58.57</v>
      </c>
    </row>
    <row r="354" spans="1:15" x14ac:dyDescent="0.25">
      <c r="A354" s="1">
        <v>45755</v>
      </c>
      <c r="B354" t="s">
        <v>439</v>
      </c>
      <c r="C354" t="s">
        <v>16</v>
      </c>
      <c r="D354" t="s">
        <v>17</v>
      </c>
      <c r="E354">
        <v>75</v>
      </c>
      <c r="F354">
        <v>160.25</v>
      </c>
      <c r="G354" s="2">
        <v>12018.75</v>
      </c>
      <c r="H354" t="s">
        <v>444</v>
      </c>
      <c r="I354">
        <v>0</v>
      </c>
      <c r="J354">
        <v>4.2699999999999996</v>
      </c>
      <c r="K354">
        <v>0</v>
      </c>
      <c r="L354">
        <v>0.01</v>
      </c>
      <c r="M354">
        <v>29</v>
      </c>
      <c r="N354">
        <v>6</v>
      </c>
      <c r="O354">
        <v>39.28</v>
      </c>
    </row>
    <row r="355" spans="1:15" x14ac:dyDescent="0.25">
      <c r="A355" s="1">
        <v>45755</v>
      </c>
      <c r="B355" t="s">
        <v>439</v>
      </c>
      <c r="C355" t="s">
        <v>16</v>
      </c>
      <c r="D355" t="s">
        <v>20</v>
      </c>
      <c r="E355">
        <v>75</v>
      </c>
      <c r="F355">
        <v>90.1</v>
      </c>
      <c r="G355" s="2">
        <v>6757.5</v>
      </c>
      <c r="H355" t="s">
        <v>445</v>
      </c>
      <c r="I355">
        <v>6.76</v>
      </c>
      <c r="J355">
        <v>2.4</v>
      </c>
      <c r="K355">
        <v>0</v>
      </c>
      <c r="L355">
        <v>0.01</v>
      </c>
      <c r="M355">
        <v>29</v>
      </c>
      <c r="N355">
        <v>5.66</v>
      </c>
      <c r="O355">
        <v>43.83</v>
      </c>
    </row>
    <row r="356" spans="1:15" x14ac:dyDescent="0.25">
      <c r="A356" s="1">
        <v>45755</v>
      </c>
      <c r="B356" t="s">
        <v>439</v>
      </c>
      <c r="C356" t="s">
        <v>16</v>
      </c>
      <c r="D356" t="s">
        <v>17</v>
      </c>
      <c r="E356">
        <v>75</v>
      </c>
      <c r="F356">
        <v>102.1</v>
      </c>
      <c r="G356" s="2">
        <v>7657.5</v>
      </c>
      <c r="H356" t="s">
        <v>446</v>
      </c>
      <c r="I356">
        <v>0</v>
      </c>
      <c r="J356">
        <v>2.72</v>
      </c>
      <c r="K356">
        <v>0</v>
      </c>
      <c r="L356">
        <v>0.01</v>
      </c>
      <c r="M356">
        <v>29</v>
      </c>
      <c r="N356">
        <v>5.72</v>
      </c>
      <c r="O356">
        <v>37.450000000000003</v>
      </c>
    </row>
    <row r="357" spans="1:15" x14ac:dyDescent="0.25">
      <c r="A357" s="1">
        <v>45755</v>
      </c>
      <c r="B357" t="s">
        <v>439</v>
      </c>
      <c r="C357" t="s">
        <v>16</v>
      </c>
      <c r="D357" t="s">
        <v>20</v>
      </c>
      <c r="E357">
        <v>75</v>
      </c>
      <c r="F357">
        <v>98.65</v>
      </c>
      <c r="G357" s="2">
        <v>7398.75</v>
      </c>
      <c r="H357" t="s">
        <v>447</v>
      </c>
      <c r="I357">
        <v>7.4</v>
      </c>
      <c r="J357">
        <v>2.63</v>
      </c>
      <c r="K357">
        <v>0</v>
      </c>
      <c r="L357">
        <v>0.01</v>
      </c>
      <c r="M357">
        <v>29</v>
      </c>
      <c r="N357">
        <v>5.7</v>
      </c>
      <c r="O357">
        <v>44.74</v>
      </c>
    </row>
    <row r="358" spans="1:15" x14ac:dyDescent="0.25">
      <c r="A358" s="1">
        <v>45755</v>
      </c>
      <c r="B358" t="s">
        <v>439</v>
      </c>
      <c r="C358" t="s">
        <v>16</v>
      </c>
      <c r="D358" t="s">
        <v>17</v>
      </c>
      <c r="E358">
        <v>75</v>
      </c>
      <c r="F358">
        <v>101.25</v>
      </c>
      <c r="G358" s="2">
        <v>7593.75</v>
      </c>
      <c r="H358" t="s">
        <v>448</v>
      </c>
      <c r="I358">
        <v>0</v>
      </c>
      <c r="J358">
        <v>2.7</v>
      </c>
      <c r="K358">
        <v>0</v>
      </c>
      <c r="L358">
        <v>0.01</v>
      </c>
      <c r="M358">
        <v>29</v>
      </c>
      <c r="N358">
        <v>5.7</v>
      </c>
      <c r="O358">
        <v>37.409999999999997</v>
      </c>
    </row>
    <row r="359" spans="1:15" x14ac:dyDescent="0.25">
      <c r="A359" s="1">
        <v>45755</v>
      </c>
      <c r="B359" t="s">
        <v>439</v>
      </c>
      <c r="C359" t="s">
        <v>16</v>
      </c>
      <c r="D359" t="s">
        <v>20</v>
      </c>
      <c r="E359">
        <v>75</v>
      </c>
      <c r="F359">
        <v>131.25</v>
      </c>
      <c r="G359" s="2">
        <v>9843.75</v>
      </c>
      <c r="H359" t="s">
        <v>449</v>
      </c>
      <c r="I359">
        <v>9.84</v>
      </c>
      <c r="J359">
        <v>3.5</v>
      </c>
      <c r="K359">
        <v>0</v>
      </c>
      <c r="L359">
        <v>0.01</v>
      </c>
      <c r="M359">
        <v>29</v>
      </c>
      <c r="N359">
        <v>5.86</v>
      </c>
      <c r="O359">
        <v>48.21</v>
      </c>
    </row>
    <row r="360" spans="1:15" x14ac:dyDescent="0.25">
      <c r="A360" s="1">
        <v>45755</v>
      </c>
      <c r="B360" t="s">
        <v>450</v>
      </c>
      <c r="C360" t="s">
        <v>16</v>
      </c>
      <c r="D360" t="s">
        <v>17</v>
      </c>
      <c r="E360">
        <v>75</v>
      </c>
      <c r="F360">
        <v>122.7</v>
      </c>
      <c r="G360" s="2">
        <v>9202.5</v>
      </c>
      <c r="H360" t="s">
        <v>451</v>
      </c>
      <c r="I360">
        <v>0</v>
      </c>
      <c r="J360">
        <v>3.27</v>
      </c>
      <c r="K360">
        <v>0.28000000000000003</v>
      </c>
      <c r="L360">
        <v>0.01</v>
      </c>
      <c r="M360">
        <v>29</v>
      </c>
      <c r="N360">
        <v>5.82</v>
      </c>
      <c r="O360">
        <v>38.380000000000003</v>
      </c>
    </row>
    <row r="361" spans="1:15" x14ac:dyDescent="0.25">
      <c r="A361" s="1">
        <v>45755</v>
      </c>
      <c r="B361" t="s">
        <v>450</v>
      </c>
      <c r="C361" t="s">
        <v>16</v>
      </c>
      <c r="D361" t="s">
        <v>20</v>
      </c>
      <c r="E361">
        <v>75</v>
      </c>
      <c r="F361">
        <v>139.69999999999999</v>
      </c>
      <c r="G361" s="2">
        <v>10477.5</v>
      </c>
      <c r="H361" t="s">
        <v>452</v>
      </c>
      <c r="I361">
        <v>10.48</v>
      </c>
      <c r="J361">
        <v>3.72</v>
      </c>
      <c r="K361">
        <v>0</v>
      </c>
      <c r="L361">
        <v>0.01</v>
      </c>
      <c r="M361">
        <v>29</v>
      </c>
      <c r="N361">
        <v>5.9</v>
      </c>
      <c r="O361">
        <v>49.11</v>
      </c>
    </row>
    <row r="362" spans="1:15" x14ac:dyDescent="0.25">
      <c r="A362" s="1">
        <v>45755</v>
      </c>
      <c r="B362" t="s">
        <v>439</v>
      </c>
      <c r="C362" t="s">
        <v>16</v>
      </c>
      <c r="D362" t="s">
        <v>17</v>
      </c>
      <c r="E362">
        <v>75</v>
      </c>
      <c r="F362">
        <v>92.25</v>
      </c>
      <c r="G362" s="2">
        <v>6918.75</v>
      </c>
      <c r="H362" t="s">
        <v>453</v>
      </c>
      <c r="I362">
        <v>0</v>
      </c>
      <c r="J362">
        <v>2.46</v>
      </c>
      <c r="K362">
        <v>0</v>
      </c>
      <c r="L362">
        <v>0.01</v>
      </c>
      <c r="M362">
        <v>29</v>
      </c>
      <c r="N362">
        <v>5.66</v>
      </c>
      <c r="O362">
        <v>37.130000000000003</v>
      </c>
    </row>
    <row r="363" spans="1:15" x14ac:dyDescent="0.25">
      <c r="A363" s="1">
        <v>45755</v>
      </c>
      <c r="B363" t="s">
        <v>439</v>
      </c>
      <c r="C363" t="s">
        <v>16</v>
      </c>
      <c r="D363" t="s">
        <v>20</v>
      </c>
      <c r="E363">
        <v>75</v>
      </c>
      <c r="F363">
        <v>86.7</v>
      </c>
      <c r="G363" s="2">
        <v>6502.5</v>
      </c>
      <c r="H363" t="s">
        <v>454</v>
      </c>
      <c r="I363">
        <v>6.5</v>
      </c>
      <c r="J363">
        <v>2.31</v>
      </c>
      <c r="K363">
        <v>0</v>
      </c>
      <c r="L363">
        <v>0.01</v>
      </c>
      <c r="M363">
        <v>29</v>
      </c>
      <c r="N363">
        <v>5.64</v>
      </c>
      <c r="O363">
        <v>43.46</v>
      </c>
    </row>
    <row r="364" spans="1:15" x14ac:dyDescent="0.25">
      <c r="A364" s="1">
        <v>45784</v>
      </c>
      <c r="B364" t="s">
        <v>455</v>
      </c>
      <c r="C364" t="s">
        <v>16</v>
      </c>
      <c r="D364" t="s">
        <v>17</v>
      </c>
      <c r="E364">
        <v>150</v>
      </c>
      <c r="F364">
        <v>99.75</v>
      </c>
      <c r="G364" s="2">
        <v>14962.5</v>
      </c>
      <c r="H364" t="s">
        <v>456</v>
      </c>
      <c r="I364">
        <v>0</v>
      </c>
      <c r="J364">
        <v>5.32</v>
      </c>
      <c r="K364">
        <v>0</v>
      </c>
      <c r="L364">
        <v>0.01</v>
      </c>
      <c r="M364">
        <v>58</v>
      </c>
      <c r="N364">
        <v>11.4</v>
      </c>
      <c r="O364">
        <v>74.73</v>
      </c>
    </row>
    <row r="365" spans="1:15" x14ac:dyDescent="0.25">
      <c r="A365" s="1">
        <v>45784</v>
      </c>
      <c r="B365" t="s">
        <v>455</v>
      </c>
      <c r="C365" t="s">
        <v>16</v>
      </c>
      <c r="D365" t="s">
        <v>20</v>
      </c>
      <c r="E365">
        <v>150</v>
      </c>
      <c r="F365">
        <v>91.4</v>
      </c>
      <c r="G365" s="2">
        <v>13710</v>
      </c>
      <c r="H365" t="s">
        <v>457</v>
      </c>
      <c r="I365">
        <v>13.72</v>
      </c>
      <c r="J365">
        <v>4.88</v>
      </c>
      <c r="K365">
        <v>0</v>
      </c>
      <c r="L365">
        <v>0.02</v>
      </c>
      <c r="M365">
        <v>58</v>
      </c>
      <c r="N365">
        <v>11.32</v>
      </c>
      <c r="O365">
        <v>87.94</v>
      </c>
    </row>
    <row r="366" spans="1:15" x14ac:dyDescent="0.25">
      <c r="A366" s="1">
        <v>45784</v>
      </c>
      <c r="B366" t="s">
        <v>455</v>
      </c>
      <c r="C366" t="s">
        <v>16</v>
      </c>
      <c r="D366" t="s">
        <v>17</v>
      </c>
      <c r="E366">
        <v>150</v>
      </c>
      <c r="F366">
        <v>91.6</v>
      </c>
      <c r="G366" s="2">
        <v>13740</v>
      </c>
      <c r="H366" t="s">
        <v>458</v>
      </c>
      <c r="I366">
        <v>0</v>
      </c>
      <c r="J366">
        <v>4.88</v>
      </c>
      <c r="K366">
        <v>1</v>
      </c>
      <c r="L366">
        <v>0.01</v>
      </c>
      <c r="M366">
        <v>58</v>
      </c>
      <c r="N366">
        <v>11.32</v>
      </c>
      <c r="O366">
        <v>75.209999999999994</v>
      </c>
    </row>
    <row r="367" spans="1:15" x14ac:dyDescent="0.25">
      <c r="A367" s="1">
        <v>45784</v>
      </c>
      <c r="B367" t="s">
        <v>455</v>
      </c>
      <c r="C367" t="s">
        <v>16</v>
      </c>
      <c r="D367" t="s">
        <v>20</v>
      </c>
      <c r="E367">
        <v>150</v>
      </c>
      <c r="F367">
        <v>78.05</v>
      </c>
      <c r="G367" s="2">
        <v>11707.5</v>
      </c>
      <c r="H367" t="s">
        <v>459</v>
      </c>
      <c r="I367">
        <v>11.77</v>
      </c>
      <c r="J367">
        <v>4.16</v>
      </c>
      <c r="K367">
        <v>0</v>
      </c>
      <c r="L367">
        <v>0.02</v>
      </c>
      <c r="M367">
        <v>58</v>
      </c>
      <c r="N367">
        <v>11.2</v>
      </c>
      <c r="O367">
        <v>85.15</v>
      </c>
    </row>
    <row r="368" spans="1:15" x14ac:dyDescent="0.25">
      <c r="A368" s="1">
        <v>45784</v>
      </c>
      <c r="B368" t="s">
        <v>455</v>
      </c>
      <c r="C368" t="s">
        <v>16</v>
      </c>
      <c r="D368" t="s">
        <v>17</v>
      </c>
      <c r="E368">
        <v>75</v>
      </c>
      <c r="F368">
        <v>85.2</v>
      </c>
      <c r="G368" s="2">
        <v>6390</v>
      </c>
      <c r="H368" t="s">
        <v>460</v>
      </c>
      <c r="I368">
        <v>0</v>
      </c>
      <c r="J368">
        <v>2.27</v>
      </c>
      <c r="K368">
        <v>0</v>
      </c>
      <c r="L368">
        <v>0.01</v>
      </c>
      <c r="M368">
        <v>29</v>
      </c>
      <c r="N368">
        <v>5.64</v>
      </c>
      <c r="O368">
        <v>36.92</v>
      </c>
    </row>
    <row r="369" spans="1:15" x14ac:dyDescent="0.25">
      <c r="A369" s="1">
        <v>45784</v>
      </c>
      <c r="B369" t="s">
        <v>455</v>
      </c>
      <c r="C369" t="s">
        <v>16</v>
      </c>
      <c r="D369" t="s">
        <v>17</v>
      </c>
      <c r="E369">
        <v>75</v>
      </c>
      <c r="F369">
        <v>118</v>
      </c>
      <c r="G369" s="2">
        <v>8850</v>
      </c>
      <c r="H369" t="s">
        <v>461</v>
      </c>
      <c r="I369">
        <v>0</v>
      </c>
      <c r="J369">
        <v>3.14</v>
      </c>
      <c r="K369">
        <v>0</v>
      </c>
      <c r="L369">
        <v>0.01</v>
      </c>
      <c r="M369">
        <v>29</v>
      </c>
      <c r="N369">
        <v>5.78</v>
      </c>
      <c r="O369">
        <v>37.93</v>
      </c>
    </row>
    <row r="370" spans="1:15" x14ac:dyDescent="0.25">
      <c r="A370" s="1">
        <v>45784</v>
      </c>
      <c r="B370" t="s">
        <v>455</v>
      </c>
      <c r="C370" t="s">
        <v>16</v>
      </c>
      <c r="D370" t="s">
        <v>20</v>
      </c>
      <c r="E370">
        <v>150</v>
      </c>
      <c r="F370">
        <v>103.45</v>
      </c>
      <c r="G370" s="2">
        <v>15517.5</v>
      </c>
      <c r="H370" t="s">
        <v>462</v>
      </c>
      <c r="I370">
        <v>15.52</v>
      </c>
      <c r="J370">
        <v>5.51</v>
      </c>
      <c r="K370">
        <v>0</v>
      </c>
      <c r="L370">
        <v>0.02</v>
      </c>
      <c r="M370">
        <v>58</v>
      </c>
      <c r="N370">
        <v>11.44</v>
      </c>
      <c r="O370">
        <v>90.49</v>
      </c>
    </row>
    <row r="371" spans="1:15" x14ac:dyDescent="0.25">
      <c r="A371" s="1">
        <v>45754</v>
      </c>
      <c r="B371" t="s">
        <v>463</v>
      </c>
      <c r="C371" t="s">
        <v>16</v>
      </c>
      <c r="D371" t="s">
        <v>20</v>
      </c>
      <c r="E371">
        <v>525</v>
      </c>
      <c r="F371">
        <v>24.15</v>
      </c>
      <c r="G371" s="2">
        <v>12678.75</v>
      </c>
      <c r="H371" t="s">
        <v>464</v>
      </c>
      <c r="I371">
        <v>12.67</v>
      </c>
      <c r="J371">
        <v>4.51</v>
      </c>
      <c r="K371">
        <v>0</v>
      </c>
      <c r="L371">
        <v>0.01</v>
      </c>
      <c r="M371">
        <v>203</v>
      </c>
      <c r="N371">
        <v>37.36</v>
      </c>
      <c r="O371">
        <v>257.55</v>
      </c>
    </row>
    <row r="372" spans="1:15" x14ac:dyDescent="0.25">
      <c r="A372" s="1">
        <v>45754</v>
      </c>
      <c r="B372" t="s">
        <v>465</v>
      </c>
      <c r="C372" t="s">
        <v>16</v>
      </c>
      <c r="D372" t="s">
        <v>17</v>
      </c>
      <c r="E372">
        <v>75</v>
      </c>
      <c r="F372">
        <v>142.80000000000001</v>
      </c>
      <c r="G372" s="2">
        <v>10710</v>
      </c>
      <c r="H372" t="s">
        <v>466</v>
      </c>
      <c r="I372">
        <v>0</v>
      </c>
      <c r="J372">
        <v>3.81</v>
      </c>
      <c r="K372">
        <v>0</v>
      </c>
      <c r="L372">
        <v>0.01</v>
      </c>
      <c r="M372">
        <v>29</v>
      </c>
      <c r="N372">
        <v>5.9</v>
      </c>
      <c r="O372">
        <v>38.72</v>
      </c>
    </row>
    <row r="373" spans="1:15" x14ac:dyDescent="0.25">
      <c r="A373" s="1">
        <v>45754</v>
      </c>
      <c r="B373" t="s">
        <v>465</v>
      </c>
      <c r="C373" t="s">
        <v>16</v>
      </c>
      <c r="D373" t="s">
        <v>20</v>
      </c>
      <c r="E373">
        <v>150</v>
      </c>
      <c r="F373">
        <v>156.85</v>
      </c>
      <c r="G373" s="2">
        <v>23527.5</v>
      </c>
      <c r="H373" t="s">
        <v>467</v>
      </c>
      <c r="I373">
        <v>23.24</v>
      </c>
      <c r="J373">
        <v>8.36</v>
      </c>
      <c r="K373">
        <v>0</v>
      </c>
      <c r="L373">
        <v>0.02</v>
      </c>
      <c r="M373">
        <v>58</v>
      </c>
      <c r="N373">
        <v>11.94</v>
      </c>
      <c r="O373">
        <v>101.56</v>
      </c>
    </row>
    <row r="374" spans="1:15" x14ac:dyDescent="0.25">
      <c r="A374" s="1">
        <v>45754</v>
      </c>
      <c r="B374" t="s">
        <v>463</v>
      </c>
      <c r="C374" t="s">
        <v>16</v>
      </c>
      <c r="D374" t="s">
        <v>17</v>
      </c>
      <c r="E374">
        <v>525</v>
      </c>
      <c r="F374">
        <v>25.02</v>
      </c>
      <c r="G374" s="2">
        <v>13147.5</v>
      </c>
      <c r="H374" t="s">
        <v>468</v>
      </c>
      <c r="I374">
        <v>0</v>
      </c>
      <c r="J374">
        <v>4.68</v>
      </c>
      <c r="K374">
        <v>1.02</v>
      </c>
      <c r="L374">
        <v>0.01</v>
      </c>
      <c r="M374">
        <v>203</v>
      </c>
      <c r="N374">
        <v>37.380000000000003</v>
      </c>
      <c r="O374">
        <v>246.09</v>
      </c>
    </row>
    <row r="375" spans="1:15" x14ac:dyDescent="0.25">
      <c r="A375" s="1">
        <v>45754</v>
      </c>
      <c r="B375" t="s">
        <v>465</v>
      </c>
      <c r="C375" t="s">
        <v>16</v>
      </c>
      <c r="D375" t="s">
        <v>17</v>
      </c>
      <c r="E375">
        <v>75</v>
      </c>
      <c r="F375">
        <v>160.25</v>
      </c>
      <c r="G375" s="2">
        <v>12018.75</v>
      </c>
      <c r="H375" t="s">
        <v>469</v>
      </c>
      <c r="I375">
        <v>0</v>
      </c>
      <c r="J375">
        <v>4.2699999999999996</v>
      </c>
      <c r="K375">
        <v>0</v>
      </c>
      <c r="L375">
        <v>0.01</v>
      </c>
      <c r="M375">
        <v>29</v>
      </c>
      <c r="N375">
        <v>6</v>
      </c>
      <c r="O375">
        <v>39.28</v>
      </c>
    </row>
    <row r="376" spans="1:15" x14ac:dyDescent="0.25">
      <c r="A376" s="1">
        <v>45754</v>
      </c>
      <c r="B376" t="s">
        <v>465</v>
      </c>
      <c r="C376" t="s">
        <v>16</v>
      </c>
      <c r="D376" t="s">
        <v>20</v>
      </c>
      <c r="E376">
        <v>75</v>
      </c>
      <c r="F376">
        <v>139.44999999999999</v>
      </c>
      <c r="G376" s="2">
        <v>10458.75</v>
      </c>
      <c r="H376" t="s">
        <v>470</v>
      </c>
      <c r="I376">
        <v>10.46</v>
      </c>
      <c r="J376">
        <v>3.72</v>
      </c>
      <c r="K376">
        <v>0</v>
      </c>
      <c r="L376">
        <v>0.01</v>
      </c>
      <c r="M376">
        <v>29</v>
      </c>
      <c r="N376">
        <v>5.9</v>
      </c>
      <c r="O376">
        <v>49.09</v>
      </c>
    </row>
    <row r="377" spans="1:15" x14ac:dyDescent="0.25">
      <c r="A377" s="1">
        <v>45754</v>
      </c>
      <c r="B377" t="s">
        <v>465</v>
      </c>
      <c r="C377" t="s">
        <v>16</v>
      </c>
      <c r="D377" t="s">
        <v>17</v>
      </c>
      <c r="E377">
        <v>75</v>
      </c>
      <c r="F377">
        <v>131.69999999999999</v>
      </c>
      <c r="G377" s="2">
        <v>9877.5</v>
      </c>
      <c r="H377" t="s">
        <v>471</v>
      </c>
      <c r="I377">
        <v>0</v>
      </c>
      <c r="J377">
        <v>3.51</v>
      </c>
      <c r="K377">
        <v>0.98</v>
      </c>
      <c r="L377">
        <v>0.01</v>
      </c>
      <c r="M377">
        <v>29</v>
      </c>
      <c r="N377">
        <v>5.86</v>
      </c>
      <c r="O377">
        <v>39.36</v>
      </c>
    </row>
    <row r="378" spans="1:15" x14ac:dyDescent="0.25">
      <c r="A378" s="1">
        <v>45754</v>
      </c>
      <c r="B378" t="s">
        <v>463</v>
      </c>
      <c r="C378" t="s">
        <v>16</v>
      </c>
      <c r="D378" t="s">
        <v>20</v>
      </c>
      <c r="E378">
        <v>525</v>
      </c>
      <c r="F378">
        <v>26.1</v>
      </c>
      <c r="G378" s="2">
        <v>13702.5</v>
      </c>
      <c r="H378" t="s">
        <v>472</v>
      </c>
      <c r="I378">
        <v>13.72</v>
      </c>
      <c r="J378">
        <v>4.8899999999999997</v>
      </c>
      <c r="K378">
        <v>0</v>
      </c>
      <c r="L378">
        <v>0</v>
      </c>
      <c r="M378">
        <v>203</v>
      </c>
      <c r="N378">
        <v>37.4</v>
      </c>
      <c r="O378">
        <v>259.01</v>
      </c>
    </row>
    <row r="379" spans="1:15" x14ac:dyDescent="0.25">
      <c r="A379" s="1">
        <v>45754</v>
      </c>
      <c r="B379" t="s">
        <v>463</v>
      </c>
      <c r="C379" t="s">
        <v>16</v>
      </c>
      <c r="D379" t="s">
        <v>20</v>
      </c>
      <c r="E379">
        <v>525</v>
      </c>
      <c r="F379">
        <v>37.950000000000003</v>
      </c>
      <c r="G379" s="2">
        <v>19923.75</v>
      </c>
      <c r="H379" t="s">
        <v>473</v>
      </c>
      <c r="I379">
        <v>19.93</v>
      </c>
      <c r="J379">
        <v>7.07</v>
      </c>
      <c r="K379">
        <v>0</v>
      </c>
      <c r="L379">
        <v>0.02</v>
      </c>
      <c r="M379">
        <v>203</v>
      </c>
      <c r="N379">
        <v>37.799999999999997</v>
      </c>
      <c r="O379">
        <v>267.82</v>
      </c>
    </row>
    <row r="380" spans="1:15" x14ac:dyDescent="0.25">
      <c r="A380" s="1">
        <v>45754</v>
      </c>
      <c r="B380" t="s">
        <v>463</v>
      </c>
      <c r="C380" t="s">
        <v>16</v>
      </c>
      <c r="D380" t="s">
        <v>17</v>
      </c>
      <c r="E380">
        <v>525</v>
      </c>
      <c r="F380">
        <v>33.26</v>
      </c>
      <c r="G380" s="2">
        <v>17463.75</v>
      </c>
      <c r="H380" t="s">
        <v>474</v>
      </c>
      <c r="I380">
        <v>0</v>
      </c>
      <c r="J380">
        <v>6.22</v>
      </c>
      <c r="K380">
        <v>0</v>
      </c>
      <c r="L380">
        <v>0</v>
      </c>
      <c r="M380">
        <v>203</v>
      </c>
      <c r="N380">
        <v>37.659999999999997</v>
      </c>
      <c r="O380">
        <v>246.88</v>
      </c>
    </row>
    <row r="381" spans="1:15" x14ac:dyDescent="0.25">
      <c r="A381" s="1">
        <v>45754</v>
      </c>
      <c r="B381" t="s">
        <v>463</v>
      </c>
      <c r="C381" t="s">
        <v>16</v>
      </c>
      <c r="D381" t="s">
        <v>17</v>
      </c>
      <c r="E381">
        <v>525</v>
      </c>
      <c r="F381">
        <v>18.25</v>
      </c>
      <c r="G381" s="2">
        <v>9581.25</v>
      </c>
      <c r="H381" t="s">
        <v>475</v>
      </c>
      <c r="I381">
        <v>0</v>
      </c>
      <c r="J381">
        <v>3.41</v>
      </c>
      <c r="K381">
        <v>0</v>
      </c>
      <c r="L381">
        <v>0.01</v>
      </c>
      <c r="M381">
        <v>203</v>
      </c>
      <c r="N381">
        <v>37.14</v>
      </c>
      <c r="O381">
        <v>243.56</v>
      </c>
    </row>
    <row r="382" spans="1:15" x14ac:dyDescent="0.25">
      <c r="A382" s="1">
        <v>46087</v>
      </c>
      <c r="B382" t="s">
        <v>476</v>
      </c>
      <c r="C382" t="s">
        <v>16</v>
      </c>
      <c r="D382" t="s">
        <v>17</v>
      </c>
      <c r="E382">
        <v>65</v>
      </c>
      <c r="F382">
        <v>157.15</v>
      </c>
      <c r="G382" s="2">
        <v>10214.75</v>
      </c>
      <c r="H382" t="s">
        <v>477</v>
      </c>
      <c r="I382">
        <v>0</v>
      </c>
      <c r="J382">
        <v>3.63</v>
      </c>
      <c r="K382">
        <v>0</v>
      </c>
      <c r="L382">
        <v>0.01</v>
      </c>
      <c r="M382">
        <v>29</v>
      </c>
      <c r="N382">
        <v>5.88</v>
      </c>
      <c r="O382">
        <v>38.520000000000003</v>
      </c>
    </row>
    <row r="383" spans="1:15" x14ac:dyDescent="0.25">
      <c r="A383" s="1">
        <v>46087</v>
      </c>
      <c r="B383" t="s">
        <v>476</v>
      </c>
      <c r="C383" t="s">
        <v>16</v>
      </c>
      <c r="D383" t="s">
        <v>20</v>
      </c>
      <c r="E383">
        <v>910</v>
      </c>
      <c r="F383">
        <v>194.9</v>
      </c>
      <c r="G383" s="2">
        <v>177359</v>
      </c>
      <c r="H383" t="s">
        <v>478</v>
      </c>
      <c r="I383">
        <v>177.36</v>
      </c>
      <c r="J383">
        <v>63.01</v>
      </c>
      <c r="K383">
        <v>0</v>
      </c>
      <c r="L383">
        <v>0.18</v>
      </c>
      <c r="M383">
        <v>406</v>
      </c>
      <c r="N383">
        <v>84.46</v>
      </c>
      <c r="O383">
        <v>731.01</v>
      </c>
    </row>
    <row r="384" spans="1:15" x14ac:dyDescent="0.25">
      <c r="A384" s="1">
        <v>46087</v>
      </c>
      <c r="B384" t="s">
        <v>476</v>
      </c>
      <c r="C384" t="s">
        <v>16</v>
      </c>
      <c r="D384" t="s">
        <v>17</v>
      </c>
      <c r="E384">
        <v>130</v>
      </c>
      <c r="F384">
        <v>151.25</v>
      </c>
      <c r="G384" s="2">
        <v>19662.5</v>
      </c>
      <c r="H384" t="s">
        <v>479</v>
      </c>
      <c r="I384">
        <v>0</v>
      </c>
      <c r="J384">
        <v>6.99</v>
      </c>
      <c r="K384">
        <v>0</v>
      </c>
      <c r="L384">
        <v>0.02</v>
      </c>
      <c r="M384">
        <v>58</v>
      </c>
      <c r="N384">
        <v>11.7</v>
      </c>
      <c r="O384">
        <v>76.709999999999994</v>
      </c>
    </row>
    <row r="385" spans="1:15" x14ac:dyDescent="0.25">
      <c r="A385" s="1">
        <v>46087</v>
      </c>
      <c r="B385" t="s">
        <v>476</v>
      </c>
      <c r="C385" t="s">
        <v>16</v>
      </c>
      <c r="D385" t="s">
        <v>17</v>
      </c>
      <c r="E385">
        <v>390</v>
      </c>
      <c r="F385">
        <v>150.55000000000001</v>
      </c>
      <c r="G385" s="2">
        <v>58714.5</v>
      </c>
      <c r="H385" t="s">
        <v>480</v>
      </c>
      <c r="I385">
        <v>0</v>
      </c>
      <c r="J385">
        <v>20.86</v>
      </c>
      <c r="K385">
        <v>0</v>
      </c>
      <c r="L385">
        <v>0.06</v>
      </c>
      <c r="M385">
        <v>174</v>
      </c>
      <c r="N385">
        <v>35.08</v>
      </c>
      <c r="O385">
        <v>230</v>
      </c>
    </row>
    <row r="386" spans="1:15" x14ac:dyDescent="0.25">
      <c r="A386" s="1">
        <v>46087</v>
      </c>
      <c r="B386" t="s">
        <v>476</v>
      </c>
      <c r="C386" t="s">
        <v>16</v>
      </c>
      <c r="D386" t="s">
        <v>17</v>
      </c>
      <c r="E386">
        <v>130</v>
      </c>
      <c r="F386">
        <v>156.75</v>
      </c>
      <c r="G386" s="2">
        <v>20377.5</v>
      </c>
      <c r="H386" t="s">
        <v>481</v>
      </c>
      <c r="I386">
        <v>0</v>
      </c>
      <c r="J386">
        <v>7.24</v>
      </c>
      <c r="K386">
        <v>0</v>
      </c>
      <c r="L386">
        <v>0.02</v>
      </c>
      <c r="M386">
        <v>58</v>
      </c>
      <c r="N386">
        <v>11.74</v>
      </c>
      <c r="O386">
        <v>77</v>
      </c>
    </row>
    <row r="387" spans="1:15" x14ac:dyDescent="0.25">
      <c r="A387" s="1">
        <v>46087</v>
      </c>
      <c r="B387" t="s">
        <v>476</v>
      </c>
      <c r="C387" t="s">
        <v>16</v>
      </c>
      <c r="D387" t="s">
        <v>17</v>
      </c>
      <c r="E387">
        <v>260</v>
      </c>
      <c r="F387">
        <v>157.55000000000001</v>
      </c>
      <c r="G387" s="2">
        <v>40963</v>
      </c>
      <c r="H387" t="s">
        <v>482</v>
      </c>
      <c r="I387">
        <v>0</v>
      </c>
      <c r="J387">
        <v>14.56</v>
      </c>
      <c r="K387">
        <v>0</v>
      </c>
      <c r="L387">
        <v>0.04</v>
      </c>
      <c r="M387">
        <v>116</v>
      </c>
      <c r="N387">
        <v>23.52</v>
      </c>
      <c r="O387">
        <v>154.12</v>
      </c>
    </row>
    <row r="388" spans="1:15" x14ac:dyDescent="0.25">
      <c r="A388" s="1">
        <v>46087</v>
      </c>
      <c r="B388" t="s">
        <v>476</v>
      </c>
      <c r="C388" t="s">
        <v>16</v>
      </c>
      <c r="D388" t="s">
        <v>20</v>
      </c>
      <c r="E388">
        <v>1105</v>
      </c>
      <c r="F388">
        <v>146.55000000000001</v>
      </c>
      <c r="G388" s="2">
        <v>161937.75</v>
      </c>
      <c r="H388" t="s">
        <v>483</v>
      </c>
      <c r="I388">
        <v>161.86000000000001</v>
      </c>
      <c r="J388">
        <v>57.53</v>
      </c>
      <c r="K388">
        <v>0</v>
      </c>
      <c r="L388">
        <v>0.17</v>
      </c>
      <c r="M388">
        <v>493</v>
      </c>
      <c r="N388">
        <v>99.16</v>
      </c>
      <c r="O388">
        <v>811.72</v>
      </c>
    </row>
    <row r="389" spans="1:15" x14ac:dyDescent="0.25">
      <c r="A389" s="1">
        <v>46087</v>
      </c>
      <c r="B389" t="s">
        <v>484</v>
      </c>
      <c r="C389" t="s">
        <v>16</v>
      </c>
      <c r="D389" t="s">
        <v>17</v>
      </c>
      <c r="E389">
        <v>195</v>
      </c>
      <c r="F389">
        <v>164.35</v>
      </c>
      <c r="G389" s="2">
        <v>32048.25</v>
      </c>
      <c r="H389" t="s">
        <v>485</v>
      </c>
      <c r="I389">
        <v>0</v>
      </c>
      <c r="J389">
        <v>11.39</v>
      </c>
      <c r="K389">
        <v>0</v>
      </c>
      <c r="L389">
        <v>0.03</v>
      </c>
      <c r="M389">
        <v>87</v>
      </c>
      <c r="N389">
        <v>17.72</v>
      </c>
      <c r="O389">
        <v>116.14</v>
      </c>
    </row>
    <row r="390" spans="1:15" x14ac:dyDescent="0.25">
      <c r="A390" s="1">
        <v>46087</v>
      </c>
      <c r="B390" t="s">
        <v>484</v>
      </c>
      <c r="C390" t="s">
        <v>16</v>
      </c>
      <c r="D390" t="s">
        <v>17</v>
      </c>
      <c r="E390">
        <v>130</v>
      </c>
      <c r="F390">
        <v>160.1</v>
      </c>
      <c r="G390" s="2">
        <v>20813</v>
      </c>
      <c r="H390" t="s">
        <v>486</v>
      </c>
      <c r="I390">
        <v>0</v>
      </c>
      <c r="J390">
        <v>7.39</v>
      </c>
      <c r="K390">
        <v>5.57</v>
      </c>
      <c r="L390">
        <v>0.02</v>
      </c>
      <c r="M390">
        <v>58</v>
      </c>
      <c r="N390">
        <v>11.78</v>
      </c>
      <c r="O390">
        <v>82.76</v>
      </c>
    </row>
    <row r="391" spans="1:15" x14ac:dyDescent="0.25">
      <c r="A391" s="1">
        <v>46087</v>
      </c>
      <c r="B391" t="s">
        <v>484</v>
      </c>
      <c r="C391" t="s">
        <v>16</v>
      </c>
      <c r="D391" t="s">
        <v>17</v>
      </c>
      <c r="E391">
        <v>130</v>
      </c>
      <c r="F391">
        <v>155.75</v>
      </c>
      <c r="G391" s="2">
        <v>20247.5</v>
      </c>
      <c r="H391" t="s">
        <v>487</v>
      </c>
      <c r="I391">
        <v>0</v>
      </c>
      <c r="J391">
        <v>7.2</v>
      </c>
      <c r="K391">
        <v>0</v>
      </c>
      <c r="L391">
        <v>0.02</v>
      </c>
      <c r="M391">
        <v>58</v>
      </c>
      <c r="N391">
        <v>11.72</v>
      </c>
      <c r="O391">
        <v>76.94</v>
      </c>
    </row>
    <row r="392" spans="1:15" x14ac:dyDescent="0.25">
      <c r="A392" s="1">
        <v>46087</v>
      </c>
      <c r="B392" t="s">
        <v>484</v>
      </c>
      <c r="C392" t="s">
        <v>16</v>
      </c>
      <c r="D392" t="s">
        <v>17</v>
      </c>
      <c r="E392">
        <v>520</v>
      </c>
      <c r="F392">
        <v>161.25</v>
      </c>
      <c r="G392" s="2">
        <v>83850</v>
      </c>
      <c r="H392" t="s">
        <v>488</v>
      </c>
      <c r="I392">
        <v>0</v>
      </c>
      <c r="J392">
        <v>29.79</v>
      </c>
      <c r="K392">
        <v>0</v>
      </c>
      <c r="L392">
        <v>0.08</v>
      </c>
      <c r="M392">
        <v>232</v>
      </c>
      <c r="N392">
        <v>47.14</v>
      </c>
      <c r="O392">
        <v>309.01</v>
      </c>
    </row>
    <row r="393" spans="1:15" x14ac:dyDescent="0.25">
      <c r="A393" s="1">
        <v>46087</v>
      </c>
      <c r="B393" t="s">
        <v>484</v>
      </c>
      <c r="C393" t="s">
        <v>16</v>
      </c>
      <c r="D393" t="s">
        <v>17</v>
      </c>
      <c r="E393">
        <v>195</v>
      </c>
      <c r="F393">
        <v>148.05000000000001</v>
      </c>
      <c r="G393" s="2">
        <v>28869.75</v>
      </c>
      <c r="H393" t="s">
        <v>489</v>
      </c>
      <c r="I393">
        <v>0</v>
      </c>
      <c r="J393">
        <v>10.26</v>
      </c>
      <c r="K393">
        <v>0</v>
      </c>
      <c r="L393">
        <v>0.03</v>
      </c>
      <c r="M393">
        <v>87</v>
      </c>
      <c r="N393">
        <v>17.52</v>
      </c>
      <c r="O393">
        <v>114.81</v>
      </c>
    </row>
    <row r="394" spans="1:15" x14ac:dyDescent="0.25">
      <c r="A394" s="1">
        <v>46087</v>
      </c>
      <c r="B394" t="s">
        <v>484</v>
      </c>
      <c r="C394" t="s">
        <v>16</v>
      </c>
      <c r="D394" t="s">
        <v>20</v>
      </c>
      <c r="E394">
        <v>1170</v>
      </c>
      <c r="F394">
        <v>138.28</v>
      </c>
      <c r="G394" s="2">
        <v>161791.5</v>
      </c>
      <c r="H394" t="s">
        <v>490</v>
      </c>
      <c r="I394">
        <v>161.80000000000001</v>
      </c>
      <c r="J394">
        <v>57.5</v>
      </c>
      <c r="K394">
        <v>0</v>
      </c>
      <c r="L394">
        <v>0.18</v>
      </c>
      <c r="M394">
        <v>522</v>
      </c>
      <c r="N394">
        <v>104.38</v>
      </c>
      <c r="O394">
        <v>845.86</v>
      </c>
    </row>
    <row r="395" spans="1:15" x14ac:dyDescent="0.25">
      <c r="A395" s="1">
        <v>46087</v>
      </c>
      <c r="B395" t="s">
        <v>476</v>
      </c>
      <c r="C395" t="s">
        <v>16</v>
      </c>
      <c r="D395" t="s">
        <v>17</v>
      </c>
      <c r="E395">
        <v>910</v>
      </c>
      <c r="F395">
        <v>151.25</v>
      </c>
      <c r="G395" s="2">
        <v>137637.5</v>
      </c>
      <c r="H395" t="s">
        <v>491</v>
      </c>
      <c r="I395">
        <v>0</v>
      </c>
      <c r="J395">
        <v>48.9</v>
      </c>
      <c r="K395">
        <v>9.43</v>
      </c>
      <c r="L395">
        <v>0.14000000000000001</v>
      </c>
      <c r="M395">
        <v>406</v>
      </c>
      <c r="N395">
        <v>81.94</v>
      </c>
      <c r="O395">
        <v>546.41</v>
      </c>
    </row>
    <row r="396" spans="1:15" x14ac:dyDescent="0.25">
      <c r="A396" s="1">
        <v>46087</v>
      </c>
      <c r="B396" t="s">
        <v>476</v>
      </c>
      <c r="C396" t="s">
        <v>16</v>
      </c>
      <c r="D396" t="s">
        <v>17</v>
      </c>
      <c r="E396">
        <v>130</v>
      </c>
      <c r="F396">
        <v>152.44999999999999</v>
      </c>
      <c r="G396" s="2">
        <v>19818.5</v>
      </c>
      <c r="H396" t="s">
        <v>492</v>
      </c>
      <c r="I396">
        <v>0</v>
      </c>
      <c r="J396">
        <v>7.04</v>
      </c>
      <c r="K396">
        <v>0</v>
      </c>
      <c r="L396">
        <v>0.02</v>
      </c>
      <c r="M396">
        <v>58</v>
      </c>
      <c r="N396">
        <v>11.72</v>
      </c>
      <c r="O396">
        <v>76.78</v>
      </c>
    </row>
    <row r="397" spans="1:15" x14ac:dyDescent="0.25">
      <c r="A397" s="1">
        <v>45905</v>
      </c>
      <c r="B397" t="s">
        <v>493</v>
      </c>
      <c r="C397" t="s">
        <v>16</v>
      </c>
      <c r="D397" t="s">
        <v>17</v>
      </c>
      <c r="E397">
        <v>450</v>
      </c>
      <c r="F397">
        <v>68.3</v>
      </c>
      <c r="G397" s="2">
        <v>30735</v>
      </c>
      <c r="H397" t="s">
        <v>494</v>
      </c>
      <c r="I397">
        <v>0</v>
      </c>
      <c r="J397">
        <v>10.92</v>
      </c>
      <c r="K397">
        <v>2.41</v>
      </c>
      <c r="L397">
        <v>0.04</v>
      </c>
      <c r="M397">
        <v>174</v>
      </c>
      <c r="N397">
        <v>33.28</v>
      </c>
      <c r="O397">
        <v>220.65</v>
      </c>
    </row>
    <row r="398" spans="1:15" x14ac:dyDescent="0.25">
      <c r="A398" s="1">
        <v>45905</v>
      </c>
      <c r="B398" t="s">
        <v>493</v>
      </c>
      <c r="C398" t="s">
        <v>16</v>
      </c>
      <c r="D398" t="s">
        <v>17</v>
      </c>
      <c r="E398">
        <v>300</v>
      </c>
      <c r="F398">
        <v>63.8</v>
      </c>
      <c r="G398" s="2">
        <v>19140</v>
      </c>
      <c r="H398" t="s">
        <v>495</v>
      </c>
      <c r="I398">
        <v>0</v>
      </c>
      <c r="J398">
        <v>6.8</v>
      </c>
      <c r="K398">
        <v>0</v>
      </c>
      <c r="L398">
        <v>0</v>
      </c>
      <c r="M398">
        <v>116</v>
      </c>
      <c r="N398">
        <v>22.08</v>
      </c>
      <c r="O398">
        <v>144.88</v>
      </c>
    </row>
    <row r="399" spans="1:15" x14ac:dyDescent="0.25">
      <c r="A399" s="1">
        <v>45905</v>
      </c>
      <c r="B399" t="s">
        <v>493</v>
      </c>
      <c r="C399" t="s">
        <v>16</v>
      </c>
      <c r="D399" t="s">
        <v>17</v>
      </c>
      <c r="E399">
        <v>225</v>
      </c>
      <c r="F399">
        <v>60.9</v>
      </c>
      <c r="G399" s="2">
        <v>13702.5</v>
      </c>
      <c r="H399" t="s">
        <v>496</v>
      </c>
      <c r="I399">
        <v>0</v>
      </c>
      <c r="J399">
        <v>4.87</v>
      </c>
      <c r="K399">
        <v>0</v>
      </c>
      <c r="L399">
        <v>0.01</v>
      </c>
      <c r="M399">
        <v>87</v>
      </c>
      <c r="N399">
        <v>16.54</v>
      </c>
      <c r="O399">
        <v>108.42</v>
      </c>
    </row>
    <row r="400" spans="1:15" x14ac:dyDescent="0.25">
      <c r="A400" s="1">
        <v>45905</v>
      </c>
      <c r="B400" t="s">
        <v>493</v>
      </c>
      <c r="C400" t="s">
        <v>16</v>
      </c>
      <c r="D400" t="s">
        <v>20</v>
      </c>
      <c r="E400">
        <v>975</v>
      </c>
      <c r="F400">
        <v>69.45</v>
      </c>
      <c r="G400" s="2">
        <v>67713.75</v>
      </c>
      <c r="H400" t="s">
        <v>497</v>
      </c>
      <c r="I400">
        <v>68.12</v>
      </c>
      <c r="J400">
        <v>24.05</v>
      </c>
      <c r="K400">
        <v>0</v>
      </c>
      <c r="L400">
        <v>7.0000000000000007E-2</v>
      </c>
      <c r="M400">
        <v>377</v>
      </c>
      <c r="N400">
        <v>72.2</v>
      </c>
      <c r="O400">
        <v>541.44000000000005</v>
      </c>
    </row>
    <row r="401" spans="1:15" x14ac:dyDescent="0.25">
      <c r="A401" s="1">
        <v>45905</v>
      </c>
      <c r="B401" t="s">
        <v>498</v>
      </c>
      <c r="C401" t="s">
        <v>16</v>
      </c>
      <c r="D401" t="s">
        <v>17</v>
      </c>
      <c r="E401">
        <v>150</v>
      </c>
      <c r="F401">
        <v>132.19999999999999</v>
      </c>
      <c r="G401" s="2">
        <v>19830</v>
      </c>
      <c r="H401" t="s">
        <v>499</v>
      </c>
      <c r="I401">
        <v>0</v>
      </c>
      <c r="J401">
        <v>7.04</v>
      </c>
      <c r="K401">
        <v>0.59</v>
      </c>
      <c r="L401">
        <v>0.02</v>
      </c>
      <c r="M401">
        <v>58</v>
      </c>
      <c r="N401">
        <v>11.72</v>
      </c>
      <c r="O401">
        <v>77.37</v>
      </c>
    </row>
    <row r="402" spans="1:15" x14ac:dyDescent="0.25">
      <c r="A402" s="1">
        <v>45905</v>
      </c>
      <c r="B402" t="s">
        <v>498</v>
      </c>
      <c r="C402" t="s">
        <v>16</v>
      </c>
      <c r="D402" t="s">
        <v>20</v>
      </c>
      <c r="E402">
        <v>150</v>
      </c>
      <c r="F402">
        <v>139.25</v>
      </c>
      <c r="G402" s="2">
        <v>20887.5</v>
      </c>
      <c r="H402" t="s">
        <v>500</v>
      </c>
      <c r="I402">
        <v>20.89</v>
      </c>
      <c r="J402">
        <v>7.42</v>
      </c>
      <c r="K402">
        <v>0</v>
      </c>
      <c r="L402">
        <v>0.02</v>
      </c>
      <c r="M402">
        <v>58</v>
      </c>
      <c r="N402">
        <v>11.78</v>
      </c>
      <c r="O402">
        <v>98.11</v>
      </c>
    </row>
    <row r="403" spans="1:15" x14ac:dyDescent="0.25">
      <c r="A403" s="1">
        <v>45813</v>
      </c>
      <c r="B403" t="s">
        <v>501</v>
      </c>
      <c r="C403" t="s">
        <v>16</v>
      </c>
      <c r="D403" t="s">
        <v>17</v>
      </c>
      <c r="E403">
        <v>150</v>
      </c>
      <c r="F403">
        <v>22</v>
      </c>
      <c r="G403" s="2">
        <v>3300</v>
      </c>
      <c r="H403" t="s">
        <v>502</v>
      </c>
      <c r="I403">
        <v>0</v>
      </c>
      <c r="J403">
        <v>1.17</v>
      </c>
      <c r="K403">
        <v>0</v>
      </c>
      <c r="L403">
        <v>0</v>
      </c>
      <c r="M403">
        <v>58</v>
      </c>
      <c r="N403">
        <v>10.66</v>
      </c>
      <c r="O403">
        <v>69.83</v>
      </c>
    </row>
    <row r="404" spans="1:15" x14ac:dyDescent="0.25">
      <c r="A404" s="1">
        <v>45813</v>
      </c>
      <c r="B404" t="s">
        <v>501</v>
      </c>
      <c r="C404" t="s">
        <v>16</v>
      </c>
      <c r="D404" t="s">
        <v>20</v>
      </c>
      <c r="E404">
        <v>150</v>
      </c>
      <c r="F404">
        <v>5</v>
      </c>
      <c r="G404" s="2">
        <v>750</v>
      </c>
      <c r="H404" t="s">
        <v>503</v>
      </c>
      <c r="I404">
        <v>1</v>
      </c>
      <c r="J404">
        <v>0.27</v>
      </c>
      <c r="K404">
        <v>0</v>
      </c>
      <c r="L404">
        <v>0</v>
      </c>
      <c r="M404">
        <v>58</v>
      </c>
      <c r="N404">
        <v>10.48</v>
      </c>
      <c r="O404">
        <v>69.75</v>
      </c>
    </row>
    <row r="405" spans="1:15" x14ac:dyDescent="0.25">
      <c r="A405" s="1">
        <v>46058</v>
      </c>
      <c r="B405" t="s">
        <v>504</v>
      </c>
      <c r="C405" t="s">
        <v>16</v>
      </c>
      <c r="D405" t="s">
        <v>20</v>
      </c>
      <c r="E405">
        <v>65</v>
      </c>
      <c r="F405">
        <v>201</v>
      </c>
      <c r="G405" s="2">
        <v>13065</v>
      </c>
      <c r="H405" t="s">
        <v>505</v>
      </c>
      <c r="I405">
        <v>13.07</v>
      </c>
      <c r="J405">
        <v>4.6399999999999997</v>
      </c>
      <c r="K405">
        <v>0</v>
      </c>
      <c r="L405">
        <v>0.01</v>
      </c>
      <c r="M405">
        <v>29</v>
      </c>
      <c r="N405">
        <v>6.06</v>
      </c>
      <c r="O405">
        <v>52.78</v>
      </c>
    </row>
    <row r="406" spans="1:15" x14ac:dyDescent="0.25">
      <c r="A406" s="1">
        <v>46058</v>
      </c>
      <c r="B406" t="s">
        <v>504</v>
      </c>
      <c r="C406" t="s">
        <v>16</v>
      </c>
      <c r="D406" t="s">
        <v>20</v>
      </c>
      <c r="E406">
        <v>130</v>
      </c>
      <c r="F406">
        <v>219.9</v>
      </c>
      <c r="G406" s="2">
        <v>28587</v>
      </c>
      <c r="H406" t="s">
        <v>506</v>
      </c>
      <c r="I406">
        <v>28.59</v>
      </c>
      <c r="J406">
        <v>10.16</v>
      </c>
      <c r="K406">
        <v>0</v>
      </c>
      <c r="L406">
        <v>0.03</v>
      </c>
      <c r="M406">
        <v>58</v>
      </c>
      <c r="N406">
        <v>12.28</v>
      </c>
      <c r="O406">
        <v>109.06</v>
      </c>
    </row>
    <row r="407" spans="1:15" x14ac:dyDescent="0.25">
      <c r="A407" s="1">
        <v>46058</v>
      </c>
      <c r="B407" t="s">
        <v>507</v>
      </c>
      <c r="C407" t="s">
        <v>16</v>
      </c>
      <c r="D407" t="s">
        <v>17</v>
      </c>
      <c r="E407">
        <v>65</v>
      </c>
      <c r="F407">
        <v>167.6</v>
      </c>
      <c r="G407" s="2">
        <v>10894</v>
      </c>
      <c r="H407" t="s">
        <v>508</v>
      </c>
      <c r="I407">
        <v>0</v>
      </c>
      <c r="J407">
        <v>3.87</v>
      </c>
      <c r="K407">
        <v>0.65</v>
      </c>
      <c r="L407">
        <v>0.01</v>
      </c>
      <c r="M407">
        <v>29</v>
      </c>
      <c r="N407">
        <v>5.92</v>
      </c>
      <c r="O407">
        <v>39.450000000000003</v>
      </c>
    </row>
    <row r="408" spans="1:15" x14ac:dyDescent="0.25">
      <c r="A408" s="1">
        <v>46058</v>
      </c>
      <c r="B408" t="s">
        <v>507</v>
      </c>
      <c r="C408" t="s">
        <v>16</v>
      </c>
      <c r="D408" t="s">
        <v>20</v>
      </c>
      <c r="E408">
        <v>65</v>
      </c>
      <c r="F408">
        <v>187.9</v>
      </c>
      <c r="G408" s="2">
        <v>12213.5</v>
      </c>
      <c r="H408" t="s">
        <v>509</v>
      </c>
      <c r="I408">
        <v>12.37</v>
      </c>
      <c r="J408">
        <v>4.34</v>
      </c>
      <c r="K408">
        <v>0</v>
      </c>
      <c r="L408">
        <v>0.01</v>
      </c>
      <c r="M408">
        <v>29</v>
      </c>
      <c r="N408">
        <v>6</v>
      </c>
      <c r="O408">
        <v>51.72</v>
      </c>
    </row>
    <row r="409" spans="1:15" x14ac:dyDescent="0.25">
      <c r="A409" s="1">
        <v>46058</v>
      </c>
      <c r="B409" t="s">
        <v>507</v>
      </c>
      <c r="C409" t="s">
        <v>16</v>
      </c>
      <c r="D409" t="s">
        <v>17</v>
      </c>
      <c r="E409">
        <v>65</v>
      </c>
      <c r="F409">
        <v>167.05</v>
      </c>
      <c r="G409" s="2">
        <v>10858.25</v>
      </c>
      <c r="H409" t="s">
        <v>510</v>
      </c>
      <c r="I409">
        <v>0</v>
      </c>
      <c r="J409">
        <v>3.86</v>
      </c>
      <c r="K409">
        <v>0</v>
      </c>
      <c r="L409">
        <v>0.01</v>
      </c>
      <c r="M409">
        <v>29</v>
      </c>
      <c r="N409">
        <v>5.92</v>
      </c>
      <c r="O409">
        <v>38.79</v>
      </c>
    </row>
    <row r="410" spans="1:15" x14ac:dyDescent="0.25">
      <c r="A410" s="1">
        <v>46058</v>
      </c>
      <c r="B410" t="s">
        <v>507</v>
      </c>
      <c r="C410" t="s">
        <v>16</v>
      </c>
      <c r="D410" t="s">
        <v>20</v>
      </c>
      <c r="E410">
        <v>65</v>
      </c>
      <c r="F410">
        <v>153.5</v>
      </c>
      <c r="G410" s="2">
        <v>9977.5</v>
      </c>
      <c r="H410" t="s">
        <v>511</v>
      </c>
      <c r="I410">
        <v>9.98</v>
      </c>
      <c r="J410">
        <v>3.55</v>
      </c>
      <c r="K410">
        <v>0</v>
      </c>
      <c r="L410">
        <v>0.01</v>
      </c>
      <c r="M410">
        <v>29</v>
      </c>
      <c r="N410">
        <v>5.86</v>
      </c>
      <c r="O410">
        <v>48.4</v>
      </c>
    </row>
    <row r="411" spans="1:15" x14ac:dyDescent="0.25">
      <c r="A411" s="1">
        <v>46058</v>
      </c>
      <c r="B411" t="s">
        <v>504</v>
      </c>
      <c r="C411" t="s">
        <v>16</v>
      </c>
      <c r="D411" t="s">
        <v>17</v>
      </c>
      <c r="E411">
        <v>65</v>
      </c>
      <c r="F411">
        <v>200.1</v>
      </c>
      <c r="G411" s="2">
        <v>13006.5</v>
      </c>
      <c r="H411" t="s">
        <v>512</v>
      </c>
      <c r="I411">
        <v>0</v>
      </c>
      <c r="J411">
        <v>4.62</v>
      </c>
      <c r="K411">
        <v>0</v>
      </c>
      <c r="L411">
        <v>0.01</v>
      </c>
      <c r="M411">
        <v>29</v>
      </c>
      <c r="N411">
        <v>6.06</v>
      </c>
      <c r="O411">
        <v>39.69</v>
      </c>
    </row>
    <row r="412" spans="1:15" x14ac:dyDescent="0.25">
      <c r="A412" s="1">
        <v>46058</v>
      </c>
      <c r="B412" t="s">
        <v>504</v>
      </c>
      <c r="C412" t="s">
        <v>16</v>
      </c>
      <c r="D412" t="s">
        <v>17</v>
      </c>
      <c r="E412">
        <v>130</v>
      </c>
      <c r="F412">
        <v>202.35</v>
      </c>
      <c r="G412" s="2">
        <v>26305.5</v>
      </c>
      <c r="H412" t="s">
        <v>513</v>
      </c>
      <c r="I412">
        <v>0</v>
      </c>
      <c r="J412">
        <v>9.35</v>
      </c>
      <c r="K412">
        <v>1.35</v>
      </c>
      <c r="L412">
        <v>0.03</v>
      </c>
      <c r="M412">
        <v>58</v>
      </c>
      <c r="N412">
        <v>12.12</v>
      </c>
      <c r="O412">
        <v>80.849999999999994</v>
      </c>
    </row>
    <row r="413" spans="1:15" x14ac:dyDescent="0.25">
      <c r="A413" s="1">
        <v>45996</v>
      </c>
      <c r="B413" t="s">
        <v>434</v>
      </c>
      <c r="C413" t="s">
        <v>16</v>
      </c>
      <c r="D413" t="s">
        <v>17</v>
      </c>
      <c r="E413">
        <v>75</v>
      </c>
      <c r="F413">
        <v>67.25</v>
      </c>
      <c r="G413" s="2">
        <v>5043.75</v>
      </c>
      <c r="H413" t="s">
        <v>514</v>
      </c>
      <c r="I413">
        <v>0</v>
      </c>
      <c r="J413">
        <v>1.79</v>
      </c>
      <c r="K413">
        <v>0</v>
      </c>
      <c r="L413">
        <v>0.01</v>
      </c>
      <c r="M413">
        <v>29</v>
      </c>
      <c r="N413">
        <v>5.54</v>
      </c>
      <c r="O413">
        <v>36.340000000000003</v>
      </c>
    </row>
    <row r="414" spans="1:15" x14ac:dyDescent="0.25">
      <c r="A414" s="1">
        <v>45904</v>
      </c>
      <c r="B414" t="s">
        <v>493</v>
      </c>
      <c r="C414" t="s">
        <v>16</v>
      </c>
      <c r="D414" t="s">
        <v>17</v>
      </c>
      <c r="E414">
        <v>375</v>
      </c>
      <c r="F414">
        <v>40.450000000000003</v>
      </c>
      <c r="G414" s="2">
        <v>15168.75</v>
      </c>
      <c r="H414" t="s">
        <v>515</v>
      </c>
      <c r="I414">
        <v>0</v>
      </c>
      <c r="J414">
        <v>5.39</v>
      </c>
      <c r="K414">
        <v>0.92</v>
      </c>
      <c r="L414">
        <v>0.01</v>
      </c>
      <c r="M414">
        <v>145</v>
      </c>
      <c r="N414">
        <v>27.08</v>
      </c>
      <c r="O414">
        <v>178.4</v>
      </c>
    </row>
    <row r="415" spans="1:15" x14ac:dyDescent="0.25">
      <c r="A415" s="1">
        <v>45904</v>
      </c>
      <c r="B415" t="s">
        <v>493</v>
      </c>
      <c r="C415" t="s">
        <v>16</v>
      </c>
      <c r="D415" t="s">
        <v>17</v>
      </c>
      <c r="E415">
        <v>150</v>
      </c>
      <c r="F415">
        <v>41</v>
      </c>
      <c r="G415" s="2">
        <v>6150</v>
      </c>
      <c r="H415" t="s">
        <v>516</v>
      </c>
      <c r="I415">
        <v>0</v>
      </c>
      <c r="J415">
        <v>2.19</v>
      </c>
      <c r="K415">
        <v>0</v>
      </c>
      <c r="L415">
        <v>0.01</v>
      </c>
      <c r="M415">
        <v>58</v>
      </c>
      <c r="N415">
        <v>10.84</v>
      </c>
      <c r="O415">
        <v>71.040000000000006</v>
      </c>
    </row>
    <row r="416" spans="1:15" x14ac:dyDescent="0.25">
      <c r="A416" s="1">
        <v>45904</v>
      </c>
      <c r="B416" t="s">
        <v>493</v>
      </c>
      <c r="C416" t="s">
        <v>16</v>
      </c>
      <c r="D416" t="s">
        <v>17</v>
      </c>
      <c r="E416">
        <v>225</v>
      </c>
      <c r="F416">
        <v>41.55</v>
      </c>
      <c r="G416" s="2">
        <v>9348.75</v>
      </c>
      <c r="H416" t="s">
        <v>517</v>
      </c>
      <c r="I416">
        <v>0</v>
      </c>
      <c r="J416">
        <v>3.32</v>
      </c>
      <c r="K416">
        <v>0</v>
      </c>
      <c r="L416">
        <v>0.01</v>
      </c>
      <c r="M416">
        <v>87</v>
      </c>
      <c r="N416">
        <v>16.260000000000002</v>
      </c>
      <c r="O416">
        <v>106.59</v>
      </c>
    </row>
    <row r="417" spans="1:15" x14ac:dyDescent="0.25">
      <c r="A417" s="1">
        <v>45904</v>
      </c>
      <c r="B417" t="s">
        <v>493</v>
      </c>
      <c r="C417" t="s">
        <v>16</v>
      </c>
      <c r="D417" t="s">
        <v>20</v>
      </c>
      <c r="E417">
        <v>750</v>
      </c>
      <c r="F417">
        <v>39.950000000000003</v>
      </c>
      <c r="G417" s="2">
        <v>29962.5</v>
      </c>
      <c r="H417" t="s">
        <v>518</v>
      </c>
      <c r="I417">
        <v>30.08</v>
      </c>
      <c r="J417">
        <v>10.64</v>
      </c>
      <c r="K417">
        <v>0</v>
      </c>
      <c r="L417">
        <v>0.03</v>
      </c>
      <c r="M417">
        <v>290</v>
      </c>
      <c r="N417">
        <v>54.14</v>
      </c>
      <c r="O417">
        <v>384.89</v>
      </c>
    </row>
    <row r="418" spans="1:15" x14ac:dyDescent="0.25">
      <c r="A418" s="1">
        <v>45904</v>
      </c>
      <c r="B418" t="s">
        <v>519</v>
      </c>
      <c r="C418" t="s">
        <v>16</v>
      </c>
      <c r="D418" t="s">
        <v>17</v>
      </c>
      <c r="E418">
        <v>450</v>
      </c>
      <c r="F418">
        <v>52.35</v>
      </c>
      <c r="G418" s="2">
        <v>23557.5</v>
      </c>
      <c r="H418" t="s">
        <v>520</v>
      </c>
      <c r="I418">
        <v>0</v>
      </c>
      <c r="J418">
        <v>8.35</v>
      </c>
      <c r="K418">
        <v>0</v>
      </c>
      <c r="L418">
        <v>0.01</v>
      </c>
      <c r="M418">
        <v>174</v>
      </c>
      <c r="N418">
        <v>32.86</v>
      </c>
      <c r="O418">
        <v>215.22</v>
      </c>
    </row>
    <row r="419" spans="1:15" x14ac:dyDescent="0.25">
      <c r="A419" s="1">
        <v>45904</v>
      </c>
      <c r="B419" t="s">
        <v>519</v>
      </c>
      <c r="C419" t="s">
        <v>16</v>
      </c>
      <c r="D419" t="s">
        <v>17</v>
      </c>
      <c r="E419">
        <v>450</v>
      </c>
      <c r="F419">
        <v>49.05</v>
      </c>
      <c r="G419" s="2">
        <v>22072.5</v>
      </c>
      <c r="H419" t="s">
        <v>521</v>
      </c>
      <c r="I419">
        <v>0</v>
      </c>
      <c r="J419">
        <v>7.84</v>
      </c>
      <c r="K419">
        <v>1.08</v>
      </c>
      <c r="L419">
        <v>0.02</v>
      </c>
      <c r="M419">
        <v>174</v>
      </c>
      <c r="N419">
        <v>32.74</v>
      </c>
      <c r="O419">
        <v>215.68</v>
      </c>
    </row>
    <row r="420" spans="1:15" x14ac:dyDescent="0.25">
      <c r="A420" s="1">
        <v>45904</v>
      </c>
      <c r="B420" t="s">
        <v>519</v>
      </c>
      <c r="C420" t="s">
        <v>16</v>
      </c>
      <c r="D420" t="s">
        <v>20</v>
      </c>
      <c r="E420">
        <v>900</v>
      </c>
      <c r="F420">
        <v>63.25</v>
      </c>
      <c r="G420" s="2">
        <v>56925</v>
      </c>
      <c r="H420" t="s">
        <v>522</v>
      </c>
      <c r="I420">
        <v>56.93</v>
      </c>
      <c r="J420">
        <v>20.23</v>
      </c>
      <c r="K420">
        <v>0</v>
      </c>
      <c r="L420">
        <v>0.05</v>
      </c>
      <c r="M420">
        <v>348</v>
      </c>
      <c r="N420">
        <v>66.28</v>
      </c>
      <c r="O420">
        <v>491.49</v>
      </c>
    </row>
    <row r="421" spans="1:15" x14ac:dyDescent="0.25">
      <c r="A421" s="1">
        <v>45965</v>
      </c>
      <c r="B421" t="s">
        <v>523</v>
      </c>
      <c r="C421" t="s">
        <v>16</v>
      </c>
      <c r="D421" t="s">
        <v>17</v>
      </c>
      <c r="E421">
        <v>450</v>
      </c>
      <c r="F421">
        <v>71.25</v>
      </c>
      <c r="G421" s="2">
        <v>32062.5</v>
      </c>
      <c r="H421" t="s">
        <v>524</v>
      </c>
      <c r="I421">
        <v>0</v>
      </c>
      <c r="J421">
        <v>11.4</v>
      </c>
      <c r="K421">
        <v>1</v>
      </c>
      <c r="L421">
        <v>0.04</v>
      </c>
      <c r="M421">
        <v>174</v>
      </c>
      <c r="N421">
        <v>33.36</v>
      </c>
      <c r="O421">
        <v>219.8</v>
      </c>
    </row>
    <row r="422" spans="1:15" x14ac:dyDescent="0.25">
      <c r="A422" s="1">
        <v>45965</v>
      </c>
      <c r="B422" t="s">
        <v>523</v>
      </c>
      <c r="C422" t="s">
        <v>16</v>
      </c>
      <c r="D422" t="s">
        <v>20</v>
      </c>
      <c r="E422">
        <v>450</v>
      </c>
      <c r="F422">
        <v>78.900000000000006</v>
      </c>
      <c r="G422" s="2">
        <v>35505</v>
      </c>
      <c r="H422" t="s">
        <v>525</v>
      </c>
      <c r="I422">
        <v>36</v>
      </c>
      <c r="J422">
        <v>12.61</v>
      </c>
      <c r="K422">
        <v>0</v>
      </c>
      <c r="L422">
        <v>0.04</v>
      </c>
      <c r="M422">
        <v>174</v>
      </c>
      <c r="N422">
        <v>33.6</v>
      </c>
      <c r="O422">
        <v>256.25</v>
      </c>
    </row>
    <row r="423" spans="1:15" x14ac:dyDescent="0.25">
      <c r="A423" s="1">
        <v>45842</v>
      </c>
      <c r="B423" t="s">
        <v>526</v>
      </c>
      <c r="C423" t="s">
        <v>16</v>
      </c>
      <c r="D423" t="s">
        <v>20</v>
      </c>
      <c r="E423">
        <v>375</v>
      </c>
      <c r="F423">
        <v>152.25</v>
      </c>
      <c r="G423" s="2">
        <v>57093.75</v>
      </c>
      <c r="H423" t="s">
        <v>527</v>
      </c>
      <c r="I423">
        <v>56.97</v>
      </c>
      <c r="J423">
        <v>20.28</v>
      </c>
      <c r="K423">
        <v>0</v>
      </c>
      <c r="L423">
        <v>0.05</v>
      </c>
      <c r="M423">
        <v>145</v>
      </c>
      <c r="N423">
        <v>29.76</v>
      </c>
      <c r="O423">
        <v>252.06</v>
      </c>
    </row>
    <row r="424" spans="1:15" x14ac:dyDescent="0.25">
      <c r="A424" s="1">
        <v>45842</v>
      </c>
      <c r="B424" t="s">
        <v>526</v>
      </c>
      <c r="C424" t="s">
        <v>16</v>
      </c>
      <c r="D424" t="s">
        <v>20</v>
      </c>
      <c r="E424">
        <v>300</v>
      </c>
      <c r="F424">
        <v>153.44999999999999</v>
      </c>
      <c r="G424" s="2">
        <v>46035</v>
      </c>
      <c r="H424" t="s">
        <v>528</v>
      </c>
      <c r="I424">
        <v>46.04</v>
      </c>
      <c r="J424">
        <v>16.36</v>
      </c>
      <c r="K424">
        <v>0</v>
      </c>
      <c r="L424">
        <v>0.04</v>
      </c>
      <c r="M424">
        <v>116</v>
      </c>
      <c r="N424">
        <v>23.84</v>
      </c>
      <c r="O424">
        <v>202.28</v>
      </c>
    </row>
    <row r="425" spans="1:15" x14ac:dyDescent="0.25">
      <c r="A425" s="1">
        <v>45842</v>
      </c>
      <c r="B425" t="s">
        <v>526</v>
      </c>
      <c r="C425" t="s">
        <v>16</v>
      </c>
      <c r="D425" t="s">
        <v>17</v>
      </c>
      <c r="E425">
        <v>300</v>
      </c>
      <c r="F425">
        <v>157.69999999999999</v>
      </c>
      <c r="G425" s="2">
        <v>47310</v>
      </c>
      <c r="H425" t="s">
        <v>529</v>
      </c>
      <c r="I425">
        <v>0</v>
      </c>
      <c r="J425">
        <v>16.8</v>
      </c>
      <c r="K425">
        <v>0</v>
      </c>
      <c r="L425">
        <v>0.04</v>
      </c>
      <c r="M425">
        <v>116</v>
      </c>
      <c r="N425">
        <v>23.92</v>
      </c>
      <c r="O425">
        <v>156.76</v>
      </c>
    </row>
    <row r="426" spans="1:15" x14ac:dyDescent="0.25">
      <c r="A426" s="1">
        <v>45842</v>
      </c>
      <c r="B426" t="s">
        <v>526</v>
      </c>
      <c r="C426" t="s">
        <v>16</v>
      </c>
      <c r="D426" t="s">
        <v>17</v>
      </c>
      <c r="E426">
        <v>375</v>
      </c>
      <c r="F426">
        <v>157.1</v>
      </c>
      <c r="G426" s="2">
        <v>58912.5</v>
      </c>
      <c r="H426" t="s">
        <v>530</v>
      </c>
      <c r="I426">
        <v>0</v>
      </c>
      <c r="J426">
        <v>20.94</v>
      </c>
      <c r="K426">
        <v>3</v>
      </c>
      <c r="L426">
        <v>0.06</v>
      </c>
      <c r="M426">
        <v>145</v>
      </c>
      <c r="N426">
        <v>29.88</v>
      </c>
      <c r="O426">
        <v>198.88</v>
      </c>
    </row>
    <row r="427" spans="1:15" x14ac:dyDescent="0.25">
      <c r="A427" s="1">
        <v>46057</v>
      </c>
      <c r="B427" t="s">
        <v>531</v>
      </c>
      <c r="C427" t="s">
        <v>16</v>
      </c>
      <c r="D427" t="s">
        <v>17</v>
      </c>
      <c r="E427">
        <v>65</v>
      </c>
      <c r="F427">
        <v>174.5</v>
      </c>
      <c r="G427" s="2">
        <v>11342.5</v>
      </c>
      <c r="H427" t="s">
        <v>532</v>
      </c>
      <c r="I427">
        <v>0</v>
      </c>
      <c r="J427">
        <v>4.03</v>
      </c>
      <c r="K427">
        <v>0.34</v>
      </c>
      <c r="L427">
        <v>0.01</v>
      </c>
      <c r="M427">
        <v>29</v>
      </c>
      <c r="N427">
        <v>5.94</v>
      </c>
      <c r="O427">
        <v>39.32</v>
      </c>
    </row>
    <row r="428" spans="1:15" x14ac:dyDescent="0.25">
      <c r="A428" s="1">
        <v>46057</v>
      </c>
      <c r="B428" t="s">
        <v>531</v>
      </c>
      <c r="C428" t="s">
        <v>16</v>
      </c>
      <c r="D428" t="s">
        <v>20</v>
      </c>
      <c r="E428">
        <v>65</v>
      </c>
      <c r="F428">
        <v>174</v>
      </c>
      <c r="G428" s="2">
        <v>11310</v>
      </c>
      <c r="H428" t="s">
        <v>533</v>
      </c>
      <c r="I428">
        <v>11.31</v>
      </c>
      <c r="J428">
        <v>4.0199999999999996</v>
      </c>
      <c r="K428">
        <v>0</v>
      </c>
      <c r="L428">
        <v>0.01</v>
      </c>
      <c r="M428">
        <v>29</v>
      </c>
      <c r="N428">
        <v>5.94</v>
      </c>
      <c r="O428">
        <v>50.28</v>
      </c>
    </row>
    <row r="429" spans="1:15" x14ac:dyDescent="0.25">
      <c r="A429" s="1">
        <v>46057</v>
      </c>
      <c r="B429" t="s">
        <v>534</v>
      </c>
      <c r="C429" t="s">
        <v>16</v>
      </c>
      <c r="D429" t="s">
        <v>20</v>
      </c>
      <c r="E429">
        <v>65</v>
      </c>
      <c r="F429">
        <v>169.9</v>
      </c>
      <c r="G429" s="2">
        <v>11043.5</v>
      </c>
      <c r="H429" t="s">
        <v>535</v>
      </c>
      <c r="I429">
        <v>11.04</v>
      </c>
      <c r="J429">
        <v>3.92</v>
      </c>
      <c r="K429">
        <v>0</v>
      </c>
      <c r="L429">
        <v>0.01</v>
      </c>
      <c r="M429">
        <v>29</v>
      </c>
      <c r="N429">
        <v>5.92</v>
      </c>
      <c r="O429">
        <v>49.89</v>
      </c>
    </row>
    <row r="430" spans="1:15" x14ac:dyDescent="0.25">
      <c r="A430" s="1">
        <v>46057</v>
      </c>
      <c r="B430" t="s">
        <v>534</v>
      </c>
      <c r="C430" t="s">
        <v>16</v>
      </c>
      <c r="D430" t="s">
        <v>17</v>
      </c>
      <c r="E430">
        <v>65</v>
      </c>
      <c r="F430">
        <v>160.25</v>
      </c>
      <c r="G430" s="2">
        <v>10416.25</v>
      </c>
      <c r="H430" t="s">
        <v>536</v>
      </c>
      <c r="I430">
        <v>0</v>
      </c>
      <c r="J430">
        <v>3.7</v>
      </c>
      <c r="K430">
        <v>0.31</v>
      </c>
      <c r="L430">
        <v>0.01</v>
      </c>
      <c r="M430">
        <v>29</v>
      </c>
      <c r="N430">
        <v>5.88</v>
      </c>
      <c r="O430">
        <v>38.9</v>
      </c>
    </row>
    <row r="431" spans="1:15" x14ac:dyDescent="0.25">
      <c r="A431" s="1">
        <v>46057</v>
      </c>
      <c r="B431" t="s">
        <v>537</v>
      </c>
      <c r="C431" t="s">
        <v>16</v>
      </c>
      <c r="D431" t="s">
        <v>20</v>
      </c>
      <c r="E431">
        <v>130</v>
      </c>
      <c r="F431">
        <v>199.9</v>
      </c>
      <c r="G431" s="2">
        <v>25987</v>
      </c>
      <c r="H431" t="s">
        <v>538</v>
      </c>
      <c r="I431">
        <v>25.64</v>
      </c>
      <c r="J431">
        <v>9.24</v>
      </c>
      <c r="K431">
        <v>0</v>
      </c>
      <c r="L431">
        <v>0.02</v>
      </c>
      <c r="M431">
        <v>58</v>
      </c>
      <c r="N431">
        <v>12.12</v>
      </c>
      <c r="O431">
        <v>105.02</v>
      </c>
    </row>
    <row r="432" spans="1:15" x14ac:dyDescent="0.25">
      <c r="A432" s="1">
        <v>46057</v>
      </c>
      <c r="B432" t="s">
        <v>537</v>
      </c>
      <c r="C432" t="s">
        <v>16</v>
      </c>
      <c r="D432" t="s">
        <v>17</v>
      </c>
      <c r="E432">
        <v>65</v>
      </c>
      <c r="F432">
        <v>179.95</v>
      </c>
      <c r="G432" s="2">
        <v>11696.75</v>
      </c>
      <c r="H432" t="s">
        <v>539</v>
      </c>
      <c r="I432">
        <v>0</v>
      </c>
      <c r="J432">
        <v>4.16</v>
      </c>
      <c r="K432">
        <v>0</v>
      </c>
      <c r="L432">
        <v>0.01</v>
      </c>
      <c r="M432">
        <v>29</v>
      </c>
      <c r="N432">
        <v>5.98</v>
      </c>
      <c r="O432">
        <v>39.15</v>
      </c>
    </row>
    <row r="433" spans="1:15" x14ac:dyDescent="0.25">
      <c r="A433" s="1">
        <v>46057</v>
      </c>
      <c r="B433" t="s">
        <v>537</v>
      </c>
      <c r="C433" t="s">
        <v>16</v>
      </c>
      <c r="D433" t="s">
        <v>17</v>
      </c>
      <c r="E433">
        <v>65</v>
      </c>
      <c r="F433">
        <v>190.75</v>
      </c>
      <c r="G433" s="2">
        <v>12398.75</v>
      </c>
      <c r="H433" t="s">
        <v>540</v>
      </c>
      <c r="I433">
        <v>0</v>
      </c>
      <c r="J433">
        <v>4.41</v>
      </c>
      <c r="K433">
        <v>0.35</v>
      </c>
      <c r="L433">
        <v>0.01</v>
      </c>
      <c r="M433">
        <v>29</v>
      </c>
      <c r="N433">
        <v>6.02</v>
      </c>
      <c r="O433">
        <v>39.79</v>
      </c>
    </row>
    <row r="434" spans="1:15" x14ac:dyDescent="0.25">
      <c r="A434" s="1">
        <v>45995</v>
      </c>
      <c r="B434" t="s">
        <v>541</v>
      </c>
      <c r="C434" t="s">
        <v>16</v>
      </c>
      <c r="D434" t="s">
        <v>20</v>
      </c>
      <c r="E434">
        <v>75</v>
      </c>
      <c r="F434">
        <v>63.95</v>
      </c>
      <c r="G434" s="2">
        <v>4796.25</v>
      </c>
      <c r="H434" t="s">
        <v>542</v>
      </c>
      <c r="I434">
        <v>5</v>
      </c>
      <c r="J434">
        <v>1.7</v>
      </c>
      <c r="K434">
        <v>0</v>
      </c>
      <c r="L434">
        <v>0</v>
      </c>
      <c r="M434">
        <v>29</v>
      </c>
      <c r="N434">
        <v>5.52</v>
      </c>
      <c r="O434">
        <v>41.22</v>
      </c>
    </row>
    <row r="435" spans="1:15" x14ac:dyDescent="0.25">
      <c r="A435" s="1">
        <v>45751</v>
      </c>
      <c r="B435" t="s">
        <v>543</v>
      </c>
      <c r="C435" t="s">
        <v>16</v>
      </c>
      <c r="D435" t="s">
        <v>20</v>
      </c>
      <c r="E435">
        <v>75</v>
      </c>
      <c r="F435">
        <v>133.05000000000001</v>
      </c>
      <c r="G435" s="2">
        <v>9978.75</v>
      </c>
      <c r="H435" t="s">
        <v>544</v>
      </c>
      <c r="I435">
        <v>9.98</v>
      </c>
      <c r="J435">
        <v>3.55</v>
      </c>
      <c r="K435">
        <v>0</v>
      </c>
      <c r="L435">
        <v>0.01</v>
      </c>
      <c r="M435">
        <v>29</v>
      </c>
      <c r="N435">
        <v>5.86</v>
      </c>
      <c r="O435">
        <v>48.4</v>
      </c>
    </row>
    <row r="436" spans="1:15" x14ac:dyDescent="0.25">
      <c r="A436" s="1">
        <v>45751</v>
      </c>
      <c r="B436" t="s">
        <v>543</v>
      </c>
      <c r="C436" t="s">
        <v>16</v>
      </c>
      <c r="D436" t="s">
        <v>17</v>
      </c>
      <c r="E436">
        <v>75</v>
      </c>
      <c r="F436">
        <v>124.75</v>
      </c>
      <c r="G436" s="2">
        <v>9356.25</v>
      </c>
      <c r="H436" t="s">
        <v>545</v>
      </c>
      <c r="I436">
        <v>0</v>
      </c>
      <c r="J436">
        <v>3.32</v>
      </c>
      <c r="K436">
        <v>0.28000000000000003</v>
      </c>
      <c r="L436">
        <v>0.01</v>
      </c>
      <c r="M436">
        <v>29</v>
      </c>
      <c r="N436">
        <v>5.82</v>
      </c>
      <c r="O436">
        <v>38.43</v>
      </c>
    </row>
    <row r="437" spans="1:15" x14ac:dyDescent="0.25">
      <c r="A437" s="1">
        <v>45751</v>
      </c>
      <c r="B437" t="s">
        <v>546</v>
      </c>
      <c r="C437" t="s">
        <v>16</v>
      </c>
      <c r="D437" t="s">
        <v>20</v>
      </c>
      <c r="E437">
        <v>75</v>
      </c>
      <c r="F437">
        <v>127.25</v>
      </c>
      <c r="G437" s="2">
        <v>9543.75</v>
      </c>
      <c r="H437" t="s">
        <v>547</v>
      </c>
      <c r="I437">
        <v>9.9</v>
      </c>
      <c r="J437">
        <v>3.39</v>
      </c>
      <c r="K437">
        <v>0</v>
      </c>
      <c r="L437">
        <v>0.01</v>
      </c>
      <c r="M437">
        <v>29</v>
      </c>
      <c r="N437">
        <v>5.84</v>
      </c>
      <c r="O437">
        <v>48.14</v>
      </c>
    </row>
    <row r="438" spans="1:15" x14ac:dyDescent="0.25">
      <c r="A438" s="1">
        <v>45751</v>
      </c>
      <c r="B438" t="s">
        <v>548</v>
      </c>
      <c r="C438" t="s">
        <v>16</v>
      </c>
      <c r="D438" t="s">
        <v>20</v>
      </c>
      <c r="E438">
        <v>75</v>
      </c>
      <c r="F438">
        <v>112.45</v>
      </c>
      <c r="G438" s="2">
        <v>8433.75</v>
      </c>
      <c r="H438" t="s">
        <v>549</v>
      </c>
      <c r="I438">
        <v>8.43</v>
      </c>
      <c r="J438">
        <v>3</v>
      </c>
      <c r="K438">
        <v>0</v>
      </c>
      <c r="L438">
        <v>0.01</v>
      </c>
      <c r="M438">
        <v>29</v>
      </c>
      <c r="N438">
        <v>5.76</v>
      </c>
      <c r="O438">
        <v>46.2</v>
      </c>
    </row>
    <row r="439" spans="1:15" x14ac:dyDescent="0.25">
      <c r="A439" s="1">
        <v>45751</v>
      </c>
      <c r="B439" t="s">
        <v>546</v>
      </c>
      <c r="C439" t="s">
        <v>16</v>
      </c>
      <c r="D439" t="s">
        <v>17</v>
      </c>
      <c r="E439">
        <v>75</v>
      </c>
      <c r="F439">
        <v>119.15</v>
      </c>
      <c r="G439" s="2">
        <v>8936.25</v>
      </c>
      <c r="H439" t="s">
        <v>550</v>
      </c>
      <c r="I439">
        <v>0</v>
      </c>
      <c r="J439">
        <v>3.18</v>
      </c>
      <c r="K439">
        <v>0</v>
      </c>
      <c r="L439">
        <v>0.01</v>
      </c>
      <c r="M439">
        <v>29</v>
      </c>
      <c r="N439">
        <v>5.8</v>
      </c>
      <c r="O439">
        <v>37.99</v>
      </c>
    </row>
    <row r="440" spans="1:15" x14ac:dyDescent="0.25">
      <c r="A440" s="1">
        <v>45751</v>
      </c>
      <c r="B440" t="s">
        <v>546</v>
      </c>
      <c r="C440" t="s">
        <v>16</v>
      </c>
      <c r="D440" t="s">
        <v>20</v>
      </c>
      <c r="E440">
        <v>75</v>
      </c>
      <c r="F440">
        <v>137.25</v>
      </c>
      <c r="G440" s="2">
        <v>10293.75</v>
      </c>
      <c r="H440" t="s">
        <v>551</v>
      </c>
      <c r="I440">
        <v>10.29</v>
      </c>
      <c r="J440">
        <v>3.66</v>
      </c>
      <c r="K440">
        <v>0</v>
      </c>
      <c r="L440">
        <v>0.01</v>
      </c>
      <c r="M440">
        <v>29</v>
      </c>
      <c r="N440">
        <v>5.88</v>
      </c>
      <c r="O440">
        <v>48.84</v>
      </c>
    </row>
    <row r="441" spans="1:15" x14ac:dyDescent="0.25">
      <c r="A441" s="1">
        <v>45751</v>
      </c>
      <c r="B441" t="s">
        <v>546</v>
      </c>
      <c r="C441" t="s">
        <v>16</v>
      </c>
      <c r="D441" t="s">
        <v>20</v>
      </c>
      <c r="E441">
        <v>75</v>
      </c>
      <c r="F441">
        <v>125.25</v>
      </c>
      <c r="G441" s="2">
        <v>9393.75</v>
      </c>
      <c r="H441" t="s">
        <v>552</v>
      </c>
      <c r="I441">
        <v>9.39</v>
      </c>
      <c r="J441">
        <v>3.34</v>
      </c>
      <c r="K441">
        <v>0</v>
      </c>
      <c r="L441">
        <v>0.01</v>
      </c>
      <c r="M441">
        <v>29</v>
      </c>
      <c r="N441">
        <v>5.82</v>
      </c>
      <c r="O441">
        <v>47.56</v>
      </c>
    </row>
    <row r="442" spans="1:15" x14ac:dyDescent="0.25">
      <c r="A442" s="1">
        <v>45751</v>
      </c>
      <c r="B442" t="s">
        <v>548</v>
      </c>
      <c r="C442" t="s">
        <v>16</v>
      </c>
      <c r="D442" t="s">
        <v>17</v>
      </c>
      <c r="E442">
        <v>75</v>
      </c>
      <c r="F442">
        <v>114.25</v>
      </c>
      <c r="G442" s="2">
        <v>8568.75</v>
      </c>
      <c r="H442" t="s">
        <v>553</v>
      </c>
      <c r="I442">
        <v>0</v>
      </c>
      <c r="J442">
        <v>3.04</v>
      </c>
      <c r="K442">
        <v>0.26</v>
      </c>
      <c r="L442">
        <v>0.01</v>
      </c>
      <c r="M442">
        <v>29</v>
      </c>
      <c r="N442">
        <v>5.76</v>
      </c>
      <c r="O442">
        <v>38.07</v>
      </c>
    </row>
    <row r="443" spans="1:15" x14ac:dyDescent="0.25">
      <c r="A443" s="1">
        <v>45751</v>
      </c>
      <c r="B443" t="s">
        <v>546</v>
      </c>
      <c r="C443" t="s">
        <v>16</v>
      </c>
      <c r="D443" t="s">
        <v>17</v>
      </c>
      <c r="E443">
        <v>75</v>
      </c>
      <c r="F443">
        <v>121.55</v>
      </c>
      <c r="G443" s="2">
        <v>9116.25</v>
      </c>
      <c r="H443" t="s">
        <v>554</v>
      </c>
      <c r="I443">
        <v>0</v>
      </c>
      <c r="J443">
        <v>3.24</v>
      </c>
      <c r="K443">
        <v>0.46</v>
      </c>
      <c r="L443">
        <v>0.01</v>
      </c>
      <c r="M443">
        <v>29</v>
      </c>
      <c r="N443">
        <v>5.8</v>
      </c>
      <c r="O443">
        <v>38.51</v>
      </c>
    </row>
    <row r="444" spans="1:15" x14ac:dyDescent="0.25">
      <c r="A444" s="1">
        <v>45751</v>
      </c>
      <c r="B444" t="s">
        <v>546</v>
      </c>
      <c r="C444" t="s">
        <v>16</v>
      </c>
      <c r="D444" t="s">
        <v>17</v>
      </c>
      <c r="E444">
        <v>75</v>
      </c>
      <c r="F444">
        <v>133.94999999999999</v>
      </c>
      <c r="G444" s="2">
        <v>10046.25</v>
      </c>
      <c r="H444" t="s">
        <v>555</v>
      </c>
      <c r="I444">
        <v>0</v>
      </c>
      <c r="J444">
        <v>3.57</v>
      </c>
      <c r="K444">
        <v>0</v>
      </c>
      <c r="L444">
        <v>0.01</v>
      </c>
      <c r="M444">
        <v>29</v>
      </c>
      <c r="N444">
        <v>5.86</v>
      </c>
      <c r="O444">
        <v>38.44</v>
      </c>
    </row>
    <row r="445" spans="1:15" x14ac:dyDescent="0.25">
      <c r="A445" s="1">
        <v>45903</v>
      </c>
      <c r="B445" t="s">
        <v>493</v>
      </c>
      <c r="C445" t="s">
        <v>16</v>
      </c>
      <c r="D445" t="s">
        <v>20</v>
      </c>
      <c r="E445">
        <v>375</v>
      </c>
      <c r="F445">
        <v>94.8</v>
      </c>
      <c r="G445" s="2">
        <v>35550</v>
      </c>
      <c r="H445" t="s">
        <v>556</v>
      </c>
      <c r="I445">
        <v>35.69</v>
      </c>
      <c r="J445">
        <v>12.63</v>
      </c>
      <c r="K445">
        <v>0</v>
      </c>
      <c r="L445">
        <v>0.03</v>
      </c>
      <c r="M445">
        <v>145</v>
      </c>
      <c r="N445">
        <v>28.4</v>
      </c>
      <c r="O445">
        <v>221.75</v>
      </c>
    </row>
    <row r="446" spans="1:15" x14ac:dyDescent="0.25">
      <c r="A446" s="1">
        <v>45903</v>
      </c>
      <c r="B446" t="s">
        <v>493</v>
      </c>
      <c r="C446" t="s">
        <v>16</v>
      </c>
      <c r="D446" t="s">
        <v>17</v>
      </c>
      <c r="E446">
        <v>375</v>
      </c>
      <c r="F446">
        <v>97.15</v>
      </c>
      <c r="G446" s="2">
        <v>36431.25</v>
      </c>
      <c r="H446" t="s">
        <v>557</v>
      </c>
      <c r="I446">
        <v>0</v>
      </c>
      <c r="J446">
        <v>12.95</v>
      </c>
      <c r="K446">
        <v>3</v>
      </c>
      <c r="L446">
        <v>0.04</v>
      </c>
      <c r="M446">
        <v>145</v>
      </c>
      <c r="N446">
        <v>28.44</v>
      </c>
      <c r="O446">
        <v>189.43</v>
      </c>
    </row>
    <row r="447" spans="1:15" x14ac:dyDescent="0.25">
      <c r="A447" s="1">
        <v>45903</v>
      </c>
      <c r="B447" t="s">
        <v>493</v>
      </c>
      <c r="C447" t="s">
        <v>16</v>
      </c>
      <c r="D447" t="s">
        <v>20</v>
      </c>
      <c r="E447">
        <v>300</v>
      </c>
      <c r="F447">
        <v>94.32</v>
      </c>
      <c r="G447" s="2">
        <v>28297.5</v>
      </c>
      <c r="H447" t="s">
        <v>558</v>
      </c>
      <c r="I447">
        <v>28.3</v>
      </c>
      <c r="J447">
        <v>10.06</v>
      </c>
      <c r="K447">
        <v>0</v>
      </c>
      <c r="L447">
        <v>0.02</v>
      </c>
      <c r="M447">
        <v>116</v>
      </c>
      <c r="N447">
        <v>22.68</v>
      </c>
      <c r="O447">
        <v>177.06</v>
      </c>
    </row>
    <row r="448" spans="1:15" x14ac:dyDescent="0.25">
      <c r="A448" s="1">
        <v>45903</v>
      </c>
      <c r="B448" t="s">
        <v>493</v>
      </c>
      <c r="C448" t="s">
        <v>16</v>
      </c>
      <c r="D448" t="s">
        <v>17</v>
      </c>
      <c r="E448">
        <v>300</v>
      </c>
      <c r="F448">
        <v>97.45</v>
      </c>
      <c r="G448" s="2">
        <v>29235</v>
      </c>
      <c r="H448" t="s">
        <v>559</v>
      </c>
      <c r="I448">
        <v>0</v>
      </c>
      <c r="J448">
        <v>10.38</v>
      </c>
      <c r="K448">
        <v>0</v>
      </c>
      <c r="L448">
        <v>0.02</v>
      </c>
      <c r="M448">
        <v>116</v>
      </c>
      <c r="N448">
        <v>22.76</v>
      </c>
      <c r="O448">
        <v>149.16</v>
      </c>
    </row>
    <row r="449" spans="1:15" x14ac:dyDescent="0.25">
      <c r="A449" s="1">
        <v>45903</v>
      </c>
      <c r="B449" t="s">
        <v>493</v>
      </c>
      <c r="C449" t="s">
        <v>16</v>
      </c>
      <c r="D449" t="s">
        <v>17</v>
      </c>
      <c r="E449">
        <v>75</v>
      </c>
      <c r="F449">
        <v>102.65</v>
      </c>
      <c r="G449" s="2">
        <v>7698.75</v>
      </c>
      <c r="H449" t="s">
        <v>560</v>
      </c>
      <c r="I449">
        <v>0</v>
      </c>
      <c r="J449">
        <v>2.74</v>
      </c>
      <c r="K449">
        <v>0</v>
      </c>
      <c r="L449">
        <v>0.01</v>
      </c>
      <c r="M449">
        <v>29</v>
      </c>
      <c r="N449">
        <v>5.72</v>
      </c>
      <c r="O449">
        <v>37.47</v>
      </c>
    </row>
    <row r="450" spans="1:15" x14ac:dyDescent="0.25">
      <c r="A450" s="1">
        <v>45903</v>
      </c>
      <c r="B450" t="s">
        <v>493</v>
      </c>
      <c r="C450" t="s">
        <v>16</v>
      </c>
      <c r="D450" t="s">
        <v>17</v>
      </c>
      <c r="E450">
        <v>300</v>
      </c>
      <c r="F450">
        <v>97.55</v>
      </c>
      <c r="G450" s="2">
        <v>29265</v>
      </c>
      <c r="H450" t="s">
        <v>561</v>
      </c>
      <c r="I450">
        <v>0</v>
      </c>
      <c r="J450">
        <v>10.4</v>
      </c>
      <c r="K450">
        <v>0</v>
      </c>
      <c r="L450">
        <v>0.04</v>
      </c>
      <c r="M450">
        <v>116</v>
      </c>
      <c r="N450">
        <v>22.72</v>
      </c>
      <c r="O450">
        <v>149.16</v>
      </c>
    </row>
    <row r="451" spans="1:15" x14ac:dyDescent="0.25">
      <c r="A451" s="1">
        <v>45903</v>
      </c>
      <c r="B451" t="s">
        <v>493</v>
      </c>
      <c r="C451" t="s">
        <v>16</v>
      </c>
      <c r="D451" t="s">
        <v>20</v>
      </c>
      <c r="E451">
        <v>150</v>
      </c>
      <c r="F451">
        <v>97.57</v>
      </c>
      <c r="G451" s="2">
        <v>14636.25</v>
      </c>
      <c r="H451" t="s">
        <v>562</v>
      </c>
      <c r="I451">
        <v>14.64</v>
      </c>
      <c r="J451">
        <v>5.2</v>
      </c>
      <c r="K451">
        <v>0</v>
      </c>
      <c r="L451">
        <v>0.02</v>
      </c>
      <c r="M451">
        <v>58</v>
      </c>
      <c r="N451">
        <v>11.36</v>
      </c>
      <c r="O451">
        <v>89.22</v>
      </c>
    </row>
    <row r="452" spans="1:15" x14ac:dyDescent="0.25">
      <c r="A452" s="1">
        <v>45903</v>
      </c>
      <c r="B452" t="s">
        <v>493</v>
      </c>
      <c r="C452" t="s">
        <v>16</v>
      </c>
      <c r="D452" t="s">
        <v>17</v>
      </c>
      <c r="E452">
        <v>75</v>
      </c>
      <c r="F452">
        <v>101.8</v>
      </c>
      <c r="G452" s="2">
        <v>7635</v>
      </c>
      <c r="H452" t="s">
        <v>563</v>
      </c>
      <c r="I452">
        <v>0</v>
      </c>
      <c r="J452">
        <v>2.71</v>
      </c>
      <c r="K452">
        <v>0</v>
      </c>
      <c r="L452">
        <v>0.01</v>
      </c>
      <c r="M452">
        <v>29</v>
      </c>
      <c r="N452">
        <v>5.7</v>
      </c>
      <c r="O452">
        <v>37.42</v>
      </c>
    </row>
    <row r="453" spans="1:15" x14ac:dyDescent="0.25">
      <c r="A453" s="1">
        <v>45903</v>
      </c>
      <c r="B453" t="s">
        <v>493</v>
      </c>
      <c r="C453" t="s">
        <v>16</v>
      </c>
      <c r="D453" t="s">
        <v>20</v>
      </c>
      <c r="E453">
        <v>300</v>
      </c>
      <c r="F453">
        <v>94.6</v>
      </c>
      <c r="G453" s="2">
        <v>28380</v>
      </c>
      <c r="H453" t="s">
        <v>564</v>
      </c>
      <c r="I453">
        <v>28.39</v>
      </c>
      <c r="J453">
        <v>10.08</v>
      </c>
      <c r="K453">
        <v>0</v>
      </c>
      <c r="L453">
        <v>0.03</v>
      </c>
      <c r="M453">
        <v>116</v>
      </c>
      <c r="N453">
        <v>22.7</v>
      </c>
      <c r="O453">
        <v>177.2</v>
      </c>
    </row>
    <row r="454" spans="1:15" x14ac:dyDescent="0.25">
      <c r="A454" s="1">
        <v>46056</v>
      </c>
      <c r="B454" t="s">
        <v>565</v>
      </c>
      <c r="C454" t="s">
        <v>16</v>
      </c>
      <c r="D454" t="s">
        <v>17</v>
      </c>
      <c r="E454">
        <v>65</v>
      </c>
      <c r="F454">
        <v>102.35</v>
      </c>
      <c r="G454" s="2">
        <v>6652.75</v>
      </c>
      <c r="H454" t="s">
        <v>566</v>
      </c>
      <c r="I454">
        <v>0</v>
      </c>
      <c r="J454">
        <v>2.36</v>
      </c>
      <c r="K454">
        <v>0</v>
      </c>
      <c r="L454">
        <v>0.01</v>
      </c>
      <c r="M454">
        <v>29</v>
      </c>
      <c r="N454">
        <v>5.64</v>
      </c>
      <c r="O454">
        <v>37.01</v>
      </c>
    </row>
    <row r="455" spans="1:15" x14ac:dyDescent="0.25">
      <c r="A455" s="1">
        <v>46056</v>
      </c>
      <c r="B455" t="s">
        <v>565</v>
      </c>
      <c r="C455" t="s">
        <v>16</v>
      </c>
      <c r="D455" t="s">
        <v>20</v>
      </c>
      <c r="E455">
        <v>195</v>
      </c>
      <c r="F455">
        <v>109.9</v>
      </c>
      <c r="G455" s="2">
        <v>21430.5</v>
      </c>
      <c r="H455" t="s">
        <v>567</v>
      </c>
      <c r="I455">
        <v>21</v>
      </c>
      <c r="J455">
        <v>7.61</v>
      </c>
      <c r="K455">
        <v>0</v>
      </c>
      <c r="L455">
        <v>0.02</v>
      </c>
      <c r="M455">
        <v>87</v>
      </c>
      <c r="N455">
        <v>17.04</v>
      </c>
      <c r="O455">
        <v>132.66999999999999</v>
      </c>
    </row>
    <row r="456" spans="1:15" x14ac:dyDescent="0.25">
      <c r="A456" s="1">
        <v>46056</v>
      </c>
      <c r="B456" t="s">
        <v>565</v>
      </c>
      <c r="C456" t="s">
        <v>16</v>
      </c>
      <c r="D456" t="s">
        <v>17</v>
      </c>
      <c r="E456">
        <v>65</v>
      </c>
      <c r="F456">
        <v>161.1</v>
      </c>
      <c r="G456" s="2">
        <v>10471.5</v>
      </c>
      <c r="H456" t="s">
        <v>568</v>
      </c>
      <c r="I456">
        <v>0</v>
      </c>
      <c r="J456">
        <v>3.72</v>
      </c>
      <c r="K456">
        <v>0</v>
      </c>
      <c r="L456">
        <v>0.01</v>
      </c>
      <c r="M456">
        <v>29</v>
      </c>
      <c r="N456">
        <v>5.9</v>
      </c>
      <c r="O456">
        <v>38.630000000000003</v>
      </c>
    </row>
    <row r="457" spans="1:15" x14ac:dyDescent="0.25">
      <c r="A457" s="1">
        <v>46056</v>
      </c>
      <c r="B457" t="s">
        <v>565</v>
      </c>
      <c r="C457" t="s">
        <v>16</v>
      </c>
      <c r="D457" t="s">
        <v>17</v>
      </c>
      <c r="E457">
        <v>65</v>
      </c>
      <c r="F457">
        <v>149.30000000000001</v>
      </c>
      <c r="G457" s="2">
        <v>9704.5</v>
      </c>
      <c r="H457" t="s">
        <v>569</v>
      </c>
      <c r="I457">
        <v>0</v>
      </c>
      <c r="J457">
        <v>3.45</v>
      </c>
      <c r="K457">
        <v>1</v>
      </c>
      <c r="L457">
        <v>0.01</v>
      </c>
      <c r="M457">
        <v>29</v>
      </c>
      <c r="N457">
        <v>5.84</v>
      </c>
      <c r="O457">
        <v>39.299999999999997</v>
      </c>
    </row>
    <row r="458" spans="1:15" x14ac:dyDescent="0.25">
      <c r="A458" s="1">
        <v>45994</v>
      </c>
      <c r="B458" t="s">
        <v>570</v>
      </c>
      <c r="C458" t="s">
        <v>16</v>
      </c>
      <c r="D458" t="s">
        <v>20</v>
      </c>
      <c r="E458">
        <v>75</v>
      </c>
      <c r="F458">
        <v>149.9</v>
      </c>
      <c r="G458" s="2">
        <v>11242.5</v>
      </c>
      <c r="H458" t="s">
        <v>571</v>
      </c>
      <c r="I458">
        <v>11</v>
      </c>
      <c r="J458">
        <v>3.99</v>
      </c>
      <c r="K458">
        <v>0</v>
      </c>
      <c r="L458">
        <v>0.01</v>
      </c>
      <c r="M458">
        <v>29</v>
      </c>
      <c r="N458">
        <v>5.94</v>
      </c>
      <c r="O458">
        <v>49.94</v>
      </c>
    </row>
    <row r="459" spans="1:15" x14ac:dyDescent="0.25">
      <c r="A459" s="1">
        <v>45994</v>
      </c>
      <c r="B459" t="s">
        <v>541</v>
      </c>
      <c r="C459" t="s">
        <v>16</v>
      </c>
      <c r="D459" t="s">
        <v>17</v>
      </c>
      <c r="E459">
        <v>75</v>
      </c>
      <c r="F459">
        <v>123.6</v>
      </c>
      <c r="G459" s="2">
        <v>9270</v>
      </c>
      <c r="H459" t="s">
        <v>572</v>
      </c>
      <c r="I459">
        <v>0</v>
      </c>
      <c r="J459">
        <v>3.29</v>
      </c>
      <c r="K459">
        <v>0.28000000000000003</v>
      </c>
      <c r="L459">
        <v>0.01</v>
      </c>
      <c r="M459">
        <v>29</v>
      </c>
      <c r="N459">
        <v>5.82</v>
      </c>
      <c r="O459">
        <v>38.4</v>
      </c>
    </row>
    <row r="460" spans="1:15" x14ac:dyDescent="0.25">
      <c r="A460" s="1">
        <v>45994</v>
      </c>
      <c r="B460" t="s">
        <v>570</v>
      </c>
      <c r="C460" t="s">
        <v>16</v>
      </c>
      <c r="D460" t="s">
        <v>17</v>
      </c>
      <c r="E460">
        <v>75</v>
      </c>
      <c r="F460">
        <v>144</v>
      </c>
      <c r="G460" s="2">
        <v>10800</v>
      </c>
      <c r="H460" t="s">
        <v>573</v>
      </c>
      <c r="I460">
        <v>0</v>
      </c>
      <c r="J460">
        <v>3.84</v>
      </c>
      <c r="K460">
        <v>0.72</v>
      </c>
      <c r="L460">
        <v>0.01</v>
      </c>
      <c r="M460">
        <v>29</v>
      </c>
      <c r="N460">
        <v>5.92</v>
      </c>
      <c r="O460">
        <v>39.49</v>
      </c>
    </row>
    <row r="461" spans="1:15" x14ac:dyDescent="0.25">
      <c r="A461" s="1">
        <v>45750</v>
      </c>
      <c r="B461" t="s">
        <v>574</v>
      </c>
      <c r="C461" t="s">
        <v>16</v>
      </c>
      <c r="D461" t="s">
        <v>17</v>
      </c>
      <c r="E461">
        <v>750</v>
      </c>
      <c r="F461">
        <v>10.45</v>
      </c>
      <c r="G461" s="2">
        <v>7837.5</v>
      </c>
      <c r="H461" t="s">
        <v>575</v>
      </c>
      <c r="I461">
        <v>0</v>
      </c>
      <c r="J461">
        <v>2.78</v>
      </c>
      <c r="K461">
        <v>0.24</v>
      </c>
      <c r="L461">
        <v>0.01</v>
      </c>
      <c r="M461">
        <v>29</v>
      </c>
      <c r="N461">
        <v>5.72</v>
      </c>
      <c r="O461">
        <v>37.75</v>
      </c>
    </row>
    <row r="462" spans="1:15" x14ac:dyDescent="0.25">
      <c r="A462" s="1">
        <v>45750</v>
      </c>
      <c r="B462" t="s">
        <v>576</v>
      </c>
      <c r="C462" t="s">
        <v>16</v>
      </c>
      <c r="D462" t="s">
        <v>20</v>
      </c>
      <c r="E462">
        <v>75</v>
      </c>
      <c r="F462">
        <v>47.85</v>
      </c>
      <c r="G462" s="2">
        <v>3588.75</v>
      </c>
      <c r="H462" t="s">
        <v>577</v>
      </c>
      <c r="I462">
        <v>3.65</v>
      </c>
      <c r="J462">
        <v>1.28</v>
      </c>
      <c r="K462">
        <v>0</v>
      </c>
      <c r="L462">
        <v>0</v>
      </c>
      <c r="M462">
        <v>29</v>
      </c>
      <c r="N462">
        <v>5.46</v>
      </c>
      <c r="O462">
        <v>39.39</v>
      </c>
    </row>
    <row r="463" spans="1:15" x14ac:dyDescent="0.25">
      <c r="A463" s="1">
        <v>45750</v>
      </c>
      <c r="B463" t="s">
        <v>576</v>
      </c>
      <c r="C463" t="s">
        <v>16</v>
      </c>
      <c r="D463" t="s">
        <v>20</v>
      </c>
      <c r="E463">
        <v>75</v>
      </c>
      <c r="F463">
        <v>44.45</v>
      </c>
      <c r="G463" s="2">
        <v>3333.75</v>
      </c>
      <c r="H463" t="s">
        <v>578</v>
      </c>
      <c r="I463">
        <v>3.33</v>
      </c>
      <c r="J463">
        <v>1.18</v>
      </c>
      <c r="K463">
        <v>0</v>
      </c>
      <c r="L463">
        <v>0</v>
      </c>
      <c r="M463">
        <v>29</v>
      </c>
      <c r="N463">
        <v>5.44</v>
      </c>
      <c r="O463">
        <v>38.950000000000003</v>
      </c>
    </row>
    <row r="464" spans="1:15" x14ac:dyDescent="0.25">
      <c r="A464" s="1">
        <v>45750</v>
      </c>
      <c r="B464" t="s">
        <v>576</v>
      </c>
      <c r="C464" t="s">
        <v>16</v>
      </c>
      <c r="D464" t="s">
        <v>17</v>
      </c>
      <c r="E464">
        <v>75</v>
      </c>
      <c r="F464">
        <v>45</v>
      </c>
      <c r="G464" s="2">
        <v>3375</v>
      </c>
      <c r="H464" t="s">
        <v>579</v>
      </c>
      <c r="I464">
        <v>0</v>
      </c>
      <c r="J464">
        <v>1.2</v>
      </c>
      <c r="K464">
        <v>0</v>
      </c>
      <c r="L464">
        <v>0</v>
      </c>
      <c r="M464">
        <v>29</v>
      </c>
      <c r="N464">
        <v>5.44</v>
      </c>
      <c r="O464">
        <v>35.64</v>
      </c>
    </row>
    <row r="465" spans="1:15" x14ac:dyDescent="0.25">
      <c r="A465" s="1">
        <v>45750</v>
      </c>
      <c r="B465" t="s">
        <v>576</v>
      </c>
      <c r="C465" t="s">
        <v>16</v>
      </c>
      <c r="D465" t="s">
        <v>17</v>
      </c>
      <c r="E465">
        <v>75</v>
      </c>
      <c r="F465">
        <v>49.05</v>
      </c>
      <c r="G465" s="2">
        <v>3678.75</v>
      </c>
      <c r="H465" t="s">
        <v>580</v>
      </c>
      <c r="I465">
        <v>0</v>
      </c>
      <c r="J465">
        <v>1.31</v>
      </c>
      <c r="K465">
        <v>0</v>
      </c>
      <c r="L465">
        <v>0</v>
      </c>
      <c r="M465">
        <v>29</v>
      </c>
      <c r="N465">
        <v>5.46</v>
      </c>
      <c r="O465">
        <v>35.770000000000003</v>
      </c>
    </row>
    <row r="466" spans="1:15" x14ac:dyDescent="0.25">
      <c r="A466" s="1">
        <v>45750</v>
      </c>
      <c r="B466" t="s">
        <v>574</v>
      </c>
      <c r="C466" t="s">
        <v>16</v>
      </c>
      <c r="D466" t="s">
        <v>20</v>
      </c>
      <c r="E466">
        <v>750</v>
      </c>
      <c r="F466">
        <v>10.25</v>
      </c>
      <c r="G466" s="2">
        <v>7687.5</v>
      </c>
      <c r="H466" t="s">
        <v>581</v>
      </c>
      <c r="I466">
        <v>7.69</v>
      </c>
      <c r="J466">
        <v>2.73</v>
      </c>
      <c r="K466">
        <v>0</v>
      </c>
      <c r="L466">
        <v>0.01</v>
      </c>
      <c r="M466">
        <v>29</v>
      </c>
      <c r="N466">
        <v>5.72</v>
      </c>
      <c r="O466">
        <v>45.15</v>
      </c>
    </row>
    <row r="467" spans="1:15" x14ac:dyDescent="0.25">
      <c r="A467" s="1">
        <v>45750</v>
      </c>
      <c r="B467" t="s">
        <v>576</v>
      </c>
      <c r="C467" t="s">
        <v>16</v>
      </c>
      <c r="D467" t="s">
        <v>17</v>
      </c>
      <c r="E467">
        <v>300</v>
      </c>
      <c r="F467">
        <v>37.5</v>
      </c>
      <c r="G467" s="2">
        <v>11250</v>
      </c>
      <c r="H467" t="s">
        <v>582</v>
      </c>
      <c r="I467">
        <v>0</v>
      </c>
      <c r="J467">
        <v>4</v>
      </c>
      <c r="K467">
        <v>0.76</v>
      </c>
      <c r="L467">
        <v>0.01</v>
      </c>
      <c r="M467">
        <v>116</v>
      </c>
      <c r="N467">
        <v>21.6</v>
      </c>
      <c r="O467">
        <v>142.37</v>
      </c>
    </row>
    <row r="468" spans="1:15" x14ac:dyDescent="0.25">
      <c r="A468" s="1">
        <v>45750</v>
      </c>
      <c r="B468" t="s">
        <v>576</v>
      </c>
      <c r="C468" t="s">
        <v>16</v>
      </c>
      <c r="D468" t="s">
        <v>20</v>
      </c>
      <c r="E468">
        <v>300</v>
      </c>
      <c r="F468">
        <v>47.75</v>
      </c>
      <c r="G468" s="2">
        <v>14325</v>
      </c>
      <c r="H468" t="s">
        <v>583</v>
      </c>
      <c r="I468">
        <v>14.33</v>
      </c>
      <c r="J468">
        <v>5.09</v>
      </c>
      <c r="K468">
        <v>0</v>
      </c>
      <c r="L468">
        <v>0.01</v>
      </c>
      <c r="M468">
        <v>116</v>
      </c>
      <c r="N468">
        <v>21.8</v>
      </c>
      <c r="O468">
        <v>157.22999999999999</v>
      </c>
    </row>
    <row r="469" spans="1:15" x14ac:dyDescent="0.25">
      <c r="A469" s="1">
        <v>45902</v>
      </c>
      <c r="B469" t="s">
        <v>584</v>
      </c>
      <c r="C469" t="s">
        <v>16</v>
      </c>
      <c r="D469" t="s">
        <v>20</v>
      </c>
      <c r="E469">
        <v>750</v>
      </c>
      <c r="F469">
        <v>40.25</v>
      </c>
      <c r="G469" s="2">
        <v>30187.5</v>
      </c>
      <c r="H469" t="s">
        <v>585</v>
      </c>
      <c r="I469">
        <v>30</v>
      </c>
      <c r="J469">
        <v>10.73</v>
      </c>
      <c r="K469">
        <v>0</v>
      </c>
      <c r="L469">
        <v>0.03</v>
      </c>
      <c r="M469">
        <v>290</v>
      </c>
      <c r="N469">
        <v>54.14</v>
      </c>
      <c r="O469">
        <v>384.9</v>
      </c>
    </row>
    <row r="470" spans="1:15" x14ac:dyDescent="0.25">
      <c r="A470" s="1">
        <v>45902</v>
      </c>
      <c r="B470" t="s">
        <v>584</v>
      </c>
      <c r="C470" t="s">
        <v>16</v>
      </c>
      <c r="D470" t="s">
        <v>17</v>
      </c>
      <c r="E470">
        <v>375</v>
      </c>
      <c r="F470">
        <v>24.5</v>
      </c>
      <c r="G470" s="2">
        <v>9187.5</v>
      </c>
      <c r="H470" t="s">
        <v>586</v>
      </c>
      <c r="I470">
        <v>0</v>
      </c>
      <c r="J470">
        <v>3.26</v>
      </c>
      <c r="K470">
        <v>0</v>
      </c>
      <c r="L470">
        <v>0.01</v>
      </c>
      <c r="M470">
        <v>145</v>
      </c>
      <c r="N470">
        <v>26.7</v>
      </c>
      <c r="O470">
        <v>174.97</v>
      </c>
    </row>
    <row r="471" spans="1:15" x14ac:dyDescent="0.25">
      <c r="A471" s="1">
        <v>45902</v>
      </c>
      <c r="B471" t="s">
        <v>584</v>
      </c>
      <c r="C471" t="s">
        <v>16</v>
      </c>
      <c r="D471" t="s">
        <v>17</v>
      </c>
      <c r="E471">
        <v>375</v>
      </c>
      <c r="F471">
        <v>24.25</v>
      </c>
      <c r="G471" s="2">
        <v>9093.75</v>
      </c>
      <c r="H471" t="s">
        <v>587</v>
      </c>
      <c r="I471">
        <v>0</v>
      </c>
      <c r="J471">
        <v>3.23</v>
      </c>
      <c r="K471">
        <v>1</v>
      </c>
      <c r="L471">
        <v>0.01</v>
      </c>
      <c r="M471">
        <v>145</v>
      </c>
      <c r="N471">
        <v>26.68</v>
      </c>
      <c r="O471">
        <v>175.92</v>
      </c>
    </row>
    <row r="472" spans="1:15" x14ac:dyDescent="0.25">
      <c r="A472" s="1">
        <v>45779</v>
      </c>
      <c r="B472" t="s">
        <v>588</v>
      </c>
      <c r="C472" t="s">
        <v>16</v>
      </c>
      <c r="D472" t="s">
        <v>17</v>
      </c>
      <c r="E472">
        <v>75</v>
      </c>
      <c r="F472">
        <v>156.44999999999999</v>
      </c>
      <c r="G472" s="2">
        <v>11733.75</v>
      </c>
      <c r="H472" t="s">
        <v>589</v>
      </c>
      <c r="I472">
        <v>0</v>
      </c>
      <c r="J472">
        <v>4.17</v>
      </c>
      <c r="K472">
        <v>0</v>
      </c>
      <c r="L472">
        <v>0.01</v>
      </c>
      <c r="M472">
        <v>29</v>
      </c>
      <c r="N472">
        <v>5.98</v>
      </c>
      <c r="O472">
        <v>39.159999999999997</v>
      </c>
    </row>
    <row r="473" spans="1:15" x14ac:dyDescent="0.25">
      <c r="A473" s="1">
        <v>45779</v>
      </c>
      <c r="B473" t="s">
        <v>590</v>
      </c>
      <c r="C473" t="s">
        <v>16</v>
      </c>
      <c r="D473" t="s">
        <v>20</v>
      </c>
      <c r="E473">
        <v>150</v>
      </c>
      <c r="F473">
        <v>209.15</v>
      </c>
      <c r="G473" s="2">
        <v>31372.5</v>
      </c>
      <c r="H473" t="s">
        <v>591</v>
      </c>
      <c r="I473">
        <v>31.37</v>
      </c>
      <c r="J473">
        <v>11.15</v>
      </c>
      <c r="K473">
        <v>0</v>
      </c>
      <c r="L473">
        <v>0.03</v>
      </c>
      <c r="M473">
        <v>58</v>
      </c>
      <c r="N473">
        <v>12.46</v>
      </c>
      <c r="O473">
        <v>113.01</v>
      </c>
    </row>
    <row r="474" spans="1:15" x14ac:dyDescent="0.25">
      <c r="A474" s="1">
        <v>45779</v>
      </c>
      <c r="B474" t="s">
        <v>590</v>
      </c>
      <c r="C474" t="s">
        <v>16</v>
      </c>
      <c r="D474" t="s">
        <v>17</v>
      </c>
      <c r="E474">
        <v>75</v>
      </c>
      <c r="F474">
        <v>203</v>
      </c>
      <c r="G474" s="2">
        <v>15225</v>
      </c>
      <c r="H474" t="s">
        <v>592</v>
      </c>
      <c r="I474">
        <v>0</v>
      </c>
      <c r="J474">
        <v>5.41</v>
      </c>
      <c r="K474">
        <v>0</v>
      </c>
      <c r="L474">
        <v>0.02</v>
      </c>
      <c r="M474">
        <v>29</v>
      </c>
      <c r="N474">
        <v>6.2</v>
      </c>
      <c r="O474">
        <v>40.630000000000003</v>
      </c>
    </row>
    <row r="475" spans="1:15" x14ac:dyDescent="0.25">
      <c r="A475" s="1">
        <v>45779</v>
      </c>
      <c r="B475" t="s">
        <v>588</v>
      </c>
      <c r="C475" t="s">
        <v>16</v>
      </c>
      <c r="D475" t="s">
        <v>17</v>
      </c>
      <c r="E475">
        <v>150</v>
      </c>
      <c r="F475">
        <v>204</v>
      </c>
      <c r="G475" s="2">
        <v>30600</v>
      </c>
      <c r="H475" t="s">
        <v>593</v>
      </c>
      <c r="I475">
        <v>0</v>
      </c>
      <c r="J475">
        <v>10.88</v>
      </c>
      <c r="K475">
        <v>0</v>
      </c>
      <c r="L475">
        <v>0.04</v>
      </c>
      <c r="M475">
        <v>58</v>
      </c>
      <c r="N475">
        <v>12.4</v>
      </c>
      <c r="O475">
        <v>81.319999999999993</v>
      </c>
    </row>
    <row r="476" spans="1:15" x14ac:dyDescent="0.25">
      <c r="A476" s="1">
        <v>45779</v>
      </c>
      <c r="B476" t="s">
        <v>588</v>
      </c>
      <c r="C476" t="s">
        <v>16</v>
      </c>
      <c r="D476" t="s">
        <v>20</v>
      </c>
      <c r="E476">
        <v>150</v>
      </c>
      <c r="F476">
        <v>217.25</v>
      </c>
      <c r="G476" s="2">
        <v>32587.5</v>
      </c>
      <c r="H476" t="s">
        <v>594</v>
      </c>
      <c r="I476">
        <v>32.58</v>
      </c>
      <c r="J476">
        <v>11.58</v>
      </c>
      <c r="K476">
        <v>0</v>
      </c>
      <c r="L476">
        <v>0.04</v>
      </c>
      <c r="M476">
        <v>58</v>
      </c>
      <c r="N476">
        <v>12.52</v>
      </c>
      <c r="O476">
        <v>114.72</v>
      </c>
    </row>
    <row r="477" spans="1:15" x14ac:dyDescent="0.25">
      <c r="A477" s="1">
        <v>45779</v>
      </c>
      <c r="B477" t="s">
        <v>595</v>
      </c>
      <c r="C477" t="s">
        <v>16</v>
      </c>
      <c r="D477" t="s">
        <v>17</v>
      </c>
      <c r="E477">
        <v>150</v>
      </c>
      <c r="F477">
        <v>208.77</v>
      </c>
      <c r="G477" s="2">
        <v>31316.25</v>
      </c>
      <c r="H477" t="s">
        <v>596</v>
      </c>
      <c r="I477">
        <v>0</v>
      </c>
      <c r="J477">
        <v>11.12</v>
      </c>
      <c r="K477">
        <v>0.94</v>
      </c>
      <c r="L477">
        <v>0.04</v>
      </c>
      <c r="M477">
        <v>58</v>
      </c>
      <c r="N477">
        <v>12.44</v>
      </c>
      <c r="O477">
        <v>82.54</v>
      </c>
    </row>
    <row r="478" spans="1:15" x14ac:dyDescent="0.25">
      <c r="A478" s="1">
        <v>45779</v>
      </c>
      <c r="B478" t="s">
        <v>595</v>
      </c>
      <c r="C478" t="s">
        <v>16</v>
      </c>
      <c r="D478" t="s">
        <v>20</v>
      </c>
      <c r="E478">
        <v>150</v>
      </c>
      <c r="F478">
        <v>227.25</v>
      </c>
      <c r="G478" s="2">
        <v>34087.5</v>
      </c>
      <c r="H478" t="s">
        <v>597</v>
      </c>
      <c r="I478">
        <v>34.549999999999997</v>
      </c>
      <c r="J478">
        <v>12.11</v>
      </c>
      <c r="K478">
        <v>0</v>
      </c>
      <c r="L478">
        <v>0.03</v>
      </c>
      <c r="M478">
        <v>58</v>
      </c>
      <c r="N478">
        <v>12.62</v>
      </c>
      <c r="O478">
        <v>117.31</v>
      </c>
    </row>
    <row r="479" spans="1:15" x14ac:dyDescent="0.25">
      <c r="A479" s="1">
        <v>45779</v>
      </c>
      <c r="B479" t="s">
        <v>598</v>
      </c>
      <c r="C479" t="s">
        <v>16</v>
      </c>
      <c r="D479" t="s">
        <v>17</v>
      </c>
      <c r="E479">
        <v>75</v>
      </c>
      <c r="F479">
        <v>151.25</v>
      </c>
      <c r="G479" s="2">
        <v>11343.75</v>
      </c>
      <c r="H479" t="s">
        <v>599</v>
      </c>
      <c r="I479">
        <v>0</v>
      </c>
      <c r="J479">
        <v>4.03</v>
      </c>
      <c r="K479">
        <v>1.26</v>
      </c>
      <c r="L479">
        <v>0.01</v>
      </c>
      <c r="M479">
        <v>29</v>
      </c>
      <c r="N479">
        <v>5.94</v>
      </c>
      <c r="O479">
        <v>40.24</v>
      </c>
    </row>
    <row r="480" spans="1:15" x14ac:dyDescent="0.25">
      <c r="A480" s="1">
        <v>45779</v>
      </c>
      <c r="B480" t="s">
        <v>598</v>
      </c>
      <c r="C480" t="s">
        <v>16</v>
      </c>
      <c r="D480" t="s">
        <v>20</v>
      </c>
      <c r="E480">
        <v>75</v>
      </c>
      <c r="F480">
        <v>159.25</v>
      </c>
      <c r="G480" s="2">
        <v>11943.75</v>
      </c>
      <c r="H480" t="s">
        <v>600</v>
      </c>
      <c r="I480">
        <v>11.94</v>
      </c>
      <c r="J480">
        <v>4.24</v>
      </c>
      <c r="K480">
        <v>0</v>
      </c>
      <c r="L480">
        <v>0.01</v>
      </c>
      <c r="M480">
        <v>29</v>
      </c>
      <c r="N480">
        <v>5.98</v>
      </c>
      <c r="O480">
        <v>51.17</v>
      </c>
    </row>
    <row r="481" spans="1:15" x14ac:dyDescent="0.25">
      <c r="A481" s="1">
        <v>45779</v>
      </c>
      <c r="B481" t="s">
        <v>601</v>
      </c>
      <c r="C481" t="s">
        <v>16</v>
      </c>
      <c r="D481" t="s">
        <v>17</v>
      </c>
      <c r="E481">
        <v>75</v>
      </c>
      <c r="F481">
        <v>202.1</v>
      </c>
      <c r="G481" s="2">
        <v>15157.5</v>
      </c>
      <c r="H481" t="s">
        <v>602</v>
      </c>
      <c r="I481">
        <v>0</v>
      </c>
      <c r="J481">
        <v>5.39</v>
      </c>
      <c r="K481">
        <v>0.45</v>
      </c>
      <c r="L481">
        <v>0.02</v>
      </c>
      <c r="M481">
        <v>29</v>
      </c>
      <c r="N481">
        <v>6.2</v>
      </c>
      <c r="O481">
        <v>41.06</v>
      </c>
    </row>
    <row r="482" spans="1:15" x14ac:dyDescent="0.25">
      <c r="A482" s="1">
        <v>45779</v>
      </c>
      <c r="B482" t="s">
        <v>601</v>
      </c>
      <c r="C482" t="s">
        <v>16</v>
      </c>
      <c r="D482" t="s">
        <v>20</v>
      </c>
      <c r="E482">
        <v>75</v>
      </c>
      <c r="F482">
        <v>204.55</v>
      </c>
      <c r="G482" s="2">
        <v>15341.25</v>
      </c>
      <c r="H482" t="s">
        <v>603</v>
      </c>
      <c r="I482">
        <v>15.34</v>
      </c>
      <c r="J482">
        <v>5.45</v>
      </c>
      <c r="K482">
        <v>0</v>
      </c>
      <c r="L482">
        <v>0.02</v>
      </c>
      <c r="M482">
        <v>29</v>
      </c>
      <c r="N482">
        <v>6.2</v>
      </c>
      <c r="O482">
        <v>56.01</v>
      </c>
    </row>
    <row r="483" spans="1:15" x14ac:dyDescent="0.25">
      <c r="A483" s="1">
        <v>45779</v>
      </c>
      <c r="B483" t="s">
        <v>598</v>
      </c>
      <c r="C483" t="s">
        <v>16</v>
      </c>
      <c r="D483" t="s">
        <v>17</v>
      </c>
      <c r="E483">
        <v>150</v>
      </c>
      <c r="F483">
        <v>203.3</v>
      </c>
      <c r="G483" s="2">
        <v>30495</v>
      </c>
      <c r="H483" t="s">
        <v>604</v>
      </c>
      <c r="I483">
        <v>0</v>
      </c>
      <c r="J483">
        <v>10.84</v>
      </c>
      <c r="K483">
        <v>0</v>
      </c>
      <c r="L483">
        <v>0.04</v>
      </c>
      <c r="M483">
        <v>58</v>
      </c>
      <c r="N483">
        <v>12.4</v>
      </c>
      <c r="O483">
        <v>81.28</v>
      </c>
    </row>
    <row r="484" spans="1:15" x14ac:dyDescent="0.25">
      <c r="A484" s="1">
        <v>45779</v>
      </c>
      <c r="B484" t="s">
        <v>598</v>
      </c>
      <c r="C484" t="s">
        <v>16</v>
      </c>
      <c r="D484" t="s">
        <v>20</v>
      </c>
      <c r="E484">
        <v>150</v>
      </c>
      <c r="F484">
        <v>215.45</v>
      </c>
      <c r="G484" s="2">
        <v>32317.5</v>
      </c>
      <c r="H484" t="s">
        <v>605</v>
      </c>
      <c r="I484">
        <v>32.32</v>
      </c>
      <c r="J484">
        <v>11.48</v>
      </c>
      <c r="K484">
        <v>0</v>
      </c>
      <c r="L484">
        <v>0.04</v>
      </c>
      <c r="M484">
        <v>58</v>
      </c>
      <c r="N484">
        <v>12.52</v>
      </c>
      <c r="O484">
        <v>114.36</v>
      </c>
    </row>
    <row r="485" spans="1:15" x14ac:dyDescent="0.25">
      <c r="A485" s="1">
        <v>45779</v>
      </c>
      <c r="B485" t="s">
        <v>588</v>
      </c>
      <c r="C485" t="s">
        <v>16</v>
      </c>
      <c r="D485" t="s">
        <v>20</v>
      </c>
      <c r="E485">
        <v>75</v>
      </c>
      <c r="F485">
        <v>146.9</v>
      </c>
      <c r="G485" s="2">
        <v>11017.5</v>
      </c>
      <c r="H485" t="s">
        <v>606</v>
      </c>
      <c r="I485">
        <v>11.02</v>
      </c>
      <c r="J485">
        <v>3.91</v>
      </c>
      <c r="K485">
        <v>0</v>
      </c>
      <c r="L485">
        <v>0.01</v>
      </c>
      <c r="M485">
        <v>29</v>
      </c>
      <c r="N485">
        <v>5.92</v>
      </c>
      <c r="O485">
        <v>49.86</v>
      </c>
    </row>
    <row r="486" spans="1:15" x14ac:dyDescent="0.25">
      <c r="A486" s="1">
        <v>45779</v>
      </c>
      <c r="B486" t="s">
        <v>588</v>
      </c>
      <c r="C486" t="s">
        <v>16</v>
      </c>
      <c r="D486" t="s">
        <v>17</v>
      </c>
      <c r="E486">
        <v>150</v>
      </c>
      <c r="F486">
        <v>152.69999999999999</v>
      </c>
      <c r="G486" s="2">
        <v>22905</v>
      </c>
      <c r="H486" t="s">
        <v>607</v>
      </c>
      <c r="I486">
        <v>0</v>
      </c>
      <c r="J486">
        <v>8.14</v>
      </c>
      <c r="K486">
        <v>2.44</v>
      </c>
      <c r="L486">
        <v>0.02</v>
      </c>
      <c r="M486">
        <v>58</v>
      </c>
      <c r="N486">
        <v>11.92</v>
      </c>
      <c r="O486">
        <v>80.52</v>
      </c>
    </row>
    <row r="487" spans="1:15" x14ac:dyDescent="0.25">
      <c r="A487" s="1">
        <v>45779</v>
      </c>
      <c r="B487" t="s">
        <v>588</v>
      </c>
      <c r="C487" t="s">
        <v>16</v>
      </c>
      <c r="D487" t="s">
        <v>20</v>
      </c>
      <c r="E487">
        <v>150</v>
      </c>
      <c r="F487">
        <v>145.80000000000001</v>
      </c>
      <c r="G487" s="2">
        <v>21870</v>
      </c>
      <c r="H487" t="s">
        <v>608</v>
      </c>
      <c r="I487">
        <v>21.87</v>
      </c>
      <c r="J487">
        <v>7.77</v>
      </c>
      <c r="K487">
        <v>0</v>
      </c>
      <c r="L487">
        <v>0.02</v>
      </c>
      <c r="M487">
        <v>58</v>
      </c>
      <c r="N487">
        <v>11.84</v>
      </c>
      <c r="O487">
        <v>99.5</v>
      </c>
    </row>
    <row r="488" spans="1:15" x14ac:dyDescent="0.25">
      <c r="A488" s="1">
        <v>45779</v>
      </c>
      <c r="B488" t="s">
        <v>590</v>
      </c>
      <c r="C488" t="s">
        <v>16</v>
      </c>
      <c r="D488" t="s">
        <v>17</v>
      </c>
      <c r="E488">
        <v>75</v>
      </c>
      <c r="F488">
        <v>199.6</v>
      </c>
      <c r="G488" s="2">
        <v>14970</v>
      </c>
      <c r="H488" t="s">
        <v>609</v>
      </c>
      <c r="I488">
        <v>0</v>
      </c>
      <c r="J488">
        <v>5.32</v>
      </c>
      <c r="K488">
        <v>0.91</v>
      </c>
      <c r="L488">
        <v>0.01</v>
      </c>
      <c r="M488">
        <v>29</v>
      </c>
      <c r="N488">
        <v>6.18</v>
      </c>
      <c r="O488">
        <v>41.42</v>
      </c>
    </row>
    <row r="489" spans="1:15" x14ac:dyDescent="0.25">
      <c r="A489" s="1">
        <v>46083</v>
      </c>
      <c r="B489" t="s">
        <v>610</v>
      </c>
      <c r="C489" t="s">
        <v>16</v>
      </c>
      <c r="D489" t="s">
        <v>17</v>
      </c>
      <c r="E489">
        <v>910</v>
      </c>
      <c r="F489">
        <v>61.05</v>
      </c>
      <c r="G489" s="2">
        <v>55555.5</v>
      </c>
      <c r="H489" t="s">
        <v>611</v>
      </c>
      <c r="I489">
        <v>0</v>
      </c>
      <c r="J489">
        <v>19.739999999999998</v>
      </c>
      <c r="K489">
        <v>1.51</v>
      </c>
      <c r="L489">
        <v>0.05</v>
      </c>
      <c r="M489">
        <v>406</v>
      </c>
      <c r="N489">
        <v>76.66</v>
      </c>
      <c r="O489">
        <v>503.96</v>
      </c>
    </row>
    <row r="490" spans="1:15" x14ac:dyDescent="0.25">
      <c r="A490" s="1">
        <v>46083</v>
      </c>
      <c r="B490" t="s">
        <v>610</v>
      </c>
      <c r="C490" t="s">
        <v>16</v>
      </c>
      <c r="D490" t="s">
        <v>20</v>
      </c>
      <c r="E490">
        <v>910</v>
      </c>
      <c r="F490">
        <v>97</v>
      </c>
      <c r="G490" s="2">
        <v>88270</v>
      </c>
      <c r="H490" t="s">
        <v>612</v>
      </c>
      <c r="I490">
        <v>88.28</v>
      </c>
      <c r="J490">
        <v>31.36</v>
      </c>
      <c r="K490">
        <v>0</v>
      </c>
      <c r="L490">
        <v>0.08</v>
      </c>
      <c r="M490">
        <v>406</v>
      </c>
      <c r="N490">
        <v>78.760000000000005</v>
      </c>
      <c r="O490">
        <v>604.48</v>
      </c>
    </row>
    <row r="491" spans="1:15" x14ac:dyDescent="0.25">
      <c r="A491" s="1">
        <v>46083</v>
      </c>
      <c r="B491" t="s">
        <v>613</v>
      </c>
      <c r="C491" t="s">
        <v>16</v>
      </c>
      <c r="D491" t="s">
        <v>20</v>
      </c>
      <c r="E491">
        <v>910</v>
      </c>
      <c r="F491">
        <v>39.9</v>
      </c>
      <c r="G491" s="2">
        <v>36309</v>
      </c>
      <c r="H491" t="s">
        <v>614</v>
      </c>
      <c r="I491">
        <v>36.72</v>
      </c>
      <c r="J491">
        <v>12.9</v>
      </c>
      <c r="K491">
        <v>0</v>
      </c>
      <c r="L491">
        <v>0.04</v>
      </c>
      <c r="M491">
        <v>406</v>
      </c>
      <c r="N491">
        <v>75.400000000000006</v>
      </c>
      <c r="O491">
        <v>531.05999999999995</v>
      </c>
    </row>
    <row r="492" spans="1:15" x14ac:dyDescent="0.25">
      <c r="A492" s="1">
        <v>46083</v>
      </c>
      <c r="B492" t="s">
        <v>613</v>
      </c>
      <c r="C492" t="s">
        <v>16</v>
      </c>
      <c r="D492" t="s">
        <v>17</v>
      </c>
      <c r="E492">
        <v>325</v>
      </c>
      <c r="F492">
        <v>51.25</v>
      </c>
      <c r="G492" s="2">
        <v>16656.25</v>
      </c>
      <c r="H492" t="s">
        <v>615</v>
      </c>
      <c r="I492">
        <v>0</v>
      </c>
      <c r="J492">
        <v>5.92</v>
      </c>
      <c r="K492">
        <v>0</v>
      </c>
      <c r="L492">
        <v>0.02</v>
      </c>
      <c r="M492">
        <v>145</v>
      </c>
      <c r="N492">
        <v>27.16</v>
      </c>
      <c r="O492">
        <v>178.1</v>
      </c>
    </row>
    <row r="493" spans="1:15" x14ac:dyDescent="0.25">
      <c r="A493" s="1">
        <v>46083</v>
      </c>
      <c r="B493" t="s">
        <v>613</v>
      </c>
      <c r="C493" t="s">
        <v>16</v>
      </c>
      <c r="D493" t="s">
        <v>17</v>
      </c>
      <c r="E493">
        <v>260</v>
      </c>
      <c r="F493">
        <v>54</v>
      </c>
      <c r="G493" s="2">
        <v>14040</v>
      </c>
      <c r="H493" t="s">
        <v>616</v>
      </c>
      <c r="I493">
        <v>0</v>
      </c>
      <c r="J493">
        <v>4.99</v>
      </c>
      <c r="K493">
        <v>1.49</v>
      </c>
      <c r="L493">
        <v>0.01</v>
      </c>
      <c r="M493">
        <v>116</v>
      </c>
      <c r="N493">
        <v>21.78</v>
      </c>
      <c r="O493">
        <v>144.27000000000001</v>
      </c>
    </row>
    <row r="494" spans="1:15" x14ac:dyDescent="0.25">
      <c r="A494" s="1">
        <v>46083</v>
      </c>
      <c r="B494" t="s">
        <v>613</v>
      </c>
      <c r="C494" t="s">
        <v>16</v>
      </c>
      <c r="D494" t="s">
        <v>17</v>
      </c>
      <c r="E494">
        <v>130</v>
      </c>
      <c r="F494">
        <v>57.25</v>
      </c>
      <c r="G494" s="2">
        <v>7442.5</v>
      </c>
      <c r="H494" t="s">
        <v>617</v>
      </c>
      <c r="I494">
        <v>0</v>
      </c>
      <c r="J494">
        <v>2.64</v>
      </c>
      <c r="K494">
        <v>0</v>
      </c>
      <c r="L494">
        <v>0.01</v>
      </c>
      <c r="M494">
        <v>58</v>
      </c>
      <c r="N494">
        <v>10.92</v>
      </c>
      <c r="O494">
        <v>71.569999999999993</v>
      </c>
    </row>
    <row r="495" spans="1:15" x14ac:dyDescent="0.25">
      <c r="A495" s="1">
        <v>46083</v>
      </c>
      <c r="B495" t="s">
        <v>613</v>
      </c>
      <c r="C495" t="s">
        <v>16</v>
      </c>
      <c r="D495" t="s">
        <v>17</v>
      </c>
      <c r="E495">
        <v>130</v>
      </c>
      <c r="F495">
        <v>58.75</v>
      </c>
      <c r="G495" s="2">
        <v>7637.5</v>
      </c>
      <c r="H495" t="s">
        <v>618</v>
      </c>
      <c r="I495">
        <v>0</v>
      </c>
      <c r="J495">
        <v>2.71</v>
      </c>
      <c r="K495">
        <v>0</v>
      </c>
      <c r="L495">
        <v>0.01</v>
      </c>
      <c r="M495">
        <v>58</v>
      </c>
      <c r="N495">
        <v>10.92</v>
      </c>
      <c r="O495">
        <v>71.64</v>
      </c>
    </row>
    <row r="496" spans="1:15" x14ac:dyDescent="0.25">
      <c r="A496" s="1">
        <v>46083</v>
      </c>
      <c r="B496" t="s">
        <v>613</v>
      </c>
      <c r="C496" t="s">
        <v>16</v>
      </c>
      <c r="D496" t="s">
        <v>17</v>
      </c>
      <c r="E496">
        <v>65</v>
      </c>
      <c r="F496">
        <v>60.3</v>
      </c>
      <c r="G496" s="2">
        <v>3919.5</v>
      </c>
      <c r="H496" t="s">
        <v>619</v>
      </c>
      <c r="I496">
        <v>0</v>
      </c>
      <c r="J496">
        <v>1.39</v>
      </c>
      <c r="K496">
        <v>0</v>
      </c>
      <c r="L496">
        <v>0</v>
      </c>
      <c r="M496">
        <v>29</v>
      </c>
      <c r="N496">
        <v>5.48</v>
      </c>
      <c r="O496">
        <v>35.869999999999997</v>
      </c>
    </row>
    <row r="497" spans="1:15" x14ac:dyDescent="0.25">
      <c r="A497" s="1">
        <v>46055</v>
      </c>
      <c r="B497" t="s">
        <v>620</v>
      </c>
      <c r="C497" t="s">
        <v>16</v>
      </c>
      <c r="D497" t="s">
        <v>20</v>
      </c>
      <c r="E497">
        <v>65</v>
      </c>
      <c r="F497">
        <v>209.9</v>
      </c>
      <c r="G497" s="2">
        <v>13643.5</v>
      </c>
      <c r="H497" t="s">
        <v>621</v>
      </c>
      <c r="I497">
        <v>13.64</v>
      </c>
      <c r="J497">
        <v>4.8499999999999996</v>
      </c>
      <c r="K497">
        <v>0</v>
      </c>
      <c r="L497">
        <v>0.01</v>
      </c>
      <c r="M497">
        <v>29</v>
      </c>
      <c r="N497">
        <v>6.1</v>
      </c>
      <c r="O497">
        <v>53.6</v>
      </c>
    </row>
    <row r="498" spans="1:15" x14ac:dyDescent="0.25">
      <c r="A498" s="1">
        <v>46055</v>
      </c>
      <c r="B498" t="s">
        <v>622</v>
      </c>
      <c r="C498" t="s">
        <v>16</v>
      </c>
      <c r="D498" t="s">
        <v>17</v>
      </c>
      <c r="E498">
        <v>130</v>
      </c>
      <c r="F498">
        <v>121.75</v>
      </c>
      <c r="G498" s="2">
        <v>15827.5</v>
      </c>
      <c r="H498" t="s">
        <v>623</v>
      </c>
      <c r="I498">
        <v>0</v>
      </c>
      <c r="J498">
        <v>5.62</v>
      </c>
      <c r="K498">
        <v>0.47</v>
      </c>
      <c r="L498">
        <v>0.02</v>
      </c>
      <c r="M498">
        <v>58</v>
      </c>
      <c r="N498">
        <v>11.46</v>
      </c>
      <c r="O498">
        <v>75.569999999999993</v>
      </c>
    </row>
    <row r="499" spans="1:15" x14ac:dyDescent="0.25">
      <c r="A499" s="1">
        <v>46055</v>
      </c>
      <c r="B499" t="s">
        <v>624</v>
      </c>
      <c r="C499" t="s">
        <v>16</v>
      </c>
      <c r="D499" t="s">
        <v>20</v>
      </c>
      <c r="E499">
        <v>65</v>
      </c>
      <c r="F499">
        <v>196.9</v>
      </c>
      <c r="G499" s="2">
        <v>12798.5</v>
      </c>
      <c r="H499" t="s">
        <v>625</v>
      </c>
      <c r="I499">
        <v>12.71</v>
      </c>
      <c r="J499">
        <v>4.55</v>
      </c>
      <c r="K499">
        <v>0</v>
      </c>
      <c r="L499">
        <v>0.01</v>
      </c>
      <c r="M499">
        <v>29</v>
      </c>
      <c r="N499">
        <v>6.04</v>
      </c>
      <c r="O499">
        <v>52.31</v>
      </c>
    </row>
    <row r="500" spans="1:15" x14ac:dyDescent="0.25">
      <c r="A500" s="1">
        <v>46055</v>
      </c>
      <c r="B500" t="s">
        <v>624</v>
      </c>
      <c r="C500" t="s">
        <v>16</v>
      </c>
      <c r="D500" t="s">
        <v>17</v>
      </c>
      <c r="E500">
        <v>65</v>
      </c>
      <c r="F500">
        <v>176.65</v>
      </c>
      <c r="G500" s="2">
        <v>11482.25</v>
      </c>
      <c r="H500" t="s">
        <v>626</v>
      </c>
      <c r="I500">
        <v>0</v>
      </c>
      <c r="J500">
        <v>4.08</v>
      </c>
      <c r="K500">
        <v>0.34</v>
      </c>
      <c r="L500">
        <v>0.01</v>
      </c>
      <c r="M500">
        <v>29</v>
      </c>
      <c r="N500">
        <v>5.96</v>
      </c>
      <c r="O500">
        <v>39.39</v>
      </c>
    </row>
    <row r="501" spans="1:15" x14ac:dyDescent="0.25">
      <c r="A501" s="1">
        <v>46055</v>
      </c>
      <c r="B501" t="s">
        <v>620</v>
      </c>
      <c r="C501" t="s">
        <v>16</v>
      </c>
      <c r="D501" t="s">
        <v>20</v>
      </c>
      <c r="E501">
        <v>65</v>
      </c>
      <c r="F501">
        <v>114.15</v>
      </c>
      <c r="G501" s="2">
        <v>7419.75</v>
      </c>
      <c r="H501" t="s">
        <v>627</v>
      </c>
      <c r="I501">
        <v>7.42</v>
      </c>
      <c r="J501">
        <v>2.64</v>
      </c>
      <c r="K501">
        <v>0</v>
      </c>
      <c r="L501">
        <v>0.01</v>
      </c>
      <c r="M501">
        <v>29</v>
      </c>
      <c r="N501">
        <v>5.7</v>
      </c>
      <c r="O501">
        <v>44.77</v>
      </c>
    </row>
    <row r="502" spans="1:15" x14ac:dyDescent="0.25">
      <c r="A502" s="1">
        <v>46055</v>
      </c>
      <c r="B502" t="s">
        <v>620</v>
      </c>
      <c r="C502" t="s">
        <v>16</v>
      </c>
      <c r="D502" t="s">
        <v>17</v>
      </c>
      <c r="E502">
        <v>65</v>
      </c>
      <c r="F502">
        <v>192.55</v>
      </c>
      <c r="G502" s="2">
        <v>12515.75</v>
      </c>
      <c r="H502" t="s">
        <v>628</v>
      </c>
      <c r="I502">
        <v>0</v>
      </c>
      <c r="J502">
        <v>4.45</v>
      </c>
      <c r="K502">
        <v>0</v>
      </c>
      <c r="L502">
        <v>0.01</v>
      </c>
      <c r="M502">
        <v>29</v>
      </c>
      <c r="N502">
        <v>6.02</v>
      </c>
      <c r="O502">
        <v>39.479999999999997</v>
      </c>
    </row>
    <row r="503" spans="1:15" x14ac:dyDescent="0.25">
      <c r="A503" s="1">
        <v>46055</v>
      </c>
      <c r="B503" t="s">
        <v>620</v>
      </c>
      <c r="C503" t="s">
        <v>16</v>
      </c>
      <c r="D503" t="s">
        <v>17</v>
      </c>
      <c r="E503">
        <v>65</v>
      </c>
      <c r="F503">
        <v>116.4</v>
      </c>
      <c r="G503" s="2">
        <v>7566</v>
      </c>
      <c r="H503" t="s">
        <v>629</v>
      </c>
      <c r="I503">
        <v>0</v>
      </c>
      <c r="J503">
        <v>2.69</v>
      </c>
      <c r="K503">
        <v>0.19</v>
      </c>
      <c r="L503">
        <v>0.01</v>
      </c>
      <c r="M503">
        <v>29</v>
      </c>
      <c r="N503">
        <v>5.7</v>
      </c>
      <c r="O503">
        <v>37.590000000000003</v>
      </c>
    </row>
    <row r="504" spans="1:15" x14ac:dyDescent="0.25">
      <c r="A504" s="1">
        <v>46055</v>
      </c>
      <c r="B504" t="s">
        <v>622</v>
      </c>
      <c r="C504" t="s">
        <v>16</v>
      </c>
      <c r="D504" t="s">
        <v>20</v>
      </c>
      <c r="E504">
        <v>130</v>
      </c>
      <c r="F504">
        <v>147.9</v>
      </c>
      <c r="G504" s="2">
        <v>19227</v>
      </c>
      <c r="H504" t="s">
        <v>630</v>
      </c>
      <c r="I504">
        <v>19.22</v>
      </c>
      <c r="J504">
        <v>6.84</v>
      </c>
      <c r="K504">
        <v>0</v>
      </c>
      <c r="L504">
        <v>0.02</v>
      </c>
      <c r="M504">
        <v>58</v>
      </c>
      <c r="N504">
        <v>11.68</v>
      </c>
      <c r="O504">
        <v>95.76</v>
      </c>
    </row>
    <row r="505" spans="1:15" x14ac:dyDescent="0.25">
      <c r="A505" s="1">
        <v>45993</v>
      </c>
      <c r="B505" t="s">
        <v>631</v>
      </c>
      <c r="C505" t="s">
        <v>16</v>
      </c>
      <c r="D505" t="s">
        <v>17</v>
      </c>
      <c r="E505">
        <v>75</v>
      </c>
      <c r="F505">
        <v>34</v>
      </c>
      <c r="G505" s="2">
        <v>2550</v>
      </c>
      <c r="H505" t="s">
        <v>632</v>
      </c>
      <c r="I505">
        <v>0</v>
      </c>
      <c r="J505">
        <v>0.91</v>
      </c>
      <c r="K505">
        <v>0</v>
      </c>
      <c r="L505">
        <v>0</v>
      </c>
      <c r="M505">
        <v>29</v>
      </c>
      <c r="N505">
        <v>5.38</v>
      </c>
      <c r="O505">
        <v>35.29</v>
      </c>
    </row>
    <row r="506" spans="1:15" x14ac:dyDescent="0.25">
      <c r="A506" s="1">
        <v>45993</v>
      </c>
      <c r="B506" t="s">
        <v>631</v>
      </c>
      <c r="C506" t="s">
        <v>16</v>
      </c>
      <c r="D506" t="s">
        <v>20</v>
      </c>
      <c r="E506">
        <v>300</v>
      </c>
      <c r="F506">
        <v>39.25</v>
      </c>
      <c r="G506" s="2">
        <v>11775</v>
      </c>
      <c r="H506" t="s">
        <v>633</v>
      </c>
      <c r="I506">
        <v>12</v>
      </c>
      <c r="J506">
        <v>4.18</v>
      </c>
      <c r="K506">
        <v>0</v>
      </c>
      <c r="L506">
        <v>0.01</v>
      </c>
      <c r="M506">
        <v>116</v>
      </c>
      <c r="N506">
        <v>21.64</v>
      </c>
      <c r="O506">
        <v>153.83000000000001</v>
      </c>
    </row>
    <row r="507" spans="1:15" x14ac:dyDescent="0.25">
      <c r="A507" s="1">
        <v>45993</v>
      </c>
      <c r="B507" t="s">
        <v>631</v>
      </c>
      <c r="C507" t="s">
        <v>16</v>
      </c>
      <c r="D507" t="s">
        <v>17</v>
      </c>
      <c r="E507">
        <v>225</v>
      </c>
      <c r="F507">
        <v>30.1</v>
      </c>
      <c r="G507" s="2">
        <v>6772.5</v>
      </c>
      <c r="H507" t="s">
        <v>634</v>
      </c>
      <c r="I507">
        <v>0</v>
      </c>
      <c r="J507">
        <v>2.41</v>
      </c>
      <c r="K507">
        <v>0</v>
      </c>
      <c r="L507">
        <v>0.01</v>
      </c>
      <c r="M507">
        <v>87</v>
      </c>
      <c r="N507">
        <v>16.100000000000001</v>
      </c>
      <c r="O507">
        <v>105.52</v>
      </c>
    </row>
    <row r="508" spans="1:15" x14ac:dyDescent="0.25">
      <c r="A508" s="1">
        <v>45749</v>
      </c>
      <c r="B508" t="s">
        <v>635</v>
      </c>
      <c r="C508" t="s">
        <v>16</v>
      </c>
      <c r="D508" t="s">
        <v>20</v>
      </c>
      <c r="E508">
        <v>1500</v>
      </c>
      <c r="F508">
        <v>29</v>
      </c>
      <c r="G508" s="2">
        <v>43500</v>
      </c>
      <c r="H508" t="s">
        <v>636</v>
      </c>
      <c r="I508">
        <v>43.5</v>
      </c>
      <c r="J508">
        <v>15.46</v>
      </c>
      <c r="K508">
        <v>0</v>
      </c>
      <c r="L508">
        <v>0.04</v>
      </c>
      <c r="M508">
        <v>580</v>
      </c>
      <c r="N508">
        <v>107.2</v>
      </c>
      <c r="O508">
        <v>746.2</v>
      </c>
    </row>
    <row r="509" spans="1:15" x14ac:dyDescent="0.25">
      <c r="A509" s="1">
        <v>45749</v>
      </c>
      <c r="B509" t="s">
        <v>635</v>
      </c>
      <c r="C509" t="s">
        <v>16</v>
      </c>
      <c r="D509" t="s">
        <v>17</v>
      </c>
      <c r="E509">
        <v>750</v>
      </c>
      <c r="F509">
        <v>51.66</v>
      </c>
      <c r="G509" s="2">
        <v>38745</v>
      </c>
      <c r="H509" t="s">
        <v>637</v>
      </c>
      <c r="I509">
        <v>0</v>
      </c>
      <c r="J509">
        <v>13.77</v>
      </c>
      <c r="K509">
        <v>0</v>
      </c>
      <c r="L509">
        <v>0.04</v>
      </c>
      <c r="M509">
        <v>290</v>
      </c>
      <c r="N509">
        <v>54.68</v>
      </c>
      <c r="O509">
        <v>358.49</v>
      </c>
    </row>
    <row r="510" spans="1:15" x14ac:dyDescent="0.25">
      <c r="A510" s="1">
        <v>45749</v>
      </c>
      <c r="B510" t="s">
        <v>635</v>
      </c>
      <c r="C510" t="s">
        <v>16</v>
      </c>
      <c r="D510" t="s">
        <v>17</v>
      </c>
      <c r="E510">
        <v>750</v>
      </c>
      <c r="F510">
        <v>56.7</v>
      </c>
      <c r="G510" s="2">
        <v>42525</v>
      </c>
      <c r="H510" t="s">
        <v>638</v>
      </c>
      <c r="I510">
        <v>0</v>
      </c>
      <c r="J510">
        <v>15.11</v>
      </c>
      <c r="K510">
        <v>5.17</v>
      </c>
      <c r="L510">
        <v>0.04</v>
      </c>
      <c r="M510">
        <v>290</v>
      </c>
      <c r="N510">
        <v>54.94</v>
      </c>
      <c r="O510">
        <v>365.26</v>
      </c>
    </row>
    <row r="511" spans="1:15" x14ac:dyDescent="0.25">
      <c r="A511" s="1">
        <v>45749</v>
      </c>
      <c r="B511" t="s">
        <v>635</v>
      </c>
      <c r="C511" t="s">
        <v>16</v>
      </c>
      <c r="D511" t="s">
        <v>20</v>
      </c>
      <c r="E511">
        <v>1200</v>
      </c>
      <c r="F511">
        <v>60.09</v>
      </c>
      <c r="G511" s="2">
        <v>72097.5</v>
      </c>
      <c r="H511" t="s">
        <v>639</v>
      </c>
      <c r="I511">
        <v>72.11</v>
      </c>
      <c r="J511">
        <v>25.6</v>
      </c>
      <c r="K511">
        <v>0</v>
      </c>
      <c r="L511">
        <v>0.06</v>
      </c>
      <c r="M511">
        <v>464</v>
      </c>
      <c r="N511">
        <v>88.12</v>
      </c>
      <c r="O511">
        <v>649.89</v>
      </c>
    </row>
    <row r="512" spans="1:15" x14ac:dyDescent="0.25">
      <c r="A512" s="1">
        <v>45749</v>
      </c>
      <c r="B512" t="s">
        <v>635</v>
      </c>
      <c r="C512" t="s">
        <v>16</v>
      </c>
      <c r="D512" t="s">
        <v>17</v>
      </c>
      <c r="E512">
        <v>300</v>
      </c>
      <c r="F512">
        <v>52.85</v>
      </c>
      <c r="G512" s="2">
        <v>15855</v>
      </c>
      <c r="H512" t="s">
        <v>640</v>
      </c>
      <c r="I512">
        <v>0</v>
      </c>
      <c r="J512">
        <v>5.64</v>
      </c>
      <c r="K512">
        <v>0</v>
      </c>
      <c r="L512">
        <v>0.01</v>
      </c>
      <c r="M512">
        <v>116</v>
      </c>
      <c r="N512">
        <v>21.9</v>
      </c>
      <c r="O512">
        <v>143.55000000000001</v>
      </c>
    </row>
    <row r="513" spans="1:15" x14ac:dyDescent="0.25">
      <c r="A513" s="1">
        <v>45749</v>
      </c>
      <c r="B513" t="s">
        <v>635</v>
      </c>
      <c r="C513" t="s">
        <v>16</v>
      </c>
      <c r="D513" t="s">
        <v>17</v>
      </c>
      <c r="E513">
        <v>300</v>
      </c>
      <c r="F513">
        <v>58.1</v>
      </c>
      <c r="G513" s="2">
        <v>17430</v>
      </c>
      <c r="H513" t="s">
        <v>641</v>
      </c>
      <c r="I513">
        <v>0</v>
      </c>
      <c r="J513">
        <v>6.19</v>
      </c>
      <c r="K513">
        <v>0</v>
      </c>
      <c r="L513">
        <v>0.01</v>
      </c>
      <c r="M513">
        <v>116</v>
      </c>
      <c r="N513">
        <v>22</v>
      </c>
      <c r="O513">
        <v>144.19999999999999</v>
      </c>
    </row>
    <row r="514" spans="1:15" x14ac:dyDescent="0.25">
      <c r="A514" s="1">
        <v>45749</v>
      </c>
      <c r="B514" t="s">
        <v>635</v>
      </c>
      <c r="C514" t="s">
        <v>16</v>
      </c>
      <c r="D514" t="s">
        <v>17</v>
      </c>
      <c r="E514">
        <v>300</v>
      </c>
      <c r="F514">
        <v>70.569999999999993</v>
      </c>
      <c r="G514" s="2">
        <v>21168.75</v>
      </c>
      <c r="H514" t="s">
        <v>642</v>
      </c>
      <c r="I514">
        <v>0</v>
      </c>
      <c r="J514">
        <v>7.52</v>
      </c>
      <c r="K514">
        <v>0</v>
      </c>
      <c r="L514">
        <v>0.03</v>
      </c>
      <c r="M514">
        <v>116</v>
      </c>
      <c r="N514">
        <v>22.24</v>
      </c>
      <c r="O514">
        <v>145.79</v>
      </c>
    </row>
    <row r="515" spans="1:15" x14ac:dyDescent="0.25">
      <c r="A515" s="1">
        <v>45749</v>
      </c>
      <c r="B515" t="s">
        <v>643</v>
      </c>
      <c r="C515" t="s">
        <v>16</v>
      </c>
      <c r="D515" t="s">
        <v>17</v>
      </c>
      <c r="E515">
        <v>300</v>
      </c>
      <c r="F515">
        <v>92.45</v>
      </c>
      <c r="G515" s="2">
        <v>27735</v>
      </c>
      <c r="H515" t="s">
        <v>644</v>
      </c>
      <c r="I515">
        <v>0</v>
      </c>
      <c r="J515">
        <v>9.85</v>
      </c>
      <c r="K515">
        <v>0.83</v>
      </c>
      <c r="L515">
        <v>0.03</v>
      </c>
      <c r="M515">
        <v>116</v>
      </c>
      <c r="N515">
        <v>22.64</v>
      </c>
      <c r="O515">
        <v>149.35</v>
      </c>
    </row>
    <row r="516" spans="1:15" x14ac:dyDescent="0.25">
      <c r="A516" s="1">
        <v>45749</v>
      </c>
      <c r="B516" t="s">
        <v>645</v>
      </c>
      <c r="C516" t="s">
        <v>16</v>
      </c>
      <c r="D516" t="s">
        <v>20</v>
      </c>
      <c r="E516">
        <v>525</v>
      </c>
      <c r="F516">
        <v>3.5</v>
      </c>
      <c r="G516" s="2">
        <v>1837.5</v>
      </c>
      <c r="H516" t="s">
        <v>646</v>
      </c>
      <c r="I516">
        <v>1.87</v>
      </c>
      <c r="J516">
        <v>0.65</v>
      </c>
      <c r="K516">
        <v>0</v>
      </c>
      <c r="L516">
        <v>0</v>
      </c>
      <c r="M516">
        <v>203</v>
      </c>
      <c r="N516">
        <v>36.659999999999997</v>
      </c>
      <c r="O516">
        <v>242.18</v>
      </c>
    </row>
    <row r="517" spans="1:15" x14ac:dyDescent="0.25">
      <c r="A517" s="1">
        <v>45749</v>
      </c>
      <c r="B517" t="s">
        <v>635</v>
      </c>
      <c r="C517" t="s">
        <v>16</v>
      </c>
      <c r="D517" t="s">
        <v>17</v>
      </c>
      <c r="E517">
        <v>300</v>
      </c>
      <c r="F517">
        <v>88.15</v>
      </c>
      <c r="G517" s="2">
        <v>26445</v>
      </c>
      <c r="H517" t="s">
        <v>647</v>
      </c>
      <c r="I517">
        <v>0</v>
      </c>
      <c r="J517">
        <v>9.4</v>
      </c>
      <c r="K517">
        <v>0</v>
      </c>
      <c r="L517">
        <v>0.03</v>
      </c>
      <c r="M517">
        <v>116</v>
      </c>
      <c r="N517">
        <v>22.58</v>
      </c>
      <c r="O517">
        <v>148.01</v>
      </c>
    </row>
    <row r="518" spans="1:15" x14ac:dyDescent="0.25">
      <c r="A518" s="1">
        <v>45749</v>
      </c>
      <c r="B518" t="s">
        <v>643</v>
      </c>
      <c r="C518" t="s">
        <v>16</v>
      </c>
      <c r="D518" t="s">
        <v>20</v>
      </c>
      <c r="E518">
        <v>300</v>
      </c>
      <c r="F518">
        <v>85.1</v>
      </c>
      <c r="G518" s="2">
        <v>25530</v>
      </c>
      <c r="H518" t="s">
        <v>648</v>
      </c>
      <c r="I518">
        <v>25.53</v>
      </c>
      <c r="J518">
        <v>9.08</v>
      </c>
      <c r="K518">
        <v>0</v>
      </c>
      <c r="L518">
        <v>0.03</v>
      </c>
      <c r="M518">
        <v>116</v>
      </c>
      <c r="N518">
        <v>22.54</v>
      </c>
      <c r="O518">
        <v>173.18</v>
      </c>
    </row>
    <row r="519" spans="1:15" x14ac:dyDescent="0.25">
      <c r="A519" s="1">
        <v>46054</v>
      </c>
      <c r="B519" t="s">
        <v>39</v>
      </c>
      <c r="C519" t="s">
        <v>16</v>
      </c>
      <c r="D519" t="s">
        <v>20</v>
      </c>
      <c r="E519">
        <v>130</v>
      </c>
      <c r="F519">
        <v>80.849999999999994</v>
      </c>
      <c r="G519" s="2">
        <v>10510.5</v>
      </c>
      <c r="H519" t="s">
        <v>649</v>
      </c>
      <c r="I519">
        <v>10.52</v>
      </c>
      <c r="J519">
        <v>3.74</v>
      </c>
      <c r="K519">
        <v>0</v>
      </c>
      <c r="L519">
        <v>0.02</v>
      </c>
      <c r="M519">
        <v>58</v>
      </c>
      <c r="N519">
        <v>11.12</v>
      </c>
      <c r="O519">
        <v>83.4</v>
      </c>
    </row>
    <row r="520" spans="1:15" x14ac:dyDescent="0.25">
      <c r="A520" s="1">
        <v>46054</v>
      </c>
      <c r="B520" t="s">
        <v>650</v>
      </c>
      <c r="C520" t="s">
        <v>16</v>
      </c>
      <c r="D520" t="s">
        <v>17</v>
      </c>
      <c r="E520">
        <v>65</v>
      </c>
      <c r="F520">
        <v>182.5</v>
      </c>
      <c r="G520" s="2">
        <v>11862.5</v>
      </c>
      <c r="H520" t="s">
        <v>651</v>
      </c>
      <c r="I520">
        <v>0</v>
      </c>
      <c r="J520">
        <v>4.21</v>
      </c>
      <c r="K520">
        <v>0.36</v>
      </c>
      <c r="L520">
        <v>0.01</v>
      </c>
      <c r="M520">
        <v>29</v>
      </c>
      <c r="N520">
        <v>5.98</v>
      </c>
      <c r="O520">
        <v>39.56</v>
      </c>
    </row>
    <row r="521" spans="1:15" x14ac:dyDescent="0.25">
      <c r="A521" s="1">
        <v>46054</v>
      </c>
      <c r="B521" t="s">
        <v>39</v>
      </c>
      <c r="C521" t="s">
        <v>16</v>
      </c>
      <c r="D521" t="s">
        <v>17</v>
      </c>
      <c r="E521">
        <v>130</v>
      </c>
      <c r="F521">
        <v>67.150000000000006</v>
      </c>
      <c r="G521" s="2">
        <v>8729.5</v>
      </c>
      <c r="H521" t="s">
        <v>652</v>
      </c>
      <c r="I521">
        <v>0</v>
      </c>
      <c r="J521">
        <v>3.1</v>
      </c>
      <c r="K521">
        <v>0.23</v>
      </c>
      <c r="L521">
        <v>0.01</v>
      </c>
      <c r="M521">
        <v>58</v>
      </c>
      <c r="N521">
        <v>11</v>
      </c>
      <c r="O521">
        <v>72.34</v>
      </c>
    </row>
    <row r="522" spans="1:15" x14ac:dyDescent="0.25">
      <c r="A522" s="1">
        <v>46054</v>
      </c>
      <c r="B522" t="s">
        <v>653</v>
      </c>
      <c r="C522" t="s">
        <v>16</v>
      </c>
      <c r="D522" t="s">
        <v>20</v>
      </c>
      <c r="E522">
        <v>65</v>
      </c>
      <c r="F522">
        <v>202</v>
      </c>
      <c r="G522" s="2">
        <v>13130</v>
      </c>
      <c r="H522" t="s">
        <v>654</v>
      </c>
      <c r="I522">
        <v>13.13</v>
      </c>
      <c r="J522">
        <v>4.67</v>
      </c>
      <c r="K522">
        <v>0</v>
      </c>
      <c r="L522">
        <v>0.01</v>
      </c>
      <c r="M522">
        <v>29</v>
      </c>
      <c r="N522">
        <v>6.06</v>
      </c>
      <c r="O522">
        <v>52.87</v>
      </c>
    </row>
    <row r="523" spans="1:15" x14ac:dyDescent="0.25">
      <c r="A523" s="1">
        <v>46054</v>
      </c>
      <c r="B523" t="s">
        <v>653</v>
      </c>
      <c r="C523" t="s">
        <v>16</v>
      </c>
      <c r="D523" t="s">
        <v>17</v>
      </c>
      <c r="E523">
        <v>65</v>
      </c>
      <c r="F523">
        <v>208.65</v>
      </c>
      <c r="G523" s="2">
        <v>13562.25</v>
      </c>
      <c r="H523" t="s">
        <v>655</v>
      </c>
      <c r="I523">
        <v>0</v>
      </c>
      <c r="J523">
        <v>4.82</v>
      </c>
      <c r="K523">
        <v>0.41</v>
      </c>
      <c r="L523">
        <v>0.01</v>
      </c>
      <c r="M523">
        <v>29</v>
      </c>
      <c r="N523">
        <v>6.1</v>
      </c>
      <c r="O523">
        <v>40.340000000000003</v>
      </c>
    </row>
    <row r="524" spans="1:15" x14ac:dyDescent="0.25">
      <c r="A524" s="1">
        <v>46054</v>
      </c>
      <c r="B524" t="s">
        <v>39</v>
      </c>
      <c r="C524" t="s">
        <v>16</v>
      </c>
      <c r="D524" t="s">
        <v>20</v>
      </c>
      <c r="E524">
        <v>65</v>
      </c>
      <c r="F524">
        <v>208</v>
      </c>
      <c r="G524" s="2">
        <v>13520</v>
      </c>
      <c r="H524" t="s">
        <v>656</v>
      </c>
      <c r="I524">
        <v>13.54</v>
      </c>
      <c r="J524">
        <v>4.8</v>
      </c>
      <c r="K524">
        <v>0</v>
      </c>
      <c r="L524">
        <v>0.01</v>
      </c>
      <c r="M524">
        <v>29</v>
      </c>
      <c r="N524">
        <v>6.08</v>
      </c>
      <c r="O524">
        <v>53.43</v>
      </c>
    </row>
    <row r="525" spans="1:15" x14ac:dyDescent="0.25">
      <c r="A525" s="1">
        <v>46054</v>
      </c>
      <c r="B525" t="s">
        <v>39</v>
      </c>
      <c r="C525" t="s">
        <v>16</v>
      </c>
      <c r="D525" t="s">
        <v>17</v>
      </c>
      <c r="E525">
        <v>65</v>
      </c>
      <c r="F525">
        <v>203.65</v>
      </c>
      <c r="G525" s="2">
        <v>13237.25</v>
      </c>
      <c r="H525" t="s">
        <v>657</v>
      </c>
      <c r="I525">
        <v>0</v>
      </c>
      <c r="J525">
        <v>4.7</v>
      </c>
      <c r="K525">
        <v>0</v>
      </c>
      <c r="L525">
        <v>0.01</v>
      </c>
      <c r="M525">
        <v>29</v>
      </c>
      <c r="N525">
        <v>6.06</v>
      </c>
      <c r="O525">
        <v>39.770000000000003</v>
      </c>
    </row>
    <row r="526" spans="1:15" x14ac:dyDescent="0.25">
      <c r="A526" s="1">
        <v>46054</v>
      </c>
      <c r="B526" t="s">
        <v>650</v>
      </c>
      <c r="C526" t="s">
        <v>16</v>
      </c>
      <c r="D526" t="s">
        <v>20</v>
      </c>
      <c r="E526">
        <v>65</v>
      </c>
      <c r="F526">
        <v>197.25</v>
      </c>
      <c r="G526" s="2">
        <v>12821.25</v>
      </c>
      <c r="H526" t="s">
        <v>658</v>
      </c>
      <c r="I526">
        <v>12.82</v>
      </c>
      <c r="J526">
        <v>4.5599999999999996</v>
      </c>
      <c r="K526">
        <v>0</v>
      </c>
      <c r="L526">
        <v>0.01</v>
      </c>
      <c r="M526">
        <v>29</v>
      </c>
      <c r="N526">
        <v>6.04</v>
      </c>
      <c r="O526">
        <v>52.43</v>
      </c>
    </row>
    <row r="527" spans="1:15" x14ac:dyDescent="0.25">
      <c r="A527" s="1">
        <v>45992</v>
      </c>
      <c r="B527" t="s">
        <v>64</v>
      </c>
      <c r="C527" t="s">
        <v>16</v>
      </c>
      <c r="D527" t="s">
        <v>17</v>
      </c>
      <c r="E527">
        <v>75</v>
      </c>
      <c r="F527">
        <v>52.95</v>
      </c>
      <c r="G527" s="2">
        <v>3971.25</v>
      </c>
      <c r="H527" t="s">
        <v>659</v>
      </c>
      <c r="I527">
        <v>0</v>
      </c>
      <c r="J527">
        <v>1.41</v>
      </c>
      <c r="K527">
        <v>0.12</v>
      </c>
      <c r="L527">
        <v>0</v>
      </c>
      <c r="M527">
        <v>29</v>
      </c>
      <c r="N527">
        <v>5.48</v>
      </c>
      <c r="O527">
        <v>36.01</v>
      </c>
    </row>
    <row r="528" spans="1:15" x14ac:dyDescent="0.25">
      <c r="A528" s="1">
        <v>45992</v>
      </c>
      <c r="B528" t="s">
        <v>43</v>
      </c>
      <c r="C528" t="s">
        <v>16</v>
      </c>
      <c r="D528" t="s">
        <v>17</v>
      </c>
      <c r="E528">
        <v>450</v>
      </c>
      <c r="F528">
        <v>18.899999999999999</v>
      </c>
      <c r="G528" s="2">
        <v>8505</v>
      </c>
      <c r="H528" t="s">
        <v>660</v>
      </c>
      <c r="I528">
        <v>0</v>
      </c>
      <c r="J528">
        <v>3.02</v>
      </c>
      <c r="K528">
        <v>0</v>
      </c>
      <c r="L528">
        <v>0.01</v>
      </c>
      <c r="M528">
        <v>174</v>
      </c>
      <c r="N528">
        <v>31.88</v>
      </c>
      <c r="O528">
        <v>208.91</v>
      </c>
    </row>
    <row r="529" spans="1:15" x14ac:dyDescent="0.25">
      <c r="A529" s="1">
        <v>45992</v>
      </c>
      <c r="B529" t="s">
        <v>43</v>
      </c>
      <c r="C529" t="s">
        <v>16</v>
      </c>
      <c r="D529" t="s">
        <v>17</v>
      </c>
      <c r="E529">
        <v>900</v>
      </c>
      <c r="F529">
        <v>16.25</v>
      </c>
      <c r="G529" s="2">
        <v>14625</v>
      </c>
      <c r="H529" t="s">
        <v>661</v>
      </c>
      <c r="I529">
        <v>0</v>
      </c>
      <c r="J529">
        <v>5.2</v>
      </c>
      <c r="K529">
        <v>0.88</v>
      </c>
      <c r="L529">
        <v>0.01</v>
      </c>
      <c r="M529">
        <v>348</v>
      </c>
      <c r="N529">
        <v>63.58</v>
      </c>
      <c r="O529">
        <v>417.67</v>
      </c>
    </row>
    <row r="530" spans="1:15" x14ac:dyDescent="0.25">
      <c r="A530" s="1">
        <v>45992</v>
      </c>
      <c r="B530" t="s">
        <v>64</v>
      </c>
      <c r="C530" t="s">
        <v>16</v>
      </c>
      <c r="D530" t="s">
        <v>20</v>
      </c>
      <c r="E530">
        <v>150</v>
      </c>
      <c r="F530">
        <v>119.25</v>
      </c>
      <c r="G530" s="2">
        <v>17887.5</v>
      </c>
      <c r="H530" t="s">
        <v>662</v>
      </c>
      <c r="I530">
        <v>17.89</v>
      </c>
      <c r="J530">
        <v>6.36</v>
      </c>
      <c r="K530">
        <v>0</v>
      </c>
      <c r="L530">
        <v>0.02</v>
      </c>
      <c r="M530">
        <v>58</v>
      </c>
      <c r="N530">
        <v>11.58</v>
      </c>
      <c r="O530">
        <v>93.85</v>
      </c>
    </row>
    <row r="531" spans="1:15" x14ac:dyDescent="0.25">
      <c r="A531" s="1">
        <v>45992</v>
      </c>
      <c r="B531" t="s">
        <v>43</v>
      </c>
      <c r="C531" t="s">
        <v>16</v>
      </c>
      <c r="D531" t="s">
        <v>20</v>
      </c>
      <c r="E531">
        <v>1800</v>
      </c>
      <c r="F531">
        <v>35</v>
      </c>
      <c r="G531" s="2">
        <v>63000</v>
      </c>
      <c r="H531" t="s">
        <v>663</v>
      </c>
      <c r="I531">
        <v>63.12</v>
      </c>
      <c r="J531">
        <v>22.38</v>
      </c>
      <c r="K531">
        <v>0</v>
      </c>
      <c r="L531">
        <v>0.06</v>
      </c>
      <c r="M531">
        <v>696</v>
      </c>
      <c r="N531">
        <v>129.32</v>
      </c>
      <c r="O531">
        <v>910.88</v>
      </c>
    </row>
    <row r="532" spans="1:15" x14ac:dyDescent="0.25">
      <c r="A532" s="1">
        <v>45748</v>
      </c>
      <c r="B532" t="s">
        <v>664</v>
      </c>
      <c r="C532" t="s">
        <v>16</v>
      </c>
      <c r="D532" t="s">
        <v>20</v>
      </c>
      <c r="E532">
        <v>450</v>
      </c>
      <c r="F532">
        <v>136.30000000000001</v>
      </c>
      <c r="G532" s="2">
        <v>61335</v>
      </c>
      <c r="H532" t="s">
        <v>665</v>
      </c>
      <c r="I532">
        <v>61.34</v>
      </c>
      <c r="J532">
        <v>21.79</v>
      </c>
      <c r="K532">
        <v>0</v>
      </c>
      <c r="L532">
        <v>0.06</v>
      </c>
      <c r="M532">
        <v>174</v>
      </c>
      <c r="N532">
        <v>35.26</v>
      </c>
      <c r="O532">
        <v>292.45</v>
      </c>
    </row>
    <row r="533" spans="1:15" x14ac:dyDescent="0.25">
      <c r="A533" s="1">
        <v>45748</v>
      </c>
      <c r="B533" t="s">
        <v>664</v>
      </c>
      <c r="C533" t="s">
        <v>16</v>
      </c>
      <c r="D533" t="s">
        <v>17</v>
      </c>
      <c r="E533">
        <v>225</v>
      </c>
      <c r="F533">
        <v>112.85</v>
      </c>
      <c r="G533" s="2">
        <v>25391.25</v>
      </c>
      <c r="H533" t="s">
        <v>666</v>
      </c>
      <c r="I533">
        <v>0</v>
      </c>
      <c r="J533">
        <v>9.02</v>
      </c>
      <c r="K533">
        <v>0</v>
      </c>
      <c r="L533">
        <v>0.03</v>
      </c>
      <c r="M533">
        <v>87</v>
      </c>
      <c r="N533">
        <v>17.28</v>
      </c>
      <c r="O533">
        <v>113.33</v>
      </c>
    </row>
    <row r="534" spans="1:15" x14ac:dyDescent="0.25">
      <c r="A534" s="1">
        <v>45748</v>
      </c>
      <c r="B534" t="s">
        <v>664</v>
      </c>
      <c r="C534" t="s">
        <v>16</v>
      </c>
      <c r="D534" t="s">
        <v>17</v>
      </c>
      <c r="E534">
        <v>225</v>
      </c>
      <c r="F534">
        <v>104.6</v>
      </c>
      <c r="G534" s="2">
        <v>23535</v>
      </c>
      <c r="H534" t="s">
        <v>667</v>
      </c>
      <c r="I534">
        <v>0</v>
      </c>
      <c r="J534">
        <v>8.36</v>
      </c>
      <c r="K534">
        <v>2.14</v>
      </c>
      <c r="L534">
        <v>0.03</v>
      </c>
      <c r="M534">
        <v>87</v>
      </c>
      <c r="N534">
        <v>17.16</v>
      </c>
      <c r="O534">
        <v>114.69</v>
      </c>
    </row>
    <row r="535" spans="1:15" x14ac:dyDescent="0.25">
      <c r="A535" s="1">
        <v>45748</v>
      </c>
      <c r="B535" t="s">
        <v>664</v>
      </c>
      <c r="C535" t="s">
        <v>16</v>
      </c>
      <c r="D535" t="s">
        <v>20</v>
      </c>
      <c r="E535">
        <v>225</v>
      </c>
      <c r="F535">
        <v>92.3</v>
      </c>
      <c r="G535" s="2">
        <v>20767.5</v>
      </c>
      <c r="H535" t="s">
        <v>668</v>
      </c>
      <c r="I535">
        <v>20.76</v>
      </c>
      <c r="J535">
        <v>7.38</v>
      </c>
      <c r="K535">
        <v>0</v>
      </c>
      <c r="L535">
        <v>0.03</v>
      </c>
      <c r="M535">
        <v>87</v>
      </c>
      <c r="N535">
        <v>16.98</v>
      </c>
      <c r="O535">
        <v>132.15</v>
      </c>
    </row>
    <row r="536" spans="1:15" x14ac:dyDescent="0.25">
      <c r="A536" s="1">
        <v>45748</v>
      </c>
      <c r="B536" t="s">
        <v>664</v>
      </c>
      <c r="C536" t="s">
        <v>16</v>
      </c>
      <c r="D536" t="s">
        <v>17</v>
      </c>
      <c r="E536">
        <v>225</v>
      </c>
      <c r="F536">
        <v>95.3</v>
      </c>
      <c r="G536" s="2">
        <v>21442.5</v>
      </c>
      <c r="H536" t="s">
        <v>669</v>
      </c>
      <c r="I536">
        <v>0</v>
      </c>
      <c r="J536">
        <v>7.62</v>
      </c>
      <c r="K536">
        <v>0</v>
      </c>
      <c r="L536">
        <v>0.02</v>
      </c>
      <c r="M536">
        <v>87</v>
      </c>
      <c r="N536">
        <v>17.04</v>
      </c>
      <c r="O536">
        <v>111.68</v>
      </c>
    </row>
    <row r="537" spans="1:15" x14ac:dyDescent="0.25">
      <c r="A537" s="1">
        <v>45748</v>
      </c>
      <c r="B537" t="s">
        <v>670</v>
      </c>
      <c r="C537" t="s">
        <v>16</v>
      </c>
      <c r="D537" t="s">
        <v>17</v>
      </c>
      <c r="E537">
        <v>225</v>
      </c>
      <c r="F537">
        <v>112.75</v>
      </c>
      <c r="G537" s="2">
        <v>25368.75</v>
      </c>
      <c r="H537" t="s">
        <v>671</v>
      </c>
      <c r="I537">
        <v>0</v>
      </c>
      <c r="J537">
        <v>9</v>
      </c>
      <c r="K537">
        <v>0.76</v>
      </c>
      <c r="L537">
        <v>0.03</v>
      </c>
      <c r="M537">
        <v>87</v>
      </c>
      <c r="N537">
        <v>17.28</v>
      </c>
      <c r="O537">
        <v>114.07</v>
      </c>
    </row>
    <row r="538" spans="1:15" x14ac:dyDescent="0.25">
      <c r="A538" s="1">
        <v>45748</v>
      </c>
      <c r="B538" t="s">
        <v>670</v>
      </c>
      <c r="C538" t="s">
        <v>16</v>
      </c>
      <c r="D538" t="s">
        <v>20</v>
      </c>
      <c r="E538">
        <v>225</v>
      </c>
      <c r="F538">
        <v>143.25</v>
      </c>
      <c r="G538" s="2">
        <v>32231.25</v>
      </c>
      <c r="H538" t="s">
        <v>672</v>
      </c>
      <c r="I538">
        <v>31.9</v>
      </c>
      <c r="J538">
        <v>11.45</v>
      </c>
      <c r="K538">
        <v>0</v>
      </c>
      <c r="L538">
        <v>0.03</v>
      </c>
      <c r="M538">
        <v>87</v>
      </c>
      <c r="N538">
        <v>17.72</v>
      </c>
      <c r="O538">
        <v>148.1</v>
      </c>
    </row>
    <row r="539" spans="1:15" x14ac:dyDescent="0.25">
      <c r="A539" s="1">
        <v>45748</v>
      </c>
      <c r="B539" t="s">
        <v>645</v>
      </c>
      <c r="C539" t="s">
        <v>16</v>
      </c>
      <c r="D539" t="s">
        <v>17</v>
      </c>
      <c r="E539">
        <v>525</v>
      </c>
      <c r="F539">
        <v>6.05</v>
      </c>
      <c r="G539" s="2">
        <v>3176.25</v>
      </c>
      <c r="H539" t="s">
        <v>673</v>
      </c>
      <c r="I539">
        <v>0</v>
      </c>
      <c r="J539">
        <v>1.1200000000000001</v>
      </c>
      <c r="K539">
        <v>0.1</v>
      </c>
      <c r="L539">
        <v>0</v>
      </c>
      <c r="M539">
        <v>203</v>
      </c>
      <c r="N539">
        <v>36.700000000000003</v>
      </c>
      <c r="O539">
        <v>240.92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Sheet1</vt:lpstr>
      <vt:lpstr>orderBook_F&amp;O_1783078270756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vasanth kumar</cp:lastModifiedBy>
  <dcterms:created xsi:type="dcterms:W3CDTF">2026-07-09T13:31:25Z</dcterms:created>
  <dcterms:modified xsi:type="dcterms:W3CDTF">2026-08-19T16:22:26Z</dcterms:modified>
</cp:coreProperties>
</file>