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come Tax Returns\IT Return 2025-26\Vasanth\"/>
    </mc:Choice>
  </mc:AlternateContent>
  <xr:revisionPtr revIDLastSave="0" documentId="13_ncr:1_{AD829FE8-F71C-4B50-B945-E3A3E4475EC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2" r:id="rId1"/>
    <sheet name="orderBook_Commodity_17830782826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F2" i="2" l="1"/>
  <c r="E2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<sst xmlns="http://schemas.openxmlformats.org/spreadsheetml/2006/main" count="427" uniqueCount="126">
  <si>
    <t>Trade Date</t>
  </si>
  <si>
    <t>Contract Descriptor</t>
  </si>
  <si>
    <t>Exchange</t>
  </si>
  <si>
    <t>Action</t>
  </si>
  <si>
    <t>Lot</t>
  </si>
  <si>
    <t>Qty Unit</t>
  </si>
  <si>
    <t>Price</t>
  </si>
  <si>
    <t>Price Unit</t>
  </si>
  <si>
    <t>Price Multiplier</t>
  </si>
  <si>
    <t>General Multiplier</t>
  </si>
  <si>
    <t>Value</t>
  </si>
  <si>
    <t>Brokerage</t>
  </si>
  <si>
    <t>Taxes (Incl of all charges)</t>
  </si>
  <si>
    <t>Order Ref.</t>
  </si>
  <si>
    <t>Contract Note no.</t>
  </si>
  <si>
    <t>Commodity Transaction Tax-CTT</t>
  </si>
  <si>
    <t>Transaction Charges</t>
  </si>
  <si>
    <t>Stamp Duty</t>
  </si>
  <si>
    <t>SEBI Turnover Charges</t>
  </si>
  <si>
    <t>GST</t>
  </si>
  <si>
    <t>Total Charges</t>
  </si>
  <si>
    <t>OPT-NATURALGAS-23-Apr-2026-280-CE-C</t>
  </si>
  <si>
    <t>MCX</t>
  </si>
  <si>
    <t>Buy</t>
  </si>
  <si>
    <t>mmBtu</t>
  </si>
  <si>
    <t xml:space="preserve">RS/1mmBtu    </t>
  </si>
  <si>
    <t>20260331X100015386</t>
  </si>
  <si>
    <t>MCO/2026/1790715</t>
  </si>
  <si>
    <t>Sell</t>
  </si>
  <si>
    <t>20260331X100016433</t>
  </si>
  <si>
    <t>OPT-NATURALGAS-24-Mar-2026-290-CE-C</t>
  </si>
  <si>
    <t>20260318X100027104</t>
  </si>
  <si>
    <t>MCO/2026/1717493</t>
  </si>
  <si>
    <t>20260318X100033842</t>
  </si>
  <si>
    <t>OPT-NATURALGAS-24-Mar-2026-285-CE-C</t>
  </si>
  <si>
    <t>20260311X100008034</t>
  </si>
  <si>
    <t>MCO/2026/1674324</t>
  </si>
  <si>
    <t>OPT-NATURALGAS-24-Mar-2026-280-PE-C</t>
  </si>
  <si>
    <t>20260310X100022053</t>
  </si>
  <si>
    <t>MCO/2026/1665019</t>
  </si>
  <si>
    <t>20260310X100024056</t>
  </si>
  <si>
    <t>20260310X100024015</t>
  </si>
  <si>
    <t>OPT-NATURALGAS-23-Dec-2025-390-PE-C</t>
  </si>
  <si>
    <t>20251210X100004366</t>
  </si>
  <si>
    <t>MCO/202526/1136058</t>
  </si>
  <si>
    <t>20251208X100030583</t>
  </si>
  <si>
    <t>MCO/202526/1121505</t>
  </si>
  <si>
    <t>OPT-NATURALGAS-23-Sep-2025-270-CE-C</t>
  </si>
  <si>
    <t>20250918X200025837</t>
  </si>
  <si>
    <t>MCO/202526/0707832</t>
  </si>
  <si>
    <t>20250918X200021192</t>
  </si>
  <si>
    <t>OPT-NATURALGAS-23-Sep-2025-285-CE-C</t>
  </si>
  <si>
    <t>20250912X200006840</t>
  </si>
  <si>
    <t>MCO/202526/0680682</t>
  </si>
  <si>
    <t>20250911X200017270</t>
  </si>
  <si>
    <t>MCO/202526/0674140</t>
  </si>
  <si>
    <t>20250908X200012142</t>
  </si>
  <si>
    <t>MCO/202526/0655918</t>
  </si>
  <si>
    <t>OPT-NATURALGAS-24-Jul-2025-305-PE-C</t>
  </si>
  <si>
    <t>20250717X200025287</t>
  </si>
  <si>
    <t>MCO/202526/0450038</t>
  </si>
  <si>
    <t>20250717X200025832</t>
  </si>
  <si>
    <t>OPT-NATURALGAS-23-Jun-2025-305-CE-C</t>
  </si>
  <si>
    <t>20250530X200016452</t>
  </si>
  <si>
    <t>MCO/202526/0248694</t>
  </si>
  <si>
    <t>20250530X200017190</t>
  </si>
  <si>
    <t>20250530X200024943</t>
  </si>
  <si>
    <t>20250530X200016890</t>
  </si>
  <si>
    <t>OPT-NATURALGAS-23-May-2025-285-PE-C</t>
  </si>
  <si>
    <t>20250515X200029535</t>
  </si>
  <si>
    <t>MCO/202526/0180721</t>
  </si>
  <si>
    <t>20250515X200031618</t>
  </si>
  <si>
    <t>OPT-NATURALGAS-23-May-2025-325-CE-C</t>
  </si>
  <si>
    <t>20250509X200004970</t>
  </si>
  <si>
    <t>MCO/202526/0156556</t>
  </si>
  <si>
    <t>OPT-NATURALGAS-23-May-2025-300-PE-C</t>
  </si>
  <si>
    <t>20250508X200017318</t>
  </si>
  <si>
    <t>MCO/202526/0150848</t>
  </si>
  <si>
    <t>20250508X200016270</t>
  </si>
  <si>
    <t>20250508X200021369</t>
  </si>
  <si>
    <t>20250508X200021765</t>
  </si>
  <si>
    <t>20250508X200021622</t>
  </si>
  <si>
    <t>20250508X200021550</t>
  </si>
  <si>
    <t>OPT-NATURALGAS-23-May-2025-315-CE-C</t>
  </si>
  <si>
    <t>20250505X200019880</t>
  </si>
  <si>
    <t>MCO/202526/0133858</t>
  </si>
  <si>
    <t>20250505X200020404</t>
  </si>
  <si>
    <t>OPT-NATURALGAS-23-May-2025-290-CE-C</t>
  </si>
  <si>
    <t>20250501X200004582</t>
  </si>
  <si>
    <t>MCO/202526/0123335</t>
  </si>
  <si>
    <t>20250501X200009770</t>
  </si>
  <si>
    <t>20250501X200013422</t>
  </si>
  <si>
    <t>20250501X200014290</t>
  </si>
  <si>
    <t>OPT-NATURALGAS-23-Apr-2025-350-CE-C</t>
  </si>
  <si>
    <t>20250408X200004941</t>
  </si>
  <si>
    <t>MCO/202526/0030559</t>
  </si>
  <si>
    <t>OPT-NATURALGAS-23-Apr-2025-285-PE-C</t>
  </si>
  <si>
    <t>20250408X200009743</t>
  </si>
  <si>
    <t>20250408X200012910</t>
  </si>
  <si>
    <t>20250408X200021994</t>
  </si>
  <si>
    <t>20250408X200024767</t>
  </si>
  <si>
    <t>20250408X200025554</t>
  </si>
  <si>
    <t>OPT-NATURALGAS-23-Apr-2025-340-CE-C</t>
  </si>
  <si>
    <t>20250407X200016863</t>
  </si>
  <si>
    <t>MCO/202526/0024459</t>
  </si>
  <si>
    <t>20250407X200017650</t>
  </si>
  <si>
    <t>20250407X200018892</t>
  </si>
  <si>
    <t>OPT-NATURALGAS-23-Apr-2025-350-PE-C</t>
  </si>
  <si>
    <t>20250403X200025493</t>
  </si>
  <si>
    <t>MCO/202526/0010832</t>
  </si>
  <si>
    <t>20250403X200016737</t>
  </si>
  <si>
    <t>20250403X200022084</t>
  </si>
  <si>
    <t>20250403X200043386</t>
  </si>
  <si>
    <t>OPT-NATURALGAS-23-Apr-2025-355-CE-C</t>
  </si>
  <si>
    <t>20250401X200010085</t>
  </si>
  <si>
    <t>MCO/202526/0001456</t>
  </si>
  <si>
    <t>20250401X200009828</t>
  </si>
  <si>
    <t>20250401X200009747</t>
  </si>
  <si>
    <t>20250401X200017468</t>
  </si>
  <si>
    <t>20250401X200016241</t>
  </si>
  <si>
    <t>Row Labels</t>
  </si>
  <si>
    <t>Grand Total</t>
  </si>
  <si>
    <t>Column Labels</t>
  </si>
  <si>
    <t>Sum of Value</t>
  </si>
  <si>
    <t>Loss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</si>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</sst>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pivotButton="1" applyNumberFormat="1" applyFont="1"/>
    <xf numFmtId="0" fontId="0" fillId="33" borderId="0" xfId="0" applyFill="1"/>
    <xf numFmtId="164" fontId="16" fillId="33" borderId="0" xfId="0" applyNumberFormat="1" applyFont="1" applyFill="1"/>
    <xf numFmtId="164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uram" refreshedDate="46231.817987962961" createdVersion="6" refreshedVersion="6" minRefreshableVersion="3" recordCount="54" xr:uid="{32C54543-196A-4C47-9165-D7F5E499055B}">
  <cacheSource type="worksheet">
    <worksheetSource ref="B1:U55" sheet="orderBook_Commodity_17830782826"/>
  </cacheSource>
  <cacheFields count="20">
    <cacheField name="Contract Descriptor" numFmtId="0">
      <sharedItems count="19">
        <s v="OPT-NATURALGAS-23-Apr-2026-280-CE-C"/>
        <s v="OPT-NATURALGAS-24-Mar-2026-290-CE-C"/>
        <s v="OPT-NATURALGAS-24-Mar-2026-285-CE-C"/>
        <s v="OPT-NATURALGAS-24-Mar-2026-280-PE-C"/>
        <s v="OPT-NATURALGAS-23-Dec-2025-390-PE-C"/>
        <s v="OPT-NATURALGAS-23-Sep-2025-270-CE-C"/>
        <s v="OPT-NATURALGAS-23-Sep-2025-285-CE-C"/>
        <s v="OPT-NATURALGAS-24-Jul-2025-305-PE-C"/>
        <s v="OPT-NATURALGAS-23-Jun-2025-305-CE-C"/>
        <s v="OPT-NATURALGAS-23-May-2025-285-PE-C"/>
        <s v="OPT-NATURALGAS-23-May-2025-325-CE-C"/>
        <s v="OPT-NATURALGAS-23-May-2025-300-PE-C"/>
        <s v="OPT-NATURALGAS-23-May-2025-315-CE-C"/>
        <s v="OPT-NATURALGAS-23-May-2025-290-CE-C"/>
        <s v="OPT-NATURALGAS-23-Apr-2025-350-CE-C"/>
        <s v="OPT-NATURALGAS-23-Apr-2025-285-PE-C"/>
        <s v="OPT-NATURALGAS-23-Apr-2025-340-CE-C"/>
        <s v="OPT-NATURALGAS-23-Apr-2025-350-PE-C"/>
        <s v="OPT-NATURALGAS-23-Apr-2025-355-CE-C"/>
      </sharedItems>
    </cacheField>
    <cacheField name="Exchange" numFmtId="0">
      <sharedItems/>
    </cacheField>
    <cacheField name="Action" numFmtId="0">
      <sharedItems count="2">
        <s v="Buy"/>
        <s v="Sell"/>
      </sharedItems>
    </cacheField>
    <cacheField name="Lot" numFmtId="0">
      <sharedItems containsSemiMixedTypes="0" containsString="0" containsNumber="1" containsInteger="1" minValue="1" maxValue="2"/>
    </cacheField>
    <cacheField name="Qty Unit" numFmtId="0">
      <sharedItems/>
    </cacheField>
    <cacheField name="Price" numFmtId="0">
      <sharedItems containsSemiMixedTypes="0" containsString="0" containsNumber="1" minValue="2.25" maxValue="19.149999999999999"/>
    </cacheField>
    <cacheField name="Price Unit" numFmtId="0">
      <sharedItems/>
    </cacheField>
    <cacheField name="Price Multiplier" numFmtId="0">
      <sharedItems containsSemiMixedTypes="0" containsString="0" containsNumber="1" containsInteger="1" minValue="1" maxValue="1"/>
    </cacheField>
    <cacheField name="General Multiplier" numFmtId="0">
      <sharedItems containsSemiMixedTypes="0" containsString="0" containsNumber="1" containsInteger="1" minValue="1" maxValue="1"/>
    </cacheField>
    <cacheField name="Value" numFmtId="164">
      <sharedItems containsSemiMixedTypes="0" containsString="0" containsNumber="1" minValue="3875" maxValue="45125" count="48">
        <n v="19375"/>
        <n v="20937.5"/>
        <n v="12625"/>
        <n v="11500"/>
        <n v="23125"/>
        <n v="23875"/>
        <n v="23812.5"/>
        <n v="23500"/>
        <n v="12375"/>
        <n v="3875"/>
        <n v="7250"/>
        <n v="10125"/>
        <n v="5625"/>
        <n v="4375"/>
        <n v="10062.5"/>
        <n v="22125"/>
        <n v="24625"/>
        <n v="22500"/>
        <n v="22625"/>
        <n v="18750"/>
        <n v="22812.5"/>
        <n v="8875"/>
        <n v="10312.5"/>
        <n v="28375"/>
        <n v="13687.5"/>
        <n v="15000"/>
        <n v="14625"/>
        <n v="14750"/>
        <n v="19750"/>
        <n v="20562.5"/>
        <n v="23937.5"/>
        <n v="22562.5"/>
        <n v="21625"/>
        <n v="23062.5"/>
        <n v="8250"/>
        <n v="7875"/>
        <n v="5937.5"/>
        <n v="8187.5"/>
        <n v="8500"/>
        <n v="15562.5"/>
        <n v="17250"/>
        <n v="21000"/>
        <n v="19250"/>
        <n v="19125"/>
        <n v="45125"/>
        <n v="23375"/>
        <n v="17187.5"/>
        <n v="16562.5"/>
      </sharedItems>
    </cacheField>
    <cacheField name="Brokerage" numFmtId="0">
      <sharedItems containsSemiMixedTypes="0" containsString="0" containsNumber="1" containsInteger="1" minValue="20" maxValue="20"/>
    </cacheField>
    <cacheField name="Taxes (Incl of all charges)" numFmtId="0">
      <sharedItems containsSemiMixedTypes="0" containsString="0" containsNumber="1" minValue="5.64" maxValue="31.63"/>
    </cacheField>
    <cacheField name="Order Ref." numFmtId="0">
      <sharedItems/>
    </cacheField>
    <cacheField name="Contract Note no." numFmtId="0">
      <sharedItems/>
    </cacheField>
    <cacheField name="Commodity Transaction Tax-CTT" numFmtId="0">
      <sharedItems containsSemiMixedTypes="0" containsString="0" containsNumber="1" minValue="0" maxValue="14"/>
    </cacheField>
    <cacheField name="Transaction Charges" numFmtId="0">
      <sharedItems containsSemiMixedTypes="0" containsString="0" containsNumber="1" minValue="1.62" maxValue="18.86"/>
    </cacheField>
    <cacheField name="Stamp Duty" numFmtId="0">
      <sharedItems containsSemiMixedTypes="0" containsString="0" containsNumber="1" minValue="0" maxValue="1.37"/>
    </cacheField>
    <cacheField name="SEBI Turnover Charges" numFmtId="0">
      <sharedItems containsSemiMixedTypes="0" containsString="0" containsNumber="1" minValue="0" maxValue="0.05"/>
    </cacheField>
    <cacheField name="GST" numFmtId="0">
      <sharedItems containsSemiMixedTypes="0" containsString="0" containsNumber="1" minValue="3.9" maxValue="7"/>
    </cacheField>
    <cacheField name="Total Charges" numFmtId="0">
      <sharedItems containsSemiMixedTypes="0" containsString="0" containsNumber="1" minValue="25.64" maxValue="51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s v="MCX"/>
    <x v="0"/>
    <n v="1"/>
    <s v="mmBtu"/>
    <n v="15.5"/>
    <s v="RS/1mmBtu    "/>
    <n v="1"/>
    <n v="1"/>
    <x v="0"/>
    <n v="20"/>
    <n v="13.76"/>
    <s v="20260331X100015386"/>
    <s v="MCO/2026/1790715"/>
    <n v="0"/>
    <n v="8.1"/>
    <n v="0.57999999999999996"/>
    <n v="0.02"/>
    <n v="5.0599999999999996"/>
    <n v="33.76"/>
  </r>
  <r>
    <x v="0"/>
    <s v="MCX"/>
    <x v="1"/>
    <n v="1"/>
    <s v="mmBtu"/>
    <n v="16.75"/>
    <s v="RS/1mmBtu    "/>
    <n v="1"/>
    <n v="1"/>
    <x v="1"/>
    <n v="20"/>
    <n v="23.95"/>
    <s v="20260331X100016433"/>
    <s v="MCO/2026/1790715"/>
    <n v="10"/>
    <n v="8.75"/>
    <n v="0"/>
    <n v="0.02"/>
    <n v="5.18"/>
    <n v="43.95"/>
  </r>
  <r>
    <x v="1"/>
    <s v="MCX"/>
    <x v="0"/>
    <n v="1"/>
    <s v="mmBtu"/>
    <n v="10.1"/>
    <s v="RS/1mmBtu    "/>
    <n v="1"/>
    <n v="1"/>
    <x v="2"/>
    <n v="20"/>
    <n v="10.23"/>
    <s v="20260318X100027104"/>
    <s v="MCO/2026/1717493"/>
    <n v="0"/>
    <n v="5.28"/>
    <n v="0.38"/>
    <n v="0.01"/>
    <n v="4.5599999999999996"/>
    <n v="30.23"/>
  </r>
  <r>
    <x v="1"/>
    <s v="MCX"/>
    <x v="1"/>
    <n v="1"/>
    <s v="mmBtu"/>
    <n v="9.1999999999999993"/>
    <s v="RS/1mmBtu    "/>
    <n v="1"/>
    <n v="1"/>
    <x v="3"/>
    <n v="20"/>
    <n v="15.28"/>
    <s v="20260318X100033842"/>
    <s v="MCO/2026/1717493"/>
    <n v="6"/>
    <n v="4.8099999999999996"/>
    <n v="0"/>
    <n v="0.01"/>
    <n v="4.46"/>
    <n v="35.28"/>
  </r>
  <r>
    <x v="2"/>
    <s v="MCX"/>
    <x v="1"/>
    <n v="1"/>
    <s v="mmBtu"/>
    <n v="18.5"/>
    <s v="RS/1mmBtu    "/>
    <n v="1"/>
    <n v="1"/>
    <x v="4"/>
    <n v="20"/>
    <n v="27.03"/>
    <s v="20260311X100008034"/>
    <s v="MCO/2026/1674324"/>
    <n v="12"/>
    <n v="9.67"/>
    <n v="0"/>
    <n v="0.02"/>
    <n v="5.34"/>
    <n v="47.03"/>
  </r>
  <r>
    <x v="3"/>
    <s v="MCX"/>
    <x v="0"/>
    <n v="1"/>
    <s v="mmBtu"/>
    <n v="19.100000000000001"/>
    <s v="RS/1mmBtu    "/>
    <n v="1"/>
    <n v="1"/>
    <x v="5"/>
    <n v="20"/>
    <n v="16.12"/>
    <s v="20260310X100022053"/>
    <s v="MCO/2026/1665019"/>
    <n v="0"/>
    <n v="9.98"/>
    <n v="0.72"/>
    <n v="0.02"/>
    <n v="5.4"/>
    <n v="36.119999999999997"/>
  </r>
  <r>
    <x v="2"/>
    <s v="MCX"/>
    <x v="0"/>
    <n v="1"/>
    <s v="mmBtu"/>
    <n v="19.05"/>
    <s v="RS/1mmBtu    "/>
    <n v="1"/>
    <n v="1"/>
    <x v="6"/>
    <n v="20"/>
    <n v="16.079999999999998"/>
    <s v="20260310X100024056"/>
    <s v="MCO/2026/1665019"/>
    <n v="0"/>
    <n v="9.9499999999999993"/>
    <n v="0.71"/>
    <n v="0.02"/>
    <n v="5.4"/>
    <n v="36.08"/>
  </r>
  <r>
    <x v="3"/>
    <s v="MCX"/>
    <x v="1"/>
    <n v="1"/>
    <s v="mmBtu"/>
    <n v="18.8"/>
    <s v="RS/1mmBtu    "/>
    <n v="1"/>
    <n v="1"/>
    <x v="7"/>
    <n v="20"/>
    <n v="27.22"/>
    <s v="20260310X100024015"/>
    <s v="MCO/2026/1665019"/>
    <n v="12"/>
    <n v="9.82"/>
    <n v="0"/>
    <n v="0.02"/>
    <n v="5.38"/>
    <n v="47.22"/>
  </r>
  <r>
    <x v="4"/>
    <s v="MCX"/>
    <x v="1"/>
    <n v="1"/>
    <s v="mmBtu"/>
    <n v="9.9"/>
    <s v="RS/1mmBtu    "/>
    <n v="1"/>
    <n v="1"/>
    <x v="8"/>
    <n v="20"/>
    <n v="15.72"/>
    <s v="20251210X100004366"/>
    <s v="MCO/202526/1136058"/>
    <n v="6"/>
    <n v="5.17"/>
    <n v="0"/>
    <n v="0.01"/>
    <n v="4.54"/>
    <n v="35.72"/>
  </r>
  <r>
    <x v="4"/>
    <s v="MCX"/>
    <x v="0"/>
    <n v="1"/>
    <s v="mmBtu"/>
    <n v="3.1"/>
    <s v="RS/1mmBtu    "/>
    <n v="1"/>
    <n v="1"/>
    <x v="9"/>
    <n v="20"/>
    <n v="5.64"/>
    <s v="20251208X100030583"/>
    <s v="MCO/202526/1121505"/>
    <n v="0"/>
    <n v="1.62"/>
    <n v="0.12"/>
    <n v="0"/>
    <n v="3.9"/>
    <n v="25.64"/>
  </r>
  <r>
    <x v="5"/>
    <s v="MCX"/>
    <x v="1"/>
    <n v="2"/>
    <s v="mmBtu"/>
    <n v="2.9"/>
    <s v="RS/1mmBtu    "/>
    <n v="1"/>
    <n v="1"/>
    <x v="10"/>
    <n v="20"/>
    <n v="11.18"/>
    <s v="20250918X200025837"/>
    <s v="MCO/202526/0707832"/>
    <n v="4"/>
    <n v="3.03"/>
    <n v="0"/>
    <n v="0.01"/>
    <n v="4.1399999999999997"/>
    <n v="31.18"/>
  </r>
  <r>
    <x v="5"/>
    <s v="MCX"/>
    <x v="0"/>
    <n v="2"/>
    <s v="mmBtu"/>
    <n v="4.05"/>
    <s v="RS/1mmBtu    "/>
    <n v="1"/>
    <n v="1"/>
    <x v="11"/>
    <n v="20"/>
    <n v="8.9"/>
    <s v="20250918X200021192"/>
    <s v="MCO/202526/0707832"/>
    <n v="0"/>
    <n v="4.2300000000000004"/>
    <n v="0.3"/>
    <n v="0.01"/>
    <n v="4.3600000000000003"/>
    <n v="28.9"/>
  </r>
  <r>
    <x v="6"/>
    <s v="MCX"/>
    <x v="1"/>
    <n v="2"/>
    <s v="mmBtu"/>
    <n v="2.25"/>
    <s v="RS/1mmBtu    "/>
    <n v="1"/>
    <n v="1"/>
    <x v="12"/>
    <n v="20"/>
    <n v="9.3800000000000008"/>
    <s v="20250912X200006840"/>
    <s v="MCO/202526/0680682"/>
    <n v="3"/>
    <n v="2.35"/>
    <n v="0"/>
    <n v="0.01"/>
    <n v="4.0199999999999996"/>
    <n v="29.38"/>
  </r>
  <r>
    <x v="6"/>
    <s v="MCX"/>
    <x v="0"/>
    <n v="1"/>
    <s v="mmBtu"/>
    <n v="3.5"/>
    <s v="RS/1mmBtu    "/>
    <n v="1"/>
    <n v="1"/>
    <x v="13"/>
    <n v="20"/>
    <n v="5.9"/>
    <s v="20250911X200017270"/>
    <s v="MCO/202526/0674140"/>
    <n v="0"/>
    <n v="1.83"/>
    <n v="0.13"/>
    <n v="0"/>
    <n v="3.94"/>
    <n v="25.9"/>
  </r>
  <r>
    <x v="6"/>
    <s v="MCX"/>
    <x v="0"/>
    <n v="1"/>
    <s v="mmBtu"/>
    <n v="8.0500000000000007"/>
    <s v="RS/1mmBtu    "/>
    <n v="1"/>
    <n v="1"/>
    <x v="14"/>
    <n v="20"/>
    <n v="8.8800000000000008"/>
    <s v="20250908X200012142"/>
    <s v="MCO/202526/0655918"/>
    <n v="0"/>
    <n v="4.21"/>
    <n v="0.3"/>
    <n v="0.01"/>
    <n v="4.3600000000000003"/>
    <n v="28.88"/>
  </r>
  <r>
    <x v="7"/>
    <s v="MCX"/>
    <x v="0"/>
    <n v="2"/>
    <s v="mmBtu"/>
    <n v="8.85"/>
    <s v="RS/1mmBtu    "/>
    <n v="1"/>
    <n v="1"/>
    <x v="15"/>
    <n v="20"/>
    <n v="15.19"/>
    <s v="20250717X200025287"/>
    <s v="MCO/202526/0450038"/>
    <n v="0"/>
    <n v="9.25"/>
    <n v="0.66"/>
    <n v="0.02"/>
    <n v="5.26"/>
    <n v="35.19"/>
  </r>
  <r>
    <x v="7"/>
    <s v="MCX"/>
    <x v="1"/>
    <n v="2"/>
    <s v="mmBtu"/>
    <n v="9.85"/>
    <s v="RS/1mmBtu    "/>
    <n v="1"/>
    <n v="1"/>
    <x v="16"/>
    <n v="20"/>
    <n v="27.77"/>
    <s v="20250717X200025832"/>
    <s v="MCO/202526/0450038"/>
    <n v="12"/>
    <n v="10.29"/>
    <n v="0"/>
    <n v="0.02"/>
    <n v="5.46"/>
    <n v="47.77"/>
  </r>
  <r>
    <x v="8"/>
    <s v="MCX"/>
    <x v="0"/>
    <n v="1"/>
    <s v="mmBtu"/>
    <n v="18"/>
    <s v="RS/1mmBtu    "/>
    <n v="1"/>
    <n v="1"/>
    <x v="17"/>
    <n v="20"/>
    <n v="14.73"/>
    <s v="20250530X200016452"/>
    <s v="MCO/202526/0248694"/>
    <n v="0"/>
    <n v="9.41"/>
    <n v="0"/>
    <n v="0.02"/>
    <n v="5.3"/>
    <n v="34.729999999999997"/>
  </r>
  <r>
    <x v="8"/>
    <s v="MCX"/>
    <x v="0"/>
    <n v="1"/>
    <s v="mmBtu"/>
    <n v="18.100000000000001"/>
    <s v="RS/1mmBtu    "/>
    <n v="1"/>
    <n v="1"/>
    <x v="18"/>
    <n v="20"/>
    <n v="16.13"/>
    <s v="20250530X200017190"/>
    <s v="MCO/202526/0248694"/>
    <n v="0"/>
    <n v="9.4600000000000009"/>
    <n v="1.35"/>
    <n v="0.02"/>
    <n v="5.3"/>
    <n v="36.130000000000003"/>
  </r>
  <r>
    <x v="8"/>
    <s v="MCX"/>
    <x v="1"/>
    <n v="1"/>
    <s v="mmBtu"/>
    <n v="15"/>
    <s v="RS/1mmBtu    "/>
    <n v="1"/>
    <n v="1"/>
    <x v="19"/>
    <n v="20"/>
    <n v="22.47"/>
    <s v="20250530X200024943"/>
    <s v="MCO/202526/0248694"/>
    <n v="9.59"/>
    <n v="7.84"/>
    <n v="0"/>
    <n v="0.02"/>
    <n v="5.0199999999999996"/>
    <n v="42.47"/>
  </r>
  <r>
    <x v="8"/>
    <s v="MCX"/>
    <x v="1"/>
    <n v="1"/>
    <s v="mmBtu"/>
    <n v="18.25"/>
    <s v="RS/1mmBtu    "/>
    <n v="1"/>
    <n v="1"/>
    <x v="20"/>
    <n v="20"/>
    <n v="26.29"/>
    <s v="20250530X200016890"/>
    <s v="MCO/202526/0248694"/>
    <n v="11.41"/>
    <n v="9.5399999999999991"/>
    <n v="0"/>
    <n v="0.02"/>
    <n v="5.32"/>
    <n v="46.29"/>
  </r>
  <r>
    <x v="9"/>
    <s v="MCX"/>
    <x v="0"/>
    <n v="1"/>
    <s v="mmBtu"/>
    <n v="7.1"/>
    <s v="RS/1mmBtu    "/>
    <n v="1"/>
    <n v="1"/>
    <x v="21"/>
    <n v="20"/>
    <n v="8.25"/>
    <s v="20250515X200029535"/>
    <s v="MCO/202526/0180721"/>
    <n v="0"/>
    <n v="3.71"/>
    <n v="0.27"/>
    <n v="0.01"/>
    <n v="4.26"/>
    <n v="28.25"/>
  </r>
  <r>
    <x v="9"/>
    <s v="MCX"/>
    <x v="1"/>
    <n v="1"/>
    <s v="mmBtu"/>
    <n v="8.25"/>
    <s v="RS/1mmBtu    "/>
    <n v="1"/>
    <n v="1"/>
    <x v="22"/>
    <n v="20"/>
    <n v="13.7"/>
    <s v="20250515X200031618"/>
    <s v="MCO/202526/0180721"/>
    <n v="5"/>
    <n v="4.3099999999999996"/>
    <n v="0"/>
    <n v="0.01"/>
    <n v="4.38"/>
    <n v="33.700000000000003"/>
  </r>
  <r>
    <x v="10"/>
    <s v="MCX"/>
    <x v="1"/>
    <n v="2"/>
    <s v="mmBtu"/>
    <n v="11.35"/>
    <s v="RS/1mmBtu    "/>
    <n v="1"/>
    <n v="1"/>
    <x v="23"/>
    <n v="20"/>
    <n v="31.63"/>
    <s v="20250509X200004970"/>
    <s v="MCO/202526/0156556"/>
    <n v="14"/>
    <n v="11.86"/>
    <n v="0"/>
    <n v="0.03"/>
    <n v="5.74"/>
    <n v="51.63"/>
  </r>
  <r>
    <x v="11"/>
    <s v="MCX"/>
    <x v="1"/>
    <n v="1"/>
    <s v="mmBtu"/>
    <n v="10.95"/>
    <s v="RS/1mmBtu    "/>
    <n v="1"/>
    <n v="1"/>
    <x v="24"/>
    <n v="20"/>
    <n v="17.21"/>
    <s v="20250508X200017318"/>
    <s v="MCO/202526/0150848"/>
    <n v="6.84"/>
    <n v="5.72"/>
    <n v="0"/>
    <n v="0.01"/>
    <n v="4.6399999999999997"/>
    <n v="37.21"/>
  </r>
  <r>
    <x v="11"/>
    <s v="MCX"/>
    <x v="0"/>
    <n v="1"/>
    <s v="mmBtu"/>
    <n v="10.1"/>
    <s v="RS/1mmBtu    "/>
    <n v="1"/>
    <n v="1"/>
    <x v="2"/>
    <n v="20"/>
    <n v="9.85"/>
    <s v="20250508X200016270"/>
    <s v="MCO/202526/0150848"/>
    <n v="0"/>
    <n v="5.28"/>
    <n v="0"/>
    <n v="0.01"/>
    <n v="4.5599999999999996"/>
    <n v="29.85"/>
  </r>
  <r>
    <x v="11"/>
    <s v="MCX"/>
    <x v="0"/>
    <n v="1"/>
    <s v="mmBtu"/>
    <n v="12"/>
    <s v="RS/1mmBtu    "/>
    <n v="1"/>
    <n v="1"/>
    <x v="25"/>
    <n v="20"/>
    <n v="11.86"/>
    <s v="20250508X200021369"/>
    <s v="MCO/202526/0150848"/>
    <n v="0"/>
    <n v="6.27"/>
    <n v="0.83"/>
    <n v="0.02"/>
    <n v="4.74"/>
    <n v="31.86"/>
  </r>
  <r>
    <x v="10"/>
    <s v="MCX"/>
    <x v="0"/>
    <n v="1"/>
    <s v="mmBtu"/>
    <n v="11.7"/>
    <s v="RS/1mmBtu    "/>
    <n v="1"/>
    <n v="1"/>
    <x v="26"/>
    <n v="20"/>
    <n v="10.82"/>
    <s v="20250508X200021765"/>
    <s v="MCO/202526/0150848"/>
    <n v="0"/>
    <n v="6.11"/>
    <n v="0"/>
    <n v="0.01"/>
    <n v="4.7"/>
    <n v="30.82"/>
  </r>
  <r>
    <x v="10"/>
    <s v="MCX"/>
    <x v="0"/>
    <n v="1"/>
    <s v="mmBtu"/>
    <n v="11.8"/>
    <s v="RS/1mmBtu    "/>
    <n v="1"/>
    <n v="1"/>
    <x v="27"/>
    <n v="20"/>
    <n v="11.78"/>
    <s v="20250508X200021622"/>
    <s v="MCO/202526/0150848"/>
    <n v="0"/>
    <n v="6.17"/>
    <n v="0.88"/>
    <n v="0.01"/>
    <n v="4.72"/>
    <n v="31.78"/>
  </r>
  <r>
    <x v="11"/>
    <s v="MCX"/>
    <x v="1"/>
    <n v="1"/>
    <s v="mmBtu"/>
    <n v="11.8"/>
    <s v="RS/1mmBtu    "/>
    <n v="1"/>
    <n v="1"/>
    <x v="27"/>
    <n v="20"/>
    <n v="18.059999999999999"/>
    <s v="20250508X200021550"/>
    <s v="MCO/202526/0150848"/>
    <n v="7.16"/>
    <n v="6.17"/>
    <n v="0"/>
    <n v="0.01"/>
    <n v="4.72"/>
    <n v="38.06"/>
  </r>
  <r>
    <x v="12"/>
    <s v="MCX"/>
    <x v="0"/>
    <n v="1"/>
    <s v="mmBtu"/>
    <n v="15.8"/>
    <s v="RS/1mmBtu    "/>
    <n v="1"/>
    <n v="1"/>
    <x v="28"/>
    <n v="20"/>
    <n v="13.97"/>
    <s v="20250505X200019880"/>
    <s v="MCO/202526/0133858"/>
    <n v="0"/>
    <n v="8.26"/>
    <n v="0.59"/>
    <n v="0.02"/>
    <n v="5.0999999999999996"/>
    <n v="33.97"/>
  </r>
  <r>
    <x v="12"/>
    <s v="MCX"/>
    <x v="1"/>
    <n v="1"/>
    <s v="mmBtu"/>
    <n v="16.45"/>
    <s v="RS/1mmBtu    "/>
    <n v="1"/>
    <n v="1"/>
    <x v="29"/>
    <n v="20"/>
    <n v="23.78"/>
    <s v="20250505X200020404"/>
    <s v="MCO/202526/0133858"/>
    <n v="10"/>
    <n v="8.6"/>
    <n v="0"/>
    <n v="0.02"/>
    <n v="5.16"/>
    <n v="43.78"/>
  </r>
  <r>
    <x v="13"/>
    <s v="MCX"/>
    <x v="0"/>
    <n v="1"/>
    <s v="mmBtu"/>
    <n v="19.149999999999999"/>
    <s v="RS/1mmBtu    "/>
    <n v="1"/>
    <n v="1"/>
    <x v="30"/>
    <n v="20"/>
    <n v="16.8"/>
    <s v="20250501X200004582"/>
    <s v="MCO/202526/0123335"/>
    <n v="0"/>
    <n v="10.01"/>
    <n v="1.37"/>
    <n v="0.02"/>
    <n v="5.4"/>
    <n v="36.799999999999997"/>
  </r>
  <r>
    <x v="13"/>
    <s v="MCX"/>
    <x v="1"/>
    <n v="1"/>
    <s v="mmBtu"/>
    <n v="18.05"/>
    <s v="RS/1mmBtu    "/>
    <n v="1"/>
    <n v="1"/>
    <x v="31"/>
    <n v="20"/>
    <n v="26.03"/>
    <s v="20250501X200009770"/>
    <s v="MCO/202526/0123335"/>
    <n v="11.28"/>
    <n v="9.43"/>
    <n v="0"/>
    <n v="0.02"/>
    <n v="5.3"/>
    <n v="46.03"/>
  </r>
  <r>
    <x v="13"/>
    <s v="MCX"/>
    <x v="0"/>
    <n v="1"/>
    <s v="mmBtu"/>
    <n v="17.3"/>
    <s v="RS/1mmBtu    "/>
    <n v="1"/>
    <n v="1"/>
    <x v="32"/>
    <n v="20"/>
    <n v="14.3"/>
    <s v="20250501X200013422"/>
    <s v="MCO/202526/0123335"/>
    <n v="0"/>
    <n v="9.0399999999999991"/>
    <n v="0"/>
    <n v="0.02"/>
    <n v="5.24"/>
    <n v="34.299999999999997"/>
  </r>
  <r>
    <x v="13"/>
    <s v="MCX"/>
    <x v="1"/>
    <n v="1"/>
    <s v="mmBtu"/>
    <n v="18.45"/>
    <s v="RS/1mmBtu    "/>
    <n v="1"/>
    <n v="1"/>
    <x v="33"/>
    <n v="20"/>
    <n v="26.72"/>
    <s v="20250501X200014290"/>
    <s v="MCO/202526/0123335"/>
    <n v="11.72"/>
    <n v="9.64"/>
    <n v="0"/>
    <n v="0.02"/>
    <n v="5.34"/>
    <n v="46.72"/>
  </r>
  <r>
    <x v="14"/>
    <s v="MCX"/>
    <x v="1"/>
    <n v="1"/>
    <s v="mmBtu"/>
    <n v="6.6"/>
    <s v="RS/1mmBtu    "/>
    <n v="1"/>
    <n v="1"/>
    <x v="34"/>
    <n v="20"/>
    <n v="11.81"/>
    <s v="20250408X200004941"/>
    <s v="MCO/202526/0030559"/>
    <n v="4.13"/>
    <n v="3.45"/>
    <n v="0"/>
    <n v="0.01"/>
    <n v="4.22"/>
    <n v="31.81"/>
  </r>
  <r>
    <x v="15"/>
    <s v="MCX"/>
    <x v="0"/>
    <n v="1"/>
    <s v="mmBtu"/>
    <n v="6.3"/>
    <s v="RS/1mmBtu    "/>
    <n v="1"/>
    <n v="1"/>
    <x v="35"/>
    <n v="20"/>
    <n v="7.5"/>
    <s v="20250408X200009743"/>
    <s v="MCO/202526/0030559"/>
    <n v="0"/>
    <n v="3.29"/>
    <n v="0"/>
    <n v="0.01"/>
    <n v="4.2"/>
    <n v="27.5"/>
  </r>
  <r>
    <x v="15"/>
    <s v="MCX"/>
    <x v="0"/>
    <n v="1"/>
    <s v="mmBtu"/>
    <n v="4.75"/>
    <s v="RS/1mmBtu    "/>
    <n v="1"/>
    <n v="1"/>
    <x v="36"/>
    <n v="20"/>
    <n v="7.19"/>
    <s v="20250408X200012910"/>
    <s v="MCO/202526/0030559"/>
    <n v="0"/>
    <n v="2.48"/>
    <n v="0.66"/>
    <n v="0.01"/>
    <n v="4.04"/>
    <n v="27.19"/>
  </r>
  <r>
    <x v="15"/>
    <s v="MCX"/>
    <x v="1"/>
    <n v="2"/>
    <s v="mmBtu"/>
    <n v="5.9"/>
    <s v="RS/1mmBtu    "/>
    <n v="1"/>
    <n v="1"/>
    <x v="27"/>
    <n v="20"/>
    <n v="18.53"/>
    <s v="20250408X200021994"/>
    <s v="MCO/202526/0030559"/>
    <n v="7.63"/>
    <n v="6.16"/>
    <n v="0"/>
    <n v="0.02"/>
    <n v="4.72"/>
    <n v="38.53"/>
  </r>
  <r>
    <x v="15"/>
    <s v="MCX"/>
    <x v="0"/>
    <n v="1"/>
    <s v="mmBtu"/>
    <n v="6.55"/>
    <s v="RS/1mmBtu    "/>
    <n v="1"/>
    <n v="1"/>
    <x v="37"/>
    <n v="20"/>
    <n v="7.65"/>
    <s v="20250408X200024767"/>
    <s v="MCO/202526/0030559"/>
    <n v="0"/>
    <n v="3.42"/>
    <n v="0"/>
    <n v="0.01"/>
    <n v="4.22"/>
    <n v="27.65"/>
  </r>
  <r>
    <x v="15"/>
    <s v="MCX"/>
    <x v="1"/>
    <n v="1"/>
    <s v="mmBtu"/>
    <n v="6.8"/>
    <s v="RS/1mmBtu    "/>
    <n v="1"/>
    <n v="1"/>
    <x v="38"/>
    <n v="20"/>
    <n v="12.05"/>
    <s v="20250408X200025554"/>
    <s v="MCO/202526/0030559"/>
    <n v="4.25"/>
    <n v="3.55"/>
    <n v="0"/>
    <n v="0.01"/>
    <n v="4.24"/>
    <n v="32.049999999999997"/>
  </r>
  <r>
    <x v="16"/>
    <s v="MCX"/>
    <x v="0"/>
    <n v="1"/>
    <s v="mmBtu"/>
    <n v="12.45"/>
    <s v="RS/1mmBtu    "/>
    <n v="1"/>
    <n v="1"/>
    <x v="39"/>
    <n v="20"/>
    <n v="11.78"/>
    <s v="20250407X200016863"/>
    <s v="MCO/202526/0024459"/>
    <n v="0"/>
    <n v="6.51"/>
    <n v="0.47"/>
    <n v="0.02"/>
    <n v="4.78"/>
    <n v="31.78"/>
  </r>
  <r>
    <x v="16"/>
    <s v="MCX"/>
    <x v="1"/>
    <n v="1"/>
    <s v="mmBtu"/>
    <n v="13.8"/>
    <s v="RS/1mmBtu    "/>
    <n v="1"/>
    <n v="1"/>
    <x v="40"/>
    <n v="20"/>
    <n v="21.13"/>
    <s v="20250407X200017650"/>
    <s v="MCO/202526/0024459"/>
    <n v="9"/>
    <n v="7.21"/>
    <n v="0"/>
    <n v="0.02"/>
    <n v="4.9000000000000004"/>
    <n v="41.13"/>
  </r>
  <r>
    <x v="14"/>
    <s v="MCX"/>
    <x v="0"/>
    <n v="1"/>
    <s v="mmBtu"/>
    <n v="11.8"/>
    <s v="RS/1mmBtu    "/>
    <n v="1"/>
    <n v="1"/>
    <x v="27"/>
    <n v="20"/>
    <n v="11.34"/>
    <s v="20250407X200018892"/>
    <s v="MCO/202526/0024459"/>
    <n v="0"/>
    <n v="6.17"/>
    <n v="0.44"/>
    <n v="0.01"/>
    <n v="4.72"/>
    <n v="31.34"/>
  </r>
  <r>
    <x v="17"/>
    <s v="MCX"/>
    <x v="0"/>
    <n v="1"/>
    <s v="mmBtu"/>
    <n v="16.8"/>
    <s v="RS/1mmBtu    "/>
    <n v="1"/>
    <n v="1"/>
    <x v="41"/>
    <n v="20"/>
    <n v="13.98"/>
    <s v="20250403X200025493"/>
    <s v="MCO/202526/0010832"/>
    <n v="0"/>
    <n v="8.7799999999999994"/>
    <n v="0"/>
    <n v="0.02"/>
    <n v="5.18"/>
    <n v="33.979999999999997"/>
  </r>
  <r>
    <x v="17"/>
    <s v="MCX"/>
    <x v="0"/>
    <n v="1"/>
    <s v="mmBtu"/>
    <n v="19.100000000000001"/>
    <s v="RS/1mmBtu    "/>
    <n v="1"/>
    <n v="1"/>
    <x v="5"/>
    <n v="20"/>
    <n v="16.75"/>
    <s v="20250403X200016737"/>
    <s v="MCO/202526/0010832"/>
    <n v="0"/>
    <n v="9.98"/>
    <n v="1.35"/>
    <n v="0.02"/>
    <n v="5.4"/>
    <n v="36.75"/>
  </r>
  <r>
    <x v="17"/>
    <s v="MCX"/>
    <x v="1"/>
    <n v="1"/>
    <s v="mmBtu"/>
    <n v="15.4"/>
    <s v="RS/1mmBtu    "/>
    <n v="1"/>
    <n v="1"/>
    <x v="42"/>
    <n v="20"/>
    <n v="22.57"/>
    <s v="20250403X200022084"/>
    <s v="MCO/202526/0010832"/>
    <n v="9.44"/>
    <n v="8.0500000000000007"/>
    <n v="0"/>
    <n v="0.02"/>
    <n v="5.0599999999999996"/>
    <n v="42.57"/>
  </r>
  <r>
    <x v="17"/>
    <s v="MCX"/>
    <x v="1"/>
    <n v="1"/>
    <s v="mmBtu"/>
    <n v="15.3"/>
    <s v="RS/1mmBtu    "/>
    <n v="1"/>
    <n v="1"/>
    <x v="43"/>
    <n v="20"/>
    <n v="22.61"/>
    <s v="20250403X200043386"/>
    <s v="MCO/202526/0010832"/>
    <n v="9.56"/>
    <n v="7.99"/>
    <n v="0"/>
    <n v="0.02"/>
    <n v="5.04"/>
    <n v="42.61"/>
  </r>
  <r>
    <x v="18"/>
    <s v="MCX"/>
    <x v="0"/>
    <n v="2"/>
    <s v="mmBtu"/>
    <n v="18.05"/>
    <s v="RS/1mmBtu    "/>
    <n v="1"/>
    <n v="1"/>
    <x v="44"/>
    <n v="20"/>
    <n v="27.26"/>
    <s v="20250401X200010085"/>
    <s v="MCO/202526/0001456"/>
    <n v="0"/>
    <n v="18.86"/>
    <n v="1.35"/>
    <n v="0.05"/>
    <n v="7"/>
    <n v="47.26"/>
  </r>
  <r>
    <x v="17"/>
    <s v="MCX"/>
    <x v="1"/>
    <n v="1"/>
    <s v="mmBtu"/>
    <n v="18"/>
    <s v="RS/1mmBtu    "/>
    <n v="1"/>
    <n v="1"/>
    <x v="17"/>
    <n v="20"/>
    <n v="25.98"/>
    <s v="20250401X200009828"/>
    <s v="MCO/202526/0001456"/>
    <n v="11.25"/>
    <n v="9.41"/>
    <n v="0"/>
    <n v="0.02"/>
    <n v="5.3"/>
    <n v="45.98"/>
  </r>
  <r>
    <x v="17"/>
    <s v="MCX"/>
    <x v="0"/>
    <n v="1"/>
    <s v="mmBtu"/>
    <n v="18.7"/>
    <s v="RS/1mmBtu    "/>
    <n v="1"/>
    <n v="1"/>
    <x v="45"/>
    <n v="20"/>
    <n v="15.85"/>
    <s v="20250401X200009747"/>
    <s v="MCO/202526/0001456"/>
    <n v="0"/>
    <n v="9.77"/>
    <n v="0.7"/>
    <n v="0.02"/>
    <n v="5.36"/>
    <n v="35.85"/>
  </r>
  <r>
    <x v="18"/>
    <s v="MCX"/>
    <x v="1"/>
    <n v="1"/>
    <s v="mmBtu"/>
    <n v="13.75"/>
    <s v="RS/1mmBtu    "/>
    <n v="1"/>
    <n v="1"/>
    <x v="46"/>
    <n v="20"/>
    <n v="20.57"/>
    <s v="20250401X200017468"/>
    <s v="MCO/202526/0001456"/>
    <n v="8.4700000000000006"/>
    <n v="7.18"/>
    <n v="0"/>
    <n v="0.02"/>
    <n v="4.9000000000000004"/>
    <n v="40.57"/>
  </r>
  <r>
    <x v="18"/>
    <s v="MCX"/>
    <x v="1"/>
    <n v="1"/>
    <s v="mmBtu"/>
    <n v="13.25"/>
    <s v="RS/1mmBtu    "/>
    <n v="1"/>
    <n v="1"/>
    <x v="47"/>
    <n v="20"/>
    <n v="20.059999999999999"/>
    <s v="20250401X200016241"/>
    <s v="MCO/202526/0001456"/>
    <n v="8.2799999999999994"/>
    <n v="6.92"/>
    <n v="0"/>
    <n v="0.02"/>
    <n v="4.84"/>
    <n v="4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1046E-9CE3-40F7-AA27-21E7FEF5FD99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4" firstHeaderRow="1" firstDataRow="2" firstDataCol="1"/>
  <pivotFields count="20">
    <pivotField axis="axisRow" showAll="0">
      <items count="20">
        <item x="15"/>
        <item x="16"/>
        <item x="14"/>
        <item x="17"/>
        <item x="18"/>
        <item x="0"/>
        <item x="4"/>
        <item x="8"/>
        <item x="9"/>
        <item x="13"/>
        <item x="11"/>
        <item x="12"/>
        <item x="10"/>
        <item x="5"/>
        <item x="6"/>
        <item x="7"/>
        <item x="3"/>
        <item x="2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>
      <items count="49">
        <item x="9"/>
        <item x="13"/>
        <item x="12"/>
        <item x="36"/>
        <item x="10"/>
        <item x="35"/>
        <item x="37"/>
        <item x="34"/>
        <item x="38"/>
        <item x="21"/>
        <item x="14"/>
        <item x="11"/>
        <item x="22"/>
        <item x="3"/>
        <item x="8"/>
        <item x="2"/>
        <item x="24"/>
        <item x="26"/>
        <item x="27"/>
        <item x="25"/>
        <item x="39"/>
        <item x="47"/>
        <item x="46"/>
        <item x="40"/>
        <item x="19"/>
        <item x="43"/>
        <item x="42"/>
        <item x="0"/>
        <item x="28"/>
        <item x="29"/>
        <item x="1"/>
        <item x="41"/>
        <item x="32"/>
        <item x="15"/>
        <item x="17"/>
        <item x="31"/>
        <item x="18"/>
        <item x="20"/>
        <item x="33"/>
        <item x="4"/>
        <item x="45"/>
        <item x="7"/>
        <item x="6"/>
        <item x="5"/>
        <item x="30"/>
        <item x="16"/>
        <item x="2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Value" fld="9" baseField="0" baseItem="0" numFmtId="164"/>
  </dataFields>
  <formats count="5"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CB7E-B905-437A-B90E-D599C12774C1}">
  <dimension ref="A1:F24"/>
  <sheetViews>
    <sheetView tabSelected="1" workbookViewId="0">
      <selection activeCell="H12" sqref="H12"/>
    </sheetView>
  </sheetViews>
  <sheetFormatPr defaultRowHeight="15" x14ac:dyDescent="0.25"/>
  <cols>
    <col min="1" max="1" width="38.42578125" bestFit="1" customWidth="1"/>
    <col min="2" max="2" width="16.42578125" style="2" bestFit="1" customWidth="1"/>
    <col min="3" max="4" width="11.5703125" style="2" bestFit="1" customWidth="1"/>
    <col min="5" max="5" width="8.140625" bestFit="1" customWidth="1"/>
    <col min="6" max="6" width="9" bestFit="1" customWidth="1"/>
    <col min="7" max="11" width="6.42578125" bestFit="1" customWidth="1"/>
    <col min="12" max="49" width="7.42578125" bestFit="1" customWidth="1"/>
    <col min="50" max="50" width="12.140625" bestFit="1" customWidth="1"/>
  </cols>
  <sheetData>
    <row r="1" spans="1:6" x14ac:dyDescent="0.25">
      <c r="E1" s="7" t="s">
        <v>124</v>
      </c>
      <c r="F1" s="7" t="s">
        <v>125</v>
      </c>
    </row>
    <row r="2" spans="1:6" x14ac:dyDescent="0.25">
      <c r="E2" s="8">
        <f>SUM(E5:E23)</f>
        <v>-25062.5</v>
      </c>
      <c r="F2" s="9">
        <f>SUM(F5:F23)</f>
        <v>62312.5</v>
      </c>
    </row>
    <row r="3" spans="1:6" x14ac:dyDescent="0.25">
      <c r="A3" s="3" t="s">
        <v>123</v>
      </c>
      <c r="B3" s="6" t="s">
        <v>122</v>
      </c>
    </row>
    <row r="4" spans="1:6" x14ac:dyDescent="0.25">
      <c r="A4" s="3" t="s">
        <v>120</v>
      </c>
      <c r="B4" s="2" t="s">
        <v>23</v>
      </c>
      <c r="C4" s="2" t="s">
        <v>28</v>
      </c>
      <c r="D4" s="2" t="s">
        <v>121</v>
      </c>
    </row>
    <row r="5" spans="1:6" x14ac:dyDescent="0.25">
      <c r="A5" s="4" t="s">
        <v>96</v>
      </c>
      <c r="B5" s="2">
        <v>22000</v>
      </c>
      <c r="C5" s="2">
        <v>23250</v>
      </c>
      <c r="D5" s="2">
        <v>45250</v>
      </c>
      <c r="E5" s="5">
        <f>C5-B5</f>
        <v>1250</v>
      </c>
      <c r="F5">
        <v>1250</v>
      </c>
    </row>
    <row r="6" spans="1:6" x14ac:dyDescent="0.25">
      <c r="A6" s="4" t="s">
        <v>102</v>
      </c>
      <c r="B6" s="2">
        <v>15562.5</v>
      </c>
      <c r="C6" s="2">
        <v>17250</v>
      </c>
      <c r="D6" s="2">
        <v>32812.5</v>
      </c>
      <c r="E6" s="5">
        <f t="shared" ref="E6:E23" si="0">C6-B6</f>
        <v>1687.5</v>
      </c>
      <c r="F6">
        <v>1687.5</v>
      </c>
    </row>
    <row r="7" spans="1:6" x14ac:dyDescent="0.25">
      <c r="A7" s="4" t="s">
        <v>93</v>
      </c>
      <c r="B7" s="2">
        <v>14750</v>
      </c>
      <c r="C7" s="2">
        <v>8250</v>
      </c>
      <c r="D7" s="2">
        <v>23000</v>
      </c>
      <c r="E7" s="5">
        <f t="shared" si="0"/>
        <v>-6500</v>
      </c>
      <c r="F7">
        <v>6500</v>
      </c>
    </row>
    <row r="8" spans="1:6" x14ac:dyDescent="0.25">
      <c r="A8" s="4" t="s">
        <v>107</v>
      </c>
      <c r="B8" s="2">
        <v>68250</v>
      </c>
      <c r="C8" s="2">
        <v>60875</v>
      </c>
      <c r="D8" s="2">
        <v>129125</v>
      </c>
      <c r="E8" s="5">
        <f t="shared" si="0"/>
        <v>-7375</v>
      </c>
      <c r="F8">
        <v>7375</v>
      </c>
    </row>
    <row r="9" spans="1:6" x14ac:dyDescent="0.25">
      <c r="A9" s="4" t="s">
        <v>113</v>
      </c>
      <c r="B9" s="2">
        <v>45125</v>
      </c>
      <c r="C9" s="2">
        <v>33750</v>
      </c>
      <c r="D9" s="2">
        <v>78875</v>
      </c>
      <c r="E9" s="5">
        <f t="shared" si="0"/>
        <v>-11375</v>
      </c>
      <c r="F9">
        <v>11375</v>
      </c>
    </row>
    <row r="10" spans="1:6" x14ac:dyDescent="0.25">
      <c r="A10" s="4" t="s">
        <v>21</v>
      </c>
      <c r="B10" s="2">
        <v>19375</v>
      </c>
      <c r="C10" s="2">
        <v>20937.5</v>
      </c>
      <c r="D10" s="2">
        <v>40312.5</v>
      </c>
      <c r="E10" s="5">
        <f t="shared" si="0"/>
        <v>1562.5</v>
      </c>
      <c r="F10">
        <v>1562.5</v>
      </c>
    </row>
    <row r="11" spans="1:6" x14ac:dyDescent="0.25">
      <c r="A11" s="4" t="s">
        <v>42</v>
      </c>
      <c r="B11" s="2">
        <v>3875</v>
      </c>
      <c r="C11" s="2">
        <v>12375</v>
      </c>
      <c r="D11" s="2">
        <v>16250</v>
      </c>
      <c r="E11" s="5">
        <f t="shared" si="0"/>
        <v>8500</v>
      </c>
      <c r="F11">
        <v>8500</v>
      </c>
    </row>
    <row r="12" spans="1:6" x14ac:dyDescent="0.25">
      <c r="A12" s="4" t="s">
        <v>62</v>
      </c>
      <c r="B12" s="2">
        <v>45125</v>
      </c>
      <c r="C12" s="2">
        <v>41562.5</v>
      </c>
      <c r="D12" s="2">
        <v>86687.5</v>
      </c>
      <c r="E12" s="5">
        <f t="shared" si="0"/>
        <v>-3562.5</v>
      </c>
      <c r="F12">
        <v>3562.5</v>
      </c>
    </row>
    <row r="13" spans="1:6" x14ac:dyDescent="0.25">
      <c r="A13" s="4" t="s">
        <v>68</v>
      </c>
      <c r="B13" s="2">
        <v>8875</v>
      </c>
      <c r="C13" s="2">
        <v>10312.5</v>
      </c>
      <c r="D13" s="2">
        <v>19187.5</v>
      </c>
      <c r="E13" s="5">
        <f t="shared" si="0"/>
        <v>1437.5</v>
      </c>
      <c r="F13">
        <v>1437.5</v>
      </c>
    </row>
    <row r="14" spans="1:6" x14ac:dyDescent="0.25">
      <c r="A14" s="4" t="s">
        <v>87</v>
      </c>
      <c r="B14" s="2">
        <v>45562.5</v>
      </c>
      <c r="C14" s="2">
        <v>45625</v>
      </c>
      <c r="D14" s="2">
        <v>91187.5</v>
      </c>
      <c r="E14" s="5">
        <f t="shared" si="0"/>
        <v>62.5</v>
      </c>
      <c r="F14">
        <v>62.5</v>
      </c>
    </row>
    <row r="15" spans="1:6" x14ac:dyDescent="0.25">
      <c r="A15" s="4" t="s">
        <v>75</v>
      </c>
      <c r="B15" s="2">
        <v>27625</v>
      </c>
      <c r="C15" s="2">
        <v>28437.5</v>
      </c>
      <c r="D15" s="2">
        <v>56062.5</v>
      </c>
      <c r="E15" s="5">
        <f t="shared" si="0"/>
        <v>812.5</v>
      </c>
      <c r="F15">
        <v>812.5</v>
      </c>
    </row>
    <row r="16" spans="1:6" x14ac:dyDescent="0.25">
      <c r="A16" s="4" t="s">
        <v>83</v>
      </c>
      <c r="B16" s="2">
        <v>19750</v>
      </c>
      <c r="C16" s="2">
        <v>20562.5</v>
      </c>
      <c r="D16" s="2">
        <v>40312.5</v>
      </c>
      <c r="E16" s="5">
        <f t="shared" si="0"/>
        <v>812.5</v>
      </c>
      <c r="F16">
        <v>812.5</v>
      </c>
    </row>
    <row r="17" spans="1:6" x14ac:dyDescent="0.25">
      <c r="A17" s="4" t="s">
        <v>72</v>
      </c>
      <c r="B17" s="2">
        <v>29375</v>
      </c>
      <c r="C17" s="2">
        <v>28375</v>
      </c>
      <c r="D17" s="2">
        <v>57750</v>
      </c>
      <c r="E17" s="5">
        <f t="shared" si="0"/>
        <v>-1000</v>
      </c>
      <c r="F17">
        <v>1000</v>
      </c>
    </row>
    <row r="18" spans="1:6" x14ac:dyDescent="0.25">
      <c r="A18" s="4" t="s">
        <v>47</v>
      </c>
      <c r="B18" s="2">
        <v>10125</v>
      </c>
      <c r="C18" s="2">
        <v>7250</v>
      </c>
      <c r="D18" s="2">
        <v>17375</v>
      </c>
      <c r="E18" s="5">
        <f t="shared" si="0"/>
        <v>-2875</v>
      </c>
      <c r="F18">
        <v>2875</v>
      </c>
    </row>
    <row r="19" spans="1:6" x14ac:dyDescent="0.25">
      <c r="A19" s="4" t="s">
        <v>51</v>
      </c>
      <c r="B19" s="2">
        <v>14437.5</v>
      </c>
      <c r="C19" s="2">
        <v>5625</v>
      </c>
      <c r="D19" s="2">
        <v>20062.5</v>
      </c>
      <c r="E19" s="5">
        <f t="shared" si="0"/>
        <v>-8812.5</v>
      </c>
      <c r="F19">
        <v>8812.5</v>
      </c>
    </row>
    <row r="20" spans="1:6" x14ac:dyDescent="0.25">
      <c r="A20" s="4" t="s">
        <v>58</v>
      </c>
      <c r="B20" s="2">
        <v>22125</v>
      </c>
      <c r="C20" s="2">
        <v>24625</v>
      </c>
      <c r="D20" s="2">
        <v>46750</v>
      </c>
      <c r="E20" s="5">
        <f t="shared" si="0"/>
        <v>2500</v>
      </c>
      <c r="F20">
        <v>2500</v>
      </c>
    </row>
    <row r="21" spans="1:6" x14ac:dyDescent="0.25">
      <c r="A21" s="4" t="s">
        <v>37</v>
      </c>
      <c r="B21" s="2">
        <v>23875</v>
      </c>
      <c r="C21" s="2">
        <v>23500</v>
      </c>
      <c r="D21" s="2">
        <v>47375</v>
      </c>
      <c r="E21" s="5">
        <f t="shared" si="0"/>
        <v>-375</v>
      </c>
      <c r="F21">
        <v>375</v>
      </c>
    </row>
    <row r="22" spans="1:6" x14ac:dyDescent="0.25">
      <c r="A22" s="4" t="s">
        <v>34</v>
      </c>
      <c r="B22" s="2">
        <v>23812.5</v>
      </c>
      <c r="C22" s="2">
        <v>23125</v>
      </c>
      <c r="D22" s="2">
        <v>46937.5</v>
      </c>
      <c r="E22" s="5">
        <f t="shared" si="0"/>
        <v>-687.5</v>
      </c>
      <c r="F22">
        <v>687.5</v>
      </c>
    </row>
    <row r="23" spans="1:6" x14ac:dyDescent="0.25">
      <c r="A23" s="4" t="s">
        <v>30</v>
      </c>
      <c r="B23" s="2">
        <v>12625</v>
      </c>
      <c r="C23" s="2">
        <v>11500</v>
      </c>
      <c r="D23" s="2">
        <v>24125</v>
      </c>
      <c r="E23" s="5">
        <f t="shared" si="0"/>
        <v>-1125</v>
      </c>
      <c r="F23">
        <v>1125</v>
      </c>
    </row>
    <row r="24" spans="1:6" x14ac:dyDescent="0.25">
      <c r="A24" s="4" t="s">
        <v>121</v>
      </c>
      <c r="B24" s="2">
        <v>472250</v>
      </c>
      <c r="C24" s="2">
        <v>447187.5</v>
      </c>
      <c r="D24" s="2">
        <v>919437.5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opLeftCell="C1" workbookViewId="0">
      <selection activeCell="B1" sqref="B1:U55"/>
    </sheetView>
  </sheetViews>
  <sheetFormatPr defaultRowHeight="15" x14ac:dyDescent="0.25"/>
  <cols>
    <col min="1" max="1" width="10.5703125" bestFit="1" customWidth="1"/>
    <col min="2" max="2" width="38.42578125" bestFit="1" customWidth="1"/>
    <col min="11" max="11" width="10" style="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46112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>
        <v>15.5</v>
      </c>
      <c r="H2" t="s">
        <v>25</v>
      </c>
      <c r="I2">
        <v>1</v>
      </c>
      <c r="J2">
        <v>1</v>
      </c>
      <c r="K2" s="2">
        <v>19375</v>
      </c>
      <c r="L2">
        <v>20</v>
      </c>
      <c r="M2">
        <v>13.76</v>
      </c>
      <c r="N2" t="s">
        <v>26</v>
      </c>
      <c r="O2" t="s">
        <v>27</v>
      </c>
      <c r="P2">
        <v>0</v>
      </c>
      <c r="Q2">
        <v>8.1</v>
      </c>
      <c r="R2">
        <v>0.57999999999999996</v>
      </c>
      <c r="S2">
        <v>0.02</v>
      </c>
      <c r="T2">
        <v>5.0599999999999996</v>
      </c>
      <c r="U2">
        <v>33.76</v>
      </c>
    </row>
    <row r="3" spans="1:21" x14ac:dyDescent="0.25">
      <c r="A3" s="1">
        <v>46112</v>
      </c>
      <c r="B3" t="s">
        <v>21</v>
      </c>
      <c r="C3" t="s">
        <v>22</v>
      </c>
      <c r="D3" t="s">
        <v>28</v>
      </c>
      <c r="E3">
        <v>1</v>
      </c>
      <c r="F3" t="s">
        <v>24</v>
      </c>
      <c r="G3">
        <v>16.75</v>
      </c>
      <c r="H3" t="s">
        <v>25</v>
      </c>
      <c r="I3">
        <v>1</v>
      </c>
      <c r="J3">
        <v>1</v>
      </c>
      <c r="K3" s="2">
        <v>20937.5</v>
      </c>
      <c r="L3">
        <v>20</v>
      </c>
      <c r="M3">
        <v>23.95</v>
      </c>
      <c r="N3" t="s">
        <v>29</v>
      </c>
      <c r="O3" t="s">
        <v>27</v>
      </c>
      <c r="P3">
        <v>10</v>
      </c>
      <c r="Q3">
        <v>8.75</v>
      </c>
      <c r="R3">
        <v>0</v>
      </c>
      <c r="S3">
        <v>0.02</v>
      </c>
      <c r="T3">
        <v>5.18</v>
      </c>
      <c r="U3">
        <v>43.95</v>
      </c>
    </row>
    <row r="4" spans="1:21" x14ac:dyDescent="0.25">
      <c r="A4" s="1">
        <v>46099</v>
      </c>
      <c r="B4" t="s">
        <v>30</v>
      </c>
      <c r="C4" t="s">
        <v>22</v>
      </c>
      <c r="D4" t="s">
        <v>23</v>
      </c>
      <c r="E4">
        <v>1</v>
      </c>
      <c r="F4" t="s">
        <v>24</v>
      </c>
      <c r="G4">
        <v>10.1</v>
      </c>
      <c r="H4" t="s">
        <v>25</v>
      </c>
      <c r="I4">
        <v>1</v>
      </c>
      <c r="J4">
        <v>1</v>
      </c>
      <c r="K4" s="2">
        <v>12625</v>
      </c>
      <c r="L4">
        <v>20</v>
      </c>
      <c r="M4">
        <v>10.23</v>
      </c>
      <c r="N4" t="s">
        <v>31</v>
      </c>
      <c r="O4" t="s">
        <v>32</v>
      </c>
      <c r="P4">
        <v>0</v>
      </c>
      <c r="Q4">
        <v>5.28</v>
      </c>
      <c r="R4">
        <v>0.38</v>
      </c>
      <c r="S4">
        <v>0.01</v>
      </c>
      <c r="T4">
        <v>4.5599999999999996</v>
      </c>
      <c r="U4">
        <v>30.23</v>
      </c>
    </row>
    <row r="5" spans="1:21" x14ac:dyDescent="0.25">
      <c r="A5" s="1">
        <v>46099</v>
      </c>
      <c r="B5" t="s">
        <v>30</v>
      </c>
      <c r="C5" t="s">
        <v>22</v>
      </c>
      <c r="D5" t="s">
        <v>28</v>
      </c>
      <c r="E5">
        <v>1</v>
      </c>
      <c r="F5" t="s">
        <v>24</v>
      </c>
      <c r="G5">
        <v>9.1999999999999993</v>
      </c>
      <c r="H5" t="s">
        <v>25</v>
      </c>
      <c r="I5">
        <v>1</v>
      </c>
      <c r="J5">
        <v>1</v>
      </c>
      <c r="K5" s="2">
        <v>11500</v>
      </c>
      <c r="L5">
        <v>20</v>
      </c>
      <c r="M5">
        <v>15.28</v>
      </c>
      <c r="N5" t="s">
        <v>33</v>
      </c>
      <c r="O5" t="s">
        <v>32</v>
      </c>
      <c r="P5">
        <v>6</v>
      </c>
      <c r="Q5">
        <v>4.8099999999999996</v>
      </c>
      <c r="R5">
        <v>0</v>
      </c>
      <c r="S5">
        <v>0.01</v>
      </c>
      <c r="T5">
        <v>4.46</v>
      </c>
      <c r="U5">
        <v>35.28</v>
      </c>
    </row>
    <row r="6" spans="1:21" x14ac:dyDescent="0.25">
      <c r="A6" s="1">
        <v>46092</v>
      </c>
      <c r="B6" t="s">
        <v>34</v>
      </c>
      <c r="C6" t="s">
        <v>22</v>
      </c>
      <c r="D6" t="s">
        <v>28</v>
      </c>
      <c r="E6">
        <v>1</v>
      </c>
      <c r="F6" t="s">
        <v>24</v>
      </c>
      <c r="G6">
        <v>18.5</v>
      </c>
      <c r="H6" t="s">
        <v>25</v>
      </c>
      <c r="I6">
        <v>1</v>
      </c>
      <c r="J6">
        <v>1</v>
      </c>
      <c r="K6" s="2">
        <v>23125</v>
      </c>
      <c r="L6">
        <v>20</v>
      </c>
      <c r="M6">
        <v>27.03</v>
      </c>
      <c r="N6" t="s">
        <v>35</v>
      </c>
      <c r="O6" t="s">
        <v>36</v>
      </c>
      <c r="P6">
        <v>12</v>
      </c>
      <c r="Q6">
        <v>9.67</v>
      </c>
      <c r="R6">
        <v>0</v>
      </c>
      <c r="S6">
        <v>0.02</v>
      </c>
      <c r="T6">
        <v>5.34</v>
      </c>
      <c r="U6">
        <v>47.03</v>
      </c>
    </row>
    <row r="7" spans="1:21" x14ac:dyDescent="0.25">
      <c r="A7" s="1">
        <v>46091</v>
      </c>
      <c r="B7" t="s">
        <v>37</v>
      </c>
      <c r="C7" t="s">
        <v>22</v>
      </c>
      <c r="D7" t="s">
        <v>23</v>
      </c>
      <c r="E7">
        <v>1</v>
      </c>
      <c r="F7" t="s">
        <v>24</v>
      </c>
      <c r="G7">
        <v>19.100000000000001</v>
      </c>
      <c r="H7" t="s">
        <v>25</v>
      </c>
      <c r="I7">
        <v>1</v>
      </c>
      <c r="J7">
        <v>1</v>
      </c>
      <c r="K7" s="2">
        <v>23875</v>
      </c>
      <c r="L7">
        <v>20</v>
      </c>
      <c r="M7">
        <v>16.12</v>
      </c>
      <c r="N7" t="s">
        <v>38</v>
      </c>
      <c r="O7" t="s">
        <v>39</v>
      </c>
      <c r="P7">
        <v>0</v>
      </c>
      <c r="Q7">
        <v>9.98</v>
      </c>
      <c r="R7">
        <v>0.72</v>
      </c>
      <c r="S7">
        <v>0.02</v>
      </c>
      <c r="T7">
        <v>5.4</v>
      </c>
      <c r="U7">
        <v>36.119999999999997</v>
      </c>
    </row>
    <row r="8" spans="1:21" x14ac:dyDescent="0.25">
      <c r="A8" s="1">
        <v>46091</v>
      </c>
      <c r="B8" t="s">
        <v>34</v>
      </c>
      <c r="C8" t="s">
        <v>22</v>
      </c>
      <c r="D8" t="s">
        <v>23</v>
      </c>
      <c r="E8">
        <v>1</v>
      </c>
      <c r="F8" t="s">
        <v>24</v>
      </c>
      <c r="G8">
        <v>19.05</v>
      </c>
      <c r="H8" t="s">
        <v>25</v>
      </c>
      <c r="I8">
        <v>1</v>
      </c>
      <c r="J8">
        <v>1</v>
      </c>
      <c r="K8" s="2">
        <v>23812.5</v>
      </c>
      <c r="L8">
        <v>20</v>
      </c>
      <c r="M8">
        <v>16.079999999999998</v>
      </c>
      <c r="N8" t="s">
        <v>40</v>
      </c>
      <c r="O8" t="s">
        <v>39</v>
      </c>
      <c r="P8">
        <v>0</v>
      </c>
      <c r="Q8">
        <v>9.9499999999999993</v>
      </c>
      <c r="R8">
        <v>0.71</v>
      </c>
      <c r="S8">
        <v>0.02</v>
      </c>
      <c r="T8">
        <v>5.4</v>
      </c>
      <c r="U8">
        <v>36.08</v>
      </c>
    </row>
    <row r="9" spans="1:21" x14ac:dyDescent="0.25">
      <c r="A9" s="1">
        <v>46091</v>
      </c>
      <c r="B9" t="s">
        <v>37</v>
      </c>
      <c r="C9" t="s">
        <v>22</v>
      </c>
      <c r="D9" t="s">
        <v>28</v>
      </c>
      <c r="E9">
        <v>1</v>
      </c>
      <c r="F9" t="s">
        <v>24</v>
      </c>
      <c r="G9">
        <v>18.8</v>
      </c>
      <c r="H9" t="s">
        <v>25</v>
      </c>
      <c r="I9">
        <v>1</v>
      </c>
      <c r="J9">
        <v>1</v>
      </c>
      <c r="K9" s="2">
        <v>23500</v>
      </c>
      <c r="L9">
        <v>20</v>
      </c>
      <c r="M9">
        <v>27.22</v>
      </c>
      <c r="N9" t="s">
        <v>41</v>
      </c>
      <c r="O9" t="s">
        <v>39</v>
      </c>
      <c r="P9">
        <v>12</v>
      </c>
      <c r="Q9">
        <v>9.82</v>
      </c>
      <c r="R9">
        <v>0</v>
      </c>
      <c r="S9">
        <v>0.02</v>
      </c>
      <c r="T9">
        <v>5.38</v>
      </c>
      <c r="U9">
        <v>47.22</v>
      </c>
    </row>
    <row r="10" spans="1:21" x14ac:dyDescent="0.25">
      <c r="A10" s="1">
        <v>46001</v>
      </c>
      <c r="B10" t="s">
        <v>42</v>
      </c>
      <c r="C10" t="s">
        <v>22</v>
      </c>
      <c r="D10" t="s">
        <v>28</v>
      </c>
      <c r="E10">
        <v>1</v>
      </c>
      <c r="F10" t="s">
        <v>24</v>
      </c>
      <c r="G10">
        <v>9.9</v>
      </c>
      <c r="H10" t="s">
        <v>25</v>
      </c>
      <c r="I10">
        <v>1</v>
      </c>
      <c r="J10">
        <v>1</v>
      </c>
      <c r="K10" s="2">
        <v>12375</v>
      </c>
      <c r="L10">
        <v>20</v>
      </c>
      <c r="M10">
        <v>15.72</v>
      </c>
      <c r="N10" t="s">
        <v>43</v>
      </c>
      <c r="O10" t="s">
        <v>44</v>
      </c>
      <c r="P10">
        <v>6</v>
      </c>
      <c r="Q10">
        <v>5.17</v>
      </c>
      <c r="R10">
        <v>0</v>
      </c>
      <c r="S10">
        <v>0.01</v>
      </c>
      <c r="T10">
        <v>4.54</v>
      </c>
      <c r="U10">
        <v>35.72</v>
      </c>
    </row>
    <row r="11" spans="1:21" x14ac:dyDescent="0.25">
      <c r="A11" s="1">
        <v>45999</v>
      </c>
      <c r="B11" t="s">
        <v>42</v>
      </c>
      <c r="C11" t="s">
        <v>22</v>
      </c>
      <c r="D11" t="s">
        <v>23</v>
      </c>
      <c r="E11">
        <v>1</v>
      </c>
      <c r="F11" t="s">
        <v>24</v>
      </c>
      <c r="G11">
        <v>3.1</v>
      </c>
      <c r="H11" t="s">
        <v>25</v>
      </c>
      <c r="I11">
        <v>1</v>
      </c>
      <c r="J11">
        <v>1</v>
      </c>
      <c r="K11" s="2">
        <v>3875</v>
      </c>
      <c r="L11">
        <v>20</v>
      </c>
      <c r="M11">
        <v>5.64</v>
      </c>
      <c r="N11" t="s">
        <v>45</v>
      </c>
      <c r="O11" t="s">
        <v>46</v>
      </c>
      <c r="P11">
        <v>0</v>
      </c>
      <c r="Q11">
        <v>1.62</v>
      </c>
      <c r="R11">
        <v>0.12</v>
      </c>
      <c r="S11">
        <v>0</v>
      </c>
      <c r="T11">
        <v>3.9</v>
      </c>
      <c r="U11">
        <v>25.64</v>
      </c>
    </row>
    <row r="12" spans="1:21" x14ac:dyDescent="0.25">
      <c r="A12" s="1">
        <v>45918</v>
      </c>
      <c r="B12" t="s">
        <v>47</v>
      </c>
      <c r="C12" t="s">
        <v>22</v>
      </c>
      <c r="D12" t="s">
        <v>28</v>
      </c>
      <c r="E12">
        <v>2</v>
      </c>
      <c r="F12" t="s">
        <v>24</v>
      </c>
      <c r="G12">
        <v>2.9</v>
      </c>
      <c r="H12" t="s">
        <v>25</v>
      </c>
      <c r="I12">
        <v>1</v>
      </c>
      <c r="J12">
        <v>1</v>
      </c>
      <c r="K12" s="2">
        <v>7250</v>
      </c>
      <c r="L12">
        <v>20</v>
      </c>
      <c r="M12">
        <v>11.18</v>
      </c>
      <c r="N12" t="s">
        <v>48</v>
      </c>
      <c r="O12" t="s">
        <v>49</v>
      </c>
      <c r="P12">
        <v>4</v>
      </c>
      <c r="Q12">
        <v>3.03</v>
      </c>
      <c r="R12">
        <v>0</v>
      </c>
      <c r="S12">
        <v>0.01</v>
      </c>
      <c r="T12">
        <v>4.1399999999999997</v>
      </c>
      <c r="U12">
        <v>31.18</v>
      </c>
    </row>
    <row r="13" spans="1:21" x14ac:dyDescent="0.25">
      <c r="A13" s="1">
        <v>45918</v>
      </c>
      <c r="B13" t="s">
        <v>47</v>
      </c>
      <c r="C13" t="s">
        <v>22</v>
      </c>
      <c r="D13" t="s">
        <v>23</v>
      </c>
      <c r="E13">
        <v>2</v>
      </c>
      <c r="F13" t="s">
        <v>24</v>
      </c>
      <c r="G13">
        <v>4.05</v>
      </c>
      <c r="H13" t="s">
        <v>25</v>
      </c>
      <c r="I13">
        <v>1</v>
      </c>
      <c r="J13">
        <v>1</v>
      </c>
      <c r="K13" s="2">
        <v>10125</v>
      </c>
      <c r="L13">
        <v>20</v>
      </c>
      <c r="M13">
        <v>8.9</v>
      </c>
      <c r="N13" t="s">
        <v>50</v>
      </c>
      <c r="O13" t="s">
        <v>49</v>
      </c>
      <c r="P13">
        <v>0</v>
      </c>
      <c r="Q13">
        <v>4.2300000000000004</v>
      </c>
      <c r="R13">
        <v>0.3</v>
      </c>
      <c r="S13">
        <v>0.01</v>
      </c>
      <c r="T13">
        <v>4.3600000000000003</v>
      </c>
      <c r="U13">
        <v>28.9</v>
      </c>
    </row>
    <row r="14" spans="1:21" x14ac:dyDescent="0.25">
      <c r="A14" s="1">
        <v>45912</v>
      </c>
      <c r="B14" t="s">
        <v>51</v>
      </c>
      <c r="C14" t="s">
        <v>22</v>
      </c>
      <c r="D14" t="s">
        <v>28</v>
      </c>
      <c r="E14">
        <v>2</v>
      </c>
      <c r="F14" t="s">
        <v>24</v>
      </c>
      <c r="G14">
        <v>2.25</v>
      </c>
      <c r="H14" t="s">
        <v>25</v>
      </c>
      <c r="I14">
        <v>1</v>
      </c>
      <c r="J14">
        <v>1</v>
      </c>
      <c r="K14" s="2">
        <v>5625</v>
      </c>
      <c r="L14">
        <v>20</v>
      </c>
      <c r="M14">
        <v>9.3800000000000008</v>
      </c>
      <c r="N14" t="s">
        <v>52</v>
      </c>
      <c r="O14" t="s">
        <v>53</v>
      </c>
      <c r="P14">
        <v>3</v>
      </c>
      <c r="Q14">
        <v>2.35</v>
      </c>
      <c r="R14">
        <v>0</v>
      </c>
      <c r="S14">
        <v>0.01</v>
      </c>
      <c r="T14">
        <v>4.0199999999999996</v>
      </c>
      <c r="U14">
        <v>29.38</v>
      </c>
    </row>
    <row r="15" spans="1:21" x14ac:dyDescent="0.25">
      <c r="A15" s="1">
        <v>45911</v>
      </c>
      <c r="B15" t="s">
        <v>51</v>
      </c>
      <c r="C15" t="s">
        <v>22</v>
      </c>
      <c r="D15" t="s">
        <v>23</v>
      </c>
      <c r="E15">
        <v>1</v>
      </c>
      <c r="F15" t="s">
        <v>24</v>
      </c>
      <c r="G15">
        <v>3.5</v>
      </c>
      <c r="H15" t="s">
        <v>25</v>
      </c>
      <c r="I15">
        <v>1</v>
      </c>
      <c r="J15">
        <v>1</v>
      </c>
      <c r="K15" s="2">
        <v>4375</v>
      </c>
      <c r="L15">
        <v>20</v>
      </c>
      <c r="M15">
        <v>5.9</v>
      </c>
      <c r="N15" t="s">
        <v>54</v>
      </c>
      <c r="O15" t="s">
        <v>55</v>
      </c>
      <c r="P15">
        <v>0</v>
      </c>
      <c r="Q15">
        <v>1.83</v>
      </c>
      <c r="R15">
        <v>0.13</v>
      </c>
      <c r="S15">
        <v>0</v>
      </c>
      <c r="T15">
        <v>3.94</v>
      </c>
      <c r="U15">
        <v>25.9</v>
      </c>
    </row>
    <row r="16" spans="1:21" x14ac:dyDescent="0.25">
      <c r="A16" s="1">
        <v>45908</v>
      </c>
      <c r="B16" t="s">
        <v>51</v>
      </c>
      <c r="C16" t="s">
        <v>22</v>
      </c>
      <c r="D16" t="s">
        <v>23</v>
      </c>
      <c r="E16">
        <v>1</v>
      </c>
      <c r="F16" t="s">
        <v>24</v>
      </c>
      <c r="G16">
        <v>8.0500000000000007</v>
      </c>
      <c r="H16" t="s">
        <v>25</v>
      </c>
      <c r="I16">
        <v>1</v>
      </c>
      <c r="J16">
        <v>1</v>
      </c>
      <c r="K16" s="2">
        <v>10062.5</v>
      </c>
      <c r="L16">
        <v>20</v>
      </c>
      <c r="M16">
        <v>8.8800000000000008</v>
      </c>
      <c r="N16" t="s">
        <v>56</v>
      </c>
      <c r="O16" t="s">
        <v>57</v>
      </c>
      <c r="P16">
        <v>0</v>
      </c>
      <c r="Q16">
        <v>4.21</v>
      </c>
      <c r="R16">
        <v>0.3</v>
      </c>
      <c r="S16">
        <v>0.01</v>
      </c>
      <c r="T16">
        <v>4.3600000000000003</v>
      </c>
      <c r="U16">
        <v>28.88</v>
      </c>
    </row>
    <row r="17" spans="1:21" x14ac:dyDescent="0.25">
      <c r="A17" s="1">
        <v>45855</v>
      </c>
      <c r="B17" t="s">
        <v>58</v>
      </c>
      <c r="C17" t="s">
        <v>22</v>
      </c>
      <c r="D17" t="s">
        <v>23</v>
      </c>
      <c r="E17">
        <v>2</v>
      </c>
      <c r="F17" t="s">
        <v>24</v>
      </c>
      <c r="G17">
        <v>8.85</v>
      </c>
      <c r="H17" t="s">
        <v>25</v>
      </c>
      <c r="I17">
        <v>1</v>
      </c>
      <c r="J17">
        <v>1</v>
      </c>
      <c r="K17" s="2">
        <v>22125</v>
      </c>
      <c r="L17">
        <v>20</v>
      </c>
      <c r="M17">
        <v>15.19</v>
      </c>
      <c r="N17" t="s">
        <v>59</v>
      </c>
      <c r="O17" t="s">
        <v>60</v>
      </c>
      <c r="P17">
        <v>0</v>
      </c>
      <c r="Q17">
        <v>9.25</v>
      </c>
      <c r="R17">
        <v>0.66</v>
      </c>
      <c r="S17">
        <v>0.02</v>
      </c>
      <c r="T17">
        <v>5.26</v>
      </c>
      <c r="U17">
        <v>35.19</v>
      </c>
    </row>
    <row r="18" spans="1:21" x14ac:dyDescent="0.25">
      <c r="A18" s="1">
        <v>45855</v>
      </c>
      <c r="B18" t="s">
        <v>58</v>
      </c>
      <c r="C18" t="s">
        <v>22</v>
      </c>
      <c r="D18" t="s">
        <v>28</v>
      </c>
      <c r="E18">
        <v>2</v>
      </c>
      <c r="F18" t="s">
        <v>24</v>
      </c>
      <c r="G18">
        <v>9.85</v>
      </c>
      <c r="H18" t="s">
        <v>25</v>
      </c>
      <c r="I18">
        <v>1</v>
      </c>
      <c r="J18">
        <v>1</v>
      </c>
      <c r="K18" s="2">
        <v>24625</v>
      </c>
      <c r="L18">
        <v>20</v>
      </c>
      <c r="M18">
        <v>27.77</v>
      </c>
      <c r="N18" t="s">
        <v>61</v>
      </c>
      <c r="O18" t="s">
        <v>60</v>
      </c>
      <c r="P18">
        <v>12</v>
      </c>
      <c r="Q18">
        <v>10.29</v>
      </c>
      <c r="R18">
        <v>0</v>
      </c>
      <c r="S18">
        <v>0.02</v>
      </c>
      <c r="T18">
        <v>5.46</v>
      </c>
      <c r="U18">
        <v>47.77</v>
      </c>
    </row>
    <row r="19" spans="1:21" x14ac:dyDescent="0.25">
      <c r="A19" s="1">
        <v>45807</v>
      </c>
      <c r="B19" t="s">
        <v>62</v>
      </c>
      <c r="C19" t="s">
        <v>22</v>
      </c>
      <c r="D19" t="s">
        <v>23</v>
      </c>
      <c r="E19">
        <v>1</v>
      </c>
      <c r="F19" t="s">
        <v>24</v>
      </c>
      <c r="G19">
        <v>18</v>
      </c>
      <c r="H19" t="s">
        <v>25</v>
      </c>
      <c r="I19">
        <v>1</v>
      </c>
      <c r="J19">
        <v>1</v>
      </c>
      <c r="K19" s="2">
        <v>22500</v>
      </c>
      <c r="L19">
        <v>20</v>
      </c>
      <c r="M19">
        <v>14.73</v>
      </c>
      <c r="N19" t="s">
        <v>63</v>
      </c>
      <c r="O19" t="s">
        <v>64</v>
      </c>
      <c r="P19">
        <v>0</v>
      </c>
      <c r="Q19">
        <v>9.41</v>
      </c>
      <c r="R19">
        <v>0</v>
      </c>
      <c r="S19">
        <v>0.02</v>
      </c>
      <c r="T19">
        <v>5.3</v>
      </c>
      <c r="U19">
        <v>34.729999999999997</v>
      </c>
    </row>
    <row r="20" spans="1:21" x14ac:dyDescent="0.25">
      <c r="A20" s="1">
        <v>45807</v>
      </c>
      <c r="B20" t="s">
        <v>62</v>
      </c>
      <c r="C20" t="s">
        <v>22</v>
      </c>
      <c r="D20" t="s">
        <v>23</v>
      </c>
      <c r="E20">
        <v>1</v>
      </c>
      <c r="F20" t="s">
        <v>24</v>
      </c>
      <c r="G20">
        <v>18.100000000000001</v>
      </c>
      <c r="H20" t="s">
        <v>25</v>
      </c>
      <c r="I20">
        <v>1</v>
      </c>
      <c r="J20">
        <v>1</v>
      </c>
      <c r="K20" s="2">
        <v>22625</v>
      </c>
      <c r="L20">
        <v>20</v>
      </c>
      <c r="M20">
        <v>16.13</v>
      </c>
      <c r="N20" t="s">
        <v>65</v>
      </c>
      <c r="O20" t="s">
        <v>64</v>
      </c>
      <c r="P20">
        <v>0</v>
      </c>
      <c r="Q20">
        <v>9.4600000000000009</v>
      </c>
      <c r="R20">
        <v>1.35</v>
      </c>
      <c r="S20">
        <v>0.02</v>
      </c>
      <c r="T20">
        <v>5.3</v>
      </c>
      <c r="U20">
        <v>36.130000000000003</v>
      </c>
    </row>
    <row r="21" spans="1:21" x14ac:dyDescent="0.25">
      <c r="A21" s="1">
        <v>45807</v>
      </c>
      <c r="B21" t="s">
        <v>62</v>
      </c>
      <c r="C21" t="s">
        <v>22</v>
      </c>
      <c r="D21" t="s">
        <v>28</v>
      </c>
      <c r="E21">
        <v>1</v>
      </c>
      <c r="F21" t="s">
        <v>24</v>
      </c>
      <c r="G21">
        <v>15</v>
      </c>
      <c r="H21" t="s">
        <v>25</v>
      </c>
      <c r="I21">
        <v>1</v>
      </c>
      <c r="J21">
        <v>1</v>
      </c>
      <c r="K21" s="2">
        <v>18750</v>
      </c>
      <c r="L21">
        <v>20</v>
      </c>
      <c r="M21">
        <v>22.47</v>
      </c>
      <c r="N21" t="s">
        <v>66</v>
      </c>
      <c r="O21" t="s">
        <v>64</v>
      </c>
      <c r="P21">
        <v>9.59</v>
      </c>
      <c r="Q21">
        <v>7.84</v>
      </c>
      <c r="R21">
        <v>0</v>
      </c>
      <c r="S21">
        <v>0.02</v>
      </c>
      <c r="T21">
        <v>5.0199999999999996</v>
      </c>
      <c r="U21">
        <v>42.47</v>
      </c>
    </row>
    <row r="22" spans="1:21" x14ac:dyDescent="0.25">
      <c r="A22" s="1">
        <v>45807</v>
      </c>
      <c r="B22" t="s">
        <v>62</v>
      </c>
      <c r="C22" t="s">
        <v>22</v>
      </c>
      <c r="D22" t="s">
        <v>28</v>
      </c>
      <c r="E22">
        <v>1</v>
      </c>
      <c r="F22" t="s">
        <v>24</v>
      </c>
      <c r="G22">
        <v>18.25</v>
      </c>
      <c r="H22" t="s">
        <v>25</v>
      </c>
      <c r="I22">
        <v>1</v>
      </c>
      <c r="J22">
        <v>1</v>
      </c>
      <c r="K22" s="2">
        <v>22812.5</v>
      </c>
      <c r="L22">
        <v>20</v>
      </c>
      <c r="M22">
        <v>26.29</v>
      </c>
      <c r="N22" t="s">
        <v>67</v>
      </c>
      <c r="O22" t="s">
        <v>64</v>
      </c>
      <c r="P22">
        <v>11.41</v>
      </c>
      <c r="Q22">
        <v>9.5399999999999991</v>
      </c>
      <c r="R22">
        <v>0</v>
      </c>
      <c r="S22">
        <v>0.02</v>
      </c>
      <c r="T22">
        <v>5.32</v>
      </c>
      <c r="U22">
        <v>46.29</v>
      </c>
    </row>
    <row r="23" spans="1:21" x14ac:dyDescent="0.25">
      <c r="A23" s="1">
        <v>45792</v>
      </c>
      <c r="B23" t="s">
        <v>68</v>
      </c>
      <c r="C23" t="s">
        <v>22</v>
      </c>
      <c r="D23" t="s">
        <v>23</v>
      </c>
      <c r="E23">
        <v>1</v>
      </c>
      <c r="F23" t="s">
        <v>24</v>
      </c>
      <c r="G23">
        <v>7.1</v>
      </c>
      <c r="H23" t="s">
        <v>25</v>
      </c>
      <c r="I23">
        <v>1</v>
      </c>
      <c r="J23">
        <v>1</v>
      </c>
      <c r="K23" s="2">
        <v>8875</v>
      </c>
      <c r="L23">
        <v>20</v>
      </c>
      <c r="M23">
        <v>8.25</v>
      </c>
      <c r="N23" t="s">
        <v>69</v>
      </c>
      <c r="O23" t="s">
        <v>70</v>
      </c>
      <c r="P23">
        <v>0</v>
      </c>
      <c r="Q23">
        <v>3.71</v>
      </c>
      <c r="R23">
        <v>0.27</v>
      </c>
      <c r="S23">
        <v>0.01</v>
      </c>
      <c r="T23">
        <v>4.26</v>
      </c>
      <c r="U23">
        <v>28.25</v>
      </c>
    </row>
    <row r="24" spans="1:21" x14ac:dyDescent="0.25">
      <c r="A24" s="1">
        <v>45792</v>
      </c>
      <c r="B24" t="s">
        <v>68</v>
      </c>
      <c r="C24" t="s">
        <v>22</v>
      </c>
      <c r="D24" t="s">
        <v>28</v>
      </c>
      <c r="E24">
        <v>1</v>
      </c>
      <c r="F24" t="s">
        <v>24</v>
      </c>
      <c r="G24">
        <v>8.25</v>
      </c>
      <c r="H24" t="s">
        <v>25</v>
      </c>
      <c r="I24">
        <v>1</v>
      </c>
      <c r="J24">
        <v>1</v>
      </c>
      <c r="K24" s="2">
        <v>10312.5</v>
      </c>
      <c r="L24">
        <v>20</v>
      </c>
      <c r="M24">
        <v>13.7</v>
      </c>
      <c r="N24" t="s">
        <v>71</v>
      </c>
      <c r="O24" t="s">
        <v>70</v>
      </c>
      <c r="P24">
        <v>5</v>
      </c>
      <c r="Q24">
        <v>4.3099999999999996</v>
      </c>
      <c r="R24">
        <v>0</v>
      </c>
      <c r="S24">
        <v>0.01</v>
      </c>
      <c r="T24">
        <v>4.38</v>
      </c>
      <c r="U24">
        <v>33.700000000000003</v>
      </c>
    </row>
    <row r="25" spans="1:21" x14ac:dyDescent="0.25">
      <c r="A25" s="1">
        <v>45786</v>
      </c>
      <c r="B25" t="s">
        <v>72</v>
      </c>
      <c r="C25" t="s">
        <v>22</v>
      </c>
      <c r="D25" t="s">
        <v>28</v>
      </c>
      <c r="E25">
        <v>2</v>
      </c>
      <c r="F25" t="s">
        <v>24</v>
      </c>
      <c r="G25">
        <v>11.35</v>
      </c>
      <c r="H25" t="s">
        <v>25</v>
      </c>
      <c r="I25">
        <v>1</v>
      </c>
      <c r="J25">
        <v>1</v>
      </c>
      <c r="K25" s="2">
        <v>28375</v>
      </c>
      <c r="L25">
        <v>20</v>
      </c>
      <c r="M25">
        <v>31.63</v>
      </c>
      <c r="N25" t="s">
        <v>73</v>
      </c>
      <c r="O25" t="s">
        <v>74</v>
      </c>
      <c r="P25">
        <v>14</v>
      </c>
      <c r="Q25">
        <v>11.86</v>
      </c>
      <c r="R25">
        <v>0</v>
      </c>
      <c r="S25">
        <v>0.03</v>
      </c>
      <c r="T25">
        <v>5.74</v>
      </c>
      <c r="U25">
        <v>51.63</v>
      </c>
    </row>
    <row r="26" spans="1:21" x14ac:dyDescent="0.25">
      <c r="A26" s="1">
        <v>45785</v>
      </c>
      <c r="B26" t="s">
        <v>75</v>
      </c>
      <c r="C26" t="s">
        <v>22</v>
      </c>
      <c r="D26" t="s">
        <v>28</v>
      </c>
      <c r="E26">
        <v>1</v>
      </c>
      <c r="F26" t="s">
        <v>24</v>
      </c>
      <c r="G26">
        <v>10.95</v>
      </c>
      <c r="H26" t="s">
        <v>25</v>
      </c>
      <c r="I26">
        <v>1</v>
      </c>
      <c r="J26">
        <v>1</v>
      </c>
      <c r="K26" s="2">
        <v>13687.5</v>
      </c>
      <c r="L26">
        <v>20</v>
      </c>
      <c r="M26">
        <v>17.21</v>
      </c>
      <c r="N26" t="s">
        <v>76</v>
      </c>
      <c r="O26" t="s">
        <v>77</v>
      </c>
      <c r="P26">
        <v>6.84</v>
      </c>
      <c r="Q26">
        <v>5.72</v>
      </c>
      <c r="R26">
        <v>0</v>
      </c>
      <c r="S26">
        <v>0.01</v>
      </c>
      <c r="T26">
        <v>4.6399999999999997</v>
      </c>
      <c r="U26">
        <v>37.21</v>
      </c>
    </row>
    <row r="27" spans="1:21" x14ac:dyDescent="0.25">
      <c r="A27" s="1">
        <v>45785</v>
      </c>
      <c r="B27" t="s">
        <v>75</v>
      </c>
      <c r="C27" t="s">
        <v>22</v>
      </c>
      <c r="D27" t="s">
        <v>23</v>
      </c>
      <c r="E27">
        <v>1</v>
      </c>
      <c r="F27" t="s">
        <v>24</v>
      </c>
      <c r="G27">
        <v>10.1</v>
      </c>
      <c r="H27" t="s">
        <v>25</v>
      </c>
      <c r="I27">
        <v>1</v>
      </c>
      <c r="J27">
        <v>1</v>
      </c>
      <c r="K27" s="2">
        <v>12625</v>
      </c>
      <c r="L27">
        <v>20</v>
      </c>
      <c r="M27">
        <v>9.85</v>
      </c>
      <c r="N27" t="s">
        <v>78</v>
      </c>
      <c r="O27" t="s">
        <v>77</v>
      </c>
      <c r="P27">
        <v>0</v>
      </c>
      <c r="Q27">
        <v>5.28</v>
      </c>
      <c r="R27">
        <v>0</v>
      </c>
      <c r="S27">
        <v>0.01</v>
      </c>
      <c r="T27">
        <v>4.5599999999999996</v>
      </c>
      <c r="U27">
        <v>29.85</v>
      </c>
    </row>
    <row r="28" spans="1:21" x14ac:dyDescent="0.25">
      <c r="A28" s="1">
        <v>45785</v>
      </c>
      <c r="B28" t="s">
        <v>75</v>
      </c>
      <c r="C28" t="s">
        <v>22</v>
      </c>
      <c r="D28" t="s">
        <v>23</v>
      </c>
      <c r="E28">
        <v>1</v>
      </c>
      <c r="F28" t="s">
        <v>24</v>
      </c>
      <c r="G28">
        <v>12</v>
      </c>
      <c r="H28" t="s">
        <v>25</v>
      </c>
      <c r="I28">
        <v>1</v>
      </c>
      <c r="J28">
        <v>1</v>
      </c>
      <c r="K28" s="2">
        <v>15000</v>
      </c>
      <c r="L28">
        <v>20</v>
      </c>
      <c r="M28">
        <v>11.86</v>
      </c>
      <c r="N28" t="s">
        <v>79</v>
      </c>
      <c r="O28" t="s">
        <v>77</v>
      </c>
      <c r="P28">
        <v>0</v>
      </c>
      <c r="Q28">
        <v>6.27</v>
      </c>
      <c r="R28">
        <v>0.83</v>
      </c>
      <c r="S28">
        <v>0.02</v>
      </c>
      <c r="T28">
        <v>4.74</v>
      </c>
      <c r="U28">
        <v>31.86</v>
      </c>
    </row>
    <row r="29" spans="1:21" x14ac:dyDescent="0.25">
      <c r="A29" s="1">
        <v>45785</v>
      </c>
      <c r="B29" t="s">
        <v>72</v>
      </c>
      <c r="C29" t="s">
        <v>22</v>
      </c>
      <c r="D29" t="s">
        <v>23</v>
      </c>
      <c r="E29">
        <v>1</v>
      </c>
      <c r="F29" t="s">
        <v>24</v>
      </c>
      <c r="G29">
        <v>11.7</v>
      </c>
      <c r="H29" t="s">
        <v>25</v>
      </c>
      <c r="I29">
        <v>1</v>
      </c>
      <c r="J29">
        <v>1</v>
      </c>
      <c r="K29" s="2">
        <v>14625</v>
      </c>
      <c r="L29">
        <v>20</v>
      </c>
      <c r="M29">
        <v>10.82</v>
      </c>
      <c r="N29" t="s">
        <v>80</v>
      </c>
      <c r="O29" t="s">
        <v>77</v>
      </c>
      <c r="P29">
        <v>0</v>
      </c>
      <c r="Q29">
        <v>6.11</v>
      </c>
      <c r="R29">
        <v>0</v>
      </c>
      <c r="S29">
        <v>0.01</v>
      </c>
      <c r="T29">
        <v>4.7</v>
      </c>
      <c r="U29">
        <v>30.82</v>
      </c>
    </row>
    <row r="30" spans="1:21" x14ac:dyDescent="0.25">
      <c r="A30" s="1">
        <v>45785</v>
      </c>
      <c r="B30" t="s">
        <v>72</v>
      </c>
      <c r="C30" t="s">
        <v>22</v>
      </c>
      <c r="D30" t="s">
        <v>23</v>
      </c>
      <c r="E30">
        <v>1</v>
      </c>
      <c r="F30" t="s">
        <v>24</v>
      </c>
      <c r="G30">
        <v>11.8</v>
      </c>
      <c r="H30" t="s">
        <v>25</v>
      </c>
      <c r="I30">
        <v>1</v>
      </c>
      <c r="J30">
        <v>1</v>
      </c>
      <c r="K30" s="2">
        <v>14750</v>
      </c>
      <c r="L30">
        <v>20</v>
      </c>
      <c r="M30">
        <v>11.78</v>
      </c>
      <c r="N30" t="s">
        <v>81</v>
      </c>
      <c r="O30" t="s">
        <v>77</v>
      </c>
      <c r="P30">
        <v>0</v>
      </c>
      <c r="Q30">
        <v>6.17</v>
      </c>
      <c r="R30">
        <v>0.88</v>
      </c>
      <c r="S30">
        <v>0.01</v>
      </c>
      <c r="T30">
        <v>4.72</v>
      </c>
      <c r="U30">
        <v>31.78</v>
      </c>
    </row>
    <row r="31" spans="1:21" x14ac:dyDescent="0.25">
      <c r="A31" s="1">
        <v>45785</v>
      </c>
      <c r="B31" t="s">
        <v>75</v>
      </c>
      <c r="C31" t="s">
        <v>22</v>
      </c>
      <c r="D31" t="s">
        <v>28</v>
      </c>
      <c r="E31">
        <v>1</v>
      </c>
      <c r="F31" t="s">
        <v>24</v>
      </c>
      <c r="G31">
        <v>11.8</v>
      </c>
      <c r="H31" t="s">
        <v>25</v>
      </c>
      <c r="I31">
        <v>1</v>
      </c>
      <c r="J31">
        <v>1</v>
      </c>
      <c r="K31" s="2">
        <v>14750</v>
      </c>
      <c r="L31">
        <v>20</v>
      </c>
      <c r="M31">
        <v>18.059999999999999</v>
      </c>
      <c r="N31" t="s">
        <v>82</v>
      </c>
      <c r="O31" t="s">
        <v>77</v>
      </c>
      <c r="P31">
        <v>7.16</v>
      </c>
      <c r="Q31">
        <v>6.17</v>
      </c>
      <c r="R31">
        <v>0</v>
      </c>
      <c r="S31">
        <v>0.01</v>
      </c>
      <c r="T31">
        <v>4.72</v>
      </c>
      <c r="U31">
        <v>38.06</v>
      </c>
    </row>
    <row r="32" spans="1:21" x14ac:dyDescent="0.25">
      <c r="A32" s="1">
        <v>45782</v>
      </c>
      <c r="B32" t="s">
        <v>83</v>
      </c>
      <c r="C32" t="s">
        <v>22</v>
      </c>
      <c r="D32" t="s">
        <v>23</v>
      </c>
      <c r="E32">
        <v>1</v>
      </c>
      <c r="F32" t="s">
        <v>24</v>
      </c>
      <c r="G32">
        <v>15.8</v>
      </c>
      <c r="H32" t="s">
        <v>25</v>
      </c>
      <c r="I32">
        <v>1</v>
      </c>
      <c r="J32">
        <v>1</v>
      </c>
      <c r="K32" s="2">
        <v>19750</v>
      </c>
      <c r="L32">
        <v>20</v>
      </c>
      <c r="M32">
        <v>13.97</v>
      </c>
      <c r="N32" t="s">
        <v>84</v>
      </c>
      <c r="O32" t="s">
        <v>85</v>
      </c>
      <c r="P32">
        <v>0</v>
      </c>
      <c r="Q32">
        <v>8.26</v>
      </c>
      <c r="R32">
        <v>0.59</v>
      </c>
      <c r="S32">
        <v>0.02</v>
      </c>
      <c r="T32">
        <v>5.0999999999999996</v>
      </c>
      <c r="U32">
        <v>33.97</v>
      </c>
    </row>
    <row r="33" spans="1:21" x14ac:dyDescent="0.25">
      <c r="A33" s="1">
        <v>45782</v>
      </c>
      <c r="B33" t="s">
        <v>83</v>
      </c>
      <c r="C33" t="s">
        <v>22</v>
      </c>
      <c r="D33" t="s">
        <v>28</v>
      </c>
      <c r="E33">
        <v>1</v>
      </c>
      <c r="F33" t="s">
        <v>24</v>
      </c>
      <c r="G33">
        <v>16.45</v>
      </c>
      <c r="H33" t="s">
        <v>25</v>
      </c>
      <c r="I33">
        <v>1</v>
      </c>
      <c r="J33">
        <v>1</v>
      </c>
      <c r="K33" s="2">
        <v>20562.5</v>
      </c>
      <c r="L33">
        <v>20</v>
      </c>
      <c r="M33">
        <v>23.78</v>
      </c>
      <c r="N33" t="s">
        <v>86</v>
      </c>
      <c r="O33" t="s">
        <v>85</v>
      </c>
      <c r="P33">
        <v>10</v>
      </c>
      <c r="Q33">
        <v>8.6</v>
      </c>
      <c r="R33">
        <v>0</v>
      </c>
      <c r="S33">
        <v>0.02</v>
      </c>
      <c r="T33">
        <v>5.16</v>
      </c>
      <c r="U33">
        <v>43.78</v>
      </c>
    </row>
    <row r="34" spans="1:21" x14ac:dyDescent="0.25">
      <c r="A34" s="1">
        <v>45778</v>
      </c>
      <c r="B34" t="s">
        <v>87</v>
      </c>
      <c r="C34" t="s">
        <v>22</v>
      </c>
      <c r="D34" t="s">
        <v>23</v>
      </c>
      <c r="E34">
        <v>1</v>
      </c>
      <c r="F34" t="s">
        <v>24</v>
      </c>
      <c r="G34">
        <v>19.149999999999999</v>
      </c>
      <c r="H34" t="s">
        <v>25</v>
      </c>
      <c r="I34">
        <v>1</v>
      </c>
      <c r="J34">
        <v>1</v>
      </c>
      <c r="K34" s="2">
        <v>23937.5</v>
      </c>
      <c r="L34">
        <v>20</v>
      </c>
      <c r="M34">
        <v>16.8</v>
      </c>
      <c r="N34" t="s">
        <v>88</v>
      </c>
      <c r="O34" t="s">
        <v>89</v>
      </c>
      <c r="P34">
        <v>0</v>
      </c>
      <c r="Q34">
        <v>10.01</v>
      </c>
      <c r="R34">
        <v>1.37</v>
      </c>
      <c r="S34">
        <v>0.02</v>
      </c>
      <c r="T34">
        <v>5.4</v>
      </c>
      <c r="U34">
        <v>36.799999999999997</v>
      </c>
    </row>
    <row r="35" spans="1:21" x14ac:dyDescent="0.25">
      <c r="A35" s="1">
        <v>45778</v>
      </c>
      <c r="B35" t="s">
        <v>87</v>
      </c>
      <c r="C35" t="s">
        <v>22</v>
      </c>
      <c r="D35" t="s">
        <v>28</v>
      </c>
      <c r="E35">
        <v>1</v>
      </c>
      <c r="F35" t="s">
        <v>24</v>
      </c>
      <c r="G35">
        <v>18.05</v>
      </c>
      <c r="H35" t="s">
        <v>25</v>
      </c>
      <c r="I35">
        <v>1</v>
      </c>
      <c r="J35">
        <v>1</v>
      </c>
      <c r="K35" s="2">
        <v>22562.5</v>
      </c>
      <c r="L35">
        <v>20</v>
      </c>
      <c r="M35">
        <v>26.03</v>
      </c>
      <c r="N35" t="s">
        <v>90</v>
      </c>
      <c r="O35" t="s">
        <v>89</v>
      </c>
      <c r="P35">
        <v>11.28</v>
      </c>
      <c r="Q35">
        <v>9.43</v>
      </c>
      <c r="R35">
        <v>0</v>
      </c>
      <c r="S35">
        <v>0.02</v>
      </c>
      <c r="T35">
        <v>5.3</v>
      </c>
      <c r="U35">
        <v>46.03</v>
      </c>
    </row>
    <row r="36" spans="1:21" x14ac:dyDescent="0.25">
      <c r="A36" s="1">
        <v>45778</v>
      </c>
      <c r="B36" t="s">
        <v>87</v>
      </c>
      <c r="C36" t="s">
        <v>22</v>
      </c>
      <c r="D36" t="s">
        <v>23</v>
      </c>
      <c r="E36">
        <v>1</v>
      </c>
      <c r="F36" t="s">
        <v>24</v>
      </c>
      <c r="G36">
        <v>17.3</v>
      </c>
      <c r="H36" t="s">
        <v>25</v>
      </c>
      <c r="I36">
        <v>1</v>
      </c>
      <c r="J36">
        <v>1</v>
      </c>
      <c r="K36" s="2">
        <v>21625</v>
      </c>
      <c r="L36">
        <v>20</v>
      </c>
      <c r="M36">
        <v>14.3</v>
      </c>
      <c r="N36" t="s">
        <v>91</v>
      </c>
      <c r="O36" t="s">
        <v>89</v>
      </c>
      <c r="P36">
        <v>0</v>
      </c>
      <c r="Q36">
        <v>9.0399999999999991</v>
      </c>
      <c r="R36">
        <v>0</v>
      </c>
      <c r="S36">
        <v>0.02</v>
      </c>
      <c r="T36">
        <v>5.24</v>
      </c>
      <c r="U36">
        <v>34.299999999999997</v>
      </c>
    </row>
    <row r="37" spans="1:21" x14ac:dyDescent="0.25">
      <c r="A37" s="1">
        <v>45778</v>
      </c>
      <c r="B37" t="s">
        <v>87</v>
      </c>
      <c r="C37" t="s">
        <v>22</v>
      </c>
      <c r="D37" t="s">
        <v>28</v>
      </c>
      <c r="E37">
        <v>1</v>
      </c>
      <c r="F37" t="s">
        <v>24</v>
      </c>
      <c r="G37">
        <v>18.45</v>
      </c>
      <c r="H37" t="s">
        <v>25</v>
      </c>
      <c r="I37">
        <v>1</v>
      </c>
      <c r="J37">
        <v>1</v>
      </c>
      <c r="K37" s="2">
        <v>23062.5</v>
      </c>
      <c r="L37">
        <v>20</v>
      </c>
      <c r="M37">
        <v>26.72</v>
      </c>
      <c r="N37" t="s">
        <v>92</v>
      </c>
      <c r="O37" t="s">
        <v>89</v>
      </c>
      <c r="P37">
        <v>11.72</v>
      </c>
      <c r="Q37">
        <v>9.64</v>
      </c>
      <c r="R37">
        <v>0</v>
      </c>
      <c r="S37">
        <v>0.02</v>
      </c>
      <c r="T37">
        <v>5.34</v>
      </c>
      <c r="U37">
        <v>46.72</v>
      </c>
    </row>
    <row r="38" spans="1:21" x14ac:dyDescent="0.25">
      <c r="A38" s="1">
        <v>45755</v>
      </c>
      <c r="B38" t="s">
        <v>93</v>
      </c>
      <c r="C38" t="s">
        <v>22</v>
      </c>
      <c r="D38" t="s">
        <v>28</v>
      </c>
      <c r="E38">
        <v>1</v>
      </c>
      <c r="F38" t="s">
        <v>24</v>
      </c>
      <c r="G38">
        <v>6.6</v>
      </c>
      <c r="H38" t="s">
        <v>25</v>
      </c>
      <c r="I38">
        <v>1</v>
      </c>
      <c r="J38">
        <v>1</v>
      </c>
      <c r="K38" s="2">
        <v>8250</v>
      </c>
      <c r="L38">
        <v>20</v>
      </c>
      <c r="M38">
        <v>11.81</v>
      </c>
      <c r="N38" t="s">
        <v>94</v>
      </c>
      <c r="O38" t="s">
        <v>95</v>
      </c>
      <c r="P38">
        <v>4.13</v>
      </c>
      <c r="Q38">
        <v>3.45</v>
      </c>
      <c r="R38">
        <v>0</v>
      </c>
      <c r="S38">
        <v>0.01</v>
      </c>
      <c r="T38">
        <v>4.22</v>
      </c>
      <c r="U38">
        <v>31.81</v>
      </c>
    </row>
    <row r="39" spans="1:21" x14ac:dyDescent="0.25">
      <c r="A39" s="1">
        <v>45755</v>
      </c>
      <c r="B39" t="s">
        <v>96</v>
      </c>
      <c r="C39" t="s">
        <v>22</v>
      </c>
      <c r="D39" t="s">
        <v>23</v>
      </c>
      <c r="E39">
        <v>1</v>
      </c>
      <c r="F39" t="s">
        <v>24</v>
      </c>
      <c r="G39">
        <v>6.3</v>
      </c>
      <c r="H39" t="s">
        <v>25</v>
      </c>
      <c r="I39">
        <v>1</v>
      </c>
      <c r="J39">
        <v>1</v>
      </c>
      <c r="K39" s="2">
        <v>7875</v>
      </c>
      <c r="L39">
        <v>20</v>
      </c>
      <c r="M39">
        <v>7.5</v>
      </c>
      <c r="N39" t="s">
        <v>97</v>
      </c>
      <c r="O39" t="s">
        <v>95</v>
      </c>
      <c r="P39">
        <v>0</v>
      </c>
      <c r="Q39">
        <v>3.29</v>
      </c>
      <c r="R39">
        <v>0</v>
      </c>
      <c r="S39">
        <v>0.01</v>
      </c>
      <c r="T39">
        <v>4.2</v>
      </c>
      <c r="U39">
        <v>27.5</v>
      </c>
    </row>
    <row r="40" spans="1:21" x14ac:dyDescent="0.25">
      <c r="A40" s="1">
        <v>45755</v>
      </c>
      <c r="B40" t="s">
        <v>96</v>
      </c>
      <c r="C40" t="s">
        <v>22</v>
      </c>
      <c r="D40" t="s">
        <v>23</v>
      </c>
      <c r="E40">
        <v>1</v>
      </c>
      <c r="F40" t="s">
        <v>24</v>
      </c>
      <c r="G40">
        <v>4.75</v>
      </c>
      <c r="H40" t="s">
        <v>25</v>
      </c>
      <c r="I40">
        <v>1</v>
      </c>
      <c r="J40">
        <v>1</v>
      </c>
      <c r="K40" s="2">
        <v>5937.5</v>
      </c>
      <c r="L40">
        <v>20</v>
      </c>
      <c r="M40">
        <v>7.19</v>
      </c>
      <c r="N40" t="s">
        <v>98</v>
      </c>
      <c r="O40" t="s">
        <v>95</v>
      </c>
      <c r="P40">
        <v>0</v>
      </c>
      <c r="Q40">
        <v>2.48</v>
      </c>
      <c r="R40">
        <v>0.66</v>
      </c>
      <c r="S40">
        <v>0.01</v>
      </c>
      <c r="T40">
        <v>4.04</v>
      </c>
      <c r="U40">
        <v>27.19</v>
      </c>
    </row>
    <row r="41" spans="1:21" x14ac:dyDescent="0.25">
      <c r="A41" s="1">
        <v>45755</v>
      </c>
      <c r="B41" t="s">
        <v>96</v>
      </c>
      <c r="C41" t="s">
        <v>22</v>
      </c>
      <c r="D41" t="s">
        <v>28</v>
      </c>
      <c r="E41">
        <v>2</v>
      </c>
      <c r="F41" t="s">
        <v>24</v>
      </c>
      <c r="G41">
        <v>5.9</v>
      </c>
      <c r="H41" t="s">
        <v>25</v>
      </c>
      <c r="I41">
        <v>1</v>
      </c>
      <c r="J41">
        <v>1</v>
      </c>
      <c r="K41" s="2">
        <v>14750</v>
      </c>
      <c r="L41">
        <v>20</v>
      </c>
      <c r="M41">
        <v>18.53</v>
      </c>
      <c r="N41" t="s">
        <v>99</v>
      </c>
      <c r="O41" t="s">
        <v>95</v>
      </c>
      <c r="P41">
        <v>7.63</v>
      </c>
      <c r="Q41">
        <v>6.16</v>
      </c>
      <c r="R41">
        <v>0</v>
      </c>
      <c r="S41">
        <v>0.02</v>
      </c>
      <c r="T41">
        <v>4.72</v>
      </c>
      <c r="U41">
        <v>38.53</v>
      </c>
    </row>
    <row r="42" spans="1:21" x14ac:dyDescent="0.25">
      <c r="A42" s="1">
        <v>45755</v>
      </c>
      <c r="B42" t="s">
        <v>96</v>
      </c>
      <c r="C42" t="s">
        <v>22</v>
      </c>
      <c r="D42" t="s">
        <v>23</v>
      </c>
      <c r="E42">
        <v>1</v>
      </c>
      <c r="F42" t="s">
        <v>24</v>
      </c>
      <c r="G42">
        <v>6.55</v>
      </c>
      <c r="H42" t="s">
        <v>25</v>
      </c>
      <c r="I42">
        <v>1</v>
      </c>
      <c r="J42">
        <v>1</v>
      </c>
      <c r="K42" s="2">
        <v>8187.5</v>
      </c>
      <c r="L42">
        <v>20</v>
      </c>
      <c r="M42">
        <v>7.65</v>
      </c>
      <c r="N42" t="s">
        <v>100</v>
      </c>
      <c r="O42" t="s">
        <v>95</v>
      </c>
      <c r="P42">
        <v>0</v>
      </c>
      <c r="Q42">
        <v>3.42</v>
      </c>
      <c r="R42">
        <v>0</v>
      </c>
      <c r="S42">
        <v>0.01</v>
      </c>
      <c r="T42">
        <v>4.22</v>
      </c>
      <c r="U42">
        <v>27.65</v>
      </c>
    </row>
    <row r="43" spans="1:21" x14ac:dyDescent="0.25">
      <c r="A43" s="1">
        <v>45755</v>
      </c>
      <c r="B43" t="s">
        <v>96</v>
      </c>
      <c r="C43" t="s">
        <v>22</v>
      </c>
      <c r="D43" t="s">
        <v>28</v>
      </c>
      <c r="E43">
        <v>1</v>
      </c>
      <c r="F43" t="s">
        <v>24</v>
      </c>
      <c r="G43">
        <v>6.8</v>
      </c>
      <c r="H43" t="s">
        <v>25</v>
      </c>
      <c r="I43">
        <v>1</v>
      </c>
      <c r="J43">
        <v>1</v>
      </c>
      <c r="K43" s="2">
        <v>8500</v>
      </c>
      <c r="L43">
        <v>20</v>
      </c>
      <c r="M43">
        <v>12.05</v>
      </c>
      <c r="N43" t="s">
        <v>101</v>
      </c>
      <c r="O43" t="s">
        <v>95</v>
      </c>
      <c r="P43">
        <v>4.25</v>
      </c>
      <c r="Q43">
        <v>3.55</v>
      </c>
      <c r="R43">
        <v>0</v>
      </c>
      <c r="S43">
        <v>0.01</v>
      </c>
      <c r="T43">
        <v>4.24</v>
      </c>
      <c r="U43">
        <v>32.049999999999997</v>
      </c>
    </row>
    <row r="44" spans="1:21" x14ac:dyDescent="0.25">
      <c r="A44" s="1">
        <v>45754</v>
      </c>
      <c r="B44" t="s">
        <v>102</v>
      </c>
      <c r="C44" t="s">
        <v>22</v>
      </c>
      <c r="D44" t="s">
        <v>23</v>
      </c>
      <c r="E44">
        <v>1</v>
      </c>
      <c r="F44" t="s">
        <v>24</v>
      </c>
      <c r="G44">
        <v>12.45</v>
      </c>
      <c r="H44" t="s">
        <v>25</v>
      </c>
      <c r="I44">
        <v>1</v>
      </c>
      <c r="J44">
        <v>1</v>
      </c>
      <c r="K44" s="2">
        <v>15562.5</v>
      </c>
      <c r="L44">
        <v>20</v>
      </c>
      <c r="M44">
        <v>11.78</v>
      </c>
      <c r="N44" t="s">
        <v>103</v>
      </c>
      <c r="O44" t="s">
        <v>104</v>
      </c>
      <c r="P44">
        <v>0</v>
      </c>
      <c r="Q44">
        <v>6.51</v>
      </c>
      <c r="R44">
        <v>0.47</v>
      </c>
      <c r="S44">
        <v>0.02</v>
      </c>
      <c r="T44">
        <v>4.78</v>
      </c>
      <c r="U44">
        <v>31.78</v>
      </c>
    </row>
    <row r="45" spans="1:21" x14ac:dyDescent="0.25">
      <c r="A45" s="1">
        <v>45754</v>
      </c>
      <c r="B45" t="s">
        <v>102</v>
      </c>
      <c r="C45" t="s">
        <v>22</v>
      </c>
      <c r="D45" t="s">
        <v>28</v>
      </c>
      <c r="E45">
        <v>1</v>
      </c>
      <c r="F45" t="s">
        <v>24</v>
      </c>
      <c r="G45">
        <v>13.8</v>
      </c>
      <c r="H45" t="s">
        <v>25</v>
      </c>
      <c r="I45">
        <v>1</v>
      </c>
      <c r="J45">
        <v>1</v>
      </c>
      <c r="K45" s="2">
        <v>17250</v>
      </c>
      <c r="L45">
        <v>20</v>
      </c>
      <c r="M45">
        <v>21.13</v>
      </c>
      <c r="N45" t="s">
        <v>105</v>
      </c>
      <c r="O45" t="s">
        <v>104</v>
      </c>
      <c r="P45">
        <v>9</v>
      </c>
      <c r="Q45">
        <v>7.21</v>
      </c>
      <c r="R45">
        <v>0</v>
      </c>
      <c r="S45">
        <v>0.02</v>
      </c>
      <c r="T45">
        <v>4.9000000000000004</v>
      </c>
      <c r="U45">
        <v>41.13</v>
      </c>
    </row>
    <row r="46" spans="1:21" x14ac:dyDescent="0.25">
      <c r="A46" s="1">
        <v>45754</v>
      </c>
      <c r="B46" t="s">
        <v>93</v>
      </c>
      <c r="C46" t="s">
        <v>22</v>
      </c>
      <c r="D46" t="s">
        <v>23</v>
      </c>
      <c r="E46">
        <v>1</v>
      </c>
      <c r="F46" t="s">
        <v>24</v>
      </c>
      <c r="G46">
        <v>11.8</v>
      </c>
      <c r="H46" t="s">
        <v>25</v>
      </c>
      <c r="I46">
        <v>1</v>
      </c>
      <c r="J46">
        <v>1</v>
      </c>
      <c r="K46" s="2">
        <v>14750</v>
      </c>
      <c r="L46">
        <v>20</v>
      </c>
      <c r="M46">
        <v>11.34</v>
      </c>
      <c r="N46" t="s">
        <v>106</v>
      </c>
      <c r="O46" t="s">
        <v>104</v>
      </c>
      <c r="P46">
        <v>0</v>
      </c>
      <c r="Q46">
        <v>6.17</v>
      </c>
      <c r="R46">
        <v>0.44</v>
      </c>
      <c r="S46">
        <v>0.01</v>
      </c>
      <c r="T46">
        <v>4.72</v>
      </c>
      <c r="U46">
        <v>31.34</v>
      </c>
    </row>
    <row r="47" spans="1:21" x14ac:dyDescent="0.25">
      <c r="A47" s="1">
        <v>45750</v>
      </c>
      <c r="B47" t="s">
        <v>107</v>
      </c>
      <c r="C47" t="s">
        <v>22</v>
      </c>
      <c r="D47" t="s">
        <v>23</v>
      </c>
      <c r="E47">
        <v>1</v>
      </c>
      <c r="F47" t="s">
        <v>24</v>
      </c>
      <c r="G47">
        <v>16.8</v>
      </c>
      <c r="H47" t="s">
        <v>25</v>
      </c>
      <c r="I47">
        <v>1</v>
      </c>
      <c r="J47">
        <v>1</v>
      </c>
      <c r="K47" s="2">
        <v>21000</v>
      </c>
      <c r="L47">
        <v>20</v>
      </c>
      <c r="M47">
        <v>13.98</v>
      </c>
      <c r="N47" t="s">
        <v>108</v>
      </c>
      <c r="O47" t="s">
        <v>109</v>
      </c>
      <c r="P47">
        <v>0</v>
      </c>
      <c r="Q47">
        <v>8.7799999999999994</v>
      </c>
      <c r="R47">
        <v>0</v>
      </c>
      <c r="S47">
        <v>0.02</v>
      </c>
      <c r="T47">
        <v>5.18</v>
      </c>
      <c r="U47">
        <v>33.979999999999997</v>
      </c>
    </row>
    <row r="48" spans="1:21" x14ac:dyDescent="0.25">
      <c r="A48" s="1">
        <v>45750</v>
      </c>
      <c r="B48" t="s">
        <v>107</v>
      </c>
      <c r="C48" t="s">
        <v>22</v>
      </c>
      <c r="D48" t="s">
        <v>23</v>
      </c>
      <c r="E48">
        <v>1</v>
      </c>
      <c r="F48" t="s">
        <v>24</v>
      </c>
      <c r="G48">
        <v>19.100000000000001</v>
      </c>
      <c r="H48" t="s">
        <v>25</v>
      </c>
      <c r="I48">
        <v>1</v>
      </c>
      <c r="J48">
        <v>1</v>
      </c>
      <c r="K48" s="2">
        <v>23875</v>
      </c>
      <c r="L48">
        <v>20</v>
      </c>
      <c r="M48">
        <v>16.75</v>
      </c>
      <c r="N48" t="s">
        <v>110</v>
      </c>
      <c r="O48" t="s">
        <v>109</v>
      </c>
      <c r="P48">
        <v>0</v>
      </c>
      <c r="Q48">
        <v>9.98</v>
      </c>
      <c r="R48">
        <v>1.35</v>
      </c>
      <c r="S48">
        <v>0.02</v>
      </c>
      <c r="T48">
        <v>5.4</v>
      </c>
      <c r="U48">
        <v>36.75</v>
      </c>
    </row>
    <row r="49" spans="1:21" x14ac:dyDescent="0.25">
      <c r="A49" s="1">
        <v>45750</v>
      </c>
      <c r="B49" t="s">
        <v>107</v>
      </c>
      <c r="C49" t="s">
        <v>22</v>
      </c>
      <c r="D49" t="s">
        <v>28</v>
      </c>
      <c r="E49">
        <v>1</v>
      </c>
      <c r="F49" t="s">
        <v>24</v>
      </c>
      <c r="G49">
        <v>15.4</v>
      </c>
      <c r="H49" t="s">
        <v>25</v>
      </c>
      <c r="I49">
        <v>1</v>
      </c>
      <c r="J49">
        <v>1</v>
      </c>
      <c r="K49" s="2">
        <v>19250</v>
      </c>
      <c r="L49">
        <v>20</v>
      </c>
      <c r="M49">
        <v>22.57</v>
      </c>
      <c r="N49" t="s">
        <v>111</v>
      </c>
      <c r="O49" t="s">
        <v>109</v>
      </c>
      <c r="P49">
        <v>9.44</v>
      </c>
      <c r="Q49">
        <v>8.0500000000000007</v>
      </c>
      <c r="R49">
        <v>0</v>
      </c>
      <c r="S49">
        <v>0.02</v>
      </c>
      <c r="T49">
        <v>5.0599999999999996</v>
      </c>
      <c r="U49">
        <v>42.57</v>
      </c>
    </row>
    <row r="50" spans="1:21" x14ac:dyDescent="0.25">
      <c r="A50" s="1">
        <v>45750</v>
      </c>
      <c r="B50" t="s">
        <v>107</v>
      </c>
      <c r="C50" t="s">
        <v>22</v>
      </c>
      <c r="D50" t="s">
        <v>28</v>
      </c>
      <c r="E50">
        <v>1</v>
      </c>
      <c r="F50" t="s">
        <v>24</v>
      </c>
      <c r="G50">
        <v>15.3</v>
      </c>
      <c r="H50" t="s">
        <v>25</v>
      </c>
      <c r="I50">
        <v>1</v>
      </c>
      <c r="J50">
        <v>1</v>
      </c>
      <c r="K50" s="2">
        <v>19125</v>
      </c>
      <c r="L50">
        <v>20</v>
      </c>
      <c r="M50">
        <v>22.61</v>
      </c>
      <c r="N50" t="s">
        <v>112</v>
      </c>
      <c r="O50" t="s">
        <v>109</v>
      </c>
      <c r="P50">
        <v>9.56</v>
      </c>
      <c r="Q50">
        <v>7.99</v>
      </c>
      <c r="R50">
        <v>0</v>
      </c>
      <c r="S50">
        <v>0.02</v>
      </c>
      <c r="T50">
        <v>5.04</v>
      </c>
      <c r="U50">
        <v>42.61</v>
      </c>
    </row>
    <row r="51" spans="1:21" x14ac:dyDescent="0.25">
      <c r="A51" s="1">
        <v>45748</v>
      </c>
      <c r="B51" t="s">
        <v>113</v>
      </c>
      <c r="C51" t="s">
        <v>22</v>
      </c>
      <c r="D51" t="s">
        <v>23</v>
      </c>
      <c r="E51">
        <v>2</v>
      </c>
      <c r="F51" t="s">
        <v>24</v>
      </c>
      <c r="G51">
        <v>18.05</v>
      </c>
      <c r="H51" t="s">
        <v>25</v>
      </c>
      <c r="I51">
        <v>1</v>
      </c>
      <c r="J51">
        <v>1</v>
      </c>
      <c r="K51" s="2">
        <v>45125</v>
      </c>
      <c r="L51">
        <v>20</v>
      </c>
      <c r="M51">
        <v>27.26</v>
      </c>
      <c r="N51" t="s">
        <v>114</v>
      </c>
      <c r="O51" t="s">
        <v>115</v>
      </c>
      <c r="P51">
        <v>0</v>
      </c>
      <c r="Q51">
        <v>18.86</v>
      </c>
      <c r="R51">
        <v>1.35</v>
      </c>
      <c r="S51">
        <v>0.05</v>
      </c>
      <c r="T51">
        <v>7</v>
      </c>
      <c r="U51">
        <v>47.26</v>
      </c>
    </row>
    <row r="52" spans="1:21" x14ac:dyDescent="0.25">
      <c r="A52" s="1">
        <v>45748</v>
      </c>
      <c r="B52" t="s">
        <v>107</v>
      </c>
      <c r="C52" t="s">
        <v>22</v>
      </c>
      <c r="D52" t="s">
        <v>28</v>
      </c>
      <c r="E52">
        <v>1</v>
      </c>
      <c r="F52" t="s">
        <v>24</v>
      </c>
      <c r="G52">
        <v>18</v>
      </c>
      <c r="H52" t="s">
        <v>25</v>
      </c>
      <c r="I52">
        <v>1</v>
      </c>
      <c r="J52">
        <v>1</v>
      </c>
      <c r="K52" s="2">
        <v>22500</v>
      </c>
      <c r="L52">
        <v>20</v>
      </c>
      <c r="M52">
        <v>25.98</v>
      </c>
      <c r="N52" t="s">
        <v>116</v>
      </c>
      <c r="O52" t="s">
        <v>115</v>
      </c>
      <c r="P52">
        <v>11.25</v>
      </c>
      <c r="Q52">
        <v>9.41</v>
      </c>
      <c r="R52">
        <v>0</v>
      </c>
      <c r="S52">
        <v>0.02</v>
      </c>
      <c r="T52">
        <v>5.3</v>
      </c>
      <c r="U52">
        <v>45.98</v>
      </c>
    </row>
    <row r="53" spans="1:21" x14ac:dyDescent="0.25">
      <c r="A53" s="1">
        <v>45748</v>
      </c>
      <c r="B53" t="s">
        <v>107</v>
      </c>
      <c r="C53" t="s">
        <v>22</v>
      </c>
      <c r="D53" t="s">
        <v>23</v>
      </c>
      <c r="E53">
        <v>1</v>
      </c>
      <c r="F53" t="s">
        <v>24</v>
      </c>
      <c r="G53">
        <v>18.7</v>
      </c>
      <c r="H53" t="s">
        <v>25</v>
      </c>
      <c r="I53">
        <v>1</v>
      </c>
      <c r="J53">
        <v>1</v>
      </c>
      <c r="K53" s="2">
        <v>23375</v>
      </c>
      <c r="L53">
        <v>20</v>
      </c>
      <c r="M53">
        <v>15.85</v>
      </c>
      <c r="N53" t="s">
        <v>117</v>
      </c>
      <c r="O53" t="s">
        <v>115</v>
      </c>
      <c r="P53">
        <v>0</v>
      </c>
      <c r="Q53">
        <v>9.77</v>
      </c>
      <c r="R53">
        <v>0.7</v>
      </c>
      <c r="S53">
        <v>0.02</v>
      </c>
      <c r="T53">
        <v>5.36</v>
      </c>
      <c r="U53">
        <v>35.85</v>
      </c>
    </row>
    <row r="54" spans="1:21" x14ac:dyDescent="0.25">
      <c r="A54" s="1">
        <v>45748</v>
      </c>
      <c r="B54" t="s">
        <v>113</v>
      </c>
      <c r="C54" t="s">
        <v>22</v>
      </c>
      <c r="D54" t="s">
        <v>28</v>
      </c>
      <c r="E54">
        <v>1</v>
      </c>
      <c r="F54" t="s">
        <v>24</v>
      </c>
      <c r="G54">
        <v>13.75</v>
      </c>
      <c r="H54" t="s">
        <v>25</v>
      </c>
      <c r="I54">
        <v>1</v>
      </c>
      <c r="J54">
        <v>1</v>
      </c>
      <c r="K54" s="2">
        <v>17187.5</v>
      </c>
      <c r="L54">
        <v>20</v>
      </c>
      <c r="M54">
        <v>20.57</v>
      </c>
      <c r="N54" t="s">
        <v>118</v>
      </c>
      <c r="O54" t="s">
        <v>115</v>
      </c>
      <c r="P54">
        <v>8.4700000000000006</v>
      </c>
      <c r="Q54">
        <v>7.18</v>
      </c>
      <c r="R54">
        <v>0</v>
      </c>
      <c r="S54">
        <v>0.02</v>
      </c>
      <c r="T54">
        <v>4.9000000000000004</v>
      </c>
      <c r="U54">
        <v>40.57</v>
      </c>
    </row>
    <row r="55" spans="1:21" x14ac:dyDescent="0.25">
      <c r="A55" s="1">
        <v>45748</v>
      </c>
      <c r="B55" t="s">
        <v>113</v>
      </c>
      <c r="C55" t="s">
        <v>22</v>
      </c>
      <c r="D55" t="s">
        <v>28</v>
      </c>
      <c r="E55">
        <v>1</v>
      </c>
      <c r="F55" t="s">
        <v>24</v>
      </c>
      <c r="G55">
        <v>13.25</v>
      </c>
      <c r="H55" t="s">
        <v>25</v>
      </c>
      <c r="I55">
        <v>1</v>
      </c>
      <c r="J55">
        <v>1</v>
      </c>
      <c r="K55" s="2">
        <v>16562.5</v>
      </c>
      <c r="L55">
        <v>20</v>
      </c>
      <c r="M55">
        <v>20.059999999999999</v>
      </c>
      <c r="N55" t="s">
        <v>119</v>
      </c>
      <c r="O55" t="s">
        <v>115</v>
      </c>
      <c r="P55">
        <v>8.2799999999999994</v>
      </c>
      <c r="Q55">
        <v>6.92</v>
      </c>
      <c r="R55">
        <v>0</v>
      </c>
      <c r="S55">
        <v>0.02</v>
      </c>
      <c r="T55">
        <v>4.84</v>
      </c>
      <c r="U55">
        <v>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orderBook_Commodity_17830782826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Raghuram</cp:lastModifiedBy>
  <dcterms:created xsi:type="dcterms:W3CDTF">2026-07-09T13:30:34Z</dcterms:created>
  <dcterms:modified xsi:type="dcterms:W3CDTF">2026-08-19T14:17:26Z</dcterms:modified>
</cp:coreProperties>
</file>