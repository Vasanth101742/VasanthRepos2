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Vasanth Desktop Items/Vasanth/PaySlips/1.Income Tax eFiling/AY 2026-27/New folder/"/>
    </mc:Choice>
  </mc:AlternateContent>
  <xr:revisionPtr revIDLastSave="51" documentId="11_F25DC773A252ABDACC104860B99F5E005BDE58EE" xr6:coauthVersionLast="47" xr6:coauthVersionMax="47" xr10:uidLastSave="{44FFBB4B-E24A-470A-93A3-0CA2AA0730BC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pivotCaches>
    <pivotCache cacheId="5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B8" i="1"/>
  <c r="E8" i="1" l="1"/>
</calcChain>
</file>

<file path=xl/sharedStrings.xml><?xml version="1.0" encoding="utf-8"?>
<sst xmlns="http://schemas.openxmlformats.org/spreadsheetml/2006/main" count="210" uniqueCount="30">
  <si>
    <t>Particulars</t>
  </si>
  <si>
    <t>Amount</t>
  </si>
  <si>
    <t>Trading Account</t>
  </si>
  <si>
    <t>Loss in Options</t>
  </si>
  <si>
    <t>Gain in Options</t>
  </si>
  <si>
    <t>Account</t>
  </si>
  <si>
    <t>Name</t>
  </si>
  <si>
    <t>VASANTH M</t>
  </si>
  <si>
    <t>Profit and Loss</t>
  </si>
  <si>
    <t>2025-2026</t>
  </si>
  <si>
    <t>Trade Date</t>
  </si>
  <si>
    <t>Exchange</t>
  </si>
  <si>
    <t>Credit/Debit</t>
  </si>
  <si>
    <t>NFO</t>
  </si>
  <si>
    <t>CR</t>
  </si>
  <si>
    <t>DR</t>
  </si>
  <si>
    <t>Total</t>
  </si>
  <si>
    <t>Row Labels</t>
  </si>
  <si>
    <t>Grand Total</t>
  </si>
  <si>
    <t>Sum of Amount</t>
  </si>
  <si>
    <t>Profit &amp; Loss A/c</t>
  </si>
  <si>
    <t>Gross Loss</t>
  </si>
  <si>
    <t>Gross Gain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</si>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</sst>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6196.705402199077" createdVersion="8" refreshedVersion="8" minRefreshableVersion="3" recordCount="86" xr:uid="{441D7D2F-5D32-4A35-89CC-3942B90CA027}">
  <cacheSource type="worksheet">
    <worksheetSource ref="A4:D90" sheet="Sheet2"/>
  </cacheSource>
  <cacheFields count="4">
    <cacheField name="Trade Date" numFmtId="15">
      <sharedItems containsSemiMixedTypes="0" containsNonDate="0" containsDate="1" containsString="0" minDate="2025-04-01T00:00:00" maxDate="2026-03-31T00:00:00"/>
    </cacheField>
    <cacheField name="Exchange" numFmtId="0">
      <sharedItems/>
    </cacheField>
    <cacheField name="Credit/Debit" numFmtId="0">
      <sharedItems count="2">
        <s v="CR"/>
        <s v="DR"/>
      </sharedItems>
    </cacheField>
    <cacheField name="Amount" numFmtId="0">
      <sharedItems containsSemiMixedTypes="0" containsString="0" containsNumber="1" minValue="-164329.53" maxValue="55307.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d v="2025-04-01T00:00:00"/>
    <s v="NFO"/>
    <x v="0"/>
    <n v="14152.54"/>
  </r>
  <r>
    <d v="2025-04-02T00:00:00"/>
    <s v="NFO"/>
    <x v="1"/>
    <n v="-50204.83"/>
  </r>
  <r>
    <d v="2025-04-03T00:00:00"/>
    <s v="NFO"/>
    <x v="0"/>
    <n v="2261.5300000000002"/>
  </r>
  <r>
    <d v="2025-04-04T00:00:00"/>
    <s v="NFO"/>
    <x v="0"/>
    <n v="1189.4000000000001"/>
  </r>
  <r>
    <d v="2025-04-07T00:00:00"/>
    <s v="NFO"/>
    <x v="0"/>
    <n v="5703.56"/>
  </r>
  <r>
    <d v="2025-04-08T00:00:00"/>
    <s v="NFO"/>
    <x v="1"/>
    <n v="-284.02999999999997"/>
  </r>
  <r>
    <d v="2025-04-09T00:00:00"/>
    <s v="NFO"/>
    <x v="1"/>
    <n v="-15238.99"/>
  </r>
  <r>
    <d v="2025-04-15T00:00:00"/>
    <s v="NFO"/>
    <x v="1"/>
    <n v="-974.95"/>
  </r>
  <r>
    <d v="2025-05-02T00:00:00"/>
    <s v="NFO"/>
    <x v="0"/>
    <n v="5547.12"/>
  </r>
  <r>
    <d v="2025-05-07T00:00:00"/>
    <s v="NFO"/>
    <x v="1"/>
    <n v="-3495.85"/>
  </r>
  <r>
    <d v="2025-05-08T00:00:00"/>
    <s v="NFO"/>
    <x v="1"/>
    <n v="-6120.97"/>
  </r>
  <r>
    <d v="2025-05-15T00:00:00"/>
    <s v="NFO"/>
    <x v="1"/>
    <n v="-14613.41"/>
  </r>
  <r>
    <d v="2025-05-21T00:00:00"/>
    <s v="NFO"/>
    <x v="1"/>
    <n v="-7400.17"/>
  </r>
  <r>
    <d v="2025-05-23T00:00:00"/>
    <s v="NFO"/>
    <x v="1"/>
    <n v="-1883.75"/>
  </r>
  <r>
    <d v="2025-05-29T00:00:00"/>
    <s v="NFO"/>
    <x v="0"/>
    <n v="97.74"/>
  </r>
  <r>
    <d v="2025-06-05T00:00:00"/>
    <s v="NFO"/>
    <x v="1"/>
    <n v="-2689.58"/>
  </r>
  <r>
    <d v="2025-07-04T00:00:00"/>
    <s v="NFO"/>
    <x v="1"/>
    <n v="-3903.7"/>
  </r>
  <r>
    <d v="2025-08-12T00:00:00"/>
    <s v="NFO"/>
    <x v="0"/>
    <n v="334.13"/>
  </r>
  <r>
    <d v="2025-08-21T00:00:00"/>
    <s v="NFO"/>
    <x v="1"/>
    <n v="-25774.63"/>
  </r>
  <r>
    <d v="2025-08-28T00:00:00"/>
    <s v="NFO"/>
    <x v="0"/>
    <n v="15061.68"/>
  </r>
  <r>
    <d v="2025-09-02T00:00:00"/>
    <s v="NFO"/>
    <x v="0"/>
    <n v="11170.47"/>
  </r>
  <r>
    <d v="2025-09-03T00:00:00"/>
    <s v="NFO"/>
    <x v="1"/>
    <n v="-4629.1499999999996"/>
  </r>
  <r>
    <d v="2025-09-04T00:00:00"/>
    <s v="NFO"/>
    <x v="0"/>
    <n v="8926.76"/>
  </r>
  <r>
    <d v="2025-09-05T00:00:00"/>
    <s v="NFO"/>
    <x v="0"/>
    <n v="4002.86"/>
  </r>
  <r>
    <d v="2025-09-08T00:00:00"/>
    <s v="NFO"/>
    <x v="1"/>
    <n v="-22071.26"/>
  </r>
  <r>
    <d v="2025-09-09T00:00:00"/>
    <s v="NFO"/>
    <x v="1"/>
    <n v="-49204.73"/>
  </r>
  <r>
    <d v="2025-09-10T00:00:00"/>
    <s v="NFO"/>
    <x v="1"/>
    <n v="-2904.91"/>
  </r>
  <r>
    <d v="2025-11-04T00:00:00"/>
    <s v="NFO"/>
    <x v="0"/>
    <n v="2966.45"/>
  </r>
  <r>
    <d v="2025-11-10T00:00:00"/>
    <s v="NFO"/>
    <x v="1"/>
    <n v="-138.53"/>
  </r>
  <r>
    <d v="2025-11-12T00:00:00"/>
    <s v="NFO"/>
    <x v="1"/>
    <n v="-8265.52"/>
  </r>
  <r>
    <d v="2025-11-13T00:00:00"/>
    <s v="NFO"/>
    <x v="0"/>
    <n v="8878.0300000000007"/>
  </r>
  <r>
    <d v="2025-11-14T00:00:00"/>
    <s v="NFO"/>
    <x v="0"/>
    <n v="630.5"/>
  </r>
  <r>
    <d v="2025-11-17T00:00:00"/>
    <s v="NFO"/>
    <x v="0"/>
    <n v="680"/>
  </r>
  <r>
    <d v="2025-11-18T00:00:00"/>
    <s v="NFO"/>
    <x v="1"/>
    <n v="-23842.71"/>
  </r>
  <r>
    <d v="2025-11-20T00:00:00"/>
    <s v="NFO"/>
    <x v="1"/>
    <n v="-7773.72"/>
  </r>
  <r>
    <d v="2025-11-21T00:00:00"/>
    <s v="NFO"/>
    <x v="0"/>
    <n v="8945.49"/>
  </r>
  <r>
    <d v="2025-11-24T00:00:00"/>
    <s v="NFO"/>
    <x v="0"/>
    <n v="145.94999999999999"/>
  </r>
  <r>
    <d v="2025-11-25T00:00:00"/>
    <s v="NFO"/>
    <x v="0"/>
    <n v="1823.83"/>
  </r>
  <r>
    <d v="2025-11-27T00:00:00"/>
    <s v="NFO"/>
    <x v="1"/>
    <n v="-8212.65"/>
  </r>
  <r>
    <d v="2025-11-28T00:00:00"/>
    <s v="NFO"/>
    <x v="1"/>
    <n v="-20206.509999999998"/>
  </r>
  <r>
    <d v="2025-12-01T00:00:00"/>
    <s v="NFO"/>
    <x v="0"/>
    <n v="52118.95"/>
  </r>
  <r>
    <d v="2025-12-02T00:00:00"/>
    <s v="NFO"/>
    <x v="0"/>
    <n v="2157.87"/>
  </r>
  <r>
    <d v="2025-12-03T00:00:00"/>
    <s v="NFO"/>
    <x v="1"/>
    <n v="-8955.32"/>
  </r>
  <r>
    <d v="2025-12-04T00:00:00"/>
    <s v="NFO"/>
    <x v="0"/>
    <n v="4755.0200000000004"/>
  </r>
  <r>
    <d v="2025-12-05T00:00:00"/>
    <s v="NFO"/>
    <x v="1"/>
    <n v="-5080.09"/>
  </r>
  <r>
    <d v="2025-12-08T00:00:00"/>
    <s v="NFO"/>
    <x v="0"/>
    <n v="5751.09"/>
  </r>
  <r>
    <d v="2025-12-11T00:00:00"/>
    <s v="NFO"/>
    <x v="1"/>
    <n v="-10835.46"/>
  </r>
  <r>
    <d v="2025-12-12T00:00:00"/>
    <s v="NFO"/>
    <x v="1"/>
    <n v="-3451.58"/>
  </r>
  <r>
    <d v="2026-01-13T00:00:00"/>
    <s v="NFO"/>
    <x v="1"/>
    <n v="-4407.3"/>
  </r>
  <r>
    <d v="2026-01-19T00:00:00"/>
    <s v="NFO"/>
    <x v="0"/>
    <n v="251.66"/>
  </r>
  <r>
    <d v="2026-01-27T00:00:00"/>
    <s v="NFO"/>
    <x v="0"/>
    <n v="5039.8500000000004"/>
  </r>
  <r>
    <d v="2026-01-28T00:00:00"/>
    <s v="NFO"/>
    <x v="1"/>
    <n v="-1558.27"/>
  </r>
  <r>
    <d v="2026-01-29T00:00:00"/>
    <s v="NFO"/>
    <x v="1"/>
    <n v="-4163.88"/>
  </r>
  <r>
    <d v="2026-01-30T00:00:00"/>
    <s v="NFO"/>
    <x v="0"/>
    <n v="5015.0600000000004"/>
  </r>
  <r>
    <d v="2026-02-01T00:00:00"/>
    <s v="NFO"/>
    <x v="0"/>
    <n v="2156.11"/>
  </r>
  <r>
    <d v="2026-02-02T00:00:00"/>
    <s v="NFO"/>
    <x v="0"/>
    <n v="5258.78"/>
  </r>
  <r>
    <d v="2026-02-03T00:00:00"/>
    <s v="NFO"/>
    <x v="1"/>
    <n v="-5645.85"/>
  </r>
  <r>
    <d v="2026-02-04T00:00:00"/>
    <s v="NFO"/>
    <x v="0"/>
    <n v="2123.87"/>
  </r>
  <r>
    <d v="2026-02-05T00:00:00"/>
    <s v="NFO"/>
    <x v="0"/>
    <n v="2318.02"/>
  </r>
  <r>
    <d v="2026-02-11T00:00:00"/>
    <s v="NFO"/>
    <x v="1"/>
    <n v="-3640.73"/>
  </r>
  <r>
    <d v="2026-02-12T00:00:00"/>
    <s v="NFO"/>
    <x v="1"/>
    <n v="-4410.26"/>
  </r>
  <r>
    <d v="2026-02-16T00:00:00"/>
    <s v="NFO"/>
    <x v="0"/>
    <n v="8075.9"/>
  </r>
  <r>
    <d v="2026-02-17T00:00:00"/>
    <s v="NFO"/>
    <x v="1"/>
    <n v="-775.9"/>
  </r>
  <r>
    <d v="2026-02-18T00:00:00"/>
    <s v="NFO"/>
    <x v="0"/>
    <n v="2906.64"/>
  </r>
  <r>
    <d v="2026-02-19T00:00:00"/>
    <s v="NFO"/>
    <x v="1"/>
    <n v="-15179.48"/>
  </r>
  <r>
    <d v="2026-02-20T00:00:00"/>
    <s v="NFO"/>
    <x v="1"/>
    <n v="-28445.58"/>
  </r>
  <r>
    <d v="2026-02-23T00:00:00"/>
    <s v="NFO"/>
    <x v="0"/>
    <n v="27969"/>
  </r>
  <r>
    <d v="2026-02-24T00:00:00"/>
    <s v="NFO"/>
    <x v="0"/>
    <n v="17209.240000000002"/>
  </r>
  <r>
    <d v="2026-02-25T00:00:00"/>
    <s v="NFO"/>
    <x v="0"/>
    <n v="10940.01"/>
  </r>
  <r>
    <d v="2026-02-26T00:00:00"/>
    <s v="NFO"/>
    <x v="0"/>
    <n v="752.37"/>
  </r>
  <r>
    <d v="2026-02-27T00:00:00"/>
    <s v="NFO"/>
    <x v="0"/>
    <n v="15098.41"/>
  </r>
  <r>
    <d v="2026-03-02T00:00:00"/>
    <s v="NFO"/>
    <x v="0"/>
    <n v="17186.810000000001"/>
  </r>
  <r>
    <d v="2026-03-06T00:00:00"/>
    <s v="NFO"/>
    <x v="0"/>
    <n v="3583.89"/>
  </r>
  <r>
    <d v="2026-03-09T00:00:00"/>
    <s v="NFO"/>
    <x v="0"/>
    <n v="25371.4"/>
  </r>
  <r>
    <d v="2026-03-11T00:00:00"/>
    <s v="NFO"/>
    <x v="0"/>
    <n v="16938.580000000002"/>
  </r>
  <r>
    <d v="2026-03-12T00:00:00"/>
    <s v="NFO"/>
    <x v="0"/>
    <n v="6674.35"/>
  </r>
  <r>
    <d v="2026-03-13T00:00:00"/>
    <s v="NFO"/>
    <x v="1"/>
    <n v="-164329.53"/>
  </r>
  <r>
    <d v="2026-03-16T00:00:00"/>
    <s v="NFO"/>
    <x v="0"/>
    <n v="32321.64"/>
  </r>
  <r>
    <d v="2026-03-17T00:00:00"/>
    <s v="NFO"/>
    <x v="1"/>
    <n v="-22038.560000000001"/>
  </r>
  <r>
    <d v="2026-03-18T00:00:00"/>
    <s v="NFO"/>
    <x v="1"/>
    <n v="-18180.5"/>
  </r>
  <r>
    <d v="2026-03-19T00:00:00"/>
    <s v="NFO"/>
    <x v="0"/>
    <n v="29513"/>
  </r>
  <r>
    <d v="2026-03-20T00:00:00"/>
    <s v="NFO"/>
    <x v="0"/>
    <n v="4248.66"/>
  </r>
  <r>
    <d v="2026-03-23T00:00:00"/>
    <s v="NFO"/>
    <x v="0"/>
    <n v="19107.63"/>
  </r>
  <r>
    <d v="2026-03-24T00:00:00"/>
    <s v="NFO"/>
    <x v="0"/>
    <n v="55307.58"/>
  </r>
  <r>
    <d v="2026-03-27T00:00:00"/>
    <s v="NFO"/>
    <x v="0"/>
    <n v="21704.080000000002"/>
  </r>
  <r>
    <d v="2026-03-30T00:00:00"/>
    <s v="NFO"/>
    <x v="0"/>
    <n v="24059.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C7344-2571-489B-8596-0B88167065D6}" name="PivotTable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8" firstHeaderRow="1" firstDataRow="1" firstDataCol="1"/>
  <pivotFields count="4">
    <pivotField numFmtId="15"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2" workbookViewId="0">
      <selection activeCell="A22" sqref="A22"/>
    </sheetView>
  </sheetViews>
  <sheetFormatPr defaultColWidth="17.42578125" defaultRowHeight="15" x14ac:dyDescent="0.25"/>
  <cols>
    <col min="1" max="1" width="27.85546875" bestFit="1" customWidth="1"/>
  </cols>
  <sheetData>
    <row r="1" spans="1:5" x14ac:dyDescent="0.25">
      <c r="A1" s="1" t="s">
        <v>2</v>
      </c>
      <c r="B1" s="1"/>
      <c r="C1" s="1"/>
      <c r="D1" s="1"/>
    </row>
    <row r="2" spans="1:5" x14ac:dyDescent="0.25">
      <c r="A2" s="2" t="s">
        <v>0</v>
      </c>
      <c r="B2" s="2" t="s">
        <v>1</v>
      </c>
      <c r="C2" s="2" t="s">
        <v>0</v>
      </c>
      <c r="D2" s="2" t="s">
        <v>1</v>
      </c>
    </row>
    <row r="3" spans="1:5" x14ac:dyDescent="0.25">
      <c r="A3" s="2" t="s">
        <v>3</v>
      </c>
      <c r="B3" s="7"/>
      <c r="C3" s="2" t="s">
        <v>4</v>
      </c>
      <c r="D3" s="7"/>
    </row>
    <row r="4" spans="1:5" x14ac:dyDescent="0.25">
      <c r="A4" s="2" t="s">
        <v>21</v>
      </c>
      <c r="B4" s="7">
        <v>-580932.84000000008</v>
      </c>
      <c r="C4" s="2" t="s">
        <v>22</v>
      </c>
      <c r="D4" s="7">
        <v>518433.48</v>
      </c>
    </row>
    <row r="5" spans="1:5" x14ac:dyDescent="0.25">
      <c r="A5" s="2"/>
      <c r="B5" s="2"/>
      <c r="C5" s="2"/>
      <c r="D5" s="2"/>
    </row>
    <row r="6" spans="1:5" x14ac:dyDescent="0.25">
      <c r="A6" s="2"/>
      <c r="B6" s="2"/>
      <c r="C6" s="2"/>
      <c r="D6" s="2"/>
    </row>
    <row r="7" spans="1:5" x14ac:dyDescent="0.25">
      <c r="A7" s="2"/>
      <c r="B7" s="2"/>
      <c r="C7" s="2"/>
      <c r="D7" s="2"/>
    </row>
    <row r="8" spans="1:5" x14ac:dyDescent="0.25">
      <c r="A8" s="2"/>
      <c r="B8" s="2">
        <f>SUM(B3:B7)</f>
        <v>-580932.84000000008</v>
      </c>
      <c r="C8" s="2"/>
      <c r="D8" s="2">
        <f>SUM(D3:D7)</f>
        <v>518433.48</v>
      </c>
      <c r="E8">
        <f>B8+D8</f>
        <v>-62499.360000000102</v>
      </c>
    </row>
    <row r="9" spans="1:5" x14ac:dyDescent="0.25">
      <c r="A9" s="8"/>
      <c r="B9" s="8"/>
      <c r="C9" s="8"/>
      <c r="D9" s="8"/>
    </row>
    <row r="11" spans="1:5" x14ac:dyDescent="0.25">
      <c r="A11" s="1" t="s">
        <v>20</v>
      </c>
      <c r="B11" s="1"/>
      <c r="C11" s="1"/>
      <c r="D11" s="1"/>
    </row>
    <row r="12" spans="1:5" x14ac:dyDescent="0.25">
      <c r="A12" s="2" t="s">
        <v>0</v>
      </c>
      <c r="B12" s="2" t="s">
        <v>1</v>
      </c>
      <c r="C12" s="2" t="s">
        <v>0</v>
      </c>
      <c r="D12" s="2" t="s">
        <v>1</v>
      </c>
    </row>
    <row r="13" spans="1:5" x14ac:dyDescent="0.25">
      <c r="A13" s="2" t="s">
        <v>3</v>
      </c>
      <c r="B13" s="2"/>
      <c r="C13" s="2"/>
      <c r="D13" s="2"/>
    </row>
    <row r="14" spans="1:5" x14ac:dyDescent="0.25">
      <c r="A14" s="2" t="s">
        <v>21</v>
      </c>
      <c r="B14" s="7">
        <v>-580932.84000000008</v>
      </c>
      <c r="C14" s="2"/>
      <c r="D14" s="2"/>
    </row>
    <row r="15" spans="1:5" x14ac:dyDescent="0.25">
      <c r="A15" s="2" t="s">
        <v>23</v>
      </c>
      <c r="B15" s="2"/>
      <c r="C15" s="2"/>
      <c r="D15" s="2"/>
    </row>
    <row r="16" spans="1:5" x14ac:dyDescent="0.25">
      <c r="A16" s="2" t="s">
        <v>24</v>
      </c>
      <c r="B16" s="2"/>
      <c r="C16" s="2"/>
      <c r="D16" s="2"/>
    </row>
    <row r="17" spans="1:4" x14ac:dyDescent="0.25">
      <c r="A17" s="2" t="s">
        <v>25</v>
      </c>
      <c r="B17" s="2"/>
      <c r="C17" s="2"/>
      <c r="D17" s="2"/>
    </row>
    <row r="18" spans="1:4" x14ac:dyDescent="0.25">
      <c r="A18" s="2" t="s">
        <v>26</v>
      </c>
      <c r="B18" s="2"/>
      <c r="C18" s="2"/>
      <c r="D18" s="2"/>
    </row>
    <row r="19" spans="1:4" x14ac:dyDescent="0.25">
      <c r="A19" s="2" t="s">
        <v>27</v>
      </c>
      <c r="B19" s="2"/>
      <c r="C19" s="2"/>
      <c r="D19" s="2"/>
    </row>
    <row r="20" spans="1:4" x14ac:dyDescent="0.25">
      <c r="A20" s="2" t="s">
        <v>28</v>
      </c>
      <c r="B20" s="2"/>
      <c r="C20" s="2"/>
      <c r="D20" s="2"/>
    </row>
    <row r="21" spans="1:4" x14ac:dyDescent="0.25">
      <c r="A21" s="2" t="s">
        <v>29</v>
      </c>
      <c r="B21" s="2"/>
      <c r="C21" s="2"/>
      <c r="D21" s="2"/>
    </row>
  </sheetData>
  <mergeCells count="2">
    <mergeCell ref="A1:D1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FBF2-D757-4C9D-A1E7-9AC1F18CD3E2}">
  <dimension ref="A1:J91"/>
  <sheetViews>
    <sheetView topLeftCell="A4" workbookViewId="0">
      <selection activeCell="J7" sqref="J7"/>
    </sheetView>
  </sheetViews>
  <sheetFormatPr defaultRowHeight="15" x14ac:dyDescent="0.25"/>
  <cols>
    <col min="1" max="1" width="14" bestFit="1" customWidth="1"/>
    <col min="2" max="2" width="11.7109375" bestFit="1" customWidth="1"/>
    <col min="3" max="3" width="12.140625" bestFit="1" customWidth="1"/>
    <col min="4" max="4" width="10.7109375" bestFit="1" customWidth="1"/>
    <col min="9" max="9" width="13.140625" bestFit="1" customWidth="1"/>
    <col min="10" max="10" width="14.85546875" bestFit="1" customWidth="1"/>
  </cols>
  <sheetData>
    <row r="1" spans="1:10" x14ac:dyDescent="0.25">
      <c r="A1" t="s">
        <v>5</v>
      </c>
      <c r="B1">
        <v>8502271974</v>
      </c>
    </row>
    <row r="2" spans="1:10" x14ac:dyDescent="0.25">
      <c r="A2" t="s">
        <v>6</v>
      </c>
      <c r="B2" t="s">
        <v>7</v>
      </c>
    </row>
    <row r="3" spans="1:10" x14ac:dyDescent="0.25">
      <c r="A3" t="s">
        <v>8</v>
      </c>
      <c r="B3" t="s">
        <v>9</v>
      </c>
    </row>
    <row r="4" spans="1:10" x14ac:dyDescent="0.25">
      <c r="A4" t="s">
        <v>10</v>
      </c>
      <c r="B4" t="s">
        <v>11</v>
      </c>
      <c r="C4" t="s">
        <v>12</v>
      </c>
      <c r="D4" t="s">
        <v>1</v>
      </c>
    </row>
    <row r="5" spans="1:10" x14ac:dyDescent="0.25">
      <c r="A5" s="3">
        <v>45748</v>
      </c>
      <c r="B5" t="s">
        <v>13</v>
      </c>
      <c r="C5" t="s">
        <v>14</v>
      </c>
      <c r="D5">
        <v>14152.54</v>
      </c>
      <c r="I5" s="4" t="s">
        <v>17</v>
      </c>
      <c r="J5" t="s">
        <v>19</v>
      </c>
    </row>
    <row r="6" spans="1:10" x14ac:dyDescent="0.25">
      <c r="A6" s="3">
        <v>45749</v>
      </c>
      <c r="B6" t="s">
        <v>13</v>
      </c>
      <c r="C6" t="s">
        <v>15</v>
      </c>
      <c r="D6">
        <v>-50204.83</v>
      </c>
      <c r="I6" s="5" t="s">
        <v>14</v>
      </c>
      <c r="J6" s="6">
        <v>518433.48</v>
      </c>
    </row>
    <row r="7" spans="1:10" x14ac:dyDescent="0.25">
      <c r="A7" s="3">
        <v>45750</v>
      </c>
      <c r="B7" t="s">
        <v>13</v>
      </c>
      <c r="C7" t="s">
        <v>14</v>
      </c>
      <c r="D7">
        <v>2261.5300000000002</v>
      </c>
      <c r="I7" s="5" t="s">
        <v>15</v>
      </c>
      <c r="J7" s="6">
        <v>-580932.84000000008</v>
      </c>
    </row>
    <row r="8" spans="1:10" x14ac:dyDescent="0.25">
      <c r="A8" s="3">
        <v>45751</v>
      </c>
      <c r="B8" t="s">
        <v>13</v>
      </c>
      <c r="C8" t="s">
        <v>14</v>
      </c>
      <c r="D8">
        <v>1189.4000000000001</v>
      </c>
      <c r="I8" s="5" t="s">
        <v>18</v>
      </c>
      <c r="J8" s="6">
        <v>-62499.360000000102</v>
      </c>
    </row>
    <row r="9" spans="1:10" x14ac:dyDescent="0.25">
      <c r="A9" s="3">
        <v>45754</v>
      </c>
      <c r="B9" t="s">
        <v>13</v>
      </c>
      <c r="C9" t="s">
        <v>14</v>
      </c>
      <c r="D9">
        <v>5703.56</v>
      </c>
    </row>
    <row r="10" spans="1:10" x14ac:dyDescent="0.25">
      <c r="A10" s="3">
        <v>45755</v>
      </c>
      <c r="B10" t="s">
        <v>13</v>
      </c>
      <c r="C10" t="s">
        <v>15</v>
      </c>
      <c r="D10">
        <v>-284.02999999999997</v>
      </c>
    </row>
    <row r="11" spans="1:10" x14ac:dyDescent="0.25">
      <c r="A11" s="3">
        <v>45756</v>
      </c>
      <c r="B11" t="s">
        <v>13</v>
      </c>
      <c r="C11" t="s">
        <v>15</v>
      </c>
      <c r="D11">
        <v>-15238.99</v>
      </c>
    </row>
    <row r="12" spans="1:10" x14ac:dyDescent="0.25">
      <c r="A12" s="3">
        <v>45762</v>
      </c>
      <c r="B12" t="s">
        <v>13</v>
      </c>
      <c r="C12" t="s">
        <v>15</v>
      </c>
      <c r="D12">
        <v>-974.95</v>
      </c>
    </row>
    <row r="13" spans="1:10" x14ac:dyDescent="0.25">
      <c r="A13" s="3">
        <v>45779</v>
      </c>
      <c r="B13" t="s">
        <v>13</v>
      </c>
      <c r="C13" t="s">
        <v>14</v>
      </c>
      <c r="D13">
        <v>5547.12</v>
      </c>
    </row>
    <row r="14" spans="1:10" x14ac:dyDescent="0.25">
      <c r="A14" s="3">
        <v>45784</v>
      </c>
      <c r="B14" t="s">
        <v>13</v>
      </c>
      <c r="C14" t="s">
        <v>15</v>
      </c>
      <c r="D14">
        <v>-3495.85</v>
      </c>
    </row>
    <row r="15" spans="1:10" x14ac:dyDescent="0.25">
      <c r="A15" s="3">
        <v>45785</v>
      </c>
      <c r="B15" t="s">
        <v>13</v>
      </c>
      <c r="C15" t="s">
        <v>15</v>
      </c>
      <c r="D15">
        <v>-6120.97</v>
      </c>
    </row>
    <row r="16" spans="1:10" x14ac:dyDescent="0.25">
      <c r="A16" s="3">
        <v>45792</v>
      </c>
      <c r="B16" t="s">
        <v>13</v>
      </c>
      <c r="C16" t="s">
        <v>15</v>
      </c>
      <c r="D16">
        <v>-14613.41</v>
      </c>
    </row>
    <row r="17" spans="1:4" x14ac:dyDescent="0.25">
      <c r="A17" s="3">
        <v>45798</v>
      </c>
      <c r="B17" t="s">
        <v>13</v>
      </c>
      <c r="C17" t="s">
        <v>15</v>
      </c>
      <c r="D17">
        <v>-7400.17</v>
      </c>
    </row>
    <row r="18" spans="1:4" x14ac:dyDescent="0.25">
      <c r="A18" s="3">
        <v>45800</v>
      </c>
      <c r="B18" t="s">
        <v>13</v>
      </c>
      <c r="C18" t="s">
        <v>15</v>
      </c>
      <c r="D18">
        <v>-1883.75</v>
      </c>
    </row>
    <row r="19" spans="1:4" x14ac:dyDescent="0.25">
      <c r="A19" s="3">
        <v>45806</v>
      </c>
      <c r="B19" t="s">
        <v>13</v>
      </c>
      <c r="C19" t="s">
        <v>14</v>
      </c>
      <c r="D19">
        <v>97.74</v>
      </c>
    </row>
    <row r="20" spans="1:4" x14ac:dyDescent="0.25">
      <c r="A20" s="3">
        <v>45813</v>
      </c>
      <c r="B20" t="s">
        <v>13</v>
      </c>
      <c r="C20" t="s">
        <v>15</v>
      </c>
      <c r="D20">
        <v>-2689.58</v>
      </c>
    </row>
    <row r="21" spans="1:4" x14ac:dyDescent="0.25">
      <c r="A21" s="3">
        <v>45842</v>
      </c>
      <c r="B21" t="s">
        <v>13</v>
      </c>
      <c r="C21" t="s">
        <v>15</v>
      </c>
      <c r="D21">
        <v>-3903.7</v>
      </c>
    </row>
    <row r="22" spans="1:4" x14ac:dyDescent="0.25">
      <c r="A22" s="3">
        <v>45881</v>
      </c>
      <c r="B22" t="s">
        <v>13</v>
      </c>
      <c r="C22" t="s">
        <v>14</v>
      </c>
      <c r="D22">
        <v>334.13</v>
      </c>
    </row>
    <row r="23" spans="1:4" x14ac:dyDescent="0.25">
      <c r="A23" s="3">
        <v>45890</v>
      </c>
      <c r="B23" t="s">
        <v>13</v>
      </c>
      <c r="C23" t="s">
        <v>15</v>
      </c>
      <c r="D23">
        <v>-25774.63</v>
      </c>
    </row>
    <row r="24" spans="1:4" x14ac:dyDescent="0.25">
      <c r="A24" s="3">
        <v>45897</v>
      </c>
      <c r="B24" t="s">
        <v>13</v>
      </c>
      <c r="C24" t="s">
        <v>14</v>
      </c>
      <c r="D24">
        <v>15061.68</v>
      </c>
    </row>
    <row r="25" spans="1:4" x14ac:dyDescent="0.25">
      <c r="A25" s="3">
        <v>45902</v>
      </c>
      <c r="B25" t="s">
        <v>13</v>
      </c>
      <c r="C25" t="s">
        <v>14</v>
      </c>
      <c r="D25">
        <v>11170.47</v>
      </c>
    </row>
    <row r="26" spans="1:4" x14ac:dyDescent="0.25">
      <c r="A26" s="3">
        <v>45903</v>
      </c>
      <c r="B26" t="s">
        <v>13</v>
      </c>
      <c r="C26" t="s">
        <v>15</v>
      </c>
      <c r="D26">
        <v>-4629.1499999999996</v>
      </c>
    </row>
    <row r="27" spans="1:4" x14ac:dyDescent="0.25">
      <c r="A27" s="3">
        <v>45904</v>
      </c>
      <c r="B27" t="s">
        <v>13</v>
      </c>
      <c r="C27" t="s">
        <v>14</v>
      </c>
      <c r="D27">
        <v>8926.76</v>
      </c>
    </row>
    <row r="28" spans="1:4" x14ac:dyDescent="0.25">
      <c r="A28" s="3">
        <v>45905</v>
      </c>
      <c r="B28" t="s">
        <v>13</v>
      </c>
      <c r="C28" t="s">
        <v>14</v>
      </c>
      <c r="D28">
        <v>4002.86</v>
      </c>
    </row>
    <row r="29" spans="1:4" x14ac:dyDescent="0.25">
      <c r="A29" s="3">
        <v>45908</v>
      </c>
      <c r="B29" t="s">
        <v>13</v>
      </c>
      <c r="C29" t="s">
        <v>15</v>
      </c>
      <c r="D29">
        <v>-22071.26</v>
      </c>
    </row>
    <row r="30" spans="1:4" x14ac:dyDescent="0.25">
      <c r="A30" s="3">
        <v>45909</v>
      </c>
      <c r="B30" t="s">
        <v>13</v>
      </c>
      <c r="C30" t="s">
        <v>15</v>
      </c>
      <c r="D30">
        <v>-49204.73</v>
      </c>
    </row>
    <row r="31" spans="1:4" x14ac:dyDescent="0.25">
      <c r="A31" s="3">
        <v>45910</v>
      </c>
      <c r="B31" t="s">
        <v>13</v>
      </c>
      <c r="C31" t="s">
        <v>15</v>
      </c>
      <c r="D31">
        <v>-2904.91</v>
      </c>
    </row>
    <row r="32" spans="1:4" x14ac:dyDescent="0.25">
      <c r="A32" s="3">
        <v>45965</v>
      </c>
      <c r="B32" t="s">
        <v>13</v>
      </c>
      <c r="C32" t="s">
        <v>14</v>
      </c>
      <c r="D32">
        <v>2966.45</v>
      </c>
    </row>
    <row r="33" spans="1:4" x14ac:dyDescent="0.25">
      <c r="A33" s="3">
        <v>45971</v>
      </c>
      <c r="B33" t="s">
        <v>13</v>
      </c>
      <c r="C33" t="s">
        <v>15</v>
      </c>
      <c r="D33">
        <v>-138.53</v>
      </c>
    </row>
    <row r="34" spans="1:4" x14ac:dyDescent="0.25">
      <c r="A34" s="3">
        <v>45973</v>
      </c>
      <c r="B34" t="s">
        <v>13</v>
      </c>
      <c r="C34" t="s">
        <v>15</v>
      </c>
      <c r="D34">
        <v>-8265.52</v>
      </c>
    </row>
    <row r="35" spans="1:4" x14ac:dyDescent="0.25">
      <c r="A35" s="3">
        <v>45974</v>
      </c>
      <c r="B35" t="s">
        <v>13</v>
      </c>
      <c r="C35" t="s">
        <v>14</v>
      </c>
      <c r="D35">
        <v>8878.0300000000007</v>
      </c>
    </row>
    <row r="36" spans="1:4" x14ac:dyDescent="0.25">
      <c r="A36" s="3">
        <v>45975</v>
      </c>
      <c r="B36" t="s">
        <v>13</v>
      </c>
      <c r="C36" t="s">
        <v>14</v>
      </c>
      <c r="D36">
        <v>630.5</v>
      </c>
    </row>
    <row r="37" spans="1:4" x14ac:dyDescent="0.25">
      <c r="A37" s="3">
        <v>45978</v>
      </c>
      <c r="B37" t="s">
        <v>13</v>
      </c>
      <c r="C37" t="s">
        <v>14</v>
      </c>
      <c r="D37">
        <v>680</v>
      </c>
    </row>
    <row r="38" spans="1:4" x14ac:dyDescent="0.25">
      <c r="A38" s="3">
        <v>45979</v>
      </c>
      <c r="B38" t="s">
        <v>13</v>
      </c>
      <c r="C38" t="s">
        <v>15</v>
      </c>
      <c r="D38">
        <v>-23842.71</v>
      </c>
    </row>
    <row r="39" spans="1:4" x14ac:dyDescent="0.25">
      <c r="A39" s="3">
        <v>45981</v>
      </c>
      <c r="B39" t="s">
        <v>13</v>
      </c>
      <c r="C39" t="s">
        <v>15</v>
      </c>
      <c r="D39">
        <v>-7773.72</v>
      </c>
    </row>
    <row r="40" spans="1:4" x14ac:dyDescent="0.25">
      <c r="A40" s="3">
        <v>45982</v>
      </c>
      <c r="B40" t="s">
        <v>13</v>
      </c>
      <c r="C40" t="s">
        <v>14</v>
      </c>
      <c r="D40">
        <v>8945.49</v>
      </c>
    </row>
    <row r="41" spans="1:4" x14ac:dyDescent="0.25">
      <c r="A41" s="3">
        <v>45985</v>
      </c>
      <c r="B41" t="s">
        <v>13</v>
      </c>
      <c r="C41" t="s">
        <v>14</v>
      </c>
      <c r="D41">
        <v>145.94999999999999</v>
      </c>
    </row>
    <row r="42" spans="1:4" x14ac:dyDescent="0.25">
      <c r="A42" s="3">
        <v>45986</v>
      </c>
      <c r="B42" t="s">
        <v>13</v>
      </c>
      <c r="C42" t="s">
        <v>14</v>
      </c>
      <c r="D42">
        <v>1823.83</v>
      </c>
    </row>
    <row r="43" spans="1:4" x14ac:dyDescent="0.25">
      <c r="A43" s="3">
        <v>45988</v>
      </c>
      <c r="B43" t="s">
        <v>13</v>
      </c>
      <c r="C43" t="s">
        <v>15</v>
      </c>
      <c r="D43">
        <v>-8212.65</v>
      </c>
    </row>
    <row r="44" spans="1:4" x14ac:dyDescent="0.25">
      <c r="A44" s="3">
        <v>45989</v>
      </c>
      <c r="B44" t="s">
        <v>13</v>
      </c>
      <c r="C44" t="s">
        <v>15</v>
      </c>
      <c r="D44">
        <v>-20206.509999999998</v>
      </c>
    </row>
    <row r="45" spans="1:4" x14ac:dyDescent="0.25">
      <c r="A45" s="3">
        <v>45992</v>
      </c>
      <c r="B45" t="s">
        <v>13</v>
      </c>
      <c r="C45" t="s">
        <v>14</v>
      </c>
      <c r="D45">
        <v>52118.95</v>
      </c>
    </row>
    <row r="46" spans="1:4" x14ac:dyDescent="0.25">
      <c r="A46" s="3">
        <v>45993</v>
      </c>
      <c r="B46" t="s">
        <v>13</v>
      </c>
      <c r="C46" t="s">
        <v>14</v>
      </c>
      <c r="D46">
        <v>2157.87</v>
      </c>
    </row>
    <row r="47" spans="1:4" x14ac:dyDescent="0.25">
      <c r="A47" s="3">
        <v>45994</v>
      </c>
      <c r="B47" t="s">
        <v>13</v>
      </c>
      <c r="C47" t="s">
        <v>15</v>
      </c>
      <c r="D47">
        <v>-8955.32</v>
      </c>
    </row>
    <row r="48" spans="1:4" x14ac:dyDescent="0.25">
      <c r="A48" s="3">
        <v>45995</v>
      </c>
      <c r="B48" t="s">
        <v>13</v>
      </c>
      <c r="C48" t="s">
        <v>14</v>
      </c>
      <c r="D48">
        <v>4755.0200000000004</v>
      </c>
    </row>
    <row r="49" spans="1:4" x14ac:dyDescent="0.25">
      <c r="A49" s="3">
        <v>45996</v>
      </c>
      <c r="B49" t="s">
        <v>13</v>
      </c>
      <c r="C49" t="s">
        <v>15</v>
      </c>
      <c r="D49">
        <v>-5080.09</v>
      </c>
    </row>
    <row r="50" spans="1:4" x14ac:dyDescent="0.25">
      <c r="A50" s="3">
        <v>45999</v>
      </c>
      <c r="B50" t="s">
        <v>13</v>
      </c>
      <c r="C50" t="s">
        <v>14</v>
      </c>
      <c r="D50">
        <v>5751.09</v>
      </c>
    </row>
    <row r="51" spans="1:4" x14ac:dyDescent="0.25">
      <c r="A51" s="3">
        <v>46002</v>
      </c>
      <c r="B51" t="s">
        <v>13</v>
      </c>
      <c r="C51" t="s">
        <v>15</v>
      </c>
      <c r="D51">
        <v>-10835.46</v>
      </c>
    </row>
    <row r="52" spans="1:4" x14ac:dyDescent="0.25">
      <c r="A52" s="3">
        <v>46003</v>
      </c>
      <c r="B52" t="s">
        <v>13</v>
      </c>
      <c r="C52" t="s">
        <v>15</v>
      </c>
      <c r="D52">
        <v>-3451.58</v>
      </c>
    </row>
    <row r="53" spans="1:4" x14ac:dyDescent="0.25">
      <c r="A53" s="3">
        <v>46035</v>
      </c>
      <c r="B53" t="s">
        <v>13</v>
      </c>
      <c r="C53" t="s">
        <v>15</v>
      </c>
      <c r="D53">
        <v>-4407.3</v>
      </c>
    </row>
    <row r="54" spans="1:4" x14ac:dyDescent="0.25">
      <c r="A54" s="3">
        <v>46041</v>
      </c>
      <c r="B54" t="s">
        <v>13</v>
      </c>
      <c r="C54" t="s">
        <v>14</v>
      </c>
      <c r="D54">
        <v>251.66</v>
      </c>
    </row>
    <row r="55" spans="1:4" x14ac:dyDescent="0.25">
      <c r="A55" s="3">
        <v>46049</v>
      </c>
      <c r="B55" t="s">
        <v>13</v>
      </c>
      <c r="C55" t="s">
        <v>14</v>
      </c>
      <c r="D55">
        <v>5039.8500000000004</v>
      </c>
    </row>
    <row r="56" spans="1:4" x14ac:dyDescent="0.25">
      <c r="A56" s="3">
        <v>46050</v>
      </c>
      <c r="B56" t="s">
        <v>13</v>
      </c>
      <c r="C56" t="s">
        <v>15</v>
      </c>
      <c r="D56">
        <v>-1558.27</v>
      </c>
    </row>
    <row r="57" spans="1:4" x14ac:dyDescent="0.25">
      <c r="A57" s="3">
        <v>46051</v>
      </c>
      <c r="B57" t="s">
        <v>13</v>
      </c>
      <c r="C57" t="s">
        <v>15</v>
      </c>
      <c r="D57">
        <v>-4163.88</v>
      </c>
    </row>
    <row r="58" spans="1:4" x14ac:dyDescent="0.25">
      <c r="A58" s="3">
        <v>46052</v>
      </c>
      <c r="B58" t="s">
        <v>13</v>
      </c>
      <c r="C58" t="s">
        <v>14</v>
      </c>
      <c r="D58">
        <v>5015.0600000000004</v>
      </c>
    </row>
    <row r="59" spans="1:4" x14ac:dyDescent="0.25">
      <c r="A59" s="3">
        <v>46054</v>
      </c>
      <c r="B59" t="s">
        <v>13</v>
      </c>
      <c r="C59" t="s">
        <v>14</v>
      </c>
      <c r="D59">
        <v>2156.11</v>
      </c>
    </row>
    <row r="60" spans="1:4" x14ac:dyDescent="0.25">
      <c r="A60" s="3">
        <v>46055</v>
      </c>
      <c r="B60" t="s">
        <v>13</v>
      </c>
      <c r="C60" t="s">
        <v>14</v>
      </c>
      <c r="D60">
        <v>5258.78</v>
      </c>
    </row>
    <row r="61" spans="1:4" x14ac:dyDescent="0.25">
      <c r="A61" s="3">
        <v>46056</v>
      </c>
      <c r="B61" t="s">
        <v>13</v>
      </c>
      <c r="C61" t="s">
        <v>15</v>
      </c>
      <c r="D61">
        <v>-5645.85</v>
      </c>
    </row>
    <row r="62" spans="1:4" x14ac:dyDescent="0.25">
      <c r="A62" s="3">
        <v>46057</v>
      </c>
      <c r="B62" t="s">
        <v>13</v>
      </c>
      <c r="C62" t="s">
        <v>14</v>
      </c>
      <c r="D62">
        <v>2123.87</v>
      </c>
    </row>
    <row r="63" spans="1:4" x14ac:dyDescent="0.25">
      <c r="A63" s="3">
        <v>46058</v>
      </c>
      <c r="B63" t="s">
        <v>13</v>
      </c>
      <c r="C63" t="s">
        <v>14</v>
      </c>
      <c r="D63">
        <v>2318.02</v>
      </c>
    </row>
    <row r="64" spans="1:4" x14ac:dyDescent="0.25">
      <c r="A64" s="3">
        <v>46064</v>
      </c>
      <c r="B64" t="s">
        <v>13</v>
      </c>
      <c r="C64" t="s">
        <v>15</v>
      </c>
      <c r="D64">
        <v>-3640.73</v>
      </c>
    </row>
    <row r="65" spans="1:4" x14ac:dyDescent="0.25">
      <c r="A65" s="3">
        <v>46065</v>
      </c>
      <c r="B65" t="s">
        <v>13</v>
      </c>
      <c r="C65" t="s">
        <v>15</v>
      </c>
      <c r="D65">
        <v>-4410.26</v>
      </c>
    </row>
    <row r="66" spans="1:4" x14ac:dyDescent="0.25">
      <c r="A66" s="3">
        <v>46069</v>
      </c>
      <c r="B66" t="s">
        <v>13</v>
      </c>
      <c r="C66" t="s">
        <v>14</v>
      </c>
      <c r="D66">
        <v>8075.9</v>
      </c>
    </row>
    <row r="67" spans="1:4" x14ac:dyDescent="0.25">
      <c r="A67" s="3">
        <v>46070</v>
      </c>
      <c r="B67" t="s">
        <v>13</v>
      </c>
      <c r="C67" t="s">
        <v>15</v>
      </c>
      <c r="D67">
        <v>-775.9</v>
      </c>
    </row>
    <row r="68" spans="1:4" x14ac:dyDescent="0.25">
      <c r="A68" s="3">
        <v>46071</v>
      </c>
      <c r="B68" t="s">
        <v>13</v>
      </c>
      <c r="C68" t="s">
        <v>14</v>
      </c>
      <c r="D68">
        <v>2906.64</v>
      </c>
    </row>
    <row r="69" spans="1:4" x14ac:dyDescent="0.25">
      <c r="A69" s="3">
        <v>46072</v>
      </c>
      <c r="B69" t="s">
        <v>13</v>
      </c>
      <c r="C69" t="s">
        <v>15</v>
      </c>
      <c r="D69">
        <v>-15179.48</v>
      </c>
    </row>
    <row r="70" spans="1:4" x14ac:dyDescent="0.25">
      <c r="A70" s="3">
        <v>46073</v>
      </c>
      <c r="B70" t="s">
        <v>13</v>
      </c>
      <c r="C70" t="s">
        <v>15</v>
      </c>
      <c r="D70">
        <v>-28445.58</v>
      </c>
    </row>
    <row r="71" spans="1:4" x14ac:dyDescent="0.25">
      <c r="A71" s="3">
        <v>46076</v>
      </c>
      <c r="B71" t="s">
        <v>13</v>
      </c>
      <c r="C71" t="s">
        <v>14</v>
      </c>
      <c r="D71">
        <v>27969</v>
      </c>
    </row>
    <row r="72" spans="1:4" x14ac:dyDescent="0.25">
      <c r="A72" s="3">
        <v>46077</v>
      </c>
      <c r="B72" t="s">
        <v>13</v>
      </c>
      <c r="C72" t="s">
        <v>14</v>
      </c>
      <c r="D72">
        <v>17209.240000000002</v>
      </c>
    </row>
    <row r="73" spans="1:4" x14ac:dyDescent="0.25">
      <c r="A73" s="3">
        <v>46078</v>
      </c>
      <c r="B73" t="s">
        <v>13</v>
      </c>
      <c r="C73" t="s">
        <v>14</v>
      </c>
      <c r="D73">
        <v>10940.01</v>
      </c>
    </row>
    <row r="74" spans="1:4" x14ac:dyDescent="0.25">
      <c r="A74" s="3">
        <v>46079</v>
      </c>
      <c r="B74" t="s">
        <v>13</v>
      </c>
      <c r="C74" t="s">
        <v>14</v>
      </c>
      <c r="D74">
        <v>752.37</v>
      </c>
    </row>
    <row r="75" spans="1:4" x14ac:dyDescent="0.25">
      <c r="A75" s="3">
        <v>46080</v>
      </c>
      <c r="B75" t="s">
        <v>13</v>
      </c>
      <c r="C75" t="s">
        <v>14</v>
      </c>
      <c r="D75">
        <v>15098.41</v>
      </c>
    </row>
    <row r="76" spans="1:4" x14ac:dyDescent="0.25">
      <c r="A76" s="3">
        <v>46083</v>
      </c>
      <c r="B76" t="s">
        <v>13</v>
      </c>
      <c r="C76" t="s">
        <v>14</v>
      </c>
      <c r="D76">
        <v>17186.810000000001</v>
      </c>
    </row>
    <row r="77" spans="1:4" x14ac:dyDescent="0.25">
      <c r="A77" s="3">
        <v>46087</v>
      </c>
      <c r="B77" t="s">
        <v>13</v>
      </c>
      <c r="C77" t="s">
        <v>14</v>
      </c>
      <c r="D77">
        <v>3583.89</v>
      </c>
    </row>
    <row r="78" spans="1:4" x14ac:dyDescent="0.25">
      <c r="A78" s="3">
        <v>46090</v>
      </c>
      <c r="B78" t="s">
        <v>13</v>
      </c>
      <c r="C78" t="s">
        <v>14</v>
      </c>
      <c r="D78">
        <v>25371.4</v>
      </c>
    </row>
    <row r="79" spans="1:4" x14ac:dyDescent="0.25">
      <c r="A79" s="3">
        <v>46092</v>
      </c>
      <c r="B79" t="s">
        <v>13</v>
      </c>
      <c r="C79" t="s">
        <v>14</v>
      </c>
      <c r="D79">
        <v>16938.580000000002</v>
      </c>
    </row>
    <row r="80" spans="1:4" x14ac:dyDescent="0.25">
      <c r="A80" s="3">
        <v>46093</v>
      </c>
      <c r="B80" t="s">
        <v>13</v>
      </c>
      <c r="C80" t="s">
        <v>14</v>
      </c>
      <c r="D80">
        <v>6674.35</v>
      </c>
    </row>
    <row r="81" spans="1:4" x14ac:dyDescent="0.25">
      <c r="A81" s="3">
        <v>46094</v>
      </c>
      <c r="B81" t="s">
        <v>13</v>
      </c>
      <c r="C81" t="s">
        <v>15</v>
      </c>
      <c r="D81">
        <v>-164329.53</v>
      </c>
    </row>
    <row r="82" spans="1:4" x14ac:dyDescent="0.25">
      <c r="A82" s="3">
        <v>46097</v>
      </c>
      <c r="B82" t="s">
        <v>13</v>
      </c>
      <c r="C82" t="s">
        <v>14</v>
      </c>
      <c r="D82">
        <v>32321.64</v>
      </c>
    </row>
    <row r="83" spans="1:4" x14ac:dyDescent="0.25">
      <c r="A83" s="3">
        <v>46098</v>
      </c>
      <c r="B83" t="s">
        <v>13</v>
      </c>
      <c r="C83" t="s">
        <v>15</v>
      </c>
      <c r="D83">
        <v>-22038.560000000001</v>
      </c>
    </row>
    <row r="84" spans="1:4" x14ac:dyDescent="0.25">
      <c r="A84" s="3">
        <v>46099</v>
      </c>
      <c r="B84" t="s">
        <v>13</v>
      </c>
      <c r="C84" t="s">
        <v>15</v>
      </c>
      <c r="D84">
        <v>-18180.5</v>
      </c>
    </row>
    <row r="85" spans="1:4" x14ac:dyDescent="0.25">
      <c r="A85" s="3">
        <v>46100</v>
      </c>
      <c r="B85" t="s">
        <v>13</v>
      </c>
      <c r="C85" t="s">
        <v>14</v>
      </c>
      <c r="D85">
        <v>29513</v>
      </c>
    </row>
    <row r="86" spans="1:4" x14ac:dyDescent="0.25">
      <c r="A86" s="3">
        <v>46101</v>
      </c>
      <c r="B86" t="s">
        <v>13</v>
      </c>
      <c r="C86" t="s">
        <v>14</v>
      </c>
      <c r="D86">
        <v>4248.66</v>
      </c>
    </row>
    <row r="87" spans="1:4" x14ac:dyDescent="0.25">
      <c r="A87" s="3">
        <v>46104</v>
      </c>
      <c r="B87" t="s">
        <v>13</v>
      </c>
      <c r="C87" t="s">
        <v>14</v>
      </c>
      <c r="D87">
        <v>19107.63</v>
      </c>
    </row>
    <row r="88" spans="1:4" x14ac:dyDescent="0.25">
      <c r="A88" s="3">
        <v>46105</v>
      </c>
      <c r="B88" t="s">
        <v>13</v>
      </c>
      <c r="C88" t="s">
        <v>14</v>
      </c>
      <c r="D88">
        <v>55307.58</v>
      </c>
    </row>
    <row r="89" spans="1:4" x14ac:dyDescent="0.25">
      <c r="A89" s="3">
        <v>46108</v>
      </c>
      <c r="B89" t="s">
        <v>13</v>
      </c>
      <c r="C89" t="s">
        <v>14</v>
      </c>
      <c r="D89">
        <v>21704.080000000002</v>
      </c>
    </row>
    <row r="90" spans="1:4" x14ac:dyDescent="0.25">
      <c r="A90" s="3">
        <v>46111</v>
      </c>
      <c r="B90" t="s">
        <v>13</v>
      </c>
      <c r="C90" t="s">
        <v>14</v>
      </c>
      <c r="D90">
        <v>24059.97</v>
      </c>
    </row>
    <row r="91" spans="1:4" x14ac:dyDescent="0.25">
      <c r="C91" t="s">
        <v>16</v>
      </c>
      <c r="D91">
        <v>-62499.360000000001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2026-06-23T11:37:50Z</dcterms:modified>
</cp:coreProperties>
</file>