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filterPrivacy="1" defaultThemeVersion="124226"/>
  <xr:revisionPtr revIDLastSave="304" documentId="11_8B301E05474D3570C383C5175971B21FE4B30281" xr6:coauthVersionLast="47" xr6:coauthVersionMax="47" xr10:uidLastSave="{03F5E3BC-B2EE-4549-9B24-A1C01F6A8014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definedNames>
    <definedName name="_xlnm.Print_Area" localSheetId="1">Sheet2!$A$1:$M$46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6" i="2" l="1"/>
  <c r="M46" i="2" s="1"/>
  <c r="M44" i="2"/>
  <c r="M42" i="2"/>
  <c r="M34" i="2"/>
  <c r="M24" i="2"/>
  <c r="M17" i="2"/>
  <c r="M13" i="2"/>
  <c r="M6" i="2"/>
  <c r="F46" i="2"/>
  <c r="F44" i="2"/>
  <c r="E44" i="2"/>
  <c r="K29" i="2"/>
  <c r="K28" i="2"/>
  <c r="K30" i="2"/>
  <c r="K31" i="2"/>
  <c r="K10" i="2"/>
  <c r="K19" i="2"/>
  <c r="K20" i="2"/>
  <c r="K21" i="2"/>
  <c r="K36" i="2"/>
  <c r="K37" i="2"/>
  <c r="K3" i="2"/>
  <c r="K4" i="2"/>
  <c r="K5" i="2"/>
  <c r="K6" i="2"/>
  <c r="K8" i="2"/>
  <c r="K9" i="2"/>
  <c r="K2" i="2"/>
  <c r="E26" i="2"/>
  <c r="F26" i="2" s="1"/>
  <c r="E23" i="2"/>
  <c r="E15" i="2"/>
  <c r="E16" i="2"/>
  <c r="E17" i="2"/>
  <c r="E12" i="2"/>
  <c r="E34" i="2"/>
  <c r="E33" i="2"/>
  <c r="E36" i="2"/>
  <c r="E37" i="2"/>
  <c r="E38" i="2"/>
  <c r="E39" i="2"/>
  <c r="E40" i="2"/>
  <c r="E41" i="2"/>
  <c r="E42" i="2"/>
  <c r="E24" i="2"/>
  <c r="E28" i="2"/>
  <c r="E29" i="2"/>
  <c r="E30" i="2"/>
  <c r="E31" i="2"/>
  <c r="E32" i="2"/>
  <c r="E13" i="2"/>
  <c r="E19" i="2"/>
  <c r="E20" i="2"/>
  <c r="E21" i="2"/>
  <c r="E22" i="2"/>
  <c r="E8" i="2"/>
  <c r="E9" i="2"/>
  <c r="E10" i="2"/>
  <c r="E11" i="2"/>
  <c r="E3" i="2"/>
  <c r="E4" i="2"/>
  <c r="E5" i="2"/>
  <c r="E6" i="2"/>
  <c r="E2" i="2"/>
  <c r="L24" i="2" l="1"/>
  <c r="L34" i="2"/>
  <c r="L6" i="2"/>
  <c r="L42" i="2"/>
  <c r="L13" i="2"/>
  <c r="L46" i="2" s="1"/>
  <c r="F17" i="2"/>
  <c r="F6" i="2"/>
  <c r="F42" i="2"/>
  <c r="F34" i="2"/>
  <c r="F24" i="2"/>
  <c r="F13" i="2"/>
  <c r="J22" i="1"/>
  <c r="J24" i="1"/>
  <c r="J23" i="1"/>
  <c r="J20" i="1"/>
  <c r="J21" i="1"/>
  <c r="F21" i="1"/>
  <c r="F22" i="1"/>
  <c r="F23" i="1"/>
  <c r="K23" i="1" s="1"/>
  <c r="F24" i="1"/>
  <c r="F20" i="1"/>
  <c r="J17" i="1"/>
  <c r="J16" i="1"/>
  <c r="J15" i="1"/>
  <c r="F15" i="1"/>
  <c r="F16" i="1"/>
  <c r="K16" i="1" s="1"/>
  <c r="F17" i="1"/>
  <c r="K17" i="1" s="1"/>
  <c r="F18" i="1"/>
  <c r="K18" i="1" s="1"/>
  <c r="F14" i="1"/>
  <c r="J11" i="1"/>
  <c r="J10" i="1"/>
  <c r="F9" i="1"/>
  <c r="F10" i="1"/>
  <c r="K10" i="1" s="1"/>
  <c r="F11" i="1"/>
  <c r="K11" i="1" s="1"/>
  <c r="F12" i="1"/>
  <c r="K12" i="1" s="1"/>
  <c r="F8" i="1"/>
  <c r="F13" i="1" s="1"/>
  <c r="F3" i="1"/>
  <c r="F4" i="1"/>
  <c r="F5" i="1"/>
  <c r="F6" i="1"/>
  <c r="K6" i="1" s="1"/>
  <c r="F2" i="1"/>
  <c r="K2" i="1" s="1"/>
  <c r="P11" i="1"/>
  <c r="J9" i="1"/>
  <c r="J8" i="1"/>
  <c r="J5" i="1"/>
  <c r="J4" i="1"/>
  <c r="J3" i="1"/>
  <c r="J2" i="1"/>
  <c r="K15" i="1" l="1"/>
  <c r="K21" i="1"/>
  <c r="F25" i="1"/>
  <c r="F19" i="1"/>
  <c r="K20" i="1"/>
  <c r="K24" i="1"/>
  <c r="K22" i="1"/>
  <c r="K9" i="1"/>
  <c r="K14" i="1"/>
  <c r="K19" i="1" s="1"/>
  <c r="M19" i="1" s="1"/>
  <c r="K5" i="1"/>
  <c r="K4" i="1"/>
  <c r="K8" i="1"/>
  <c r="F7" i="1"/>
  <c r="F27" i="1" s="1"/>
  <c r="F29" i="1" s="1"/>
  <c r="K3" i="1"/>
  <c r="K7" i="1" s="1"/>
  <c r="M7" i="1" s="1"/>
  <c r="K25" i="1" l="1"/>
  <c r="M25" i="1" s="1"/>
  <c r="K13" i="1"/>
  <c r="M13" i="1" l="1"/>
  <c r="O1" i="1" s="1"/>
  <c r="N1" i="1"/>
  <c r="R1" i="1" s="1"/>
</calcChain>
</file>

<file path=xl/sharedStrings.xml><?xml version="1.0" encoding="utf-8"?>
<sst xmlns="http://schemas.openxmlformats.org/spreadsheetml/2006/main" count="117" uniqueCount="44">
  <si>
    <t>Hall</t>
  </si>
  <si>
    <t>Room</t>
  </si>
  <si>
    <t>Length</t>
  </si>
  <si>
    <t>Width</t>
  </si>
  <si>
    <t>Wall</t>
  </si>
  <si>
    <t>West Wall</t>
  </si>
  <si>
    <t>Height</t>
  </si>
  <si>
    <t>South Wall</t>
  </si>
  <si>
    <t>North Wall</t>
  </si>
  <si>
    <t>East Wall</t>
  </si>
  <si>
    <t>Ceiling</t>
  </si>
  <si>
    <t>Doors/Windows</t>
  </si>
  <si>
    <t>Opening</t>
  </si>
  <si>
    <t>Net Sqft</t>
  </si>
  <si>
    <t>Window</t>
  </si>
  <si>
    <t>Doors</t>
  </si>
  <si>
    <t>Door and Window</t>
  </si>
  <si>
    <t>Opening and Bath Door</t>
  </si>
  <si>
    <t>Door</t>
  </si>
  <si>
    <t>Bedroom1</t>
  </si>
  <si>
    <t>Bedroom2</t>
  </si>
  <si>
    <t>Bath Door</t>
  </si>
  <si>
    <t>Dining</t>
  </si>
  <si>
    <t>Total</t>
  </si>
  <si>
    <t>Kitchen</t>
  </si>
  <si>
    <t>Loft</t>
  </si>
  <si>
    <t>Loft1</t>
  </si>
  <si>
    <t>Loft2</t>
  </si>
  <si>
    <t>Partition</t>
  </si>
  <si>
    <t>Bathroom1</t>
  </si>
  <si>
    <t>Top1</t>
  </si>
  <si>
    <t>Top2</t>
  </si>
  <si>
    <t>Bathroom2</t>
  </si>
  <si>
    <t>Doors/Windows/Open</t>
  </si>
  <si>
    <t>Main Door</t>
  </si>
  <si>
    <t>Bedroom Doors</t>
  </si>
  <si>
    <t>Qty</t>
  </si>
  <si>
    <t>Windows</t>
  </si>
  <si>
    <t>Dining Entrance Top</t>
  </si>
  <si>
    <t>Dining Entrance Bottom</t>
  </si>
  <si>
    <t>Bathroom Door</t>
  </si>
  <si>
    <t>Kitchen Entrance</t>
  </si>
  <si>
    <t>Entrance</t>
  </si>
  <si>
    <t>Outer Bathroom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</si>
</sst>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workbookViewId="0">
      <selection activeCell="G1" sqref="G1"/>
    </sheetView>
  </sheetViews>
  <sheetFormatPr defaultRowHeight="15" x14ac:dyDescent="0.25"/>
  <cols>
    <col min="1" max="1" width="10.140625" bestFit="1" customWidth="1"/>
    <col min="2" max="2" width="10.5703125" bestFit="1" customWidth="1"/>
    <col min="7" max="7" width="21.85546875" bestFit="1" customWidth="1"/>
  </cols>
  <sheetData>
    <row r="1" spans="1:18" x14ac:dyDescent="0.25">
      <c r="A1" t="s">
        <v>1</v>
      </c>
      <c r="B1" t="s">
        <v>4</v>
      </c>
      <c r="C1" t="s">
        <v>2</v>
      </c>
      <c r="D1" t="s">
        <v>3</v>
      </c>
      <c r="E1" t="s">
        <v>6</v>
      </c>
      <c r="G1" t="s">
        <v>11</v>
      </c>
      <c r="K1" t="s">
        <v>13</v>
      </c>
      <c r="N1">
        <f>K7+K13+K19+K25</f>
        <v>2321</v>
      </c>
      <c r="O1">
        <f>SUM(M:M)</f>
        <v>23210</v>
      </c>
      <c r="Q1">
        <v>15</v>
      </c>
      <c r="R1">
        <f>N1/Q1</f>
        <v>154.73333333333332</v>
      </c>
    </row>
    <row r="2" spans="1:18" x14ac:dyDescent="0.25">
      <c r="A2" t="s">
        <v>0</v>
      </c>
      <c r="B2" t="s">
        <v>7</v>
      </c>
      <c r="C2">
        <v>17</v>
      </c>
      <c r="D2">
        <v>1</v>
      </c>
      <c r="E2">
        <v>10</v>
      </c>
      <c r="F2">
        <f>C2*D2*E2</f>
        <v>170</v>
      </c>
      <c r="G2" t="s">
        <v>12</v>
      </c>
      <c r="H2">
        <v>24</v>
      </c>
      <c r="I2">
        <v>12</v>
      </c>
      <c r="J2">
        <f>H2+I2</f>
        <v>36</v>
      </c>
      <c r="K2">
        <f>F2-J2</f>
        <v>134</v>
      </c>
    </row>
    <row r="3" spans="1:18" x14ac:dyDescent="0.25">
      <c r="B3" t="s">
        <v>8</v>
      </c>
      <c r="C3">
        <v>17</v>
      </c>
      <c r="D3">
        <v>1</v>
      </c>
      <c r="E3">
        <v>10</v>
      </c>
      <c r="F3">
        <f t="shared" ref="F3:F6" si="0">C3*D3*E3</f>
        <v>170</v>
      </c>
      <c r="G3" t="s">
        <v>14</v>
      </c>
      <c r="H3">
        <v>20</v>
      </c>
      <c r="I3">
        <v>0</v>
      </c>
      <c r="J3">
        <f>H3+I3</f>
        <v>20</v>
      </c>
      <c r="K3">
        <f>F3-J3</f>
        <v>150</v>
      </c>
    </row>
    <row r="4" spans="1:18" x14ac:dyDescent="0.25">
      <c r="B4" t="s">
        <v>5</v>
      </c>
      <c r="C4">
        <v>16</v>
      </c>
      <c r="D4">
        <v>1</v>
      </c>
      <c r="E4">
        <v>10</v>
      </c>
      <c r="F4">
        <f t="shared" si="0"/>
        <v>160</v>
      </c>
      <c r="G4" t="s">
        <v>15</v>
      </c>
      <c r="H4">
        <v>21</v>
      </c>
      <c r="I4">
        <v>21</v>
      </c>
      <c r="J4">
        <f>H4+I4</f>
        <v>42</v>
      </c>
      <c r="K4">
        <f>F4-J4</f>
        <v>118</v>
      </c>
    </row>
    <row r="5" spans="1:18" x14ac:dyDescent="0.25">
      <c r="B5" t="s">
        <v>9</v>
      </c>
      <c r="C5">
        <v>16</v>
      </c>
      <c r="D5">
        <v>1</v>
      </c>
      <c r="E5">
        <v>10</v>
      </c>
      <c r="F5">
        <f t="shared" si="0"/>
        <v>160</v>
      </c>
      <c r="G5" t="s">
        <v>16</v>
      </c>
      <c r="H5">
        <v>20</v>
      </c>
      <c r="I5">
        <v>35</v>
      </c>
      <c r="J5">
        <f>H5+I5</f>
        <v>55</v>
      </c>
      <c r="K5">
        <f>F5-J5</f>
        <v>105</v>
      </c>
    </row>
    <row r="6" spans="1:18" x14ac:dyDescent="0.25">
      <c r="B6" t="s">
        <v>10</v>
      </c>
      <c r="C6">
        <v>16</v>
      </c>
      <c r="D6">
        <v>17</v>
      </c>
      <c r="E6">
        <v>1</v>
      </c>
      <c r="F6">
        <f t="shared" si="0"/>
        <v>272</v>
      </c>
      <c r="K6">
        <f>F6-J6</f>
        <v>272</v>
      </c>
    </row>
    <row r="7" spans="1:18" x14ac:dyDescent="0.25">
      <c r="F7" s="1">
        <f>SUM(F2:F6)</f>
        <v>932</v>
      </c>
      <c r="K7" s="1">
        <f>SUM(K2:K6)</f>
        <v>779</v>
      </c>
      <c r="L7">
        <v>10</v>
      </c>
      <c r="M7">
        <f>K7*L7</f>
        <v>7790</v>
      </c>
    </row>
    <row r="8" spans="1:18" x14ac:dyDescent="0.25">
      <c r="A8" t="s">
        <v>19</v>
      </c>
      <c r="B8" t="s">
        <v>7</v>
      </c>
      <c r="C8">
        <v>11</v>
      </c>
      <c r="D8">
        <v>1</v>
      </c>
      <c r="E8">
        <v>10</v>
      </c>
      <c r="F8">
        <f>C8*D8*E8</f>
        <v>110</v>
      </c>
      <c r="G8" t="s">
        <v>14</v>
      </c>
      <c r="H8">
        <v>12</v>
      </c>
      <c r="I8">
        <v>0</v>
      </c>
      <c r="J8">
        <f>H8+I8</f>
        <v>12</v>
      </c>
      <c r="K8">
        <f>F8-J8</f>
        <v>98</v>
      </c>
    </row>
    <row r="9" spans="1:18" x14ac:dyDescent="0.25">
      <c r="B9" t="s">
        <v>8</v>
      </c>
      <c r="C9">
        <v>11</v>
      </c>
      <c r="D9">
        <v>1</v>
      </c>
      <c r="E9">
        <v>10</v>
      </c>
      <c r="F9">
        <f t="shared" ref="F9:F12" si="1">C9*D9*E9</f>
        <v>110</v>
      </c>
      <c r="G9" t="s">
        <v>17</v>
      </c>
      <c r="H9">
        <v>9</v>
      </c>
      <c r="I9">
        <v>21</v>
      </c>
      <c r="J9">
        <f>H9+I9</f>
        <v>30</v>
      </c>
      <c r="K9">
        <f>F9-J9</f>
        <v>80</v>
      </c>
      <c r="P9">
        <v>5.5</v>
      </c>
    </row>
    <row r="10" spans="1:18" x14ac:dyDescent="0.25">
      <c r="B10" t="s">
        <v>5</v>
      </c>
      <c r="C10">
        <v>16.5</v>
      </c>
      <c r="D10">
        <v>1</v>
      </c>
      <c r="E10">
        <v>10</v>
      </c>
      <c r="F10">
        <f t="shared" si="1"/>
        <v>165</v>
      </c>
      <c r="G10" t="s">
        <v>14</v>
      </c>
      <c r="H10">
        <v>12</v>
      </c>
      <c r="I10">
        <v>0</v>
      </c>
      <c r="J10">
        <f>H10+I10</f>
        <v>12</v>
      </c>
      <c r="K10">
        <f>F10-J10</f>
        <v>153</v>
      </c>
      <c r="P10">
        <v>5.5</v>
      </c>
    </row>
    <row r="11" spans="1:18" x14ac:dyDescent="0.25">
      <c r="B11" t="s">
        <v>9</v>
      </c>
      <c r="C11">
        <v>17</v>
      </c>
      <c r="D11">
        <v>1</v>
      </c>
      <c r="E11">
        <v>10</v>
      </c>
      <c r="F11">
        <f t="shared" si="1"/>
        <v>170</v>
      </c>
      <c r="G11" t="s">
        <v>18</v>
      </c>
      <c r="H11">
        <v>21</v>
      </c>
      <c r="I11">
        <v>0</v>
      </c>
      <c r="J11">
        <f>H11+I11</f>
        <v>21</v>
      </c>
      <c r="K11">
        <f>F11-J11</f>
        <v>149</v>
      </c>
      <c r="P11">
        <f>P9*P10</f>
        <v>30.25</v>
      </c>
    </row>
    <row r="12" spans="1:18" x14ac:dyDescent="0.25">
      <c r="B12" t="s">
        <v>10</v>
      </c>
      <c r="C12">
        <v>17</v>
      </c>
      <c r="D12">
        <v>11</v>
      </c>
      <c r="E12">
        <v>1</v>
      </c>
      <c r="F12">
        <f t="shared" si="1"/>
        <v>187</v>
      </c>
      <c r="K12">
        <f>F12-J12</f>
        <v>187</v>
      </c>
    </row>
    <row r="13" spans="1:18" x14ac:dyDescent="0.25">
      <c r="F13" s="1">
        <f>SUM(F8:F12)</f>
        <v>742</v>
      </c>
      <c r="K13" s="1">
        <f>SUM(K8:K12)</f>
        <v>667</v>
      </c>
      <c r="L13">
        <v>10</v>
      </c>
      <c r="M13">
        <f>K13*L13</f>
        <v>6670</v>
      </c>
    </row>
    <row r="14" spans="1:18" x14ac:dyDescent="0.25">
      <c r="A14" t="s">
        <v>20</v>
      </c>
      <c r="B14" t="s">
        <v>7</v>
      </c>
      <c r="C14">
        <v>11</v>
      </c>
      <c r="D14">
        <v>1</v>
      </c>
      <c r="E14">
        <v>10</v>
      </c>
      <c r="F14">
        <f>C14*D14*E14</f>
        <v>110</v>
      </c>
      <c r="K14">
        <f>F14-J14</f>
        <v>110</v>
      </c>
    </row>
    <row r="15" spans="1:18" x14ac:dyDescent="0.25">
      <c r="B15" t="s">
        <v>8</v>
      </c>
      <c r="C15">
        <v>11</v>
      </c>
      <c r="D15">
        <v>1</v>
      </c>
      <c r="E15">
        <v>10</v>
      </c>
      <c r="F15">
        <f t="shared" ref="F15:F18" si="2">C15*D15*E15</f>
        <v>110</v>
      </c>
      <c r="G15" t="s">
        <v>21</v>
      </c>
      <c r="H15">
        <v>21</v>
      </c>
      <c r="I15">
        <v>0</v>
      </c>
      <c r="J15">
        <f>H15+I15</f>
        <v>21</v>
      </c>
      <c r="K15">
        <f>F15-J15</f>
        <v>89</v>
      </c>
    </row>
    <row r="16" spans="1:18" x14ac:dyDescent="0.25">
      <c r="B16" t="s">
        <v>5</v>
      </c>
      <c r="C16">
        <v>10</v>
      </c>
      <c r="D16">
        <v>1</v>
      </c>
      <c r="E16">
        <v>10</v>
      </c>
      <c r="F16">
        <f t="shared" si="2"/>
        <v>100</v>
      </c>
      <c r="G16" t="s">
        <v>14</v>
      </c>
      <c r="H16">
        <v>12</v>
      </c>
      <c r="I16">
        <v>0</v>
      </c>
      <c r="J16">
        <f>H16+I16</f>
        <v>12</v>
      </c>
      <c r="K16">
        <f>F16-J16</f>
        <v>88</v>
      </c>
    </row>
    <row r="17" spans="1:13" x14ac:dyDescent="0.25">
      <c r="B17" t="s">
        <v>9</v>
      </c>
      <c r="C17">
        <v>10</v>
      </c>
      <c r="D17">
        <v>1</v>
      </c>
      <c r="E17">
        <v>10</v>
      </c>
      <c r="F17">
        <f t="shared" si="2"/>
        <v>100</v>
      </c>
      <c r="G17" t="s">
        <v>18</v>
      </c>
      <c r="H17">
        <v>21</v>
      </c>
      <c r="I17">
        <v>0</v>
      </c>
      <c r="J17">
        <f>H17+I17</f>
        <v>21</v>
      </c>
      <c r="K17">
        <f>F17-J17</f>
        <v>79</v>
      </c>
    </row>
    <row r="18" spans="1:13" x14ac:dyDescent="0.25">
      <c r="B18" t="s">
        <v>10</v>
      </c>
      <c r="C18">
        <v>11</v>
      </c>
      <c r="D18">
        <v>10</v>
      </c>
      <c r="E18">
        <v>1</v>
      </c>
      <c r="F18">
        <f t="shared" si="2"/>
        <v>110</v>
      </c>
      <c r="J18">
        <v>0</v>
      </c>
      <c r="K18">
        <f>F18-J18</f>
        <v>110</v>
      </c>
    </row>
    <row r="19" spans="1:13" x14ac:dyDescent="0.25">
      <c r="F19" s="1">
        <f>SUM(F14:F18)</f>
        <v>530</v>
      </c>
      <c r="K19" s="1">
        <f>SUM(K14:K18)</f>
        <v>476</v>
      </c>
      <c r="L19">
        <v>10</v>
      </c>
      <c r="M19">
        <f>K19*L19</f>
        <v>4760</v>
      </c>
    </row>
    <row r="20" spans="1:13" x14ac:dyDescent="0.25">
      <c r="A20" t="s">
        <v>22</v>
      </c>
      <c r="B20" t="s">
        <v>7</v>
      </c>
      <c r="C20">
        <v>8</v>
      </c>
      <c r="D20">
        <v>1</v>
      </c>
      <c r="E20">
        <v>10</v>
      </c>
      <c r="F20">
        <f>C20*D20*E20</f>
        <v>80</v>
      </c>
      <c r="G20" t="s">
        <v>14</v>
      </c>
      <c r="H20">
        <v>12</v>
      </c>
      <c r="I20">
        <v>0</v>
      </c>
      <c r="J20">
        <f>H20+I20</f>
        <v>12</v>
      </c>
      <c r="K20">
        <f>F20-J20</f>
        <v>68</v>
      </c>
    </row>
    <row r="21" spans="1:13" x14ac:dyDescent="0.25">
      <c r="B21" t="s">
        <v>8</v>
      </c>
      <c r="C21">
        <v>8</v>
      </c>
      <c r="D21">
        <v>1</v>
      </c>
      <c r="E21">
        <v>10</v>
      </c>
      <c r="F21">
        <f t="shared" ref="F21:F24" si="3">C21*D21*E21</f>
        <v>80</v>
      </c>
      <c r="G21" t="s">
        <v>12</v>
      </c>
      <c r="H21">
        <v>24</v>
      </c>
      <c r="I21">
        <v>12</v>
      </c>
      <c r="J21">
        <f>H21+I21</f>
        <v>36</v>
      </c>
      <c r="K21">
        <f>F21-J21</f>
        <v>44</v>
      </c>
    </row>
    <row r="22" spans="1:13" x14ac:dyDescent="0.25">
      <c r="B22" t="s">
        <v>5</v>
      </c>
      <c r="C22">
        <v>11</v>
      </c>
      <c r="D22">
        <v>1</v>
      </c>
      <c r="E22">
        <v>10</v>
      </c>
      <c r="F22">
        <f t="shared" si="3"/>
        <v>110</v>
      </c>
      <c r="J22">
        <f>H22+I22</f>
        <v>0</v>
      </c>
      <c r="K22">
        <f>F22-J22</f>
        <v>110</v>
      </c>
    </row>
    <row r="23" spans="1:13" x14ac:dyDescent="0.25">
      <c r="B23" t="s">
        <v>9</v>
      </c>
      <c r="C23">
        <v>11</v>
      </c>
      <c r="D23">
        <v>1</v>
      </c>
      <c r="E23">
        <v>10</v>
      </c>
      <c r="F23">
        <f t="shared" si="3"/>
        <v>110</v>
      </c>
      <c r="G23" t="s">
        <v>18</v>
      </c>
      <c r="H23">
        <v>21</v>
      </c>
      <c r="J23">
        <f>H23+I23</f>
        <v>21</v>
      </c>
      <c r="K23">
        <f>F23-J23</f>
        <v>89</v>
      </c>
    </row>
    <row r="24" spans="1:13" x14ac:dyDescent="0.25">
      <c r="B24" t="s">
        <v>10</v>
      </c>
      <c r="C24">
        <v>8</v>
      </c>
      <c r="D24">
        <v>11</v>
      </c>
      <c r="E24">
        <v>1</v>
      </c>
      <c r="F24">
        <f t="shared" si="3"/>
        <v>88</v>
      </c>
      <c r="J24">
        <f>H24+I24</f>
        <v>0</v>
      </c>
      <c r="K24">
        <f>F24-J24</f>
        <v>88</v>
      </c>
    </row>
    <row r="25" spans="1:13" x14ac:dyDescent="0.25">
      <c r="F25">
        <f>SUM(F20:F24)</f>
        <v>468</v>
      </c>
      <c r="K25">
        <f>SUM(K20:K24)</f>
        <v>399</v>
      </c>
      <c r="L25">
        <v>10</v>
      </c>
      <c r="M25">
        <f>K25*L25</f>
        <v>3990</v>
      </c>
    </row>
    <row r="27" spans="1:13" x14ac:dyDescent="0.25">
      <c r="F27">
        <f>F7+F13+F19+F25</f>
        <v>2672</v>
      </c>
    </row>
    <row r="28" spans="1:13" x14ac:dyDescent="0.25">
      <c r="F28">
        <v>17</v>
      </c>
    </row>
    <row r="29" spans="1:13" x14ac:dyDescent="0.25">
      <c r="F29">
        <f>F27*F28</f>
        <v>45424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15F9-937A-4A5F-92BC-B691864970CD}">
  <sheetPr>
    <pageSetUpPr fitToPage="1"/>
  </sheetPr>
  <dimension ref="A1:M46"/>
  <sheetViews>
    <sheetView tabSelected="1" topLeftCell="A35" workbookViewId="0">
      <selection activeCell="M46" sqref="A1:M46"/>
    </sheetView>
  </sheetViews>
  <sheetFormatPr defaultRowHeight="15" x14ac:dyDescent="0.25"/>
  <cols>
    <col min="1" max="1" width="15.42578125" bestFit="1" customWidth="1"/>
    <col min="2" max="2" width="10.5703125" bestFit="1" customWidth="1"/>
    <col min="3" max="3" width="7" bestFit="1" customWidth="1"/>
    <col min="4" max="4" width="6.42578125" bestFit="1" customWidth="1"/>
    <col min="7" max="7" width="23.28515625" customWidth="1"/>
  </cols>
  <sheetData>
    <row r="1" spans="1:13" x14ac:dyDescent="0.25">
      <c r="A1" s="2" t="s">
        <v>1</v>
      </c>
      <c r="B1" s="2" t="s">
        <v>4</v>
      </c>
      <c r="C1" s="2" t="s">
        <v>2</v>
      </c>
      <c r="D1" s="2" t="s">
        <v>3</v>
      </c>
      <c r="E1" s="3" t="s">
        <v>23</v>
      </c>
      <c r="F1" s="2"/>
      <c r="G1" s="2" t="s">
        <v>33</v>
      </c>
      <c r="H1" s="2" t="s">
        <v>2</v>
      </c>
      <c r="I1" s="2" t="s">
        <v>3</v>
      </c>
      <c r="J1" s="2" t="s">
        <v>36</v>
      </c>
      <c r="K1" s="3" t="s">
        <v>23</v>
      </c>
      <c r="L1" s="2"/>
    </row>
    <row r="2" spans="1:13" x14ac:dyDescent="0.25">
      <c r="A2" s="2" t="s">
        <v>0</v>
      </c>
      <c r="B2" s="2" t="s">
        <v>7</v>
      </c>
      <c r="C2" s="2">
        <v>17</v>
      </c>
      <c r="D2" s="2">
        <v>10</v>
      </c>
      <c r="E2" s="2">
        <f>C2*D2</f>
        <v>170</v>
      </c>
      <c r="F2" s="2"/>
      <c r="G2" s="2" t="s">
        <v>34</v>
      </c>
      <c r="H2" s="2">
        <v>7</v>
      </c>
      <c r="I2" s="2">
        <v>5</v>
      </c>
      <c r="J2" s="2">
        <v>1</v>
      </c>
      <c r="K2" s="2">
        <f>H2*I2*J2</f>
        <v>35</v>
      </c>
      <c r="L2" s="2"/>
    </row>
    <row r="3" spans="1:13" x14ac:dyDescent="0.25">
      <c r="A3" s="2"/>
      <c r="B3" s="2" t="s">
        <v>8</v>
      </c>
      <c r="C3" s="2">
        <v>17</v>
      </c>
      <c r="D3" s="2">
        <v>10</v>
      </c>
      <c r="E3" s="2">
        <f t="shared" ref="E3:E44" si="0">C3*D3</f>
        <v>170</v>
      </c>
      <c r="F3" s="2"/>
      <c r="G3" s="2" t="s">
        <v>35</v>
      </c>
      <c r="H3" s="2">
        <v>7</v>
      </c>
      <c r="I3" s="2">
        <v>3</v>
      </c>
      <c r="J3" s="2">
        <v>2</v>
      </c>
      <c r="K3" s="2">
        <f t="shared" ref="K3:K37" si="1">H3*I3*J3</f>
        <v>42</v>
      </c>
      <c r="L3" s="2"/>
    </row>
    <row r="4" spans="1:13" x14ac:dyDescent="0.25">
      <c r="A4" s="2"/>
      <c r="B4" s="2" t="s">
        <v>5</v>
      </c>
      <c r="C4" s="2">
        <v>16</v>
      </c>
      <c r="D4" s="2">
        <v>10</v>
      </c>
      <c r="E4" s="2">
        <f t="shared" si="0"/>
        <v>160</v>
      </c>
      <c r="F4" s="2"/>
      <c r="G4" s="2" t="s">
        <v>37</v>
      </c>
      <c r="H4" s="2">
        <v>5</v>
      </c>
      <c r="I4" s="2">
        <v>4</v>
      </c>
      <c r="J4" s="2">
        <v>2</v>
      </c>
      <c r="K4" s="2">
        <f t="shared" si="1"/>
        <v>40</v>
      </c>
      <c r="L4" s="2"/>
    </row>
    <row r="5" spans="1:13" x14ac:dyDescent="0.25">
      <c r="A5" s="2"/>
      <c r="B5" s="2" t="s">
        <v>9</v>
      </c>
      <c r="C5" s="2">
        <v>16</v>
      </c>
      <c r="D5" s="2">
        <v>10</v>
      </c>
      <c r="E5" s="2">
        <f t="shared" si="0"/>
        <v>160</v>
      </c>
      <c r="F5" s="2"/>
      <c r="G5" s="2" t="s">
        <v>38</v>
      </c>
      <c r="H5" s="2">
        <v>4</v>
      </c>
      <c r="I5" s="2">
        <v>8</v>
      </c>
      <c r="J5" s="2">
        <v>1</v>
      </c>
      <c r="K5" s="2">
        <f t="shared" si="1"/>
        <v>32</v>
      </c>
      <c r="L5" s="2"/>
    </row>
    <row r="6" spans="1:13" x14ac:dyDescent="0.25">
      <c r="A6" s="2"/>
      <c r="B6" s="2" t="s">
        <v>10</v>
      </c>
      <c r="C6" s="2">
        <v>16</v>
      </c>
      <c r="D6" s="2">
        <v>17</v>
      </c>
      <c r="E6" s="2">
        <f t="shared" si="0"/>
        <v>272</v>
      </c>
      <c r="F6" s="4">
        <f>SUM(E2:E6)</f>
        <v>932</v>
      </c>
      <c r="G6" s="2" t="s">
        <v>39</v>
      </c>
      <c r="H6" s="2">
        <v>3</v>
      </c>
      <c r="I6" s="2">
        <v>5</v>
      </c>
      <c r="J6" s="2">
        <v>1</v>
      </c>
      <c r="K6" s="2">
        <f t="shared" si="1"/>
        <v>15</v>
      </c>
      <c r="L6" s="4">
        <f>SUM(K2:K6)</f>
        <v>164</v>
      </c>
      <c r="M6" s="4">
        <f>F6-L6</f>
        <v>768</v>
      </c>
    </row>
    <row r="8" spans="1:13" x14ac:dyDescent="0.25">
      <c r="A8" s="2" t="s">
        <v>19</v>
      </c>
      <c r="B8" s="2" t="s">
        <v>7</v>
      </c>
      <c r="C8" s="2">
        <v>11</v>
      </c>
      <c r="D8" s="2">
        <v>10</v>
      </c>
      <c r="E8" s="2">
        <f t="shared" si="0"/>
        <v>110</v>
      </c>
      <c r="F8" s="2"/>
      <c r="G8" s="2" t="s">
        <v>18</v>
      </c>
      <c r="H8" s="2">
        <v>7</v>
      </c>
      <c r="I8" s="2">
        <v>3</v>
      </c>
      <c r="J8" s="2">
        <v>1</v>
      </c>
      <c r="K8" s="2">
        <f t="shared" si="1"/>
        <v>21</v>
      </c>
      <c r="L8" s="2"/>
    </row>
    <row r="9" spans="1:13" x14ac:dyDescent="0.25">
      <c r="A9" s="2"/>
      <c r="B9" s="2" t="s">
        <v>8</v>
      </c>
      <c r="C9" s="2">
        <v>11</v>
      </c>
      <c r="D9" s="2">
        <v>10</v>
      </c>
      <c r="E9" s="2">
        <f t="shared" si="0"/>
        <v>110</v>
      </c>
      <c r="F9" s="2"/>
      <c r="G9" s="2" t="s">
        <v>37</v>
      </c>
      <c r="H9" s="2">
        <v>4</v>
      </c>
      <c r="I9" s="2">
        <v>3</v>
      </c>
      <c r="J9" s="2">
        <v>2</v>
      </c>
      <c r="K9" s="2">
        <f t="shared" si="1"/>
        <v>24</v>
      </c>
      <c r="L9" s="2"/>
    </row>
    <row r="10" spans="1:13" x14ac:dyDescent="0.25">
      <c r="A10" s="2"/>
      <c r="B10" s="2" t="s">
        <v>5</v>
      </c>
      <c r="C10" s="2">
        <v>17</v>
      </c>
      <c r="D10" s="2">
        <v>10</v>
      </c>
      <c r="E10" s="2">
        <f t="shared" si="0"/>
        <v>170</v>
      </c>
      <c r="F10" s="2"/>
      <c r="G10" s="2" t="s">
        <v>40</v>
      </c>
      <c r="H10" s="2">
        <v>7</v>
      </c>
      <c r="I10" s="2">
        <v>2.5</v>
      </c>
      <c r="J10" s="2">
        <v>1</v>
      </c>
      <c r="K10" s="2">
        <f t="shared" si="1"/>
        <v>17.5</v>
      </c>
      <c r="L10" s="2"/>
    </row>
    <row r="11" spans="1:13" x14ac:dyDescent="0.25">
      <c r="A11" s="2"/>
      <c r="B11" s="2" t="s">
        <v>9</v>
      </c>
      <c r="C11" s="2">
        <v>17</v>
      </c>
      <c r="D11" s="2">
        <v>10</v>
      </c>
      <c r="E11" s="2">
        <f t="shared" si="0"/>
        <v>170</v>
      </c>
      <c r="F11" s="2"/>
      <c r="G11" s="2"/>
      <c r="H11" s="2"/>
      <c r="I11" s="2"/>
      <c r="J11" s="2"/>
      <c r="K11" s="2"/>
      <c r="L11" s="2"/>
    </row>
    <row r="12" spans="1:13" x14ac:dyDescent="0.25">
      <c r="A12" s="2"/>
      <c r="B12" s="2" t="s">
        <v>25</v>
      </c>
      <c r="C12" s="2">
        <v>11</v>
      </c>
      <c r="D12" s="2">
        <v>4</v>
      </c>
      <c r="E12" s="2">
        <f t="shared" si="0"/>
        <v>44</v>
      </c>
      <c r="F12" s="2"/>
      <c r="G12" s="2"/>
      <c r="H12" s="2"/>
      <c r="I12" s="2"/>
      <c r="J12" s="2"/>
      <c r="K12" s="2"/>
      <c r="L12" s="2"/>
    </row>
    <row r="13" spans="1:13" x14ac:dyDescent="0.25">
      <c r="A13" s="2"/>
      <c r="B13" s="2" t="s">
        <v>10</v>
      </c>
      <c r="C13" s="2">
        <v>17</v>
      </c>
      <c r="D13" s="2">
        <v>11</v>
      </c>
      <c r="E13" s="2">
        <f t="shared" si="0"/>
        <v>187</v>
      </c>
      <c r="F13" s="4">
        <f>SUM(E8:E13)</f>
        <v>791</v>
      </c>
      <c r="G13" s="2"/>
      <c r="H13" s="2"/>
      <c r="I13" s="2"/>
      <c r="J13" s="2"/>
      <c r="K13" s="2"/>
      <c r="L13" s="4">
        <f>SUM(K8:K12)</f>
        <v>62.5</v>
      </c>
      <c r="M13" s="4">
        <f>F13-L13</f>
        <v>728.5</v>
      </c>
    </row>
    <row r="15" spans="1:13" x14ac:dyDescent="0.25">
      <c r="A15" s="2" t="s">
        <v>29</v>
      </c>
      <c r="B15" s="2" t="s">
        <v>10</v>
      </c>
      <c r="C15" s="2">
        <v>6</v>
      </c>
      <c r="D15" s="2">
        <v>12</v>
      </c>
      <c r="E15" s="2">
        <f t="shared" si="0"/>
        <v>72</v>
      </c>
      <c r="F15" s="2"/>
      <c r="G15" s="2"/>
      <c r="H15" s="2"/>
      <c r="I15" s="2"/>
      <c r="J15" s="2"/>
      <c r="K15" s="2"/>
      <c r="L15" s="2"/>
    </row>
    <row r="16" spans="1:13" x14ac:dyDescent="0.25">
      <c r="A16" s="2"/>
      <c r="B16" s="2" t="s">
        <v>30</v>
      </c>
      <c r="C16" s="2">
        <v>6</v>
      </c>
      <c r="D16" s="2">
        <v>3</v>
      </c>
      <c r="E16" s="2">
        <f t="shared" si="0"/>
        <v>18</v>
      </c>
      <c r="F16" s="2"/>
      <c r="G16" s="2"/>
      <c r="H16" s="2"/>
      <c r="I16" s="2"/>
      <c r="J16" s="2"/>
      <c r="K16" s="2"/>
      <c r="L16" s="2"/>
    </row>
    <row r="17" spans="1:13" x14ac:dyDescent="0.25">
      <c r="A17" s="2"/>
      <c r="B17" s="2" t="s">
        <v>31</v>
      </c>
      <c r="C17" s="2">
        <v>6</v>
      </c>
      <c r="D17" s="2">
        <v>3</v>
      </c>
      <c r="E17" s="2">
        <f t="shared" si="0"/>
        <v>18</v>
      </c>
      <c r="F17" s="4">
        <f>SUM(E15:E17)</f>
        <v>108</v>
      </c>
      <c r="G17" s="2"/>
      <c r="H17" s="2"/>
      <c r="I17" s="2"/>
      <c r="J17" s="2"/>
      <c r="K17" s="2"/>
      <c r="L17" s="2"/>
      <c r="M17" s="4">
        <f>F17-L17</f>
        <v>108</v>
      </c>
    </row>
    <row r="19" spans="1:13" x14ac:dyDescent="0.25">
      <c r="A19" s="2" t="s">
        <v>20</v>
      </c>
      <c r="B19" s="2" t="s">
        <v>7</v>
      </c>
      <c r="C19" s="2">
        <v>11</v>
      </c>
      <c r="D19" s="2">
        <v>10</v>
      </c>
      <c r="E19" s="2">
        <f t="shared" si="0"/>
        <v>110</v>
      </c>
      <c r="F19" s="2"/>
      <c r="G19" s="2" t="s">
        <v>18</v>
      </c>
      <c r="H19" s="2">
        <v>7</v>
      </c>
      <c r="I19" s="2">
        <v>3</v>
      </c>
      <c r="J19" s="2">
        <v>1</v>
      </c>
      <c r="K19" s="2">
        <f t="shared" si="1"/>
        <v>21</v>
      </c>
      <c r="L19" s="2"/>
    </row>
    <row r="20" spans="1:13" x14ac:dyDescent="0.25">
      <c r="A20" s="2"/>
      <c r="B20" s="2" t="s">
        <v>8</v>
      </c>
      <c r="C20" s="2">
        <v>11</v>
      </c>
      <c r="D20" s="2">
        <v>10</v>
      </c>
      <c r="E20" s="2">
        <f t="shared" si="0"/>
        <v>110</v>
      </c>
      <c r="F20" s="2"/>
      <c r="G20" s="2" t="s">
        <v>14</v>
      </c>
      <c r="H20" s="2">
        <v>4</v>
      </c>
      <c r="I20" s="2">
        <v>3</v>
      </c>
      <c r="J20" s="2">
        <v>1</v>
      </c>
      <c r="K20" s="2">
        <f t="shared" si="1"/>
        <v>12</v>
      </c>
      <c r="L20" s="2"/>
    </row>
    <row r="21" spans="1:13" x14ac:dyDescent="0.25">
      <c r="A21" s="2"/>
      <c r="B21" s="2" t="s">
        <v>5</v>
      </c>
      <c r="C21" s="2">
        <v>10</v>
      </c>
      <c r="D21" s="2">
        <v>10</v>
      </c>
      <c r="E21" s="2">
        <f t="shared" si="0"/>
        <v>100</v>
      </c>
      <c r="F21" s="2"/>
      <c r="G21" s="2" t="s">
        <v>40</v>
      </c>
      <c r="H21" s="2">
        <v>7</v>
      </c>
      <c r="I21" s="2">
        <v>2.5</v>
      </c>
      <c r="J21" s="2">
        <v>1</v>
      </c>
      <c r="K21" s="2">
        <f t="shared" si="1"/>
        <v>17.5</v>
      </c>
      <c r="L21" s="2"/>
    </row>
    <row r="22" spans="1:13" x14ac:dyDescent="0.25">
      <c r="A22" s="2"/>
      <c r="B22" s="2" t="s">
        <v>9</v>
      </c>
      <c r="C22" s="2">
        <v>10</v>
      </c>
      <c r="D22" s="2">
        <v>10</v>
      </c>
      <c r="E22" s="2">
        <f t="shared" si="0"/>
        <v>100</v>
      </c>
      <c r="F22" s="2"/>
      <c r="G22" s="2"/>
      <c r="H22" s="2"/>
      <c r="I22" s="2"/>
      <c r="J22" s="2"/>
      <c r="K22" s="2"/>
      <c r="L22" s="2"/>
    </row>
    <row r="23" spans="1:13" x14ac:dyDescent="0.25">
      <c r="A23" s="2"/>
      <c r="B23" s="2" t="s">
        <v>25</v>
      </c>
      <c r="C23" s="2">
        <v>11</v>
      </c>
      <c r="D23" s="2">
        <v>4</v>
      </c>
      <c r="E23" s="2">
        <f t="shared" si="0"/>
        <v>44</v>
      </c>
      <c r="F23" s="2"/>
      <c r="G23" s="2"/>
      <c r="H23" s="2"/>
      <c r="I23" s="2"/>
      <c r="J23" s="2"/>
      <c r="K23" s="2"/>
      <c r="L23" s="2"/>
    </row>
    <row r="24" spans="1:13" x14ac:dyDescent="0.25">
      <c r="A24" s="2"/>
      <c r="B24" s="2" t="s">
        <v>10</v>
      </c>
      <c r="C24" s="2">
        <v>11</v>
      </c>
      <c r="D24" s="2">
        <v>10</v>
      </c>
      <c r="E24" s="2">
        <f t="shared" si="0"/>
        <v>110</v>
      </c>
      <c r="F24" s="4">
        <f>SUM(E19:E24)</f>
        <v>574</v>
      </c>
      <c r="G24" s="2"/>
      <c r="H24" s="2"/>
      <c r="I24" s="2"/>
      <c r="J24" s="2"/>
      <c r="K24" s="2"/>
      <c r="L24" s="4">
        <f>SUM(K19:K24)</f>
        <v>50.5</v>
      </c>
      <c r="M24" s="4">
        <f>F24-L24</f>
        <v>523.5</v>
      </c>
    </row>
    <row r="26" spans="1:13" x14ac:dyDescent="0.25">
      <c r="A26" s="2" t="s">
        <v>32</v>
      </c>
      <c r="B26" s="2" t="s">
        <v>10</v>
      </c>
      <c r="C26" s="2">
        <v>6</v>
      </c>
      <c r="D26" s="2">
        <v>6</v>
      </c>
      <c r="E26" s="2">
        <f t="shared" si="0"/>
        <v>36</v>
      </c>
      <c r="F26" s="4">
        <f>SUM(E26)</f>
        <v>36</v>
      </c>
      <c r="G26" s="2"/>
      <c r="H26" s="2"/>
      <c r="I26" s="2"/>
      <c r="J26" s="2"/>
      <c r="K26" s="2"/>
      <c r="L26" s="2"/>
      <c r="M26" s="4">
        <f>F26-L26</f>
        <v>36</v>
      </c>
    </row>
    <row r="28" spans="1:13" x14ac:dyDescent="0.25">
      <c r="A28" s="2" t="s">
        <v>22</v>
      </c>
      <c r="B28" s="2" t="s">
        <v>7</v>
      </c>
      <c r="C28" s="2">
        <v>8</v>
      </c>
      <c r="D28" s="2">
        <v>10</v>
      </c>
      <c r="E28" s="2">
        <f t="shared" si="0"/>
        <v>80</v>
      </c>
      <c r="F28" s="2"/>
      <c r="G28" s="2" t="s">
        <v>38</v>
      </c>
      <c r="H28" s="2">
        <v>4</v>
      </c>
      <c r="I28" s="2">
        <v>8</v>
      </c>
      <c r="J28" s="2">
        <v>1</v>
      </c>
      <c r="K28" s="2">
        <f t="shared" ref="K28:K29" si="2">H28*I28*J28</f>
        <v>32</v>
      </c>
      <c r="L28" s="2"/>
    </row>
    <row r="29" spans="1:13" x14ac:dyDescent="0.25">
      <c r="A29" s="2"/>
      <c r="B29" s="2" t="s">
        <v>8</v>
      </c>
      <c r="C29" s="2">
        <v>8</v>
      </c>
      <c r="D29" s="2">
        <v>10</v>
      </c>
      <c r="E29" s="2">
        <f t="shared" si="0"/>
        <v>80</v>
      </c>
      <c r="F29" s="2"/>
      <c r="G29" s="2" t="s">
        <v>39</v>
      </c>
      <c r="H29" s="2">
        <v>3</v>
      </c>
      <c r="I29" s="2">
        <v>5</v>
      </c>
      <c r="J29" s="2">
        <v>1</v>
      </c>
      <c r="K29" s="2">
        <f t="shared" si="2"/>
        <v>15</v>
      </c>
      <c r="L29" s="2"/>
    </row>
    <row r="30" spans="1:13" x14ac:dyDescent="0.25">
      <c r="A30" s="2"/>
      <c r="B30" s="2" t="s">
        <v>5</v>
      </c>
      <c r="C30" s="2">
        <v>11</v>
      </c>
      <c r="D30" s="2">
        <v>10</v>
      </c>
      <c r="E30" s="2">
        <f t="shared" si="0"/>
        <v>110</v>
      </c>
      <c r="F30" s="2"/>
      <c r="G30" s="2" t="s">
        <v>41</v>
      </c>
      <c r="H30" s="2">
        <v>7</v>
      </c>
      <c r="I30" s="2">
        <v>3</v>
      </c>
      <c r="J30" s="2">
        <v>1</v>
      </c>
      <c r="K30" s="2">
        <f t="shared" si="1"/>
        <v>21</v>
      </c>
      <c r="L30" s="2"/>
    </row>
    <row r="31" spans="1:13" x14ac:dyDescent="0.25">
      <c r="A31" s="2"/>
      <c r="B31" s="2" t="s">
        <v>9</v>
      </c>
      <c r="C31" s="2">
        <v>11</v>
      </c>
      <c r="D31" s="2">
        <v>10</v>
      </c>
      <c r="E31" s="2">
        <f t="shared" si="0"/>
        <v>110</v>
      </c>
      <c r="F31" s="2"/>
      <c r="G31" s="2" t="s">
        <v>14</v>
      </c>
      <c r="H31" s="2">
        <v>4</v>
      </c>
      <c r="I31" s="2">
        <v>3</v>
      </c>
      <c r="J31" s="2">
        <v>1</v>
      </c>
      <c r="K31" s="2">
        <f t="shared" si="1"/>
        <v>12</v>
      </c>
      <c r="L31" s="2"/>
    </row>
    <row r="32" spans="1:13" x14ac:dyDescent="0.25">
      <c r="A32" s="2"/>
      <c r="B32" s="2" t="s">
        <v>10</v>
      </c>
      <c r="C32" s="2">
        <v>8</v>
      </c>
      <c r="D32" s="2">
        <v>11</v>
      </c>
      <c r="E32" s="2">
        <f t="shared" si="0"/>
        <v>88</v>
      </c>
      <c r="F32" s="2"/>
      <c r="G32" s="2"/>
      <c r="H32" s="2"/>
      <c r="I32" s="2"/>
      <c r="J32" s="2"/>
      <c r="K32" s="2"/>
      <c r="L32" s="2"/>
    </row>
    <row r="33" spans="1:13" x14ac:dyDescent="0.25">
      <c r="A33" s="2"/>
      <c r="B33" s="2" t="s">
        <v>25</v>
      </c>
      <c r="C33" s="2">
        <v>8</v>
      </c>
      <c r="D33" s="2">
        <v>4</v>
      </c>
      <c r="E33" s="2">
        <f t="shared" si="0"/>
        <v>32</v>
      </c>
      <c r="F33" s="2"/>
      <c r="G33" s="2"/>
      <c r="H33" s="2"/>
      <c r="I33" s="2"/>
      <c r="J33" s="2"/>
      <c r="K33" s="2"/>
      <c r="L33" s="2"/>
    </row>
    <row r="34" spans="1:13" x14ac:dyDescent="0.25">
      <c r="A34" s="2"/>
      <c r="B34" s="2" t="s">
        <v>28</v>
      </c>
      <c r="C34" s="2">
        <v>7</v>
      </c>
      <c r="D34" s="2">
        <v>4</v>
      </c>
      <c r="E34" s="2">
        <f t="shared" si="0"/>
        <v>28</v>
      </c>
      <c r="F34" s="4">
        <f>SUM(E28:E34)</f>
        <v>528</v>
      </c>
      <c r="G34" s="2"/>
      <c r="H34" s="2"/>
      <c r="I34" s="2"/>
      <c r="J34" s="2"/>
      <c r="K34" s="2"/>
      <c r="L34" s="4">
        <f>SUM(K28:K34)</f>
        <v>80</v>
      </c>
      <c r="M34" s="4">
        <f>F34-L34</f>
        <v>448</v>
      </c>
    </row>
    <row r="36" spans="1:13" x14ac:dyDescent="0.25">
      <c r="A36" s="2" t="s">
        <v>24</v>
      </c>
      <c r="B36" s="2" t="s">
        <v>7</v>
      </c>
      <c r="C36" s="2">
        <v>8</v>
      </c>
      <c r="D36" s="2">
        <v>10</v>
      </c>
      <c r="E36" s="2">
        <f t="shared" si="0"/>
        <v>80</v>
      </c>
      <c r="F36" s="2"/>
      <c r="G36" s="2" t="s">
        <v>42</v>
      </c>
      <c r="H36" s="2">
        <v>7</v>
      </c>
      <c r="I36" s="2">
        <v>3</v>
      </c>
      <c r="J36" s="2">
        <v>1</v>
      </c>
      <c r="K36" s="2">
        <f t="shared" si="1"/>
        <v>21</v>
      </c>
      <c r="L36" s="2"/>
    </row>
    <row r="37" spans="1:13" x14ac:dyDescent="0.25">
      <c r="A37" s="2"/>
      <c r="B37" s="2" t="s">
        <v>8</v>
      </c>
      <c r="C37" s="2">
        <v>2</v>
      </c>
      <c r="D37" s="2">
        <v>3</v>
      </c>
      <c r="E37" s="2">
        <f t="shared" si="0"/>
        <v>6</v>
      </c>
      <c r="F37" s="2"/>
      <c r="G37" s="2" t="s">
        <v>14</v>
      </c>
      <c r="H37" s="2">
        <v>3</v>
      </c>
      <c r="I37" s="2">
        <v>3</v>
      </c>
      <c r="J37" s="2">
        <v>1</v>
      </c>
      <c r="K37" s="2">
        <f t="shared" si="1"/>
        <v>9</v>
      </c>
      <c r="L37" s="2"/>
    </row>
    <row r="38" spans="1:13" x14ac:dyDescent="0.25">
      <c r="A38" s="2"/>
      <c r="B38" s="2" t="s">
        <v>5</v>
      </c>
      <c r="C38" s="2">
        <v>11</v>
      </c>
      <c r="D38" s="2">
        <v>10</v>
      </c>
      <c r="E38" s="2">
        <f t="shared" si="0"/>
        <v>110</v>
      </c>
      <c r="F38" s="2"/>
      <c r="G38" s="2"/>
      <c r="H38" s="2"/>
      <c r="I38" s="2"/>
      <c r="J38" s="2"/>
      <c r="K38" s="2"/>
      <c r="L38" s="2"/>
    </row>
    <row r="39" spans="1:13" x14ac:dyDescent="0.25">
      <c r="A39" s="2"/>
      <c r="B39" s="2" t="s">
        <v>9</v>
      </c>
      <c r="C39" s="2">
        <v>11</v>
      </c>
      <c r="D39" s="2">
        <v>3</v>
      </c>
      <c r="E39" s="2">
        <f t="shared" si="0"/>
        <v>33</v>
      </c>
      <c r="F39" s="2"/>
      <c r="G39" s="2"/>
      <c r="H39" s="2"/>
      <c r="I39" s="2"/>
      <c r="J39" s="2"/>
      <c r="K39" s="2"/>
      <c r="L39" s="2"/>
    </row>
    <row r="40" spans="1:13" x14ac:dyDescent="0.25">
      <c r="A40" s="2"/>
      <c r="B40" s="2" t="s">
        <v>10</v>
      </c>
      <c r="C40" s="2">
        <v>8</v>
      </c>
      <c r="D40" s="2">
        <v>11</v>
      </c>
      <c r="E40" s="2">
        <f t="shared" si="0"/>
        <v>88</v>
      </c>
      <c r="F40" s="2"/>
      <c r="G40" s="2"/>
      <c r="H40" s="2"/>
      <c r="I40" s="2"/>
      <c r="J40" s="2"/>
      <c r="K40" s="2"/>
      <c r="L40" s="2"/>
    </row>
    <row r="41" spans="1:13" x14ac:dyDescent="0.25">
      <c r="A41" s="2"/>
      <c r="B41" s="2" t="s">
        <v>26</v>
      </c>
      <c r="C41" s="2">
        <v>4</v>
      </c>
      <c r="D41" s="2">
        <v>4</v>
      </c>
      <c r="E41" s="2">
        <f t="shared" si="0"/>
        <v>16</v>
      </c>
      <c r="F41" s="2"/>
      <c r="G41" s="2"/>
      <c r="H41" s="2"/>
      <c r="I41" s="2"/>
      <c r="J41" s="2"/>
      <c r="K41" s="2"/>
      <c r="L41" s="2"/>
    </row>
    <row r="42" spans="1:13" x14ac:dyDescent="0.25">
      <c r="A42" s="2"/>
      <c r="B42" s="2" t="s">
        <v>27</v>
      </c>
      <c r="C42" s="2">
        <v>11</v>
      </c>
      <c r="D42" s="2">
        <v>4</v>
      </c>
      <c r="E42" s="2">
        <f t="shared" si="0"/>
        <v>44</v>
      </c>
      <c r="F42" s="4">
        <f>SUM(E36:E42)</f>
        <v>377</v>
      </c>
      <c r="G42" s="2"/>
      <c r="H42" s="2"/>
      <c r="I42" s="2"/>
      <c r="J42" s="2"/>
      <c r="K42" s="2"/>
      <c r="L42" s="4">
        <f>SUM(K36:K42)</f>
        <v>30</v>
      </c>
      <c r="M42" s="4">
        <f>F42-L42</f>
        <v>347</v>
      </c>
    </row>
    <row r="44" spans="1:13" x14ac:dyDescent="0.25">
      <c r="A44" s="2" t="s">
        <v>43</v>
      </c>
      <c r="B44" s="2" t="s">
        <v>10</v>
      </c>
      <c r="C44" s="2">
        <v>6</v>
      </c>
      <c r="D44" s="2">
        <v>6</v>
      </c>
      <c r="E44" s="2">
        <f t="shared" si="0"/>
        <v>36</v>
      </c>
      <c r="F44" s="4">
        <f>SUM(E44)</f>
        <v>36</v>
      </c>
      <c r="G44" s="2"/>
      <c r="H44" s="2"/>
      <c r="I44" s="2"/>
      <c r="J44" s="2"/>
      <c r="K44" s="2"/>
      <c r="L44" s="2"/>
      <c r="M44" s="4">
        <f>F44-L44</f>
        <v>36</v>
      </c>
    </row>
    <row r="46" spans="1:13" x14ac:dyDescent="0.25">
      <c r="A46" s="4" t="s">
        <v>23</v>
      </c>
      <c r="B46" s="4"/>
      <c r="C46" s="4"/>
      <c r="D46" s="4"/>
      <c r="E46" s="4"/>
      <c r="F46" s="4">
        <f>SUM(F1:F45)</f>
        <v>3382</v>
      </c>
      <c r="G46" s="4"/>
      <c r="H46" s="4"/>
      <c r="I46" s="4"/>
      <c r="J46" s="4"/>
      <c r="K46" s="4"/>
      <c r="L46" s="4">
        <f>SUM(L1:L42)</f>
        <v>387</v>
      </c>
      <c r="M46" s="5">
        <f>SUM(M1:M45)</f>
        <v>2995</v>
      </c>
    </row>
  </sheetData>
  <pageMargins left="0.7" right="0.7" top="0.75" bottom="0.75" header="0.3" footer="0.3"/>
  <pageSetup paperSize="9" scale="65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2022-06-14T08:55:46Z</dcterms:modified>
</cp:coreProperties>
</file>