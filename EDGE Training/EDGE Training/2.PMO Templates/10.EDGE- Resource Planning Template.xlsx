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6 EDGE - Training/EDGE PMO Templates/"/>
    </mc:Choice>
  </mc:AlternateContent>
  <xr:revisionPtr revIDLastSave="143" documentId="8_{95029C9F-A911-45F7-9ABB-0BC5E4934D6E}" xr6:coauthVersionLast="47" xr6:coauthVersionMax="47" xr10:uidLastSave="{9F55490B-160C-41A1-B6B3-7E2D258D2599}"/>
  <bookViews>
    <workbookView xWindow="28680" yWindow="-120" windowWidth="29040" windowHeight="15720" tabRatio="883" activeTab="1" xr2:uid="{A125BD9B-F161-4D6C-8476-BD76678D767C}"/>
  </bookViews>
  <sheets>
    <sheet name="Instructions" sheetId="52" r:id="rId1"/>
    <sheet name="Dashboard" sheetId="60" r:id="rId2"/>
    <sheet name="Capacity Utilization" sheetId="53" r:id="rId3"/>
    <sheet name="Capacity Utilization_Option 2" sheetId="61" state="hidden" r:id="rId4"/>
  </sheets>
  <definedNames>
    <definedName name="__123Graph_A" localSheetId="2" hidden="1">#REF!</definedName>
    <definedName name="__123Graph_A" localSheetId="0" hidden="1">#REF!</definedName>
    <definedName name="__123Graph_A" hidden="1">#REF!</definedName>
    <definedName name="__123Graph_A1" localSheetId="2" hidden="1">#REF!</definedName>
    <definedName name="__123Graph_A1" localSheetId="0" hidden="1">#REF!</definedName>
    <definedName name="__123Graph_A1" hidden="1">#REF!</definedName>
    <definedName name="__123Graph_A2" localSheetId="2" hidden="1">#REF!</definedName>
    <definedName name="__123Graph_A2" localSheetId="0" hidden="1">#REF!</definedName>
    <definedName name="__123Graph_A2" hidden="1">#REF!</definedName>
    <definedName name="__123Graph_A3" hidden="1">#REF!</definedName>
    <definedName name="__123Graph_B" hidden="1">#REF!</definedName>
    <definedName name="__123Graph_B1" hidden="1">#REF!</definedName>
    <definedName name="__123Graph_C" hidden="1">#REF!</definedName>
    <definedName name="__123Graph_C1" hidden="1">#REF!</definedName>
    <definedName name="__123Graph_D" hidden="1">#REF!</definedName>
    <definedName name="__123Graph_D1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1" hidden="1">#REF!</definedName>
    <definedName name="__123Graph_LBL_B" hidden="1">#REF!</definedName>
    <definedName name="__123Graph_LBL_B1" hidden="1">#REF!</definedName>
    <definedName name="__123Graph_LBL_C" hidden="1">#REF!</definedName>
    <definedName name="__123Graph_LBL_C1" hidden="1">#REF!</definedName>
    <definedName name="__123Graph_LBL_D" hidden="1">#REF!</definedName>
    <definedName name="__123Graph_LBL_D1" hidden="1">#REF!</definedName>
    <definedName name="__123Graph_LBL_F" hidden="1">#REF!</definedName>
    <definedName name="__123Graph_X" hidden="1">#REF!</definedName>
    <definedName name="__123Graph_X65GLOBAL" hidden="1">#REF!</definedName>
    <definedName name="__123Graph_XMEMBERTREND" hidden="1">#REF!</definedName>
    <definedName name="_1__123Graph_ACHART_1" hidden="1">#REF!</definedName>
    <definedName name="_1__123Graph_XCHART_1" hidden="1">#REF!</definedName>
    <definedName name="_10__123Graph_ACHART_4" hidden="1">#REF!</definedName>
    <definedName name="_10__123Graph_BCHART_1" hidden="1">#REF!</definedName>
    <definedName name="_10__123Graph_CCHART_1" hidden="1">#REF!</definedName>
    <definedName name="_10__123Graph_CCHART_2" hidden="1">#REF!</definedName>
    <definedName name="_100__123Graph_XCHART_2" hidden="1">#REF!</definedName>
    <definedName name="_104__123Graph_XCHART_3" hidden="1">#REF!</definedName>
    <definedName name="_108__123Graph" hidden="1">#REF!</definedName>
    <definedName name="_108__123Graph_XCHART_4" hidden="1">#REF!</definedName>
    <definedName name="_11__123Graph_CCHART_2" hidden="1">#REF!</definedName>
    <definedName name="_11__123Graph_CCHART_3" hidden="1">#REF!</definedName>
    <definedName name="_12__123Graph_ACHART_3" hidden="1">#REF!</definedName>
    <definedName name="_12__123Graph_BCHART_1" hidden="1">#REF!</definedName>
    <definedName name="_12__123Graph_BCHART_2" hidden="1">#REF!</definedName>
    <definedName name="_12__123Graph_CCHART_3" hidden="1">#REF!</definedName>
    <definedName name="_12__123Graph_CCHART_4" hidden="1">#REF!</definedName>
    <definedName name="_13__123Graph_CCHART_4" hidden="1">#REF!</definedName>
    <definedName name="_13__123Graph_DCHART_1" hidden="1">#REF!</definedName>
    <definedName name="_14__123Graph_BCHART_2" hidden="1">#REF!</definedName>
    <definedName name="_14__123Graph_BCHART_3" hidden="1">#REF!</definedName>
    <definedName name="_14__123Graph_DCHART_1" hidden="1">#REF!</definedName>
    <definedName name="_14__123Graph_DCHART_2" hidden="1">#REF!</definedName>
    <definedName name="_15__123Graph_ACHART_4" hidden="1">#REF!</definedName>
    <definedName name="_15__123Graph_BCHART_2" hidden="1">#REF!</definedName>
    <definedName name="_15__123Graph_DCHART_2" hidden="1">#REF!</definedName>
    <definedName name="_15__123Graph_DCHART_3" hidden="1">#REF!</definedName>
    <definedName name="_16__123Graph_ACHART_4" hidden="1">#REF!</definedName>
    <definedName name="_16__123Graph_BCHART_3" hidden="1">#REF!</definedName>
    <definedName name="_16__123Graph_BCHART_4" hidden="1">#REF!</definedName>
    <definedName name="_16__123Graph_DCHART_3" hidden="1">#REF!</definedName>
    <definedName name="_16__123Graph_DCHART_4" hidden="1">#REF!</definedName>
    <definedName name="_17__123Graph_DCHART_4" hidden="1">#REF!</definedName>
    <definedName name="_17__123Graph_FCHART_1" hidden="1">#REF!</definedName>
    <definedName name="_17__123Graph_XCHART_2" hidden="1">#REF!</definedName>
    <definedName name="_18__123Graph_BCHART_1" hidden="1">#REF!</definedName>
    <definedName name="_18__123Graph_BCHART_3" hidden="1">#REF!</definedName>
    <definedName name="_18__123Graph_BCHART_4" hidden="1">#REF!</definedName>
    <definedName name="_18__123Graph_CCHART_1" hidden="1">#REF!</definedName>
    <definedName name="_18__123Graph_FCHART_4" hidden="1">#REF!</definedName>
    <definedName name="_18__123Graph_XCHART_2" hidden="1">#REF!</definedName>
    <definedName name="_18__123Graph_XCHART_3" hidden="1">#REF!</definedName>
    <definedName name="_19__123Graph_LBL_ACHART_2" hidden="1">#REF!</definedName>
    <definedName name="_19__123Graph_X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0__123Graph_BCHART_1" hidden="1">#REF!</definedName>
    <definedName name="_20__123Graph_BCHART_4" hidden="1">#REF!</definedName>
    <definedName name="_20__123Graph_CCHART_1" hidden="1">#REF!</definedName>
    <definedName name="_20__123Graph_CCHART_2" hidden="1">#REF!</definedName>
    <definedName name="_20__123Graph_LBL_ACHART_3" hidden="1">#REF!</definedName>
    <definedName name="_20__123Graph_XCHART_4" hidden="1">#REF!</definedName>
    <definedName name="_21__123Graph_BCHART_2" hidden="1">#REF!</definedName>
    <definedName name="_21__123Graph_LBL_BCHART_2" hidden="1">#REF!</definedName>
    <definedName name="_22__123Graph_CCHART_1" hidden="1">#REF!</definedName>
    <definedName name="_22__123Graph_CCHART_2" hidden="1">#REF!</definedName>
    <definedName name="_22__123Graph_CCHART_3" hidden="1">#REF!</definedName>
    <definedName name="_22__123Graph_LBL_BCHART_3" hidden="1">#REF!</definedName>
    <definedName name="_23__123Graph_LBL_FCHART_1" hidden="1">#REF!</definedName>
    <definedName name="_24__123Graph_BCHART_2" hidden="1">#REF!</definedName>
    <definedName name="_24__123Graph_BCHART_3" hidden="1">#REF!</definedName>
    <definedName name="_24__123Graph_CCHART_2" hidden="1">#REF!</definedName>
    <definedName name="_24__123Graph_CCHART_3" hidden="1">#REF!</definedName>
    <definedName name="_24__123Graph_CCHART_4" hidden="1">#REF!</definedName>
    <definedName name="_24__123Graph_LBL_FCHART_4" hidden="1">#REF!</definedName>
    <definedName name="_25__123Graph_XCHART_2" hidden="1">#REF!</definedName>
    <definedName name="_26__123Graph_CCHART_3" hidden="1">#REF!</definedName>
    <definedName name="_26__123Graph_CCHART_4" hidden="1">#REF!</definedName>
    <definedName name="_26__123Graph_DCHART_1" hidden="1">#REF!</definedName>
    <definedName name="_26__123Graph_XCHART_3" hidden="1">#REF!</definedName>
    <definedName name="_27__123Graph_BCHART_4" hidden="1">#REF!</definedName>
    <definedName name="_27__123Graph_XCHART_4" hidden="1">#REF!</definedName>
    <definedName name="_28__123Graph_BCHART_3" hidden="1">#REF!</definedName>
    <definedName name="_28__123Graph_CCHART_4" hidden="1">#REF!</definedName>
    <definedName name="_28__123Graph_DCHART_1" hidden="1">#REF!</definedName>
    <definedName name="_28__123Graph_DCHART_2" hidden="1">#REF!</definedName>
    <definedName name="_28__123Graph_DCHART_3" hidden="1">#REF!</definedName>
    <definedName name="_3__123Graph_ACHART_2" hidden="1">#REF!</definedName>
    <definedName name="_3__123Graph_ACHART_3" hidden="1">#REF!</definedName>
    <definedName name="_30__123Graph_CCHART_1" hidden="1">#REF!</definedName>
    <definedName name="_30__123Graph_DCHART_1" hidden="1">#REF!</definedName>
    <definedName name="_30__123Graph_DCHART_2" hidden="1">#REF!</definedName>
    <definedName name="_30__123Graph_DCHART_3" hidden="1">#REF!</definedName>
    <definedName name="_32__123Graph_BCHART_4" hidden="1">#REF!</definedName>
    <definedName name="_32__123Graph_DCHART_2" hidden="1">#REF!</definedName>
    <definedName name="_32__123Graph_DCHART_3" hidden="1">#REF!</definedName>
    <definedName name="_32__123Graph_DCHART_4" hidden="1">#REF!</definedName>
    <definedName name="_33__123Graph_CCHART_2" hidden="1">#REF!</definedName>
    <definedName name="_34__123Graph_DCHART_3" hidden="1">#REF!</definedName>
    <definedName name="_34__123Graph_DCHART_4" hidden="1">#REF!</definedName>
    <definedName name="_34__123Graph_XCHART_2" hidden="1">#REF!</definedName>
    <definedName name="_36__123Graph_CCHART_1" hidden="1">#REF!</definedName>
    <definedName name="_36__123Graph_CCHART_3" hidden="1">#REF!</definedName>
    <definedName name="_36__123Graph_DCHART_4" hidden="1">#REF!</definedName>
    <definedName name="_36__123Graph_XCHART_2" hidden="1">#REF!</definedName>
    <definedName name="_36__123Graph_XCHART_3" hidden="1">#REF!</definedName>
    <definedName name="_38__123Graph_FCHART_1" hidden="1">#REF!</definedName>
    <definedName name="_38__123Graph_XCHART_3" hidden="1">#REF!</definedName>
    <definedName name="_38__123Graph_XCHART_4" hidden="1">#REF!</definedName>
    <definedName name="_39__123Graph_CCHART_4" hidden="1">#REF!</definedName>
    <definedName name="_4__123Graph_ACHART_1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0__123Graph_CCHART_2" hidden="1">#REF!</definedName>
    <definedName name="_40__123Graph_FCHART_4" hidden="1">#REF!</definedName>
    <definedName name="_40__123Graph_XCHART_4" hidden="1">#REF!</definedName>
    <definedName name="_42__123Graph_DCHART_1" hidden="1">#REF!</definedName>
    <definedName name="_42__123Graph_LBL_ACHART_2" hidden="1">#REF!</definedName>
    <definedName name="_44__123Graph_CCHART_3" hidden="1">#REF!</definedName>
    <definedName name="_44__123Graph_LBL_ACHART_3" hidden="1">#REF!</definedName>
    <definedName name="_45__123Graph_DCHART_2" hidden="1">#REF!</definedName>
    <definedName name="_46__123Graph_LBL_BCHART_2" hidden="1">#REF!</definedName>
    <definedName name="_48__123Graph_CCHART_4" hidden="1">#REF!</definedName>
    <definedName name="_48__123Graph_DCHART_3" hidden="1">#REF!</definedName>
    <definedName name="_48__123Graph_LBL_BCHART_3" hidden="1">#REF!</definedName>
    <definedName name="_5__123Graph_ACHART_2" hidden="1">#REF!</definedName>
    <definedName name="_5__123Graph_ACHART_4" hidden="1">#REF!</definedName>
    <definedName name="_5__123Graph_BCHART_1" hidden="1">#REF!</definedName>
    <definedName name="_50__123Graph_LBL_FCHART_1" hidden="1">#REF!</definedName>
    <definedName name="_51__123Graph_DCHART_4" hidden="1">#REF!</definedName>
    <definedName name="_52__123Graph_DCHART_1" hidden="1">#REF!</definedName>
    <definedName name="_52__123Graph_LBL_FCHART_4" hidden="1">#REF!</definedName>
    <definedName name="_54__123Graph_XCHART_2" hidden="1">#REF!</definedName>
    <definedName name="_55__123Graph_XCHART_2" hidden="1">#REF!</definedName>
    <definedName name="_56__123Graph_DCHART_2" hidden="1">#REF!</definedName>
    <definedName name="_57__123Graph_XCHART_3" hidden="1">#REF!</definedName>
    <definedName name="_58__123Graph_XCHART_3" hidden="1">#REF!</definedName>
    <definedName name="_6__123Graph_ACHART_1" hidden="1">#REF!</definedName>
    <definedName name="_6__123Graph_ACHART_2" hidden="1">#REF!</definedName>
    <definedName name="_6__123Graph_ACHART_3" hidden="1">#REF!</definedName>
    <definedName name="_6__123Graph_BCHART_1" hidden="1">#REF!</definedName>
    <definedName name="_6__123Graph_BCHART_2" hidden="1">#REF!</definedName>
    <definedName name="_60__123Graph_DCHART_3" hidden="1">#REF!</definedName>
    <definedName name="_60__123Graph_XCHART_4" hidden="1">#REF!</definedName>
    <definedName name="_64__123Graph_DCHART_4" hidden="1">#REF!</definedName>
    <definedName name="_68__123Graph_FCHART_1" hidden="1">#REF!</definedName>
    <definedName name="_7__123Graph_BCHART_2" hidden="1">#REF!</definedName>
    <definedName name="_7__123Graph_BCHART_3" hidden="1">#REF!</definedName>
    <definedName name="_72__123Graph_FCHART_4" hidden="1">#REF!</definedName>
    <definedName name="_76__123Graph_LBL_ACHART_2" hidden="1">#REF!</definedName>
    <definedName name="_8__123Graph_ACHART_2" hidden="1">#REF!</definedName>
    <definedName name="_8__123Graph_ACHART_3" hidden="1">#REF!</definedName>
    <definedName name="_8__123Graph_ACHART_4" hidden="1">#REF!</definedName>
    <definedName name="_8__123Graph_BCHART_3" hidden="1">#REF!</definedName>
    <definedName name="_8__123Graph_BCHART_4" hidden="1">#REF!</definedName>
    <definedName name="_80__123Graph_LBL_ACHART_3" hidden="1">#REF!</definedName>
    <definedName name="_84__123Graph_LBL_BCHART_2" hidden="1">#REF!</definedName>
    <definedName name="_88__123Graph_LBL_BCHART_3" hidden="1">#REF!</definedName>
    <definedName name="_9__123Graph_ACHART_2" hidden="1">#REF!</definedName>
    <definedName name="_9__123Graph_BCHART_4" hidden="1">#REF!</definedName>
    <definedName name="_9__123Graph_CCHART_1" hidden="1">#REF!</definedName>
    <definedName name="_92__123Graph_LBL_FCHART_1" hidden="1">#REF!</definedName>
    <definedName name="_96__123Graph_LBL_FCHART_4" hidden="1">#REF!</definedName>
    <definedName name="_dec08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key22" hidden="1">#REF!</definedName>
    <definedName name="_keyOne" hidden="1">#REF!</definedName>
    <definedName name="_keyTwo" hidden="1">#REF!</definedName>
    <definedName name="_Order1" hidden="1">255</definedName>
    <definedName name="_Order1_1" hidden="1">0</definedName>
    <definedName name="_Order2" hidden="1">255</definedName>
    <definedName name="_Parse_Out" hidden="1">#REF!</definedName>
    <definedName name="_PPO2" localSheetId="2" hidden="1">{#N/A,#N/A,FALSE,"Page 1";#N/A,#N/A,FALSE,"Page 2";#N/A,#N/A,FALSE,"Page 3";#N/A,#N/A,FALSE,"Page 4";#N/A,#N/A,FALSE,"Page 5";#N/A,#N/A,FALSE,"Page 6"}</definedName>
    <definedName name="_PPO2" localSheetId="0" hidden="1">{#N/A,#N/A,FALSE,"Page 1";#N/A,#N/A,FALSE,"Page 2";#N/A,#N/A,FALSE,"Page 3";#N/A,#N/A,FALSE,"Page 4";#N/A,#N/A,FALSE,"Page 5";#N/A,#N/A,FALSE,"Page 6"}</definedName>
    <definedName name="_PPO2" hidden="1">{#N/A,#N/A,FALSE,"Page 1";#N/A,#N/A,FALSE,"Page 2";#N/A,#N/A,FALSE,"Page 3";#N/A,#N/A,FALSE,"Page 4";#N/A,#N/A,FALSE,"Page 5";#N/A,#N/A,FALSE,"Page 6"}</definedName>
    <definedName name="_ref1">#REF!</definedName>
    <definedName name="_Regression_Int" hidden="1">1</definedName>
    <definedName name="_Regression_X" hidden="1">#REF!</definedName>
    <definedName name="_Sort" hidden="1">#REF!</definedName>
    <definedName name="_sort1" hidden="1">#REF!</definedName>
    <definedName name="_Table1_In1" hidden="1">#REF!</definedName>
    <definedName name="_Table2_In1" hidden="1">#REF!</definedName>
    <definedName name="_WRN1" localSheetId="2" hidden="1">{#N/A,#N/A,FALSE,"100.90%.300.70%";#N/A,#N/A,FALSE,"300.90%.500.70%";#N/A,#N/A,FALSE,"300.80%.500.60%";#N/A,#N/A,FALSE,"500.80%.750.60%"}</definedName>
    <definedName name="_WRN1" localSheetId="0" hidden="1">{#N/A,#N/A,FALSE,"100.90%.300.70%";#N/A,#N/A,FALSE,"300.90%.500.70%";#N/A,#N/A,FALSE,"300.80%.500.60%";#N/A,#N/A,FALSE,"500.80%.750.60%"}</definedName>
    <definedName name="_WRN1" hidden="1">{#N/A,#N/A,FALSE,"100.90%.300.70%";#N/A,#N/A,FALSE,"300.90%.500.70%";#N/A,#N/A,FALSE,"300.80%.500.60%";#N/A,#N/A,FALSE,"500.80%.750.60%"}</definedName>
    <definedName name="_WRN10" localSheetId="2" hidden="1">{#N/A,#N/A,FALSE,"100.90%.300.70%";#N/A,#N/A,FALSE,"300.90%.500.70%";#N/A,#N/A,FALSE,"300.80%.500.60%";#N/A,#N/A,FALSE,"500.80%.750.60%"}</definedName>
    <definedName name="_WRN10" localSheetId="0" hidden="1">{#N/A,#N/A,FALSE,"100.90%.300.70%";#N/A,#N/A,FALSE,"300.90%.500.70%";#N/A,#N/A,FALSE,"300.80%.500.60%";#N/A,#N/A,FALSE,"500.80%.750.60%"}</definedName>
    <definedName name="_WRN10" hidden="1">{#N/A,#N/A,FALSE,"100.90%.300.70%";#N/A,#N/A,FALSE,"300.90%.500.70%";#N/A,#N/A,FALSE,"300.80%.500.60%";#N/A,#N/A,FALSE,"500.80%.750.60%"}</definedName>
    <definedName name="_WRN2" localSheetId="2" hidden="1">{#N/A,#N/A,FALSE,"100.90%.300.70%";#N/A,#N/A,FALSE,"300.90%.500.70%";#N/A,#N/A,FALSE,"300.80%.500.60%";#N/A,#N/A,FALSE,"500.80%.750.60%"}</definedName>
    <definedName name="_WRN2" localSheetId="0" hidden="1">{#N/A,#N/A,FALSE,"100.90%.300.70%";#N/A,#N/A,FALSE,"300.90%.500.70%";#N/A,#N/A,FALSE,"300.80%.500.60%";#N/A,#N/A,FALSE,"500.80%.750.60%"}</definedName>
    <definedName name="_WRN2" hidden="1">{#N/A,#N/A,FALSE,"100.90%.300.70%";#N/A,#N/A,FALSE,"300.90%.500.70%";#N/A,#N/A,FALSE,"300.80%.500.60%";#N/A,#N/A,FALSE,"500.80%.750.60%"}</definedName>
    <definedName name="_WRN3" localSheetId="2" hidden="1">{#N/A,#N/A,FALSE,"100.90%.300.70%";#N/A,#N/A,FALSE,"300.90%.500.70%";#N/A,#N/A,FALSE,"300.80%.500.60%";#N/A,#N/A,FALSE,"500.80%.750.60%"}</definedName>
    <definedName name="_WRN3" localSheetId="0" hidden="1">{#N/A,#N/A,FALSE,"100.90%.300.70%";#N/A,#N/A,FALSE,"300.90%.500.70%";#N/A,#N/A,FALSE,"300.80%.500.60%";#N/A,#N/A,FALSE,"500.80%.750.60%"}</definedName>
    <definedName name="_WRN3" hidden="1">{#N/A,#N/A,FALSE,"100.90%.300.70%";#N/A,#N/A,FALSE,"300.90%.500.70%";#N/A,#N/A,FALSE,"300.80%.500.60%";#N/A,#N/A,FALSE,"500.80%.750.60%"}</definedName>
    <definedName name="_WRN4" localSheetId="2" hidden="1">{#N/A,#N/A,FALSE,"100.90%.300.70%";#N/A,#N/A,FALSE,"300.90%.500.70%";#N/A,#N/A,FALSE,"300.80%.500.60%";#N/A,#N/A,FALSE,"500.80%.750.60%"}</definedName>
    <definedName name="_WRN4" localSheetId="0" hidden="1">{#N/A,#N/A,FALSE,"100.90%.300.70%";#N/A,#N/A,FALSE,"300.90%.500.70%";#N/A,#N/A,FALSE,"300.80%.500.60%";#N/A,#N/A,FALSE,"500.80%.750.60%"}</definedName>
    <definedName name="_WRN4" hidden="1">{#N/A,#N/A,FALSE,"100.90%.300.70%";#N/A,#N/A,FALSE,"300.90%.500.70%";#N/A,#N/A,FALSE,"300.80%.500.60%";#N/A,#N/A,FALSE,"500.80%.750.60%"}</definedName>
    <definedName name="_WRN6" localSheetId="2" hidden="1">{#N/A,#N/A,FALSE,"100.90%.300.70%";#N/A,#N/A,FALSE,"300.90%.500.70%";#N/A,#N/A,FALSE,"300.80%.500.60%";#N/A,#N/A,FALSE,"500.80%.750.60%"}</definedName>
    <definedName name="_WRN6" localSheetId="0" hidden="1">{#N/A,#N/A,FALSE,"100.90%.300.70%";#N/A,#N/A,FALSE,"300.90%.500.70%";#N/A,#N/A,FALSE,"300.80%.500.60%";#N/A,#N/A,FALSE,"500.80%.750.60%"}</definedName>
    <definedName name="_WRN6" hidden="1">{#N/A,#N/A,FALSE,"100.90%.300.70%";#N/A,#N/A,FALSE,"300.90%.500.70%";#N/A,#N/A,FALSE,"300.80%.500.60%";#N/A,#N/A,FALSE,"500.80%.750.60%"}</definedName>
    <definedName name="_WRN7" localSheetId="2" hidden="1">{#N/A,#N/A,FALSE,"100.90%.300.70%";#N/A,#N/A,FALSE,"300.90%.500.70%";#N/A,#N/A,FALSE,"300.80%.500.60%";#N/A,#N/A,FALSE,"500.80%.750.60%"}</definedName>
    <definedName name="_WRN7" localSheetId="0" hidden="1">{#N/A,#N/A,FALSE,"100.90%.300.70%";#N/A,#N/A,FALSE,"300.90%.500.70%";#N/A,#N/A,FALSE,"300.80%.500.60%";#N/A,#N/A,FALSE,"500.80%.750.60%"}</definedName>
    <definedName name="_WRN7" hidden="1">{#N/A,#N/A,FALSE,"100.90%.300.70%";#N/A,#N/A,FALSE,"300.90%.500.70%";#N/A,#N/A,FALSE,"300.80%.500.60%";#N/A,#N/A,FALSE,"500.80%.750.60%"}</definedName>
    <definedName name="_WRN9" localSheetId="2" hidden="1">{#N/A,#N/A,FALSE,"100.90%.300.70%";#N/A,#N/A,FALSE,"300.90%.500.70%";#N/A,#N/A,FALSE,"300.80%.500.60%";#N/A,#N/A,FALSE,"500.80%.750.60%"}</definedName>
    <definedName name="_WRN9" localSheetId="0" hidden="1">{#N/A,#N/A,FALSE,"100.90%.300.70%";#N/A,#N/A,FALSE,"300.90%.500.70%";#N/A,#N/A,FALSE,"300.80%.500.60%";#N/A,#N/A,FALSE,"500.80%.750.60%"}</definedName>
    <definedName name="_WRN9" hidden="1">{#N/A,#N/A,FALSE,"100.90%.300.70%";#N/A,#N/A,FALSE,"300.90%.500.70%";#N/A,#N/A,FALSE,"300.80%.500.60%";#N/A,#N/A,FALSE,"500.80%.750.60%"}</definedName>
    <definedName name="A" hidden="1">#REF!</definedName>
    <definedName name="a_" hidden="1">#REF!</definedName>
    <definedName name="a_1" localSheetId="2" hidden="1">{#N/A,#N/A,FALSE,"Budget";#N/A,#N/A,FALSE,"Misc Info"}</definedName>
    <definedName name="a_1" localSheetId="0" hidden="1">{#N/A,#N/A,FALSE,"Budget";#N/A,#N/A,FALSE,"Misc Info"}</definedName>
    <definedName name="a_1" hidden="1">{#N/A,#N/A,FALSE,"Budget";#N/A,#N/A,FALSE,"Misc Info"}</definedName>
    <definedName name="AAAA" localSheetId="2" hidden="1">{#N/A,#N/A,FALSE,"Aging Summary";#N/A,#N/A,FALSE,"Ratio Analysis";#N/A,#N/A,FALSE,"Test 120 Day Accts";#N/A,#N/A,FALSE,"Tickmarks"}</definedName>
    <definedName name="AAAA" localSheetId="0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bc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ccessDatabase" hidden="1">"C:\EXCISE\APRIL97.LDB"</definedName>
    <definedName name="ad" hidden="1">#REF!</definedName>
    <definedName name="adad" hidden="1">#REF!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e" hidden="1">#REF!</definedName>
    <definedName name="adf">#REF!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x_Amb_MDC_Range" hidden="1">#REF!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Experience_by_Tier_Range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IP_MDC_Range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Medical_Cost_Category_Range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Professional_Experience_Range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GAIN" localSheetId="2" hidden="1">{"febactytd",#N/A,FALSE,"Feb98ACT&amp;YTD";"febplanytd",#N/A,FALSE,"Feb98ACT&amp;YTD";"febvarytd",#N/A,FALSE,"Feb98ACT&amp;YTD"}</definedName>
    <definedName name="AGAIN" localSheetId="0" hidden="1">{"febactytd",#N/A,FALSE,"Feb98ACT&amp;YTD";"febplanytd",#N/A,FALSE,"Feb98ACT&amp;YTD";"febvarytd",#N/A,FALSE,"Feb98ACT&amp;YTD"}</definedName>
    <definedName name="AGAIN" hidden="1">{"febactytd",#N/A,FALSE,"Feb98ACT&amp;YTD";"febplanytd",#N/A,FALSE,"Feb98ACT&amp;YTD";"febvarytd",#N/A,FALSE,"Feb98ACT&amp;YTD"}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ctivity_By_Tier_Range" hidden="1">#REF!</definedName>
    <definedName name="AHF_Activity_Detail_Range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Fund_Report_Range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expenses_curr" hidden="1">#REF!</definedName>
    <definedName name="ahf_medical_expenses_prior" hidden="1">#REF!</definedName>
    <definedName name="AHF_Medical_Key_Statistics_Range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Demographics_Range" hidden="1">#REF!</definedName>
    <definedName name="AHF_Rx_Key_Statistics_Range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FFamilyDollarsCurr" hidden="1">#REF!</definedName>
    <definedName name="Airend">#REF!</definedName>
    <definedName name="alíq_cofins">#REF!</definedName>
    <definedName name="alíq_icms">#REF!</definedName>
    <definedName name="alíq_ii">#REF!</definedName>
    <definedName name="alíq_ipi">#REF!</definedName>
    <definedName name="aliq_ipi2">#REF!</definedName>
    <definedName name="alíq_pis">#REF!</definedName>
    <definedName name="Amb_MDC_Analysis_Medical_Range" hidden="1">#REF!</definedName>
    <definedName name="amb_mdc_na_bob_column1" hidden="1">#REF!</definedName>
    <definedName name="Annual" hidden="1">#REF!</definedName>
    <definedName name="AppendixVVVVVV" hidden="1">#REF!</definedName>
    <definedName name="approvla" localSheetId="2" hidden="1">{#N/A,#N/A,FALSE,"Cosmos Report"}</definedName>
    <definedName name="approvla" localSheetId="0" hidden="1">{#N/A,#N/A,FALSE,"Cosmos Report"}</definedName>
    <definedName name="approvla" hidden="1">{#N/A,#N/A,FALSE,"Cosmos Report"}</definedName>
    <definedName name="approvla1" localSheetId="2" hidden="1">{#N/A,#N/A,FALSE,"Cosmos Report"}</definedName>
    <definedName name="approvla1" localSheetId="0" hidden="1">{#N/A,#N/A,FALSE,"Cosmos Report"}</definedName>
    <definedName name="approvla1" hidden="1">{#N/A,#N/A,FALSE,"Cosmos Report"}</definedName>
    <definedName name="AprSun1" localSheetId="2">DATE([0]!CalendarYear,4,1)-WEEKDAY(DATE([0]!CalendarYear,4,1))</definedName>
    <definedName name="AprSun1" localSheetId="0">DATE(CalendarYear,4,1)-WEEKDAY(DATE(CalendarYear,4,1))</definedName>
    <definedName name="AprSun1">DATE(CalendarYear,4,1)-WEEKDAY(DATE(CalendarYear,4,1))</definedName>
    <definedName name="ARE" localSheetId="2" hidden="1">{#N/A,#N/A,FALSE,"100.90%.300.70%";#N/A,#N/A,FALSE,"300.90%.500.70%";#N/A,#N/A,FALSE,"300.80%.500.60%";#N/A,#N/A,FALSE,"500.80%.750.60%"}</definedName>
    <definedName name="ARE" localSheetId="0" hidden="1">{#N/A,#N/A,FALSE,"100.90%.300.70%";#N/A,#N/A,FALSE,"300.90%.500.70%";#N/A,#N/A,FALSE,"300.80%.500.60%";#N/A,#N/A,FALSE,"500.80%.750.60%"}</definedName>
    <definedName name="ARE" hidden="1">{#N/A,#N/A,FALSE,"100.90%.300.70%";#N/A,#N/A,FALSE,"300.90%.500.70%";#N/A,#N/A,FALSE,"300.80%.500.60%";#N/A,#N/A,FALSE,"500.80%.750.60%"}</definedName>
    <definedName name="area">#REF!</definedName>
    <definedName name="area2">#REF!</definedName>
    <definedName name="as">#REF!</definedName>
    <definedName name="AS2DocOpenMode" hidden="1">"AS2DocumentEdit"</definedName>
    <definedName name="asdfasdf" hidden="1">#REF!</definedName>
    <definedName name="asdrf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SETTS2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u" hidden="1">#REF!</definedName>
    <definedName name="AugSun1" localSheetId="2">DATE([0]!CalendarYear,8,1)-WEEKDAY(DATE([0]!CalendarYear,8,1))</definedName>
    <definedName name="AugSun1" localSheetId="0">DATE(CalendarYear,8,1)-WEEKDAY(DATE(CalendarYear,8,1))</definedName>
    <definedName name="AugSun1">DATE(CalendarYear,8,1)-WEEKDAY(DATE(CalendarYear,8,1))</definedName>
    <definedName name="b" localSheetId="2" hidden="1">{#N/A,#N/A,FALSE,"monthly";#N/A,#N/A,FALSE,"aeroglide 98"}</definedName>
    <definedName name="b" localSheetId="0" hidden="1">{#N/A,#N/A,FALSE,"monthly";#N/A,#N/A,FALSE,"aeroglide 98"}</definedName>
    <definedName name="b" hidden="1">{#N/A,#N/A,FALSE,"monthly";#N/A,#N/A,FALSE,"aeroglide 98"}</definedName>
    <definedName name="b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bb" localSheetId="2" hidden="1">{#N/A,#N/A,FALSE,"98-99 Recap";#N/A,#N/A,FALSE,"Exec Summary"}</definedName>
    <definedName name="bbb" localSheetId="0" hidden="1">{#N/A,#N/A,FALSE,"98-99 Recap";#N/A,#N/A,FALSE,"Exec Summary"}</definedName>
    <definedName name="bbb" hidden="1">{#N/A,#N/A,FALSE,"98-99 Recap";#N/A,#N/A,FALSE,"Exec Summary"}</definedName>
    <definedName name="bbbbbbb" localSheetId="2" hidden="1">{#N/A,#N/A,FALSE,"monthly";#N/A,#N/A,FALSE,"aeroglide 98"}</definedName>
    <definedName name="bbbbbbb" localSheetId="0" hidden="1">{#N/A,#N/A,FALSE,"monthly";#N/A,#N/A,FALSE,"aeroglide 98"}</definedName>
    <definedName name="bbbbbbb" hidden="1">{#N/A,#N/A,FALSE,"monthly";#N/A,#N/A,FALSE,"aeroglide 98"}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BOBDate" hidden="1">#REF!</definedName>
    <definedName name="Birth_Dates">#REF!</definedName>
    <definedName name="blah" hidden="1">#REF!</definedName>
    <definedName name="BO">#REF!</definedName>
    <definedName name="bob" hidden="1">#REF!</definedName>
    <definedName name="BOB_Dental_allowed_amt_curr" hidden="1">#REF!</definedName>
    <definedName name="BOB_Dental_allowed_amt_prior" hidden="1">#REF!</definedName>
    <definedName name="BOB_Dental_basic_paid_amt_curr" hidden="1">#REF!</definedName>
    <definedName name="BOB_Dental_basic_paid_amt_prior" hidden="1">#REF!</definedName>
    <definedName name="BOB_Dental_basic_svcs_curr" hidden="1">#REF!</definedName>
    <definedName name="BOB_Dental_basic_svcs_prior" hidden="1">#REF!</definedName>
    <definedName name="BOB_Dental_cob_amt_curr" hidden="1">#REF!</definedName>
    <definedName name="BOB_Dental_cob_amt_prior" hidden="1">#REF!</definedName>
    <definedName name="BOB_Dental_coinsurance_amt_curr" hidden="1">#REF!</definedName>
    <definedName name="BOB_Dental_coinsurance_amt_prior" hidden="1">#REF!</definedName>
    <definedName name="BOB_Dental_deductible_amt_curr" hidden="1">#REF!</definedName>
    <definedName name="BOB_Dental_deductible_amt_prior" hidden="1">#REF!</definedName>
    <definedName name="BOB_Dental_major_paid_amt_curr" hidden="1">#REF!</definedName>
    <definedName name="BOB_Dental_major_paid_amt_prior" hidden="1">#REF!</definedName>
    <definedName name="BOB_Dental_major_svcs_curr" hidden="1">#REF!</definedName>
    <definedName name="BOB_Dental_major_svcs_prior" hidden="1">#REF!</definedName>
    <definedName name="BOB_Dental_network_paid_amt_curr" hidden="1">#REF!</definedName>
    <definedName name="BOB_Dental_network_paid_amt_prior" hidden="1">#REF!</definedName>
    <definedName name="BOB_Dental_orthodonic_paid_amt_curr" hidden="1">#REF!</definedName>
    <definedName name="BOB_Dental_orthodonic_paid_amt_prior" hidden="1">#REF!</definedName>
    <definedName name="BOB_Dental_orthodonic_svcs_curr" hidden="1">#REF!</definedName>
    <definedName name="BOB_Dental_orthodonic_svcs_prior" hidden="1">#REF!</definedName>
    <definedName name="BOB_Dental_other_paid_amt_curr" hidden="1">#REF!</definedName>
    <definedName name="BOB_Dental_other_paid_amt_prior" hidden="1">#REF!</definedName>
    <definedName name="BOB_Dental_other_svcs_curr" hidden="1">#REF!</definedName>
    <definedName name="BOB_Dental_other_svcs_prior" hidden="1">#REF!</definedName>
    <definedName name="BOB_Dental_paid_amt_curr" hidden="1">#REF!</definedName>
    <definedName name="BOB_Dental_paid_amt_prior" hidden="1">#REF!</definedName>
    <definedName name="BOB_Dental_preventative_paid_amt_curr" hidden="1">#REF!</definedName>
    <definedName name="BOB_Dental_preventative_paid_amt_prior" hidden="1">#REF!</definedName>
    <definedName name="BOB_Dental_preventative_svcs_curr" hidden="1">#REF!</definedName>
    <definedName name="BOB_Dental_preventative_svcs_prior" hidden="1">#REF!</definedName>
    <definedName name="BOB_Med_admit_count_curr" hidden="1">#REF!</definedName>
    <definedName name="BOB_Med_admit_count_prior" hidden="1">#REF!</definedName>
    <definedName name="BOB_Med_allowed_amt_curr" hidden="1">#REF!</definedName>
    <definedName name="BOB_Med_allowed_am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surgeries_prior" hidden="1">#REF!</definedName>
    <definedName name="BOB_Med_paid_amt_amb_visits_curr" hidden="1">#REF!</definedName>
    <definedName name="BOB_Med_paid_amt_amb_visits_prior" hidden="1">#REF!</definedName>
    <definedName name="BOB_Med_paid_amt_curr" hidden="1">#REF!</definedName>
    <definedName name="BOB_Med_paid_amt_er_visits_curr" hidden="1">#REF!</definedName>
    <definedName name="BOB_Med_paid_amt_er_visits_prior" hidden="1">#REF!</definedName>
    <definedName name="BOB_Med_paid_amt_home_health_curr" hidden="1">#REF!</definedName>
    <definedName name="BOB_Med_paid_amt_home_health_prior" hidden="1">#REF!</definedName>
    <definedName name="BOB_Med_paid_amt_inp_days_curr" hidden="1">#REF!</definedName>
    <definedName name="BOB_Med_paid_amt_inp_days_prior" hidden="1">#REF!</definedName>
    <definedName name="BOB_Med_paid_amt_inp_surgeries_curr" hidden="1">#REF!</definedName>
    <definedName name="BOB_Med_paid_amt_inp_surgeries_prior" hidden="1">#REF!</definedName>
    <definedName name="BOB_Med_paid_amt_lab_serv_curr" hidden="1">#REF!</definedName>
    <definedName name="BOB_Med_paid_amt_lab_serv_prior" hidden="1">#REF!</definedName>
    <definedName name="BOB_Med_paid_amt_med_rx_curr" hidden="1">#REF!</definedName>
    <definedName name="BOB_Med_paid_amt_med_rx_prior" hidden="1">#REF!</definedName>
    <definedName name="BOB_Med_paid_amt_med_visits_curr" hidden="1">#REF!</definedName>
    <definedName name="BOB_Med_paid_amt_med_visits_prior" hidden="1">#REF!</definedName>
    <definedName name="BOB_Med_paid_amt_mental_health_curr" hidden="1">#REF!</definedName>
    <definedName name="BOB_Med_paid_amt_mental_health_prior" hidden="1">#REF!</definedName>
    <definedName name="BOB_Med_paid_amt_misc_med_curr" hidden="1">#REF!</definedName>
    <definedName name="BOB_Med_paid_amt_misc_med_prior" hidden="1">#REF!</definedName>
    <definedName name="BOB_Med_paid_amt_office_surgeries_curr" hidden="1">#REF!</definedName>
    <definedName name="BOB_Med_paid_amt_office_surgeries_prior" hidden="1">#REF!</definedName>
    <definedName name="BOB_Med_paid_amt_prim_off_visits_curr" hidden="1">#REF!</definedName>
    <definedName name="BOB_Med_paid_amt_prim_off_visits_prior" hidden="1">#REF!</definedName>
    <definedName name="BOB_Med_paid_amt_prior" hidden="1">#REF!</definedName>
    <definedName name="BOB_Med_paid_amt_rad_serv_curr" hidden="1">#REF!</definedName>
    <definedName name="BOB_Med_paid_amt_rad_serv_prior" hidden="1">#REF!</definedName>
    <definedName name="BOB_Med_paid_amt_spec_office_visits_curr" hidden="1">#REF!</definedName>
    <definedName name="BOB_Med_paid_amt_spec_office_visits_prior" hidden="1">#REF!</definedName>
    <definedName name="BOB_Med_paid_encounter_lab_rad_curr" hidden="1">#REF!</definedName>
    <definedName name="BOB_Med_paid_encounter_lab_rad_prior" hidden="1">#REF!</definedName>
    <definedName name="BOB_Med_paid_encounter_other_curr" hidden="1">#REF!</definedName>
    <definedName name="BOB_Med_paid_encounter_other_prior" hidden="1">#REF!</definedName>
    <definedName name="BOB_Med_paid_encounter_prim_phys_curr" hidden="1">#REF!</definedName>
    <definedName name="BOB_Med_paid_encounter_prim_phys_prior" hidden="1">#REF!</definedName>
    <definedName name="BOB_Med_paid_encounter_spec_phys_curr" hidden="1">#REF!</definedName>
    <definedName name="BOB_Med_paid_encounter_spec_phys_prior" hidden="1">#REF!</definedName>
    <definedName name="BOB_Med_paid_other_curr" hidden="1">#REF!</definedName>
    <definedName name="BOB_Med_paid_other_prio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rand_curr" hidden="1">#REF!</definedName>
    <definedName name="brand_prior" hidden="1">#REF!</definedName>
    <definedName name="BrandAverageCopay" hidden="1">#REF!</definedName>
    <definedName name="BrandMultiAverageCopay" hidden="1">#REF!</definedName>
    <definedName name="BrokerEnteredName" hidden="1">#REF!</definedName>
    <definedName name="BrokerEnteredTagLine" hidden="1">#REF!</definedName>
    <definedName name="CalendarYear">#REF!</definedName>
    <definedName name="Cap_capitation_amt_curr" hidden="1">#REF!</definedName>
    <definedName name="Cap_capitation_amt_prior" hidden="1">#REF!</definedName>
    <definedName name="carolinarest" localSheetId="2" hidden="1">{#N/A,#N/A,FALSE,"98-99 Recap";#N/A,#N/A,FALSE,"Exec Summary"}</definedName>
    <definedName name="carolinarest" localSheetId="0" hidden="1">{#N/A,#N/A,FALSE,"98-99 Recap";#N/A,#N/A,FALSE,"Exec Summary"}</definedName>
    <definedName name="carolinarest" hidden="1">{#N/A,#N/A,FALSE,"98-99 Recap";#N/A,#N/A,FALSE,"Exec Summary"}</definedName>
    <definedName name="Casttable">#REF!</definedName>
    <definedName name="cat">OFFSET(#REF!,0,0,COUNTA(#REF!),1)</definedName>
    <definedName name="CatClaimantThreshold" hidden="1">#REF!</definedName>
    <definedName name="Check_For_Account_Selection" hidden="1">#REF!</definedName>
    <definedName name="Check_For_Capitation_Product" hidden="1">#REF!</definedName>
    <definedName name="Check_For_Plan_Selection" hidden="1">#REF!</definedName>
    <definedName name="Check_For_Product_99" hidden="1">#REF!</definedName>
    <definedName name="Check_For_Split_Funded_Medical" hidden="1">#REF!</definedName>
    <definedName name="Check_Template_Type" hidden="1">#REF!</definedName>
    <definedName name="china" hidden="1">#REF!</definedName>
    <definedName name="CL">#REF!</definedName>
    <definedName name="colin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M">#REF!</definedName>
    <definedName name="CommunityRated_HPD_Row_22_delete" hidden="1">#REF!</definedName>
    <definedName name="CommunityRatedRow23Row27SIKeyStats" hidden="1">#REF!</definedName>
    <definedName name="COMP">#REF!</definedName>
    <definedName name="Contract">#REF!</definedName>
    <definedName name="correct" localSheetId="2" hidden="1">{#N/A,#N/A,FALSE,"Hlth_Comp";#N/A,#N/A,FALSE,"Current_Insured";#N/A,#N/A,FALSE,"Projected_Insured";#N/A,#N/A,FALSE,"CIGNA_Insured";#N/A,#N/A,FALSE,"CIGNA_MPP"}</definedName>
    <definedName name="correct" localSheetId="0" hidden="1">{#N/A,#N/A,FALSE,"Hlth_Comp";#N/A,#N/A,FALSE,"Current_Insured";#N/A,#N/A,FALSE,"Projected_Insured";#N/A,#N/A,FALSE,"CIGNA_Insured";#N/A,#N/A,FALSE,"CIGNA_MPP"}</definedName>
    <definedName name="correct" hidden="1">{#N/A,#N/A,FALSE,"Hlth_Comp";#N/A,#N/A,FALSE,"Current_Insured";#N/A,#N/A,FALSE,"Projected_Insured";#N/A,#N/A,FALSE,"CIGNA_Insured";#N/A,#N/A,FALSE,"CIGNA_MPP"}</definedName>
    <definedName name="Cost_Sharing_Analysis_Dental_Range" hidden="1">#REF!</definedName>
    <definedName name="Cover" hidden="1">#REF!</definedName>
    <definedName name="Cover_Page_Range" hidden="1">#REF!</definedName>
    <definedName name="Cover_Page_Run_Macros_Range" hidden="1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rap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_xlnm.Criteria">#REF!</definedName>
    <definedName name="CRM">#REF!</definedName>
    <definedName name="CTS">#REF!</definedName>
    <definedName name="cum" localSheetId="2">OFFSET([0]!cat,0,2,,)</definedName>
    <definedName name="cum" localSheetId="0">OFFSET(cat,0,2,,)</definedName>
    <definedName name="cum">OFFSET(cat,0,2,,)</definedName>
    <definedName name="curr" localSheetId="2">#REF!</definedName>
    <definedName name="curr" localSheetId="0">#REF!</definedName>
    <definedName name="curr">#REF!</definedName>
    <definedName name="curr_yyyymmdd_incurred_end_date" hidden="1">#REF!</definedName>
    <definedName name="curr_yyyymmdd_processed_end_date" hidden="1">#REF!</definedName>
    <definedName name="Current_Cat_End_Row_Number" hidden="1">#REF!</definedName>
    <definedName name="Current_Claims_Above_50K_Check" hidden="1">#REF!</definedName>
    <definedName name="Current_Network_Discount_Savings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xcz" localSheetId="2" hidden="1">{#N/A,#N/A,FALSE,"98-99 Recap";#N/A,#N/A,FALSE,"Exec Summary"}</definedName>
    <definedName name="cxcz" localSheetId="0" hidden="1">{#N/A,#N/A,FALSE,"98-99 Recap";#N/A,#N/A,FALSE,"Exec Summary"}</definedName>
    <definedName name="cxcz" hidden="1">{#N/A,#N/A,FALSE,"98-99 Recap";#N/A,#N/A,FALSE,"Exec Summary"}</definedName>
    <definedName name="d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A_Accumulator_Range" hidden="1">#REF!</definedName>
    <definedName name="DA_Capitation_Range" hidden="1">#REF!</definedName>
    <definedName name="DA_Dental_Range" hidden="1">#REF!</definedName>
    <definedName name="DA_Medical_Range" hidden="1">#REF!</definedName>
    <definedName name="DA_Off_Page_Range" hidden="1">#REF!</definedName>
    <definedName name="DA_Page_P4P" hidden="1">#REF!</definedName>
    <definedName name="DA_Prior_Range" hidden="1">#REF!</definedName>
    <definedName name="DA_RX_Range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Origin" hidden="1">#REF!</definedName>
    <definedName name="DD_ER_VISITS_FOOTNOTE" hidden="1">#REF!</definedName>
    <definedName name="dd_prov_net_footnote" hidden="1">#REF!</definedName>
    <definedName name="DecSun1" localSheetId="2">DATE([0]!CalendarYear,12,1)-WEEKDAY(DATE([0]!CalendarYear,12,1))</definedName>
    <definedName name="DecSun1" localSheetId="0">DATE(CalendarYear,12,1)-WEEKDAY(DATE(CalendarYear,12,1))</definedName>
    <definedName name="DecSun1">DATE(CalendarYear,12,1)-WEEKDAY(DATE(CalendarYear,12,1))</definedName>
    <definedName name="def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mographics_Dental_Range" hidden="1">#REF!</definedName>
    <definedName name="Demographics_FI_Community_Graph_range" hidden="1">#REF!</definedName>
    <definedName name="Demographics_Medical_Range" hidden="1">#REF!</definedName>
    <definedName name="Dental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_ahf_ind" hidden="1">#REF!</definedName>
    <definedName name="Dental_avg_age_members_curr" hidden="1">#REF!</definedName>
    <definedName name="Dental_avg_age_members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pendent_paid_amt_curr" hidden="1">#REF!</definedName>
    <definedName name="Dental_dependent_paid_amt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Ingenix_Footnote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ON_Footnote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PO_Max_Section_Check" hidden="1">#REF!</definedName>
    <definedName name="Dental_PPO_Section_Check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22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ProductCheck" hidden="1">#REF!</definedName>
    <definedName name="DepartmentsList">#REF!</definedName>
    <definedName name="detail_view">#REF!</definedName>
    <definedName name="dffasdf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ME_Dirty" hidden="1">"True"</definedName>
    <definedName name="DME_DocumentFlags" hidden="1">"1"</definedName>
    <definedName name="DME_DocumentID" hidden="1">"::ODMA\DME-MSE\ESS-2244"</definedName>
    <definedName name="DME_DocumentOpened" hidden="1">"True"</definedName>
    <definedName name="DME_DocumentTitle" hidden="1">"ESS-2244 - Pinnacle - Survey Data"</definedName>
    <definedName name="DME_LocalFile" hidden="1">"False"</definedName>
    <definedName name="DME_NextWindowNumber" hidden="1">"2"</definedName>
    <definedName name="DrillDownBOBSIKeyStats" hidden="1">#REF!</definedName>
    <definedName name="DrillDownRow17Row27SIKeyStats" hidden="1">#REF!</definedName>
    <definedName name="DSD">#REF!</definedName>
    <definedName name="eee" localSheetId="2" hidden="1">{#N/A,#N/A,FALSE,"Cosmos Report"}</definedName>
    <definedName name="eee" localSheetId="0" hidden="1">{#N/A,#N/A,FALSE,"Cosmos Report"}</definedName>
    <definedName name="eee" hidden="1">{#N/A,#N/A,FALSE,"Cosmos Report"}</definedName>
    <definedName name="elect">#REF!</definedName>
    <definedName name="ELGi_NonProd_Release">#REF!</definedName>
    <definedName name="Elgi_Release">#REF!</definedName>
    <definedName name="Engine">#REF!</definedName>
    <definedName name="ePSM_Dental_Graph_Page" hidden="1">#REF!</definedName>
    <definedName name="ePSM_Medical_Graph_Page_Range" hidden="1">#REF!</definedName>
    <definedName name="ePSM_Rx_Graph_Page" hidden="1">#REF!</definedName>
    <definedName name="ER_Visits_1000_Members" hidden="1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Print_Area_8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ss">#REF!</definedName>
    <definedName name="exclude_large_claimant_ind" hidden="1">#REF!</definedName>
    <definedName name="Exclude_MDC_Range" hidden="1">#REF!</definedName>
    <definedName name="Exec_SUmmary_Default_text" hidden="1">#REF!</definedName>
    <definedName name="FAN">#REF!</definedName>
    <definedName name="FebSun1" localSheetId="2">DATE([0]!CalendarYear,2,1)-WEEKDAY(DATE([0]!CalendarYear,2,1))</definedName>
    <definedName name="FebSun1" localSheetId="0">DATE(CalendarYear,2,1)-WEEKDAY(DATE(CalendarYear,2,1))</definedName>
    <definedName name="FebSun1">DATE(CalendarYear,2,1)-WEEKDAY(DATE(CalendarYear,2,1))</definedName>
    <definedName name="FI_comm_rated_gloss_med_billed_amt_per_emp" localSheetId="2" hidden="1">#REF!</definedName>
    <definedName name="FI_comm_rated_gloss_med_billed_amt_per_emp" localSheetId="0" hidden="1">#REF!</definedName>
    <definedName name="FI_comm_rated_gloss_med_billed_amt_per_emp" hidden="1">#REF!</definedName>
    <definedName name="FI_comm_rated_gloss_num_of_emp" localSheetId="2" hidden="1">#REF!</definedName>
    <definedName name="FI_comm_rated_gloss_num_of_emp" localSheetId="0" hidden="1">#REF!</definedName>
    <definedName name="FI_comm_rated_gloss_num_of_emp" hidden="1">#REF!</definedName>
    <definedName name="FI_comm_rated_gloss_ratio_of_mem_to_emp" localSheetId="2" hidden="1">#REF!</definedName>
    <definedName name="FI_comm_rated_gloss_ratio_of_mem_to_emp" localSheetId="0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clusionInd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nancial_Overview_Dental_Range" hidden="1">#REF!</definedName>
    <definedName name="Financial_Overview_Medical_Range" hidden="1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rst_Time_Switch" hidden="1">#REF!</definedName>
    <definedName name="FO_Dental_report_has_xml_ind" hidden="1">#REF!</definedName>
    <definedName name="formulary_curr" hidden="1">#REF!</definedName>
    <definedName name="formulary_prior" hidden="1">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e" localSheetId="2">OFFSET([0]!cat,0,1,,)</definedName>
    <definedName name="fre" localSheetId="0">OFFSET(cat,0,1,,)</definedName>
    <definedName name="fre">OFFSET(cat,0,1,,)</definedName>
    <definedName name="FundCode" localSheetId="2" hidden="1">#REF!</definedName>
    <definedName name="FundCode" localSheetId="0" hidden="1">#REF!</definedName>
    <definedName name="FundCode" hidden="1">#REF!</definedName>
    <definedName name="G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elp" localSheetId="2" hidden="1">{#N/A,#N/A,FALSE,"OfficeAssets"}</definedName>
    <definedName name="gelp" localSheetId="0" hidden="1">{#N/A,#N/A,FALSE,"OfficeAssets"}</definedName>
    <definedName name="gelp" hidden="1">{#N/A,#N/A,FALSE,"OfficeAssets"}</definedName>
    <definedName name="generic_curr" hidden="1">#REF!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ricAverageCopay" hidden="1">#REF!</definedName>
    <definedName name="ghj" localSheetId="2" hidden="1">{#N/A,#N/A,FALSE,"monthly";#N/A,#N/A,FALSE,"med spec 97-98"}</definedName>
    <definedName name="ghj" localSheetId="0" hidden="1">{#N/A,#N/A,FALSE,"monthly";#N/A,#N/A,FALSE,"med spec 97-98"}</definedName>
    <definedName name="ghj" hidden="1">{#N/A,#N/A,FALSE,"monthly";#N/A,#N/A,FALSE,"med spec 97-98"}</definedName>
    <definedName name="ghjjh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o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RDTBL">#REF!</definedName>
    <definedName name="GrpHlth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Health_Profile_Top_10_Dis_Med_HPD_Range" hidden="1">#REF!</definedName>
    <definedName name="Heather">#REF!</definedName>
    <definedName name="Hello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p2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ospital_Profile_Home" hidden="1">#REF!</definedName>
    <definedName name="Hospital_Profile_Medical_Range" hidden="1">#REF!</definedName>
    <definedName name="Hospital_Profile_Medical_Range2" hidden="1">#REF!</definedName>
    <definedName name="Hospital_Profile_Rang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cr_delete_paid_columns" hidden="1">#REF!</definedName>
    <definedName name="HPD_Delete_Range" hidden="1">#REF!</definedName>
    <definedName name="hpd_hard_coded_bob" hidden="1">#REF!</definedName>
    <definedName name="HPD_No_Obs_Found_Range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Rows_6_7" hidden="1">#REF!</definedName>
    <definedName name="HPD_total_population_curr" hidden="1">#REF!</definedName>
    <definedName name="HPD_total_population_prior" hidden="1">#REF!</definedName>
    <definedName name="HTML_CodePage" hidden="1">1252</definedName>
    <definedName name="HTML_Control" localSheetId="2" hidden="1">{"'Sheet7'!$A$6:$G$20"}</definedName>
    <definedName name="HTML_Control" localSheetId="0" hidden="1">{"'Sheet7'!$A$6:$G$20"}</definedName>
    <definedName name="HTML_Control" hidden="1">{"'Sheet7'!$A$6:$G$20"}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"u:\MyHTML6.htm"</definedName>
    <definedName name="HTML_Title" hidden="1">""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Count" hidden="1">1</definedName>
    <definedName name="impact_na_range1" hidden="1">#REF!</definedName>
    <definedName name="Impact_of_Catastrophic_Medical_Range" hidden="1">#REF!</definedName>
    <definedName name="INC_SPCat">#REF!</definedName>
    <definedName name="Inc_SupCat">#REF!</definedName>
    <definedName name="IncEndDateCurr" hidden="1">#REF!</definedName>
    <definedName name="IncEndDatePrior" hidden="1">#REF!</definedName>
    <definedName name="IncludeSuspended">#REF!</definedName>
    <definedName name="IncStartDateCurr" hidden="1">#REF!</definedName>
    <definedName name="IncStartDatePrior" hidden="1">#REF!</definedName>
    <definedName name="india" hidden="1">#REF!</definedName>
    <definedName name="IntroPrintArea" hidden="1">#REF!</definedName>
    <definedName name="IP_MDC_Analysis_Medical_Range" hidden="1">#REF!</definedName>
    <definedName name="ip_mdc_na_bob_column1" hidden="1">#REF!</definedName>
    <definedName name="j" localSheetId="2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0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_10a" localSheetId="2" hidden="1">{#N/A,#N/A,FALSE,"Aging Summary";#N/A,#N/A,FALSE,"Ratio Analysis";#N/A,#N/A,FALSE,"Test 120 Day Accts";#N/A,#N/A,FALSE,"Tickmarks"}</definedName>
    <definedName name="j_10a" localSheetId="0" hidden="1">{#N/A,#N/A,FALSE,"Aging Summary";#N/A,#N/A,FALSE,"Ratio Analysis";#N/A,#N/A,FALSE,"Test 120 Day Accts";#N/A,#N/A,FALSE,"Tickmarks"}</definedName>
    <definedName name="j_10a" hidden="1">{#N/A,#N/A,FALSE,"Aging Summary";#N/A,#N/A,FALSE,"Ratio Analysis";#N/A,#N/A,FALSE,"Test 120 Day Accts";#N/A,#N/A,FALSE,"Tickmarks"}</definedName>
    <definedName name="j_10a_2" localSheetId="2" hidden="1">{#N/A,#N/A,FALSE,"Aging Summary";#N/A,#N/A,FALSE,"Ratio Analysis";#N/A,#N/A,FALSE,"Test 120 Day Accts";#N/A,#N/A,FALSE,"Tickmarks"}</definedName>
    <definedName name="j_10a_2" localSheetId="0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localSheetId="2" hidden="1">{#N/A,#N/A,FALSE,"Aging Summary";#N/A,#N/A,FALSE,"Ratio Analysis";#N/A,#N/A,FALSE,"Test 120 Day Accts";#N/A,#N/A,FALSE,"Tickmarks"}</definedName>
    <definedName name="j_10a1" localSheetId="0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localSheetId="2" hidden="1">{#N/A,#N/A,FALSE,"Aging Summary";#N/A,#N/A,FALSE,"Ratio Analysis";#N/A,#N/A,FALSE,"Test 120 Day Accts";#N/A,#N/A,FALSE,"Tickmarks"}</definedName>
    <definedName name="j_11a" localSheetId="0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localSheetId="2" hidden="1">{#N/A,#N/A,FALSE,"Aging Summary";#N/A,#N/A,FALSE,"Ratio Analysis";#N/A,#N/A,FALSE,"Test 120 Day Accts";#N/A,#N/A,FALSE,"Tickmarks"}</definedName>
    <definedName name="j_12a" localSheetId="0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localSheetId="2" hidden="1">{#N/A,#N/A,FALSE,"Aging Summary";#N/A,#N/A,FALSE,"Ratio Analysis";#N/A,#N/A,FALSE,"Test 120 Day Accts";#N/A,#N/A,FALSE,"Tickmarks"}</definedName>
    <definedName name="j_12a_2" localSheetId="0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localSheetId="2" hidden="1">{#N/A,#N/A,FALSE,"Aging Summary";#N/A,#N/A,FALSE,"Ratio Analysis";#N/A,#N/A,FALSE,"Test 120 Day Accts";#N/A,#N/A,FALSE,"Tickmarks"}</definedName>
    <definedName name="j_12p" localSheetId="0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localSheetId="2" hidden="1">{#N/A,#N/A,FALSE,"Aging Summary";#N/A,#N/A,FALSE,"Ratio Analysis";#N/A,#N/A,FALSE,"Test 120 Day Accts";#N/A,#N/A,FALSE,"Tickmarks"}</definedName>
    <definedName name="j_16a" localSheetId="0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localSheetId="2" hidden="1">{#N/A,#N/A,FALSE,"Aging Summary";#N/A,#N/A,FALSE,"Ratio Analysis";#N/A,#N/A,FALSE,"Test 120 Day Accts";#N/A,#N/A,FALSE,"Tickmarks"}</definedName>
    <definedName name="j_17p" localSheetId="0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localSheetId="2" hidden="1">{#N/A,#N/A,FALSE,"Aging Summary";#N/A,#N/A,FALSE,"Ratio Analysis";#N/A,#N/A,FALSE,"Test 120 Day Accts";#N/A,#N/A,FALSE,"Tickmarks"}</definedName>
    <definedName name="j_18a" localSheetId="0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localSheetId="2" hidden="1">{#N/A,#N/A,FALSE,"Aging Summary";#N/A,#N/A,FALSE,"Ratio Analysis";#N/A,#N/A,FALSE,"Test 120 Day Accts";#N/A,#N/A,FALSE,"Tickmarks"}</definedName>
    <definedName name="j_19A" localSheetId="0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localSheetId="2" hidden="1">{#N/A,#N/A,FALSE,"Aging Summary";#N/A,#N/A,FALSE,"Ratio Analysis";#N/A,#N/A,FALSE,"Test 120 Day Accts";#N/A,#N/A,FALSE,"Tickmarks"}</definedName>
    <definedName name="j_19a_1" localSheetId="0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localSheetId="2" hidden="1">{#N/A,#N/A,FALSE,"Aging Summary";#N/A,#N/A,FALSE,"Ratio Analysis";#N/A,#N/A,FALSE,"Test 120 Day Accts";#N/A,#N/A,FALSE,"Tickmarks"}</definedName>
    <definedName name="j_2009a" localSheetId="0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localSheetId="2" hidden="1">{#N/A,#N/A,FALSE,"Aging Summary";#N/A,#N/A,FALSE,"Ratio Analysis";#N/A,#N/A,FALSE,"Test 120 Day Accts";#N/A,#N/A,FALSE,"Tickmarks"}</definedName>
    <definedName name="j_21a" localSheetId="0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localSheetId="2" hidden="1">{#N/A,#N/A,FALSE,"Aging Summary";#N/A,#N/A,FALSE,"Ratio Analysis";#N/A,#N/A,FALSE,"Test 120 Day Accts";#N/A,#N/A,FALSE,"Tickmarks"}</definedName>
    <definedName name="j_28A" localSheetId="0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localSheetId="2" hidden="1">{#N/A,#N/A,FALSE,"Aging Summary";#N/A,#N/A,FALSE,"Ratio Analysis";#N/A,#N/A,FALSE,"Test 120 Day Accts";#N/A,#N/A,FALSE,"Tickmarks"}</definedName>
    <definedName name="j_29a" localSheetId="0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localSheetId="2" hidden="1">{#N/A,#N/A,FALSE,"Aging Summary";#N/A,#N/A,FALSE,"Ratio Analysis";#N/A,#N/A,FALSE,"Test 120 Day Accts";#N/A,#N/A,FALSE,"Tickmarks"}</definedName>
    <definedName name="j_2a" localSheetId="0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localSheetId="2" hidden="1">{#N/A,#N/A,FALSE,"Aging Summary";#N/A,#N/A,FALSE,"Ratio Analysis";#N/A,#N/A,FALSE,"Test 120 Day Accts";#N/A,#N/A,FALSE,"Tickmarks"}</definedName>
    <definedName name="j_2a1" localSheetId="0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localSheetId="2" hidden="1">{#N/A,#N/A,FALSE,"Aging Summary";#N/A,#N/A,FALSE,"Ratio Analysis";#N/A,#N/A,FALSE,"Test 120 Day Accts";#N/A,#N/A,FALSE,"Tickmarks"}</definedName>
    <definedName name="j_32p" localSheetId="0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localSheetId="2" hidden="1">{#N/A,#N/A,FALSE,"Aging Summary";#N/A,#N/A,FALSE,"Ratio Analysis";#N/A,#N/A,FALSE,"Test 120 Day Accts";#N/A,#N/A,FALSE,"Tickmarks"}</definedName>
    <definedName name="j_33a" localSheetId="0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localSheetId="2" hidden="1">{#N/A,#N/A,FALSE,"Aging Summary";#N/A,#N/A,FALSE,"Ratio Analysis";#N/A,#N/A,FALSE,"Test 120 Day Accts";#N/A,#N/A,FALSE,"Tickmarks"}</definedName>
    <definedName name="j_36a" localSheetId="0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localSheetId="2" hidden="1">{#N/A,#N/A,FALSE,"Aging Summary";#N/A,#N/A,FALSE,"Ratio Analysis";#N/A,#N/A,FALSE,"Test 120 Day Accts";#N/A,#N/A,FALSE,"Tickmarks"}</definedName>
    <definedName name="j_36p" localSheetId="0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localSheetId="2" hidden="1">{#N/A,#N/A,FALSE,"Aging Summary";#N/A,#N/A,FALSE,"Ratio Analysis";#N/A,#N/A,FALSE,"Test 120 Day Accts";#N/A,#N/A,FALSE,"Tickmarks"}</definedName>
    <definedName name="j_38a" localSheetId="0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localSheetId="2" hidden="1">{#N/A,#N/A,FALSE,"Aging Summary";#N/A,#N/A,FALSE,"Ratio Analysis";#N/A,#N/A,FALSE,"Test 120 Day Accts";#N/A,#N/A,FALSE,"Tickmarks"}</definedName>
    <definedName name="j_39a" localSheetId="0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localSheetId="2" hidden="1">{#N/A,#N/A,FALSE,"Aging Summary";#N/A,#N/A,FALSE,"Ratio Analysis";#N/A,#N/A,FALSE,"Test 120 Day Accts";#N/A,#N/A,FALSE,"Tickmarks"}</definedName>
    <definedName name="j_3p_1" localSheetId="0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localSheetId="2" hidden="1">{#N/A,#N/A,FALSE,"Aging Summary";#N/A,#N/A,FALSE,"Ratio Analysis";#N/A,#N/A,FALSE,"Test 120 Day Accts";#N/A,#N/A,FALSE,"Tickmarks"}</definedName>
    <definedName name="j_4a1" localSheetId="0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localSheetId="2" hidden="1">{#N/A,#N/A,FALSE,"Aging Summary";#N/A,#N/A,FALSE,"Ratio Analysis";#N/A,#N/A,FALSE,"Test 120 Day Accts";#N/A,#N/A,FALSE,"Tickmarks"}</definedName>
    <definedName name="j_7p" localSheetId="0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localSheetId="2" hidden="1">{#N/A,#N/A,FALSE,"Aging Summary";#N/A,#N/A,FALSE,"Ratio Analysis";#N/A,#N/A,FALSE,"Test 120 Day Accts";#N/A,#N/A,FALSE,"Tickmarks"}</definedName>
    <definedName name="j_7pA" localSheetId="0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localSheetId="2" hidden="1">{#N/A,#N/A,FALSE,"Aging Summary";#N/A,#N/A,FALSE,"Ratio Analysis";#N/A,#N/A,FALSE,"Test 120 Day Accts";#N/A,#N/A,FALSE,"Tickmarks"}</definedName>
    <definedName name="j_8a" localSheetId="0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localSheetId="2" hidden="1">{#N/A,#N/A,FALSE,"Aging Summary";#N/A,#N/A,FALSE,"Ratio Analysis";#N/A,#N/A,FALSE,"Test 120 Day Accts";#N/A,#N/A,FALSE,"Tickmarks"}</definedName>
    <definedName name="j_ammeded" localSheetId="0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n">#REF!</definedName>
    <definedName name="jank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Sun1" localSheetId="2">DATE([0]!CalendarYear,1,1)-WEEKDAY(DATE([0]!CalendarYear,1,1))</definedName>
    <definedName name="JanSun1" localSheetId="0">DATE(CalendarYear,1,1)-WEEKDAY(DATE(CalendarYear,1,1))</definedName>
    <definedName name="JanSun1">DATE(CalendarYear,1,1)-WEEKDAY(DATE(CalendarYear,1,1))</definedName>
    <definedName name="jfdfs_1a1" localSheetId="2" hidden="1">{#N/A,#N/A,FALSE,"Aging Summary";#N/A,#N/A,FALSE,"Ratio Analysis";#N/A,#N/A,FALSE,"Test 120 Day Accts";#N/A,#N/A,FALSE,"Tickmarks"}</definedName>
    <definedName name="jfdfs_1a1" localSheetId="0" hidden="1">{#N/A,#N/A,FALSE,"Aging Summary";#N/A,#N/A,FALSE,"Ratio Analysis";#N/A,#N/A,FALSE,"Test 120 Day Accts";#N/A,#N/A,FALSE,"Tickmarks"}</definedName>
    <definedName name="jfdfs_1a1" hidden="1">{#N/A,#N/A,FALSE,"Aging Summary";#N/A,#N/A,FALSE,"Ratio Analysis";#N/A,#N/A,FALSE,"Test 120 Day Accts";#N/A,#N/A,FALSE,"Tickmarks"}</definedName>
    <definedName name="jfdjfs_1" localSheetId="2" hidden="1">{#N/A,#N/A,FALSE,"Aging Summary";#N/A,#N/A,FALSE,"Ratio Analysis";#N/A,#N/A,FALSE,"Test 120 Day Accts";#N/A,#N/A,FALSE,"Tickmarks"}</definedName>
    <definedName name="jfdjfs_1" localSheetId="0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ldfs" localSheetId="2" hidden="1">{#N/A,#N/A,FALSE,"Aging Summary";#N/A,#N/A,FALSE,"Ratio Analysis";#N/A,#N/A,FALSE,"Test 120 Day Accts";#N/A,#N/A,FALSE,"Tickmarks"}</definedName>
    <definedName name="jfldfs" localSheetId="0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localSheetId="2" hidden="1">{#N/A,#N/A,FALSE,"Aging Summary";#N/A,#N/A,FALSE,"Ratio Analysis";#N/A,#N/A,FALSE,"Test 120 Day Accts";#N/A,#N/A,FALSE,"Tickmarks"}</definedName>
    <definedName name="jfldfs_1" localSheetId="0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localSheetId="2" hidden="1">{#N/A,#N/A,FALSE,"Aging Summary";#N/A,#N/A,FALSE,"Ratio Analysis";#N/A,#N/A,FALSE,"Test 120 Day Accts";#N/A,#N/A,FALSE,"Tickmarks"}</definedName>
    <definedName name="jfldfs_12" localSheetId="0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localSheetId="2" hidden="1">{#N/A,#N/A,FALSE,"Aging Summary";#N/A,#N/A,FALSE,"Ratio Analysis";#N/A,#N/A,FALSE,"Test 120 Day Accts";#N/A,#N/A,FALSE,"Tickmarks"}</definedName>
    <definedName name="jfldfs_12p" localSheetId="0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localSheetId="2" hidden="1">{#N/A,#N/A,FALSE,"Aging Summary";#N/A,#N/A,FALSE,"Ratio Analysis";#N/A,#N/A,FALSE,"Test 120 Day Accts";#N/A,#N/A,FALSE,"Tickmarks"}</definedName>
    <definedName name="jfldfs_16p" localSheetId="0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localSheetId="2" hidden="1">{#N/A,#N/A,FALSE,"Aging Summary";#N/A,#N/A,FALSE,"Ratio Analysis";#N/A,#N/A,FALSE,"Test 120 Day Accts";#N/A,#N/A,FALSE,"Tickmarks"}</definedName>
    <definedName name="jfldfs_1A" localSheetId="0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localSheetId="2" hidden="1">{#N/A,#N/A,FALSE,"Aging Summary";#N/A,#N/A,FALSE,"Ratio Analysis";#N/A,#N/A,FALSE,"Test 120 Day Accts";#N/A,#N/A,FALSE,"Tickmarks"}</definedName>
    <definedName name="jfldfs_1P" localSheetId="0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localSheetId="2" hidden="1">{#N/A,#N/A,FALSE,"Aging Summary";#N/A,#N/A,FALSE,"Ratio Analysis";#N/A,#N/A,FALSE,"Test 120 Day Accts";#N/A,#N/A,FALSE,"Tickmarks"}</definedName>
    <definedName name="jfldfs_201" localSheetId="0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localSheetId="2" hidden="1">{#N/A,#N/A,FALSE,"Aging Summary";#N/A,#N/A,FALSE,"Ratio Analysis";#N/A,#N/A,FALSE,"Test 120 Day Accts";#N/A,#N/A,FALSE,"Tickmarks"}</definedName>
    <definedName name="jfldfs_2010a" localSheetId="0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localSheetId="2" hidden="1">{#N/A,#N/A,FALSE,"Aging Summary";#N/A,#N/A,FALSE,"Ratio Analysis";#N/A,#N/A,FALSE,"Test 120 Day Accts";#N/A,#N/A,FALSE,"Tickmarks"}</definedName>
    <definedName name="jfldfs_20a" localSheetId="0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localSheetId="2" hidden="1">{#N/A,#N/A,FALSE,"Aging Summary";#N/A,#N/A,FALSE,"Ratio Analysis";#N/A,#N/A,FALSE,"Test 120 Day Accts";#N/A,#N/A,FALSE,"Tickmarks"}</definedName>
    <definedName name="jfldfs_23a" localSheetId="0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localSheetId="2" hidden="1">{#N/A,#N/A,FALSE,"Aging Summary";#N/A,#N/A,FALSE,"Ratio Analysis";#N/A,#N/A,FALSE,"Test 120 Day Accts";#N/A,#N/A,FALSE,"Tickmarks"}</definedName>
    <definedName name="jfldfs_24a" localSheetId="0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localSheetId="2" hidden="1">{#N/A,#N/A,FALSE,"Aging Summary";#N/A,#N/A,FALSE,"Ratio Analysis";#N/A,#N/A,FALSE,"Test 120 Day Accts";#N/A,#N/A,FALSE,"Tickmarks"}</definedName>
    <definedName name="jfldfs_2a" localSheetId="0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localSheetId="2" hidden="1">{#N/A,#N/A,FALSE,"Aging Summary";#N/A,#N/A,FALSE,"Ratio Analysis";#N/A,#N/A,FALSE,"Test 120 Day Accts";#N/A,#N/A,FALSE,"Tickmarks"}</definedName>
    <definedName name="jfldfs_34p" localSheetId="0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localSheetId="2" hidden="1">{#N/A,#N/A,FALSE,"Aging Summary";#N/A,#N/A,FALSE,"Ratio Analysis";#N/A,#N/A,FALSE,"Test 120 Day Accts";#N/A,#N/A,FALSE,"Tickmarks"}</definedName>
    <definedName name="jfldfs_3a_1" localSheetId="0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localSheetId="2" hidden="1">{#N/A,#N/A,FALSE,"Aging Summary";#N/A,#N/A,FALSE,"Ratio Analysis";#N/A,#N/A,FALSE,"Test 120 Day Accts";#N/A,#N/A,FALSE,"Tickmarks"}</definedName>
    <definedName name="jfldfs_40a" localSheetId="0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localSheetId="2" hidden="1">{#N/A,#N/A,FALSE,"Aging Summary";#N/A,#N/A,FALSE,"Ratio Analysis";#N/A,#N/A,FALSE,"Test 120 Day Accts";#N/A,#N/A,FALSE,"Tickmarks"}</definedName>
    <definedName name="jfldfs_41A" localSheetId="0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localSheetId="2" hidden="1">{#N/A,#N/A,FALSE,"Aging Summary";#N/A,#N/A,FALSE,"Ratio Analysis";#N/A,#N/A,FALSE,"Test 120 Day Accts";#N/A,#N/A,FALSE,"Tickmarks"}</definedName>
    <definedName name="jfldfs_41P" localSheetId="0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localSheetId="2" hidden="1">{#N/A,#N/A,FALSE,"Aging Summary";#N/A,#N/A,FALSE,"Ratio Analysis";#N/A,#N/A,FALSE,"Test 120 Day Accts";#N/A,#N/A,FALSE,"Tickmarks"}</definedName>
    <definedName name="jfldfs_4a1" localSheetId="0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localSheetId="2" hidden="1">{#N/A,#N/A,FALSE,"Aging Summary";#N/A,#N/A,FALSE,"Ratio Analysis";#N/A,#N/A,FALSE,"Test 120 Day Accts";#N/A,#N/A,FALSE,"Tickmarks"}</definedName>
    <definedName name="jfldfs_5p_1" localSheetId="0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localSheetId="2" hidden="1">{#N/A,#N/A,FALSE,"Aging Summary";#N/A,#N/A,FALSE,"Ratio Analysis";#N/A,#N/A,FALSE,"Test 120 Day Accts";#N/A,#N/A,FALSE,"Tickmarks"}</definedName>
    <definedName name="jfldfs_6a1" localSheetId="0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localSheetId="2" hidden="1">{#N/A,#N/A,FALSE,"Aging Summary";#N/A,#N/A,FALSE,"Ratio Analysis";#N/A,#N/A,FALSE,"Test 120 Day Accts";#N/A,#N/A,FALSE,"Tickmarks"}</definedName>
    <definedName name="jfldfs_7p" localSheetId="0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localSheetId="2" hidden="1">{#N/A,#N/A,FALSE,"Aging Summary";#N/A,#N/A,FALSE,"Ratio Analysis";#N/A,#N/A,FALSE,"Test 120 Day Accts";#N/A,#N/A,FALSE,"Tickmarks"}</definedName>
    <definedName name="jfldfs_7p1" localSheetId="0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localSheetId="2" hidden="1">{#N/A,#N/A,FALSE,"Aging Summary";#N/A,#N/A,FALSE,"Ratio Analysis";#N/A,#N/A,FALSE,"Test 120 Day Accts";#N/A,#N/A,FALSE,"Tickmarks"}</definedName>
    <definedName name="jfldfs_8a" localSheetId="0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localSheetId="2" hidden="1">{#N/A,#N/A,FALSE,"Aging Summary";#N/A,#N/A,FALSE,"Ratio Analysis";#N/A,#N/A,FALSE,"Test 120 Day Accts";#N/A,#N/A,FALSE,"Tickmarks"}</definedName>
    <definedName name="jfldfs_8p" localSheetId="0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localSheetId="2" hidden="1">{#N/A,#N/A,FALSE,"Aging Summary";#N/A,#N/A,FALSE,"Ratio Analysis";#N/A,#N/A,FALSE,"Test 120 Day Accts";#N/A,#N/A,FALSE,"Tickmarks"}</definedName>
    <definedName name="jfldfs_8p_v" localSheetId="0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localSheetId="2" hidden="1">{#N/A,#N/A,FALSE,"Aging Summary";#N/A,#N/A,FALSE,"Ratio Analysis";#N/A,#N/A,FALSE,"Test 120 Day Accts";#N/A,#N/A,FALSE,"Tickmarks"}</definedName>
    <definedName name="jfldfs_8p11" localSheetId="0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localSheetId="2" hidden="1">{#N/A,#N/A,FALSE,"Aging Summary";#N/A,#N/A,FALSE,"Ratio Analysis";#N/A,#N/A,FALSE,"Test 120 Day Accts";#N/A,#N/A,FALSE,"Tickmarks"}</definedName>
    <definedName name="jfldfs_9a" localSheetId="0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localSheetId="2" hidden="1">{#N/A,#N/A,FALSE,"Aging Summary";#N/A,#N/A,FALSE,"Ratio Analysis";#N/A,#N/A,FALSE,"Test 120 Day Accts";#N/A,#N/A,FALSE,"Tickmarks"}</definedName>
    <definedName name="jfldfs_9p" localSheetId="0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localSheetId="2" hidden="1">{#N/A,#N/A,FALSE,"Aging Summary";#N/A,#N/A,FALSE,"Ratio Analysis";#N/A,#N/A,FALSE,"Test 120 Day Accts";#N/A,#N/A,FALSE,"Tickmarks"}</definedName>
    <definedName name="jfldjfs" localSheetId="0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localSheetId="2" hidden="1">{#N/A,#N/A,FALSE,"Aging Summary";#N/A,#N/A,FALSE,"Ratio Analysis";#N/A,#N/A,FALSE,"Test 120 Day Accts";#N/A,#N/A,FALSE,"Tickmarks"}</definedName>
    <definedName name="jfldjfs_1" localSheetId="0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localSheetId="2" hidden="1">{#N/A,#N/A,FALSE,"Aging Summary";#N/A,#N/A,FALSE,"Ratio Analysis";#N/A,#N/A,FALSE,"Test 120 Day Accts";#N/A,#N/A,FALSE,"Tickmarks"}</definedName>
    <definedName name="jfldjfs_11" localSheetId="0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localSheetId="2" hidden="1">{#N/A,#N/A,FALSE,"Aging Summary";#N/A,#N/A,FALSE,"Ratio Analysis";#N/A,#N/A,FALSE,"Test 120 Day Accts";#N/A,#N/A,FALSE,"Tickmarks"}</definedName>
    <definedName name="jfldjfs_2" localSheetId="0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localSheetId="2" hidden="1">{#N/A,#N/A,FALSE,"Aging Summary";#N/A,#N/A,FALSE,"Ratio Analysis";#N/A,#N/A,FALSE,"Test 120 Day Accts";#N/A,#N/A,FALSE,"Tickmarks"}</definedName>
    <definedName name="jfldjfs_40P" localSheetId="0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hgljkhb" hidden="1">#REF!</definedName>
    <definedName name="jimwrn.network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" hidden="1">#REF!</definedName>
    <definedName name="jjj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nk" localSheetId="2" hidden="1">{#N/A,#N/A,FALSE,"Hlth_Comp";#N/A,#N/A,FALSE,"Current_Insured";#N/A,#N/A,FALSE,"Projected_Insured";#N/A,#N/A,FALSE,"CIGNA_Insured";#N/A,#N/A,FALSE,"CIGNA_MPP"}</definedName>
    <definedName name="jnk" localSheetId="0" hidden="1">{#N/A,#N/A,FALSE,"Hlth_Comp";#N/A,#N/A,FALSE,"Current_Insured";#N/A,#N/A,FALSE,"Projected_Insured";#N/A,#N/A,FALSE,"CIGNA_Insured";#N/A,#N/A,FALSE,"CIGNA_MPP"}</definedName>
    <definedName name="jnk" hidden="1">{#N/A,#N/A,FALSE,"Hlth_Comp";#N/A,#N/A,FALSE,"Current_Insured";#N/A,#N/A,FALSE,"Projected_Insured";#N/A,#N/A,FALSE,"CIGNA_Insured";#N/A,#N/A,FALSE,"CIGNA_MPP"}</definedName>
    <definedName name="job_id" hidden="1">#REF!</definedName>
    <definedName name="Journal_Entry">#REF!</definedName>
    <definedName name="ju" localSheetId="2" hidden="1">{#N/A,#N/A,FALSE,"Hlth_Comp";#N/A,#N/A,FALSE,"Current_Insured";#N/A,#N/A,FALSE,"Projected_Insured";#N/A,#N/A,FALSE,"CIGNA_Insured";#N/A,#N/A,FALSE,"CIGNA_MPP"}</definedName>
    <definedName name="ju" localSheetId="0" hidden="1">{#N/A,#N/A,FALSE,"Hlth_Comp";#N/A,#N/A,FALSE,"Current_Insured";#N/A,#N/A,FALSE,"Projected_Insured";#N/A,#N/A,FALSE,"CIGNA_Insured";#N/A,#N/A,FALSE,"CIGNA_MPP"}</definedName>
    <definedName name="ju" hidden="1">{#N/A,#N/A,FALSE,"Hlth_Comp";#N/A,#N/A,FALSE,"Current_Insured";#N/A,#N/A,FALSE,"Projected_Insured";#N/A,#N/A,FALSE,"CIGNA_Insured";#N/A,#N/A,FALSE,"CIGNA_MPP"}</definedName>
    <definedName name="JulSun1" localSheetId="2">DATE([0]!CalendarYear,7,1)-WEEKDAY(DATE([0]!CalendarYear,7,1))</definedName>
    <definedName name="JulSun1" localSheetId="0">DATE(CalendarYear,7,1)-WEEKDAY(DATE(CalendarYear,7,1))</definedName>
    <definedName name="JulSun1">DATE(CalendarYear,7,1)-WEEKDAY(DATE(CalendarYear,7,1))</definedName>
    <definedName name="junk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oid" localSheetId="2" hidden="1">{#N/A,#N/A,FALSE,"Hlth_Comp";#N/A,#N/A,FALSE,"Current_Insured";#N/A,#N/A,FALSE,"Projected_Insured";#N/A,#N/A,FALSE,"CIGNA_Insured";#N/A,#N/A,FALSE,"CIGNA_MPP"}</definedName>
    <definedName name="junkoid" localSheetId="0" hidden="1">{#N/A,#N/A,FALSE,"Hlth_Comp";#N/A,#N/A,FALSE,"Current_Insured";#N/A,#N/A,FALSE,"Projected_Insured";#N/A,#N/A,FALSE,"CIGNA_Insured";#N/A,#N/A,FALSE,"CIGNA_MPP"}</definedName>
    <definedName name="junkoid" hidden="1">{#N/A,#N/A,FALSE,"Hlth_Comp";#N/A,#N/A,FALSE,"Current_Insured";#N/A,#N/A,FALSE,"Projected_Insured";#N/A,#N/A,FALSE,"CIGNA_Insured";#N/A,#N/A,FALSE,"CIGNA_MPP"}</definedName>
    <definedName name="JunSun1" localSheetId="2">DATE([0]!CalendarYear,6,1)-WEEKDAY(DATE([0]!CalendarYear,6,1))</definedName>
    <definedName name="JunSun1" localSheetId="0">DATE(CalendarYear,6,1)-WEEKDAY(DATE(CalendarYear,6,1))</definedName>
    <definedName name="JunSun1">DATE(CalendarYear,6,1)-WEEKDAY(DATE(CalendarYear,6,1))</definedName>
    <definedName name="k" localSheetId="2" hidden="1">#REF!</definedName>
    <definedName name="k" localSheetId="0" hidden="1">#REF!</definedName>
    <definedName name="k" hidden="1">#REF!</definedName>
    <definedName name="K2_WBEVMODE" hidden="1">-1</definedName>
    <definedName name="kalai" hidden="1">#REF!</definedName>
    <definedName name="Key" hidden="1">"369-371-356-354-373-369-372-317-352-354-377-371-377-382-375-317-381-369-355-369-355-372-381-318-359-383-354-380-372-"</definedName>
    <definedName name="Key_Statistics_Dental_Range" hidden="1">#REF!</definedName>
    <definedName name="Key_Statistics_Medical_Range" hidden="1">#REF!</definedName>
    <definedName name="kjkgg" hidden="1">#REF!</definedName>
    <definedName name="kndkjafhskdjhfkjashd" hidden="1">#REF!</definedName>
    <definedName name="kp">#REF!</definedName>
    <definedName name="lala" hidden="1">#REF!</definedName>
    <definedName name="lead">#REF!</definedName>
    <definedName name="led">#REF!</definedName>
    <definedName name="LEP">#REF!</definedName>
    <definedName name="LEPSAC">#REF!</definedName>
    <definedName name="level_c_d_user_ind" hidden="1">#REF!</definedName>
    <definedName name="lka" hidden="1">#REF!</definedName>
    <definedName name="lkiop" localSheetId="2" hidden="1">{#N/A,#N/A,FALSE,"monthly";#N/A,#N/A,FALSE,"aeroglide 98"}</definedName>
    <definedName name="lkiop" localSheetId="0" hidden="1">{#N/A,#N/A,FALSE,"monthly";#N/A,#N/A,FALSE,"aeroglide 98"}</definedName>
    <definedName name="lkiop" hidden="1">{#N/A,#N/A,FALSE,"monthly";#N/A,#N/A,FALSE,"aeroglide 98"}</definedName>
    <definedName name="lkiujhytg" localSheetId="2" hidden="1">{#N/A,#N/A,FALSE,"monthly";#N/A,#N/A,FALSE,"med spec 97-98"}</definedName>
    <definedName name="lkiujhytg" localSheetId="0" hidden="1">{#N/A,#N/A,FALSE,"monthly";#N/A,#N/A,FALSE,"med spec 97-98"}</definedName>
    <definedName name="lkiujhytg" hidden="1">{#N/A,#N/A,FALSE,"monthly";#N/A,#N/A,FALSE,"med spec 97-98"}</definedName>
    <definedName name="lkjfxzs" localSheetId="2" hidden="1">{#N/A,#N/A,FALSE,"98-99 Recap";#N/A,#N/A,FALSE,"Exec Summary"}</definedName>
    <definedName name="lkjfxzs" localSheetId="0" hidden="1">{#N/A,#N/A,FALSE,"98-99 Recap";#N/A,#N/A,FALSE,"Exec Summary"}</definedName>
    <definedName name="lkjfxzs" hidden="1">{#N/A,#N/A,FALSE,"98-99 Recap";#N/A,#N/A,FALSE,"Exec Summary"}</definedName>
    <definedName name="lkjkl" localSheetId="2" hidden="1">{#N/A,#N/A,FALSE,"monthly";#N/A,#N/A,FALSE,"aeroglide 98"}</definedName>
    <definedName name="lkjkl" localSheetId="0" hidden="1">{#N/A,#N/A,FALSE,"monthly";#N/A,#N/A,FALSE,"aeroglide 98"}</definedName>
    <definedName name="lkjkl" hidden="1">{#N/A,#N/A,FALSE,"monthly";#N/A,#N/A,FALSE,"aeroglide 98"}</definedName>
    <definedName name="LKLJ" localSheetId="2" hidden="1">{#N/A,#N/A,FALSE,"Aging Summary";#N/A,#N/A,FALSE,"Ratio Analysis";#N/A,#N/A,FALSE,"Test 120 Day Accts";#N/A,#N/A,FALSE,"Tickmarks"}</definedName>
    <definedName name="LKLJ" localSheetId="0" hidden="1">{#N/A,#N/A,FALSE,"Aging Summary";#N/A,#N/A,FALSE,"Ratio Analysis";#N/A,#N/A,FALSE,"Test 120 Day Accts";#N/A,#N/A,FALSE,"Tickmarks"}</definedName>
    <definedName name="LKLJ" hidden="1">{#N/A,#N/A,FALSE,"Aging Summary";#N/A,#N/A,FALSE,"Ratio Analysis";#N/A,#N/A,FALSE,"Test 120 Day Accts";#N/A,#N/A,FALSE,"Tickmarks"}</definedName>
    <definedName name="look_report_name" hidden="1">#REF!</definedName>
    <definedName name="lookup_report_name" hidden="1">#REF!</definedName>
    <definedName name="Low_Threshold" hidden="1">#REF!</definedName>
    <definedName name="Main_Sheet">#REF!</definedName>
    <definedName name="marcelle." localSheetId="2" hidden="1">{#N/A,#N/A,FALSE,"P&amp;L Rollup"}</definedName>
    <definedName name="marcelle." localSheetId="0" hidden="1">{#N/A,#N/A,FALSE,"P&amp;L Rollup"}</definedName>
    <definedName name="marcelle." hidden="1">{#N/A,#N/A,FALSE,"P&amp;L Rollup"}</definedName>
    <definedName name="MarSun1" localSheetId="2">DATE([0]!CalendarYear,3,1)-WEEKDAY(DATE([0]!CalendarYear,3,1))</definedName>
    <definedName name="MarSun1" localSheetId="0">DATE(CalendarYear,3,1)-WEEKDAY(DATE(CalendarYear,3,1))</definedName>
    <definedName name="MarSun1">DATE(CalendarYear,3,1)-WEEKDAY(DATE(CalendarYear,3,1))</definedName>
    <definedName name="MaySun1" localSheetId="2">DATE([0]!CalendarYear,5,1)-WEEKDAY(DATE([0]!CalendarYear,5,1))</definedName>
    <definedName name="MaySun1" localSheetId="0">DATE(CalendarYear,5,1)-WEEKDAY(DATE(CalendarYear,5,1))</definedName>
    <definedName name="MaySun1">DATE(CalendarYear,5,1)-WEEKDAY(DATE(CalendarYear,5,1))</definedName>
    <definedName name="MDC_Analysis_Medical_Range" localSheetId="2" hidden="1">#REF!</definedName>
    <definedName name="MDC_Analysis_Medical_Range" localSheetId="0" hidden="1">#REF!</definedName>
    <definedName name="MDC_Analysis_Medical_Range" hidden="1">#REF!</definedName>
    <definedName name="MDC_CD_00" localSheetId="2" hidden="1">#REF!</definedName>
    <definedName name="MDC_CD_00" localSheetId="0" hidden="1">#REF!</definedName>
    <definedName name="MDC_CD_00" hidden="1">#REF!</definedName>
    <definedName name="MDC_CD_01" localSheetId="2" hidden="1">#REF!</definedName>
    <definedName name="MDC_CD_01" localSheetId="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C_MDC_Label" hidden="1">#REF!</definedName>
    <definedName name="MDC_MDC_Label_Paste" hidden="1">#REF!</definedName>
    <definedName name="mdc_na_bob_column1" hidden="1">#REF!</definedName>
    <definedName name="mdc_na_bob_column2" hidden="1">#REF!</definedName>
    <definedName name="mdc_na_bob_column3" hidden="1">#REF!</definedName>
    <definedName name="MDC_Range_C7_G8" hidden="1">#REF!</definedName>
    <definedName name="MDC_Range_I7" hidden="1">#REF!</definedName>
    <definedName name="MDC_Range_I7_S8" hidden="1">#REF!</definedName>
    <definedName name="MDC_Range_I8" hidden="1">#REF!</definedName>
    <definedName name="MDC_Range_J9_K33" hidden="1">#REF!</definedName>
    <definedName name="MDC_Range_L9_M33" hidden="1">#REF!</definedName>
    <definedName name="MDC_Range_N9_O33" hidden="1">#REF!</definedName>
    <definedName name="MDC_Range_Row8" hidden="1">#REF!</definedName>
    <definedName name="MDC_Row9_Range" hidden="1">#REF!</definedName>
    <definedName name="Med_admin_savings_amt_curr" hidden="1">#REF!</definedName>
    <definedName name="Med_admin_savings_amt_prior" hidden="1">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atastrophic_Current_Home" hidden="1">#REF!</definedName>
    <definedName name="Med_Catastrophic_Prior_Home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st_Rows8_19_Range" hidden="1">#REF!</definedName>
    <definedName name="Med_Cost_Sharing_Medical_Range" hidden="1">#REF!</definedName>
    <definedName name="med_cost_space_range1" hidden="1">#REF!</definedName>
    <definedName name="med_cost_space_range2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Factor_Current">1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id" localSheetId="2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0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l_Catastrophic_Current_Range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lIndemnityProduct" hidden="1">#REF!</definedName>
    <definedName name="Medicare_Billed_female_mem_0_64_curr" hidden="1">#REF!</definedName>
    <definedName name="Medicare_Billed_female_mem_65_69_curr" hidden="1">#REF!</definedName>
    <definedName name="Medicare_Billed_female_mem_70_74_curr" hidden="1">#REF!</definedName>
    <definedName name="Medicare_Billed_female_mem_75_79_curr" hidden="1">#REF!</definedName>
    <definedName name="Medicare_Billed_female_mem_80_84_curr" hidden="1">#REF!</definedName>
    <definedName name="Medicare_Billed_female_mem_85_over_curr" hidden="1">#REF!</definedName>
    <definedName name="Medicare_Billed_male_mem_0_64_curr" hidden="1">#REF!</definedName>
    <definedName name="Medicare_Billed_male_mem_65_69_curr" hidden="1">#REF!</definedName>
    <definedName name="Medicare_Billed_male_mem_70_74_curr" hidden="1">#REF!</definedName>
    <definedName name="Medicare_Billed_male_mem_75_79_curr" hidden="1">#REF!</definedName>
    <definedName name="Medicare_Billed_male_mem_80_84_curr" hidden="1">#REF!</definedName>
    <definedName name="Medicare_Billed_male_mem_85_over_curr" hidden="1">#REF!</definedName>
    <definedName name="mike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mmm" localSheetId="2" hidden="1">{#N/A,#N/A,FALSE,"monthly";#N/A,#N/A,FALSE,"med spec 97-98"}</definedName>
    <definedName name="mmmm" localSheetId="0" hidden="1">{#N/A,#N/A,FALSE,"monthly";#N/A,#N/A,FALSE,"med spec 97-98"}</definedName>
    <definedName name="mmmm" hidden="1">{#N/A,#N/A,FALSE,"monthly";#N/A,#N/A,FALSE,"med spec 97-98"}</definedName>
    <definedName name="mo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NTH">#REF!</definedName>
    <definedName name="monthend" localSheetId="2" hidden="1">{#N/A,#N/A,FALSE,"monthly";#N/A,#N/A,FALSE,"med spec 97-98"}</definedName>
    <definedName name="monthend" localSheetId="0" hidden="1">{#N/A,#N/A,FALSE,"monthly";#N/A,#N/A,FALSE,"med spec 97-98"}</definedName>
    <definedName name="monthend" hidden="1">{#N/A,#N/A,FALSE,"monthly";#N/A,#N/A,FALSE,"med spec 97-98"}</definedName>
    <definedName name="monthend2" localSheetId="2" hidden="1">{#N/A,#N/A,FALSE,"98-99 Recap";#N/A,#N/A,FALSE,"Exec Summary"}</definedName>
    <definedName name="monthend2" localSheetId="0" hidden="1">{#N/A,#N/A,FALSE,"98-99 Recap";#N/A,#N/A,FALSE,"Exec Summary"}</definedName>
    <definedName name="monthend2" hidden="1">{#N/A,#N/A,FALSE,"98-99 Recap";#N/A,#N/A,FALSE,"Exec Summary"}</definedName>
    <definedName name="multisource_util_curr" hidden="1">#REF!</definedName>
    <definedName name="multisource_util_prior" hidden="1">#REF!</definedName>
    <definedName name="n" localSheetId="2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anda">#REF!</definedName>
    <definedName name="NaturalAccounts">#REF!</definedName>
    <definedName name="NaturalAccountsList">#REF!</definedName>
    <definedName name="new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.network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Rates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2" localSheetId="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0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mnb" localSheetId="2" hidden="1">{#N/A,#N/A,FALSE,"monthly";#N/A,#N/A,FALSE,"med spec 97-98"}</definedName>
    <definedName name="nmnb" localSheetId="0" hidden="1">{#N/A,#N/A,FALSE,"monthly";#N/A,#N/A,FALSE,"med spec 97-98"}</definedName>
    <definedName name="nmnb" hidden="1">{#N/A,#N/A,FALSE,"monthly";#N/A,#N/A,FALSE,"med spec 97-98"}</definedName>
    <definedName name="NN" localSheetId="2" hidden="1">{#N/A,#N/A,FALSE,"ACT0394L"}</definedName>
    <definedName name="NN" localSheetId="0" hidden="1">{#N/A,#N/A,FALSE,"ACT0394L"}</definedName>
    <definedName name="NN" hidden="1">{#N/A,#N/A,FALSE,"ACT0394L"}</definedName>
    <definedName name="no" hidden="1">#REF!</definedName>
    <definedName name="NO_AEXCEL_BOB_DATA" hidden="1">#REF!</definedName>
    <definedName name="NO_AEXCEL_Member_Data" hidden="1">#REF!</definedName>
    <definedName name="NO_BH_BOB_Data" hidden="1">#REF!</definedName>
    <definedName name="NO_BOB_Data" hidden="1">#REF!</definedName>
    <definedName name="NO_Member_Data" hidden="1">#REF!</definedName>
    <definedName name="NO_Member_Dental_Data" hidden="1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vSun1" localSheetId="2">DATE([0]!CalendarYear,11,1)-WEEKDAY(DATE([0]!CalendarYear,11,1))</definedName>
    <definedName name="NovSun1" localSheetId="0">DATE(CalendarYear,11,1)-WEEKDAY(DATE(CalendarYear,11,1))</definedName>
    <definedName name="NovSun1">DATE(CalendarYear,11,1)-WEEKDAY(DATE(CalendarYear,11,1))</definedName>
    <definedName name="num_brand_claims_curr" localSheetId="2" hidden="1">#REF!</definedName>
    <definedName name="num_brand_claims_curr" localSheetId="0" hidden="1">#REF!</definedName>
    <definedName name="num_brand_claims_curr" hidden="1">#REF!</definedName>
    <definedName name="num_brand_claims_prior" localSheetId="2" hidden="1">#REF!</definedName>
    <definedName name="num_brand_claims_prior" localSheetId="0" hidden="1">#REF!</definedName>
    <definedName name="num_brand_claims_prior" hidden="1">#REF!</definedName>
    <definedName name="num_brand_multisource_claims_curr" localSheetId="2" hidden="1">#REF!</definedName>
    <definedName name="num_brand_multisource_claims_curr" localSheetId="0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NvsASD">"V1998-09-30"</definedName>
    <definedName name="NvsAutoDrillOk">"VN"</definedName>
    <definedName name="NvsElapsedTime">0.0008875000057742</definedName>
    <definedName name="NvsEndTime">36087.0215582176</definedName>
    <definedName name="NvsInstSpec">"%,FLOCATION_SUM_UHC,TUHC_SUM_LOC,NILLINOIS"</definedName>
    <definedName name="NvsLayoutType">"M3"</definedName>
    <definedName name="NvsNplSpec">"%,X,RZF..,CZF.."</definedName>
    <definedName name="NvsPanelEffdt">"V1997-01-01"</definedName>
    <definedName name="NvsPanelSetid">"VUHC"</definedName>
    <definedName name="NvsReqBU">"V20020"</definedName>
    <definedName name="NvsReqBUOnly">"VN"</definedName>
    <definedName name="NvsTransLed">"VN"</definedName>
    <definedName name="NvsTreeASD">"V1997-01-01"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LOCATION_UHC">"LOCA_UHC_TBL"</definedName>
    <definedName name="NvsValTbl.STATISTICS_CODE">"STAT_TBL"</definedName>
    <definedName name="NvsValTbl.USER_FLD_UHC">"UFIELD_UHC_TBL"</definedName>
    <definedName name="o" localSheetId="2" hidden="1">{#N/A,#N/A,FALSE,"monthly";#N/A,#N/A,FALSE,"med spec 97-98"}</definedName>
    <definedName name="o" localSheetId="0" hidden="1">{#N/A,#N/A,FALSE,"monthly";#N/A,#N/A,FALSE,"med spec 97-98"}</definedName>
    <definedName name="o" hidden="1">{#N/A,#N/A,FALSE,"monthly";#N/A,#N/A,FALSE,"med spec 97-98"}</definedName>
    <definedName name="OctSun1" localSheetId="2">DATE([0]!CalendarYear,10,1)-WEEKDAY(DATE([0]!CalendarYear,10,1))</definedName>
    <definedName name="OctSun1" localSheetId="0">DATE(CalendarYear,10,1)-WEEKDAY(DATE(CalendarYear,10,1))</definedName>
    <definedName name="OctSun1">DATE(CalendarYear,10,1)-WEEKDAY(DATE(CalendarYear,10,1))</definedName>
    <definedName name="ok" localSheetId="2" hidden="1">#REF!</definedName>
    <definedName name="ok" localSheetId="0" hidden="1">#REF!</definedName>
    <definedName name="ok" hidden="1">#REF!</definedName>
    <definedName name="old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ic_trigon">"Picture 1"</definedName>
    <definedName name="poi" localSheetId="2" hidden="1">{#N/A,#N/A,FALSE,"monthly";#N/A,#N/A,FALSE,"med spec 97-98"}</definedName>
    <definedName name="poi" localSheetId="0" hidden="1">{#N/A,#N/A,FALSE,"monthly";#N/A,#N/A,FALSE,"med spec 97-98"}</definedName>
    <definedName name="poi" hidden="1">{#N/A,#N/A,FALSE,"monthly";#N/A,#N/A,FALSE,"med spec 97-98"}</definedName>
    <definedName name="poiu" localSheetId="2" hidden="1">{#N/A,#N/A,FALSE,"98-99 Recap";#N/A,#N/A,FALSE,"Exec Summary"}</definedName>
    <definedName name="poiu" localSheetId="0" hidden="1">{#N/A,#N/A,FALSE,"98-99 Recap";#N/A,#N/A,FALSE,"Exec Summary"}</definedName>
    <definedName name="poiu" hidden="1">{#N/A,#N/A,FALSE,"98-99 Recap";#N/A,#N/A,FALSE,"Exec Summary"}</definedName>
    <definedName name="poiuyghjk" localSheetId="2" hidden="1">{#N/A,#N/A,FALSE,"monthly";#N/A,#N/A,FALSE,"med spec 97-98"}</definedName>
    <definedName name="poiuyghjk" localSheetId="0" hidden="1">{#N/A,#N/A,FALSE,"monthly";#N/A,#N/A,FALSE,"med spec 97-98"}</definedName>
    <definedName name="poiuyghjk" hidden="1">{#N/A,#N/A,FALSE,"monthly";#N/A,#N/A,FALSE,"med spec 97-98"}</definedName>
    <definedName name="poiyuyt" localSheetId="2" hidden="1">{#N/A,#N/A,FALSE,"monthly";#N/A,#N/A,FALSE,"aeroglide 98"}</definedName>
    <definedName name="poiyuyt" localSheetId="0" hidden="1">{#N/A,#N/A,FALSE,"monthly";#N/A,#N/A,FALSE,"aeroglide 98"}</definedName>
    <definedName name="poiyuyt" hidden="1">{#N/A,#N/A,FALSE,"monthly";#N/A,#N/A,FALSE,"aeroglide 98"}</definedName>
    <definedName name="poliujnbnf" localSheetId="2" hidden="1">{#N/A,#N/A,FALSE,"98-99 Recap";#N/A,#N/A,FALSE,"Exec Summary"}</definedName>
    <definedName name="poliujnbnf" localSheetId="0" hidden="1">{#N/A,#N/A,FALSE,"98-99 Recap";#N/A,#N/A,FALSE,"Exec Summary"}</definedName>
    <definedName name="poliujnbnf" hidden="1">{#N/A,#N/A,FALSE,"98-99 Recap";#N/A,#N/A,FALSE,"Exec Summary"}</definedName>
    <definedName name="PoolingPt" hidden="1">#REF!</definedName>
    <definedName name="PPOO" localSheetId="2" hidden="1">{#N/A,#N/A,TRUE,"CC &amp; Adv VADC";#N/A,#N/A,TRUE,"Choice &amp; Ind VADC";#N/A,#N/A,TRUE,"BluPref VADC";#N/A,#N/A,TRUE,"Rx VADC"}</definedName>
    <definedName name="PPOO" localSheetId="0" hidden="1">{#N/A,#N/A,TRUE,"CC &amp; Adv VADC";#N/A,#N/A,TRUE,"Choice &amp; Ind VADC";#N/A,#N/A,TRUE,"BluPref VADC";#N/A,#N/A,TRUE,"Rx VADC"}</definedName>
    <definedName name="PPOO" hidden="1">{#N/A,#N/A,TRUE,"CC &amp; Adv VADC";#N/A,#N/A,TRUE,"Choice &amp; Ind VADC";#N/A,#N/A,TRUE,"BluPref VADC";#N/A,#N/A,TRUE,"Rx VADC"}</definedName>
    <definedName name="primary_payor_ind" hidden="1">#REF!</definedName>
    <definedName name="_xlnm.Print_Area">#REF!</definedName>
    <definedName name="_xlnm.Print_Titles">#REF!</definedName>
    <definedName name="Prior_Claims_Above_50K_Check" hidden="1">#REF!</definedName>
    <definedName name="prior_yyyymmdd_incurred_end_date" hidden="1">#REF!</definedName>
    <definedName name="prior_yyyymmdd_processed_end_date" hidden="1">#REF!</definedName>
    <definedName name="ProcEndDateCurr" hidden="1">#REF!</definedName>
    <definedName name="ProcEndDatePrior" hidden="1">#REF!</definedName>
    <definedName name="ProcStartDateCurr" hidden="1">#REF!</definedName>
    <definedName name="ProcStartDatePrior" hidden="1">#REF!</definedName>
    <definedName name="PRODUCT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80_delete_prior" hidden="1">#REF!</definedName>
    <definedName name="Product_80_members" hidden="1">#REF!</definedName>
    <definedName name="Product_80_members_curr" hidden="1">#REF!</definedName>
    <definedName name="Product_81_delete_prior" hidden="1">#REF!</definedName>
    <definedName name="Product_81_members" hidden="1">#REF!</definedName>
    <definedName name="Product_81_members_curr" hidden="1">#REF!</definedName>
    <definedName name="Product_82_delete_prior" hidden="1">#REF!</definedName>
    <definedName name="Product_82_members" hidden="1">#REF!</definedName>
    <definedName name="Product_82_members_curr" hidden="1">#REF!</definedName>
    <definedName name="Product_89_delete_prior" hidden="1">#REF!</definedName>
    <definedName name="Product_89_members" hidden="1">#REF!</definedName>
    <definedName name="Product_89_members_CURR" hidden="1">#REF!</definedName>
    <definedName name="Product_90_delete_prior" hidden="1">#REF!</definedName>
    <definedName name="Product_90_members" hidden="1">#REF!</definedName>
    <definedName name="Product_90_members_curr" hidden="1">#REF!</definedName>
    <definedName name="Product_91_delete_prior" hidden="1">#REF!</definedName>
    <definedName name="Product_91_members" hidden="1">#REF!</definedName>
    <definedName name="Product_91_members_curr" hidden="1">#REF!</definedName>
    <definedName name="Product_99_delete_prior" hidden="1">#REF!</definedName>
    <definedName name="Product_99_members" hidden="1">#REF!</definedName>
    <definedName name="Product_Check" hidden="1">#REF!</definedName>
    <definedName name="Product_DN_delete_prior" hidden="1">#REF!</definedName>
    <definedName name="Product_DN_members" hidden="1">#REF!</definedName>
    <definedName name="Product_M1_delete_prior" hidden="1">#REF!</definedName>
    <definedName name="Product_M1_members" hidden="1">#REF!</definedName>
    <definedName name="Product_M1_members_curr" hidden="1">#REF!</definedName>
    <definedName name="Product_M2_delete_prior" hidden="1">#REF!</definedName>
    <definedName name="Product_M2_members" hidden="1">#REF!</definedName>
    <definedName name="Product_M2_members_curr" hidden="1">#REF!</definedName>
    <definedName name="Product_M3_delete_prior" hidden="1">#REF!</definedName>
    <definedName name="Product_M3_members" hidden="1">#REF!</definedName>
    <definedName name="Product_M3_members_curr" hidden="1">#REF!</definedName>
    <definedName name="Product_Name" hidden="1">#REF!</definedName>
    <definedName name="Product_Q1_delete_prior" hidden="1">#REF!</definedName>
    <definedName name="Product_Q1_members" hidden="1">#REF!</definedName>
    <definedName name="Product_Q1_members_curr" hidden="1">#REF!</definedName>
    <definedName name="Product_Q2_delete_prior" hidden="1">#REF!</definedName>
    <definedName name="Product_Q2_members" hidden="1">#REF!</definedName>
    <definedName name="Product_Q2_members_curr" hidden="1">#REF!</definedName>
    <definedName name="Product_Q3_delete_prior" hidden="1">#REF!</definedName>
    <definedName name="Product_Q3_members" hidden="1">#REF!</definedName>
    <definedName name="Product_Q3_members_curr" hidden="1">#REF!</definedName>
    <definedName name="Product_RX_delete_prior" hidden="1">#REF!</definedName>
    <definedName name="Product_RX_members" hidden="1">#REF!</definedName>
    <definedName name="Product18_or_22" hidden="1">#REF!</definedName>
    <definedName name="Product22" hidden="1">#REF!</definedName>
    <definedName name="ProfitCenterList">#REF!</definedName>
    <definedName name="Projected_Expected_Liability">"Glossary!$91:$100,Glossary!$119:$121,Glossary!$129:$168"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SUName" hidden="1">#REF!</definedName>
    <definedName name="PSUNumber" hidden="1">#REF!</definedName>
    <definedName name="PVTBL">#REF!</definedName>
    <definedName name="q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w" localSheetId="2" hidden="1">{#N/A,#N/A,FALSE,"monthly";#N/A,#N/A,FALSE,"med spec 97-98"}</definedName>
    <definedName name="qw" localSheetId="0" hidden="1">{#N/A,#N/A,FALSE,"monthly";#N/A,#N/A,FALSE,"med spec 97-98"}</definedName>
    <definedName name="qw" hidden="1">{#N/A,#N/A,FALSE,"monthly";#N/A,#N/A,FALSE,"med spec 97-98"}</definedName>
    <definedName name="rate">#REF!</definedName>
    <definedName name="RCA">#REF!</definedName>
    <definedName name="ref">#REF!</definedName>
    <definedName name="ref_ability_to_execute">#REF!</definedName>
    <definedName name="ref_function">#REF!</definedName>
    <definedName name="ref_initiative_description">#REF!</definedName>
    <definedName name="ref_priority">#REF!</definedName>
    <definedName name="ref_region">#REF!</definedName>
    <definedName name="ref_status">#REF!</definedName>
    <definedName name="RegionsList">#REF!</definedName>
    <definedName name="reins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ewalTimeline" hidden="1">#REF!</definedName>
    <definedName name="report" localSheetId="2" hidden="1">{#N/A,#N/A,FALSE,"monthly";#N/A,#N/A,FALSE,"aeroglide 98"}</definedName>
    <definedName name="report" localSheetId="0" hidden="1">{#N/A,#N/A,FALSE,"monthly";#N/A,#N/A,FALSE,"aeroglide 98"}</definedName>
    <definedName name="report" hidden="1">{#N/A,#N/A,FALSE,"monthly";#N/A,#N/A,FALSE,"aeroglide 98"}</definedName>
    <definedName name="Report_Criteria_Home" hidden="1">#REF!</definedName>
    <definedName name="Report_Criteria_Range" hidden="1">#REF!</definedName>
    <definedName name="Request_ID" hidden="1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ow_height_current" hidden="1">#REF!</definedName>
    <definedName name="RpmPlanCount">3</definedName>
    <definedName name="Run_Date" hidden="1">#REF!</definedName>
    <definedName name="Run_TOC_Switch" hidden="1">#REF!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Demographics_Range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Formulary_Analysis_Range" hidden="1">#REF!</definedName>
    <definedName name="Rx_GPI_Roll_Up_Categories_Range" hidden="1">#REF!</definedName>
    <definedName name="Rx_Key_Statistics_by_Generic_Range" hidden="1">#REF!</definedName>
    <definedName name="Rx_Key_Statistics_Range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etwork_Analysis_Savings_Range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Factor_Current">1</definedName>
    <definedName name="RxKeyStats_Footnote_BOB" hidden="1">#REF!</definedName>
    <definedName name="ryg">#REF!</definedName>
    <definedName name="sa" localSheetId="2" hidden="1">{#N/A,#N/A,FALSE,"monthly";#N/A,#N/A,FALSE,"aeroglide 98"}</definedName>
    <definedName name="sa" localSheetId="0" hidden="1">{#N/A,#N/A,FALSE,"monthly";#N/A,#N/A,FALSE,"aeroglide 98"}</definedName>
    <definedName name="sa" hidden="1">{#N/A,#N/A,FALSE,"monthly";#N/A,#N/A,FALSE,"aeroglide 98"}</definedName>
    <definedName name="SAPBEXdnldView" hidden="1">"4OHKZ6AAV2M8GZ1QM45X1GV49"</definedName>
    <definedName name="SAPBEXsysID" hidden="1">"PB5"</definedName>
    <definedName name="Sav_Benefit_Dental_Range" hidden="1">#REF!</definedName>
    <definedName name="sbp_allowed_amt" hidden="1">#REF!</definedName>
    <definedName name="SBP_FI_Rx_Footnote_No_Graph" hidden="1">#REF!</definedName>
    <definedName name="SBP_FI_Rx_Footnote_Under_Graph" hidden="1">#REF!</definedName>
    <definedName name="SBP_Network_Discount_Savings_Percent" hidden="1">#REF!</definedName>
    <definedName name="SBP_Percent_Allowed_Amount" hidden="1">#REF!</definedName>
    <definedName name="Section" hidden="1">#REF!</definedName>
    <definedName name="SepSun1" localSheetId="2">DATE([0]!CalendarYear,9,1)-WEEKDAY(DATE([0]!CalendarYear,9,1))</definedName>
    <definedName name="SepSun1" localSheetId="0">DATE(CalendarYear,9,1)-WEEKDAY(DATE(CalendarYear,9,1))</definedName>
    <definedName name="SepSun1">DATE(CalendarYear,9,1)-WEEKDAY(DATE(CalendarYear,9,1))</definedName>
    <definedName name="ServiceAuthorityFINALRates10to11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ga.profit" localSheetId="2" hidden="1">{#N/A,#N/A,FALSE,"Total SG&amp;A"}</definedName>
    <definedName name="sga.profit" localSheetId="0" hidden="1">{#N/A,#N/A,FALSE,"Total SG&amp;A"}</definedName>
    <definedName name="sga.profit" hidden="1">{#N/A,#N/A,FALSE,"Total SG&amp;A"}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FI_SBP_product_count" hidden="1">#REF!</definedName>
    <definedName name="SI_Rx_Key_Stats_Demographics_Header_June_08" hidden="1">#REF!</definedName>
    <definedName name="SI_Rx_Paid_Current" hidden="1">#REF!</definedName>
    <definedName name="SI_SBP_product_count" hidden="1">#REF!</definedName>
    <definedName name="SI_SBP_Total_Prior_Members" hidden="1">#REF!</definedName>
    <definedName name="singlesource_util_curr" hidden="1">#REF!</definedName>
    <definedName name="singlesource_util_prior" hidden="1">#REF!</definedName>
    <definedName name="SL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icer_Account_Type2">#N/A</definedName>
    <definedName name="Slicer_Branch_Name1">#N/A</definedName>
    <definedName name="Slicer_COMP">#N/A</definedName>
    <definedName name="Slicer_Dept_Name">#N/A</definedName>
    <definedName name="Slicer_Journal_Name">#N/A</definedName>
    <definedName name="Slicer_VEND_NAME">#N/A</definedName>
    <definedName name="Slicer_VEND_NAME1">#N/A</definedName>
    <definedName name="sort_product" hidden="1">#REF!</definedName>
    <definedName name="SP">#REF!</definedName>
    <definedName name="specialty_paid_amt_curr" hidden="1">#REF!</definedName>
    <definedName name="StopLightingCostShare" hidden="1">#REF!</definedName>
    <definedName name="StopLightingImpactCat" hidden="1">#REF!</definedName>
    <definedName name="StopLightingKeyStats" hidden="1">#REF!</definedName>
    <definedName name="StopLightingProviderNetwork" hidden="1">#REF!</definedName>
    <definedName name="StopLightStart" hidden="1">#REF!</definedName>
    <definedName name="stuff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opay_amt_curr" hidden="1">#REF!</definedName>
    <definedName name="sum_specialty_plan_paid_amt_cur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total_days_curr" hidden="1">#REF!</definedName>
    <definedName name="sum_total_days_prior" hidden="1">#REF!</definedName>
    <definedName name="Summary_by_Product_Range" hidden="1">#REF!</definedName>
    <definedName name="tab_report_name" hidden="1">#REF!</definedName>
    <definedName name="tabc_report_name" hidden="1">#REF!</definedName>
    <definedName name="tamil" hidden="1">#REF!</definedName>
    <definedName name="Tblaaa">#REF!</definedName>
    <definedName name="tcbprl">#REF!</definedName>
    <definedName name="tccoeu">#REF!</definedName>
    <definedName name="tccom.odev">#REF!</definedName>
    <definedName name="tccom.prst">#REF!</definedName>
    <definedName name="tcenvc">#REF!</definedName>
    <definedName name="tcfin.pcsw">#REF!</definedName>
    <definedName name="tcibd.repl">#REF!</definedName>
    <definedName name="tcitmt">#REF!</definedName>
    <definedName name="tckitm">#REF!</definedName>
    <definedName name="tcosys">#REF!</definedName>
    <definedName name="tcreco">#REF!</definedName>
    <definedName name="tcsli.srtp">#REF!</definedName>
    <definedName name="tcyesno">#REF!</definedName>
    <definedName name="temp_ee8" localSheetId="2" hidden="1">{#N/A,#N/A,FALSE,"Temps"}</definedName>
    <definedName name="temp_ee8" localSheetId="0" hidden="1">{#N/A,#N/A,FALSE,"Temps"}</definedName>
    <definedName name="temp_ee8" hidden="1">{#N/A,#N/A,FALSE,"Temps"}</definedName>
    <definedName name="temp_ees" localSheetId="2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0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FileOpen" hidden="1">"c:\adb\temp\temp\temp1.mdb"</definedName>
    <definedName name="TempFileOpen2" hidden="1">0</definedName>
    <definedName name="Template" hidden="1">#REF!</definedName>
    <definedName name="Template_File_Name" hidden="1">#REF!</definedName>
    <definedName name="Templat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orary_employees3" localSheetId="2" hidden="1">{#N/A,#N/A,FALSE,"Temps"}</definedName>
    <definedName name="temporary_employees3" localSheetId="0" hidden="1">{#N/A,#N/A,FALSE,"Temps"}</definedName>
    <definedName name="temporary_employees3" hidden="1">{#N/A,#N/A,FALSE,"Temps"}</definedName>
    <definedName name="temporary_employees4" localSheetId="2" hidden="1">{#N/A,#N/A,FALSE,"Temps"}</definedName>
    <definedName name="temporary_employees4" localSheetId="0" hidden="1">{#N/A,#N/A,FALSE,"Temps"}</definedName>
    <definedName name="temporary_employees4" hidden="1">{#N/A,#N/A,FALSE,"Temps"}</definedName>
    <definedName name="temporary_employees5" localSheetId="2" hidden="1">{#N/A,#N/A,FALSE,"Temps"}</definedName>
    <definedName name="temporary_employees5" localSheetId="0" hidden="1">{#N/A,#N/A,FALSE,"Temps"}</definedName>
    <definedName name="temporary_employees5" hidden="1">{#N/A,#N/A,FALSE,"Temps"}</definedName>
    <definedName name="TEMPS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facp.inv">#REF!</definedName>
    <definedName name="tfacp.stap">#REF!</definedName>
    <definedName name="tfacp.tpay">#REF!</definedName>
    <definedName name="tfcmg.prad">#REF!</definedName>
    <definedName name="tfcmg.stpp">#REF!</definedName>
    <definedName name="tfgld.bloc">#REF!</definedName>
    <definedName name="tfgld.datp">#REF!</definedName>
    <definedName name="tfgld.dbcr">#REF!</definedName>
    <definedName name="toc_correct_report_name" hidden="1">#REF!</definedName>
    <definedName name="toc_report_name" hidden="1">#REF!</definedName>
    <definedName name="tom" localSheetId="2" hidden="1">{#N/A,#N/A,FALSE,"Approval Form";#N/A,#N/A,FALSE,"Renewal";#N/A,#N/A,FALSE,"Cosmos Report"}</definedName>
    <definedName name="tom" localSheetId="0" hidden="1">{#N/A,#N/A,FALSE,"Approval Form";#N/A,#N/A,FALSE,"Renewal";#N/A,#N/A,FALSE,"Cosmos Report"}</definedName>
    <definedName name="tom" hidden="1">{#N/A,#N/A,FALSE,"Approval Form";#N/A,#N/A,FALSE,"Renewal";#N/A,#N/A,FALSE,"Cosmos Report"}</definedName>
    <definedName name="Top25_Services_by_Dollar_Dental_Range" hidden="1">#REF!</definedName>
    <definedName name="TraBenDrop">"OrthodDrop"</definedName>
    <definedName name="Trend_Analysis_Dental_Range" hidden="1">#REF!</definedName>
    <definedName name="Trend_Analysis_Medical_Range" hidden="1">#REF!</definedName>
    <definedName name="UNI">#REF!</definedName>
    <definedName name="UserEnteredText1" hidden="1">#REF!</definedName>
    <definedName name="UserEnteredText2" hidden="1">#REF!</definedName>
    <definedName name="UserReportName" hidden="1">#REF!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_Proc_Dental_Range" hidden="1">#REF!</definedName>
    <definedName name="Utilization_and_Unit_Cost_Med_Range" hidden="1">#REF!</definedName>
    <definedName name="uy" localSheetId="2" hidden="1">{#N/A,#N/A,FALSE,"98-99 Recap";#N/A,#N/A,FALSE,"Exec Summary"}</definedName>
    <definedName name="uy" localSheetId="0" hidden="1">{#N/A,#N/A,FALSE,"98-99 Recap";#N/A,#N/A,FALSE,"Exec Summary"}</definedName>
    <definedName name="uy" hidden="1">{#N/A,#N/A,FALSE,"98-99 Recap";#N/A,#N/A,FALSE,"Exec Summary"}</definedName>
    <definedName name="uyt" localSheetId="2" hidden="1">{#N/A,#N/A,FALSE,"monthly";#N/A,#N/A,FALSE,"aeroglide 98"}</definedName>
    <definedName name="uyt" localSheetId="0" hidden="1">{#N/A,#N/A,FALSE,"monthly";#N/A,#N/A,FALSE,"aeroglide 98"}</definedName>
    <definedName name="uyt" hidden="1">{#N/A,#N/A,FALSE,"monthly";#N/A,#N/A,FALSE,"aeroglide 98"}</definedName>
    <definedName name="uytre" localSheetId="2" hidden="1">{#N/A,#N/A,FALSE,"monthly";#N/A,#N/A,FALSE,"med spec 97-98"}</definedName>
    <definedName name="uytre" localSheetId="0" hidden="1">{#N/A,#N/A,FALSE,"monthly";#N/A,#N/A,FALSE,"med spec 97-98"}</definedName>
    <definedName name="uytre" hidden="1">{#N/A,#N/A,FALSE,"monthly";#N/A,#N/A,FALSE,"med spec 97-98"}</definedName>
    <definedName name="v" localSheetId="2" hidden="1">{#N/A,#N/A,FALSE,"monthly";#N/A,#N/A,FALSE,"aeroglide 98"}</definedName>
    <definedName name="v" localSheetId="0" hidden="1">{#N/A,#N/A,FALSE,"monthly";#N/A,#N/A,FALSE,"aeroglide 98"}</definedName>
    <definedName name="v" hidden="1">{#N/A,#N/A,FALSE,"monthly";#N/A,#N/A,FALSE,"aeroglide 98"}</definedName>
    <definedName name="valuevx">42.314159</definedName>
    <definedName name="vc" localSheetId="2" hidden="1">{#N/A,#N/A,FALSE,"98-99 Recap";#N/A,#N/A,FALSE,"Exec Summary"}</definedName>
    <definedName name="vc" localSheetId="0" hidden="1">{#N/A,#N/A,FALSE,"98-99 Recap";#N/A,#N/A,FALSE,"Exec Summary"}</definedName>
    <definedName name="vc" hidden="1">{#N/A,#N/A,FALSE,"98-99 Recap";#N/A,#N/A,FALSE,"Exec Summary"}</definedName>
    <definedName name="vcxs" localSheetId="2" hidden="1">{#N/A,#N/A,FALSE,"monthly";#N/A,#N/A,FALSE,"aeroglide 98"}</definedName>
    <definedName name="vcxs" localSheetId="0" hidden="1">{#N/A,#N/A,FALSE,"monthly";#N/A,#N/A,FALSE,"aeroglide 98"}</definedName>
    <definedName name="vcxs" hidden="1">{#N/A,#N/A,FALSE,"monthly";#N/A,#N/A,FALSE,"aeroglide 98"}</definedName>
    <definedName name="Vision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w_11a" localSheetId="2" hidden="1">{#N/A,#N/A,FALSE,"Aging Summary";#N/A,#N/A,FALSE,"Ratio Analysis";#N/A,#N/A,FALSE,"Test 120 Day Accts";#N/A,#N/A,FALSE,"Tickmarks"}</definedName>
    <definedName name="w_11a" localSheetId="0" hidden="1">{#N/A,#N/A,FALSE,"Aging Summary";#N/A,#N/A,FALSE,"Ratio Analysis";#N/A,#N/A,FALSE,"Test 120 Day Accts";#N/A,#N/A,FALSE,"Tickmarks"}</definedName>
    <definedName name="w_11a" hidden="1">{#N/A,#N/A,FALSE,"Aging Summary";#N/A,#N/A,FALSE,"Ratio Analysis";#N/A,#N/A,FALSE,"Test 120 Day Accts";#N/A,#N/A,FALSE,"Tickmarks"}</definedName>
    <definedName name="w_12a" localSheetId="2" hidden="1">{#N/A,#N/A,FALSE,"Aging Summary";#N/A,#N/A,FALSE,"Ratio Analysis";#N/A,#N/A,FALSE,"Test 120 Day Accts";#N/A,#N/A,FALSE,"Tickmarks"}</definedName>
    <definedName name="w_12a" localSheetId="0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localSheetId="2" hidden="1">{#N/A,#N/A,FALSE,"Aging Summary";#N/A,#N/A,FALSE,"Ratio Analysis";#N/A,#N/A,FALSE,"Test 120 Day Accts";#N/A,#N/A,FALSE,"Tickmarks"}</definedName>
    <definedName name="w_12a_2" localSheetId="0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localSheetId="2" hidden="1">{#N/A,#N/A,FALSE,"Aging Summary";#N/A,#N/A,FALSE,"Ratio Analysis";#N/A,#N/A,FALSE,"Test 120 Day Accts";#N/A,#N/A,FALSE,"Tickmarks"}</definedName>
    <definedName name="w_12p" localSheetId="0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localSheetId="2" hidden="1">{#N/A,#N/A,FALSE,"Aging Summary";#N/A,#N/A,FALSE,"Ratio Analysis";#N/A,#N/A,FALSE,"Test 120 Day Accts";#N/A,#N/A,FALSE,"Tickmarks"}</definedName>
    <definedName name="w_16a" localSheetId="0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localSheetId="2" hidden="1">{#N/A,#N/A,FALSE,"Aging Summary";#N/A,#N/A,FALSE,"Ratio Analysis";#N/A,#N/A,FALSE,"Test 120 Day Accts";#N/A,#N/A,FALSE,"Tickmarks"}</definedName>
    <definedName name="w_17p" localSheetId="0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localSheetId="2" hidden="1">{#N/A,#N/A,FALSE,"Aging Summary";#N/A,#N/A,FALSE,"Ratio Analysis";#N/A,#N/A,FALSE,"Test 120 Day Accts";#N/A,#N/A,FALSE,"Tickmarks"}</definedName>
    <definedName name="w_18a" localSheetId="0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localSheetId="2" hidden="1">{#N/A,#N/A,FALSE,"Aging Summary";#N/A,#N/A,FALSE,"Ratio Analysis";#N/A,#N/A,FALSE,"Test 120 Day Accts";#N/A,#N/A,FALSE,"Tickmarks"}</definedName>
    <definedName name="w_19a" localSheetId="0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localSheetId="2" hidden="1">{#N/A,#N/A,FALSE,"Aging Summary";#N/A,#N/A,FALSE,"Ratio Analysis";#N/A,#N/A,FALSE,"Test 120 Day Accts";#N/A,#N/A,FALSE,"Tickmarks"}</definedName>
    <definedName name="w_19a_1" localSheetId="0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localSheetId="2" hidden="1">{#N/A,#N/A,FALSE,"Aging Summary";#N/A,#N/A,FALSE,"Ratio Analysis";#N/A,#N/A,FALSE,"Test 120 Day Accts";#N/A,#N/A,FALSE,"Tickmarks"}</definedName>
    <definedName name="w_21a" localSheetId="0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localSheetId="2" hidden="1">{#N/A,#N/A,FALSE,"Aging Summary";#N/A,#N/A,FALSE,"Ratio Analysis";#N/A,#N/A,FALSE,"Test 120 Day Accts";#N/A,#N/A,FALSE,"Tickmarks"}</definedName>
    <definedName name="w_29a" localSheetId="0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localSheetId="2" hidden="1">{#N/A,#N/A,FALSE,"Aging Summary";#N/A,#N/A,FALSE,"Ratio Analysis";#N/A,#N/A,FALSE,"Test 120 Day Accts";#N/A,#N/A,FALSE,"Tickmarks"}</definedName>
    <definedName name="w_2a" localSheetId="0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localSheetId="2" hidden="1">{#N/A,#N/A,FALSE,"Aging Summary";#N/A,#N/A,FALSE,"Ratio Analysis";#N/A,#N/A,FALSE,"Test 120 Day Accts";#N/A,#N/A,FALSE,"Tickmarks"}</definedName>
    <definedName name="w_2a1" localSheetId="0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localSheetId="2" hidden="1">{#N/A,#N/A,FALSE,"Aging Summary";#N/A,#N/A,FALSE,"Ratio Analysis";#N/A,#N/A,FALSE,"Test 120 Day Accts";#N/A,#N/A,FALSE,"Tickmarks"}</definedName>
    <definedName name="w_32p" localSheetId="0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localSheetId="2" hidden="1">{#N/A,#N/A,FALSE,"Aging Summary";#N/A,#N/A,FALSE,"Ratio Analysis";#N/A,#N/A,FALSE,"Test 120 Day Accts";#N/A,#N/A,FALSE,"Tickmarks"}</definedName>
    <definedName name="w_33a" localSheetId="0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localSheetId="2" hidden="1">{#N/A,#N/A,FALSE,"Aging Summary";#N/A,#N/A,FALSE,"Ratio Analysis";#N/A,#N/A,FALSE,"Test 120 Day Accts";#N/A,#N/A,FALSE,"Tickmarks"}</definedName>
    <definedName name="w_4a1" localSheetId="0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localSheetId="2" hidden="1">{#N/A,#N/A,FALSE,"Aging Summary";#N/A,#N/A,FALSE,"Ratio Analysis";#N/A,#N/A,FALSE,"Test 120 Day Accts";#N/A,#N/A,FALSE,"Tickmarks"}</definedName>
    <definedName name="w_7pA" localSheetId="0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localSheetId="2" hidden="1">{#N/A,#N/A,FALSE,"Aging Summary";#N/A,#N/A,FALSE,"Ratio Analysis";#N/A,#N/A,FALSE,"Test 120 Day Accts";#N/A,#N/A,FALSE,"Tickmarks"}</definedName>
    <definedName name="w_ammeded" localSheetId="0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eeknumopt">#REF!</definedName>
    <definedName name="what" localSheetId="2" hidden="1">{#N/A,#N/A,FALSE,"100.90%.300.70%";#N/A,#N/A,FALSE,"300.90%.500.70%";#N/A,#N/A,FALSE,"300.80%.500.60%";#N/A,#N/A,FALSE,"500.80%.750.60%"}</definedName>
    <definedName name="what" localSheetId="0" hidden="1">{#N/A,#N/A,FALSE,"100.90%.300.70%";#N/A,#N/A,FALSE,"300.90%.500.70%";#N/A,#N/A,FALSE,"300.80%.500.60%";#N/A,#N/A,FALSE,"500.80%.750.60%"}</definedName>
    <definedName name="what" hidden="1">{#N/A,#N/A,FALSE,"100.90%.300.70%";#N/A,#N/A,FALSE,"300.90%.500.70%";#N/A,#N/A,FALSE,"300.80%.500.60%";#N/A,#N/A,FALSE,"500.80%.750.60%"}</definedName>
    <definedName name="whatthe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2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3" localSheetId="2" hidden="1">{#N/A,#N/A,FALSE,"Budget";#N/A,#N/A,FALSE,"Misc Info"}</definedName>
    <definedName name="whatthe3" localSheetId="0" hidden="1">{#N/A,#N/A,FALSE,"Budget";#N/A,#N/A,FALSE,"Misc Info"}</definedName>
    <definedName name="whatthe3" hidden="1">{#N/A,#N/A,FALSE,"Budget";#N/A,#N/A,FALSE,"Misc Info"}</definedName>
    <definedName name="whatthe3_1" localSheetId="2" hidden="1">{#N/A,#N/A,FALSE,"Budget";#N/A,#N/A,FALSE,"Misc Info"}</definedName>
    <definedName name="whatthe3_1" localSheetId="0" hidden="1">{#N/A,#N/A,FALSE,"Budget";#N/A,#N/A,FALSE,"Misc Info"}</definedName>
    <definedName name="whatthe3_1" hidden="1">{#N/A,#N/A,FALSE,"Budget";#N/A,#N/A,FALSE,"Misc Info"}</definedName>
    <definedName name="WI">#REF!</definedName>
    <definedName name="wn_10a" localSheetId="2" hidden="1">{#N/A,#N/A,FALSE,"Aging Summary";#N/A,#N/A,FALSE,"Ratio Analysis";#N/A,#N/A,FALSE,"Test 120 Day Accts";#N/A,#N/A,FALSE,"Tickmarks"}</definedName>
    <definedName name="wn_10a" localSheetId="0" hidden="1">{#N/A,#N/A,FALSE,"Aging Summary";#N/A,#N/A,FALSE,"Ratio Analysis";#N/A,#N/A,FALSE,"Test 120 Day Accts";#N/A,#N/A,FALSE,"Tickmarks"}</definedName>
    <definedName name="wn_10a" hidden="1">{#N/A,#N/A,FALSE,"Aging Summary";#N/A,#N/A,FALSE,"Ratio Analysis";#N/A,#N/A,FALSE,"Test 120 Day Accts";#N/A,#N/A,FALSE,"Tickmarks"}</definedName>
    <definedName name="wrn" localSheetId="2" hidden="1">{#N/A,#N/A,FALSE,"ACT0394L"}</definedName>
    <definedName name="wrn" localSheetId="0" hidden="1">{#N/A,#N/A,FALSE,"ACT0394L"}</definedName>
    <definedName name="wrn" hidden="1">{#N/A,#N/A,FALSE,"ACT0394L"}</definedName>
    <definedName name="wrn.1998._.Renewal." localSheetId="2" hidden="1">{#N/A,#N/A,TRUE,"B&amp;M Med";#N/A,#N/A,TRUE,"CMED";#N/A,#N/A,TRUE,"Dental";#N/A,#N/A,TRUE,"Dev_Fund";#N/A,#N/A,TRUE,"SFGP Factor Calculation";#N/A,#N/A,TRUE,"Summary of Monthly Billing"}</definedName>
    <definedName name="wrn.1998._.Renewal." localSheetId="0" hidden="1">{#N/A,#N/A,TRUE,"B&amp;M Med";#N/A,#N/A,TRUE,"CMED";#N/A,#N/A,TRUE,"Dental";#N/A,#N/A,TRUE,"Dev_Fund";#N/A,#N/A,TRUE,"SFGP Factor Calculation";#N/A,#N/A,TRUE,"Summary of Monthly Billing"}</definedName>
    <definedName name="wrn.1998._.Renewal." hidden="1">{#N/A,#N/A,TRUE,"B&amp;M Med";#N/A,#N/A,TRUE,"CMED";#N/A,#N/A,TRUE,"Dental";#N/A,#N/A,TRUE,"Dev_Fund";#N/A,#N/A,TRUE,"SFGP Factor Calculation";#N/A,#N/A,TRUE,"Summary of Monthly Billing"}</definedName>
    <definedName name="wrn.98BUDGET._.VS.._.97REPORJ." localSheetId="2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acts." localSheetId="2" hidden="1">{#N/A,#N/A,FALSE,"ACT0394L"}</definedName>
    <definedName name="wrn.acts." localSheetId="0" hidden="1">{#N/A,#N/A,FALSE,"ACT0394L"}</definedName>
    <definedName name="wrn.acts." hidden="1">{#N/A,#N/A,FALSE,"ACT0394L"}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_.Pages." localSheetId="2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0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Ls." localSheetId="2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0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pproval." localSheetId="2" hidden="1">{#N/A,#N/A,FALSE,"Approval Form"}</definedName>
    <definedName name="wrn.Approval." localSheetId="0" hidden="1">{#N/A,#N/A,FALSE,"Approval Form"}</definedName>
    <definedName name="wrn.Approval." hidden="1">{#N/A,#N/A,FALSE,"Approval Form"}</definedName>
    <definedName name="wrn.Approval2." localSheetId="2" hidden="1">{#N/A,#N/A,FALSE,"Approval2"}</definedName>
    <definedName name="wrn.Approval2." localSheetId="0" hidden="1">{#N/A,#N/A,FALSE,"Approval2"}</definedName>
    <definedName name="wrn.Approval2." hidden="1">{#N/A,#N/A,FALSE,"Approval2"}</definedName>
    <definedName name="wrn.Attachment._.Ds." localSheetId="2" hidden="1">{#N/A,#N/A,FALSE,"Attachment D Basic Current";#N/A,#N/A,FALSE,"Attachment D Buyup Current";#N/A,#N/A,FALSE,"Attachment D Basic Proposed";#N/A,#N/A,FALSE,"Attachment D Buyup Proposed 2"}</definedName>
    <definedName name="wrn.Attachment._.Ds." localSheetId="0" hidden="1">{#N/A,#N/A,FALSE,"Attachment D Basic Current";#N/A,#N/A,FALSE,"Attachment D Buyup Current";#N/A,#N/A,FALSE,"Attachment D Basic Proposed";#N/A,#N/A,FALSE,"Attachment D Buyup Proposed 2"}</definedName>
    <definedName name="wrn.Attachment._.Ds." hidden="1">{#N/A,#N/A,FALSE,"Attachment D Basic Current";#N/A,#N/A,FALSE,"Attachment D Buyup Current";#N/A,#N/A,FALSE,"Attachment D Basic Proposed";#N/A,#N/A,FALSE,"Attachment D Buyup Proposed 2"}</definedName>
    <definedName name="wrn.bcgrates" localSheetId="2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0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2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0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lue._.Preferred._.VA._.DB." localSheetId="2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0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B." localSheetId="2" hidden="1">{#N/A,#N/A,FALSE,"Sheet1";#N/A,#N/A,FALSE,"Sheet2";#N/A,#N/A,FALSE,"Sheet3";#N/A,#N/A,FALSE,"Sheet4"}</definedName>
    <definedName name="wrn.BluePreferred._.DB." localSheetId="0" hidden="1">{#N/A,#N/A,FALSE,"Sheet1";#N/A,#N/A,FALSE,"Sheet2";#N/A,#N/A,FALSE,"Sheet3";#N/A,#N/A,FALSE,"Sheet4"}</definedName>
    <definedName name="wrn.BluePreferred._.DB." hidden="1">{#N/A,#N/A,FALSE,"Sheet1";#N/A,#N/A,FALSE,"Sheet2";#N/A,#N/A,FALSE,"Sheet3";#N/A,#N/A,FALSE,"Sheet4"}</definedName>
    <definedName name="wrn.BluePreferred._.DC._.DB." localSheetId="2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0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hidden="1">{#N/A,#N/A,FALSE,"100.90%.300.70%";#N/A,#N/A,FALSE,"300.90%.600.70%";#N/A,#N/A,FALSE,"300.80%.600.60%";#N/A,#N/A,FALSE,"500.80%.1000.60%";#N/A,#N/A,FALSE,"750.80%.1500.60%";#N/A,#N/A,FALSE,"2500.80%.5000.60%"}</definedName>
    <definedName name="wrn.bpdbmd." localSheetId="2" hidden="1">{#N/A,#N/A,FALSE,"100.90%.300.70%";#N/A,#N/A,FALSE,"300.90%.500.70%";#N/A,#N/A,FALSE,"300.80%.500.60%";#N/A,#N/A,FALSE,"500.80%.750.60%"}</definedName>
    <definedName name="wrn.bpdbmd." localSheetId="0" hidden="1">{#N/A,#N/A,FALSE,"100.90%.300.70%";#N/A,#N/A,FALSE,"300.90%.500.70%";#N/A,#N/A,FALSE,"300.80%.500.60%";#N/A,#N/A,FALSE,"500.80%.750.60%"}</definedName>
    <definedName name="wrn.bpdbmd." hidden="1">{#N/A,#N/A,FALSE,"100.90%.300.70%";#N/A,#N/A,FALSE,"300.90%.500.70%";#N/A,#N/A,FALSE,"300.80%.500.60%";#N/A,#N/A,FALSE,"500.80%.750.60%"}</definedName>
    <definedName name="wrn.Budget._.All._.Sheets." localSheetId="2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0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2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0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capital" localSheetId="2" hidden="1">{#N/A,#N/A,FALSE,"OfficeAssets"}</definedName>
    <definedName name="wrn.capital" localSheetId="0" hidden="1">{#N/A,#N/A,FALSE,"OfficeAssets"}</definedName>
    <definedName name="wrn.capital" hidden="1">{#N/A,#N/A,FALSE,"OfficeAssets"}</definedName>
    <definedName name="wrn.Capital._.Assets._.Computer." localSheetId="2" hidden="1">{#N/A,#N/A,FALSE,"ComputerAssets"}</definedName>
    <definedName name="wrn.Capital._.Assets._.Computer." localSheetId="0" hidden="1">{#N/A,#N/A,FALSE,"ComputerAssets"}</definedName>
    <definedName name="wrn.Capital._.Assets._.Computer." hidden="1">{#N/A,#N/A,FALSE,"ComputerAssets"}</definedName>
    <definedName name="wrn.Capital._.Assets._.Office." localSheetId="2" hidden="1">{#N/A,#N/A,FALSE,"OfficeAssets"}</definedName>
    <definedName name="wrn.Capital._.Assets._.Office." localSheetId="0" hidden="1">{#N/A,#N/A,FALSE,"OfficeAssets"}</definedName>
    <definedName name="wrn.Capital._.Assets._.Office." hidden="1">{#N/A,#N/A,FALSE,"OfficeAssets"}</definedName>
    <definedName name="wrn.capital1" localSheetId="2" hidden="1">{#N/A,#N/A,FALSE,"OfficeAssets"}</definedName>
    <definedName name="wrn.capital1" localSheetId="0" hidden="1">{#N/A,#N/A,FALSE,"OfficeAssets"}</definedName>
    <definedName name="wrn.capital1" hidden="1">{#N/A,#N/A,FALSE,"OfficeAssets"}</definedName>
    <definedName name="wrn.carolinarest" localSheetId="2" hidden="1">{#N/A,#N/A,FALSE,"98-99 Recap";#N/A,#N/A,FALSE,"Exec Summary"}</definedName>
    <definedName name="wrn.carolinarest" localSheetId="0" hidden="1">{#N/A,#N/A,FALSE,"98-99 Recap";#N/A,#N/A,FALSE,"Exec Summary"}</definedName>
    <definedName name="wrn.carolinarest" hidden="1">{#N/A,#N/A,FALSE,"98-99 Recap";#N/A,#N/A,FALSE,"Exec Summary"}</definedName>
    <definedName name="wrn.Case._.Summary." localSheetId="2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0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osmos._.Report." localSheetId="2" hidden="1">{#N/A,#N/A,FALSE,"Cosmos Report"}</definedName>
    <definedName name="wrn.Cosmos._.Report." localSheetId="0" hidden="1">{#N/A,#N/A,FALSE,"Cosmos Report"}</definedName>
    <definedName name="wrn.Cosmos._.Report." hidden="1">{#N/A,#N/A,FALSE,"Cosmos Report"}</definedName>
    <definedName name="wrn.Cost._.and._.Utilization._.Report.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DAVE._.REPORT." localSheetId="2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0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enrollment._.schedule." localSheetId="2" hidden="1">{#N/A,#N/A,FALSE,"Enrollment Summary";#N/A,#N/A,FALSE,"Plan";#N/A,#N/A,FALSE,"State";#N/A,#N/A,FALSE,"Change "}</definedName>
    <definedName name="wrn.enrollment._.schedule." localSheetId="0" hidden="1">{#N/A,#N/A,FALSE,"Enrollment Summary";#N/A,#N/A,FALSE,"Plan";#N/A,#N/A,FALSE,"State";#N/A,#N/A,FALSE,"Change "}</definedName>
    <definedName name="wrn.enrollment._.schedule." hidden="1">{#N/A,#N/A,FALSE,"Enrollment Summary";#N/A,#N/A,FALSE,"Plan";#N/A,#N/A,FALSE,"State";#N/A,#N/A,FALSE,"Change "}</definedName>
    <definedName name="wrn.exo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FebPrint." localSheetId="2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0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YTD." localSheetId="2" hidden="1">{"febactytd",#N/A,FALSE,"Feb98ACT&amp;YTD";"febplanytd",#N/A,FALSE,"Feb98ACT&amp;YTD";"febvarytd",#N/A,FALSE,"Feb98ACT&amp;YTD"}</definedName>
    <definedName name="wrn.FebYTD." localSheetId="0" hidden="1">{"febactytd",#N/A,FALSE,"Feb98ACT&amp;YTD";"febplanytd",#N/A,FALSE,"Feb98ACT&amp;YTD";"febvarytd",#N/A,FALSE,"Feb98ACT&amp;YTD"}</definedName>
    <definedName name="wrn.FebYTD." hidden="1">{"febactytd",#N/A,FALSE,"Feb98ACT&amp;YTD";"febplanytd",#N/A,FALSE,"Feb98ACT&amp;YTD";"febvarytd",#N/A,FALSE,"Feb98ACT&amp;YTD"}</definedName>
    <definedName name="wrn.gikow." localSheetId="2" hidden="1">{#N/A,#N/A,TRUE,"CARRIER LISTING";#N/A,#N/A,TRUE,"CENSUS";#N/A,#N/A,TRUE,"MEDICAL";#N/A,#N/A,TRUE,"LIFE AND AD&amp;D"}</definedName>
    <definedName name="wrn.gikow." localSheetId="0" hidden="1">{#N/A,#N/A,TRUE,"CARRIER LISTING";#N/A,#N/A,TRUE,"CENSUS";#N/A,#N/A,TRUE,"MEDICAL";#N/A,#N/A,TRUE,"LIFE AND AD&amp;D"}</definedName>
    <definedName name="wrn.gikow." hidden="1">{#N/A,#N/A,TRUE,"CARRIER LISTING";#N/A,#N/A,TRUE,"CENSUS";#N/A,#N/A,TRUE,"MEDICAL";#N/A,#N/A,TRUE,"LIFE AND AD&amp;D"}</definedName>
    <definedName name="wrn.IBNR._.Sheets.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JanBob." localSheetId="2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Print." localSheetId="2" hidden="1">{"janact",#N/A,FALSE,"Jan98ACT";"janplan",#N/A,FALSE,"Jan98ACT";"janvar",#N/A,FALSE,"Jan98ACT"}</definedName>
    <definedName name="wrn.JanPrint." localSheetId="0" hidden="1">{"janact",#N/A,FALSE,"Jan98ACT";"janplan",#N/A,FALSE,"Jan98ACT";"janvar",#N/A,FALSE,"Jan98ACT"}</definedName>
    <definedName name="wrn.JanPrint." hidden="1">{"janact",#N/A,FALSE,"Jan98ACT";"janplan",#N/A,FALSE,"Jan98ACT";"janvar",#N/A,FALSE,"Jan98ACT"}</definedName>
    <definedName name="wrn.jun01charts." localSheetId="2" hidden="1">{#N/A,#N/A,TRUE,"CC &amp; Adv VADC";#N/A,#N/A,TRUE,"Choice &amp; Ind VADC";#N/A,#N/A,TRUE,"BluPref VADC";#N/A,#N/A,TRUE,"Rx VADC"}</definedName>
    <definedName name="wrn.jun01charts." localSheetId="0" hidden="1">{#N/A,#N/A,TRUE,"CC &amp; Adv VADC";#N/A,#N/A,TRUE,"Choice &amp; Ind VADC";#N/A,#N/A,TRUE,"BluPref VADC";#N/A,#N/A,TRUE,"Rx VADC"}</definedName>
    <definedName name="wrn.jun01charts." hidden="1">{#N/A,#N/A,TRUE,"CC &amp; Adv VADC";#N/A,#N/A,TRUE,"Choice &amp; Ind VADC";#N/A,#N/A,TRUE,"BluPref VADC";#N/A,#N/A,TRUE,"Rx VADC"}</definedName>
    <definedName name="wrn.junky" localSheetId="2" hidden="1">{#N/A,#N/A,FALSE,"Hlth_Comp";#N/A,#N/A,FALSE,"Current_Insured";#N/A,#N/A,FALSE,"Projected_Insured";#N/A,#N/A,FALSE,"CIGNA_Insured";#N/A,#N/A,FALSE,"CIGNA_MPP"}</definedName>
    <definedName name="wrn.junky" localSheetId="0" hidden="1">{#N/A,#N/A,FALSE,"Hlth_Comp";#N/A,#N/A,FALSE,"Current_Insured";#N/A,#N/A,FALSE,"Projected_Insured";#N/A,#N/A,FALSE,"CIGNA_Insured";#N/A,#N/A,FALSE,"CIGNA_MPP"}</definedName>
    <definedName name="wrn.junky" hidden="1">{#N/A,#N/A,FALSE,"Hlth_Comp";#N/A,#N/A,FALSE,"Current_Insured";#N/A,#N/A,FALSE,"Projected_Insured";#N/A,#N/A,FALSE,"CIGNA_Insured";#N/A,#N/A,FALSE,"CIGNA_MPP"}</definedName>
    <definedName name="wrn.Key._.Pages." localSheetId="2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0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Management._.Report." localSheetId="2" hidden="1">{#N/A,#N/A,TRUE,"Report_Page";#N/A,#N/A,TRUE,"Graphs"}</definedName>
    <definedName name="wrn.Management._.Report." localSheetId="0" hidden="1">{#N/A,#N/A,TRUE,"Report_Page";#N/A,#N/A,TRUE,"Graphs"}</definedName>
    <definedName name="wrn.Management._.Report." hidden="1">{#N/A,#N/A,TRUE,"Report_Page";#N/A,#N/A,TRUE,"Graphs"}</definedName>
    <definedName name="wrn.MarPrint" localSheetId="2" hidden="1">{"janact",#N/A,FALSE,"Jan98ACT";"janplan",#N/A,FALSE,"Jan98ACT";"janvar",#N/A,FALSE,"Jan98ACT"}</definedName>
    <definedName name="wrn.MarPrint" localSheetId="0" hidden="1">{"janact",#N/A,FALSE,"Jan98ACT";"janplan",#N/A,FALSE,"Jan98ACT";"janvar",#N/A,FALSE,"Jan98ACT"}</definedName>
    <definedName name="wrn.MarPrint" hidden="1">{"janact",#N/A,FALSE,"Jan98ACT";"janplan",#N/A,FALSE,"Jan98ACT";"janvar",#N/A,FALSE,"Jan98ACT"}</definedName>
    <definedName name="wrn.MarPrint." localSheetId="2" hidden="1">{"janact",#N/A,FALSE,"Jan98ACT";"janplan",#N/A,FALSE,"Jan98ACT";"janvar",#N/A,FALSE,"Jan98ACT"}</definedName>
    <definedName name="wrn.MarPrint." localSheetId="0" hidden="1">{"janact",#N/A,FALSE,"Jan98ACT";"janplan",#N/A,FALSE,"Jan98ACT";"janvar",#N/A,FALSE,"Jan98ACT"}</definedName>
    <definedName name="wrn.MarPrint." hidden="1">{"janact",#N/A,FALSE,"Jan98ACT";"janplan",#N/A,FALSE,"Jan98ACT";"janvar",#N/A,FALSE,"Jan98ACT"}</definedName>
    <definedName name="wrn.Medical._.Ratio." localSheetId="2" hidden="1">{#N/A,#N/A,FALSE,"Medical Ratio"}</definedName>
    <definedName name="wrn.Medical._.Ratio." localSheetId="0" hidden="1">{#N/A,#N/A,FALSE,"Medical Ratio"}</definedName>
    <definedName name="wrn.Medical._.Ratio." hidden="1">{#N/A,#N/A,FALSE,"Medical Ratio"}</definedName>
    <definedName name="wrn.Misc._.Payroll._.Accounts." localSheetId="2" hidden="1">{#N/A,#N/A,FALSE,"Misc. Pyrl Accts"}</definedName>
    <definedName name="wrn.Misc._.Payroll._.Accounts." localSheetId="0" hidden="1">{#N/A,#N/A,FALSE,"Misc. Pyrl Accts"}</definedName>
    <definedName name="wrn.Misc._.Payroll._.Accounts." hidden="1">{#N/A,#N/A,FALSE,"Misc. Pyrl Accts"}</definedName>
    <definedName name="wrn.Misc._.Sheets." localSheetId="2" hidden="1">{#N/A,#N/A,FALSE,"Budget";#N/A,#N/A,FALSE,"Misc Info"}</definedName>
    <definedName name="wrn.Misc._.Sheets." localSheetId="0" hidden="1">{#N/A,#N/A,FALSE,"Budget";#N/A,#N/A,FALSE,"Misc Info"}</definedName>
    <definedName name="wrn.Misc._.Sheets." hidden="1">{#N/A,#N/A,FALSE,"Budget";#N/A,#N/A,FALSE,"Misc Info"}</definedName>
    <definedName name="wrn.Misc._.Sheets._1" localSheetId="2" hidden="1">{#N/A,#N/A,FALSE,"Budget";#N/A,#N/A,FALSE,"Misc Info"}</definedName>
    <definedName name="wrn.Misc._.Sheets._1" localSheetId="0" hidden="1">{#N/A,#N/A,FALSE,"Budget";#N/A,#N/A,FALSE,"Misc Info"}</definedName>
    <definedName name="wrn.Misc._.Sheets._1" hidden="1">{#N/A,#N/A,FALSE,"Budget";#N/A,#N/A,FALSE,"Misc Info"}</definedName>
    <definedName name="wrn.MonthEnd." localSheetId="2" hidden="1">{#N/A,#N/A,FALSE,"98-99 Recap";#N/A,#N/A,FALSE,"Exec Summary"}</definedName>
    <definedName name="wrn.MonthEnd." localSheetId="0" hidden="1">{#N/A,#N/A,FALSE,"98-99 Recap";#N/A,#N/A,FALSE,"Exec Summary"}</definedName>
    <definedName name="wrn.MonthEnd." hidden="1">{#N/A,#N/A,FALSE,"98-99 Recap";#N/A,#N/A,FALSE,"Exec Summary"}</definedName>
    <definedName name="wrn.MonthEnd2" localSheetId="2" hidden="1">{#N/A,#N/A,FALSE,"98-99 Recap";#N/A,#N/A,FALSE,"Exec Summary"}</definedName>
    <definedName name="wrn.MonthEnd2" localSheetId="0" hidden="1">{#N/A,#N/A,FALSE,"98-99 Recap";#N/A,#N/A,FALSE,"Exec Summary"}</definedName>
    <definedName name="wrn.MonthEnd2" hidden="1">{#N/A,#N/A,FALSE,"98-99 Recap";#N/A,#N/A,FALSE,"Exec Summary"}</definedName>
    <definedName name="wrn.Monthly." localSheetId="2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0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_.Report." localSheetId="2" hidden="1">{#N/A,#N/A,FALSE,"Report";#N/A,#N/A,FALSE,"Graphs"}</definedName>
    <definedName name="wrn.Monthly._.Report." localSheetId="0" hidden="1">{#N/A,#N/A,FALSE,"Report";#N/A,#N/A,FALSE,"Graphs"}</definedName>
    <definedName name="wrn.Monthly._.Report." hidden="1">{#N/A,#N/A,FALSE,"Report";#N/A,#N/A,FALSE,"Graphs"}</definedName>
    <definedName name="wrn.network.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ovBob." localSheetId="2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October._.99." localSheetId="2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0" hidden="1">{"oct_act_mtd",#N/A,FALSE,"Oct99";"oct_act_ytd",#N/A,FALSE,"Oct99";"oct_plan_mtd",#N/A,FALSE,"Oct99";"oct_plan_ytd",#N/A,FALSE,"Oct99";"oct_var_mtd",#N/A,FALSE,"Oct99";"oct_var_ytd",#N/A,FALSE,"Oct99"}</definedName>
    <definedName name="wrn.October._.99." hidden="1">{"oct_act_mtd",#N/A,FALSE,"Oct99";"oct_act_ytd",#N/A,FALSE,"Oct99";"oct_plan_mtd",#N/A,FALSE,"Oct99";"oct_plan_ytd",#N/A,FALSE,"Oct99";"oct_var_mtd",#N/A,FALSE,"Oct99";"oct_var_ytd",#N/A,FALSE,"Oct99"}</definedName>
    <definedName name="wrn.Other._.Revenue." localSheetId="2" hidden="1">{#N/A,#N/A,FALSE,"Other Revenue"}</definedName>
    <definedName name="wrn.Other._.Revenue." localSheetId="0" hidden="1">{#N/A,#N/A,FALSE,"Other Revenue"}</definedName>
    <definedName name="wrn.Other._.Revenue." hidden="1">{#N/A,#N/A,FALSE,"Other Revenue"}</definedName>
    <definedName name="wrn.OverTime." localSheetId="2" hidden="1">{#N/A,#N/A,FALSE,"Overtime"}</definedName>
    <definedName name="wrn.OverTime." localSheetId="0" hidden="1">{#N/A,#N/A,FALSE,"Overtime"}</definedName>
    <definedName name="wrn.OverTime." hidden="1">{#N/A,#N/A,FALSE,"Overtime"}</definedName>
    <definedName name="wrn.pgs1to6." localSheetId="2" hidden="1">{#N/A,#N/A,FALSE,"Page 1";#N/A,#N/A,FALSE,"Page 2";#N/A,#N/A,FALSE,"Page 3";#N/A,#N/A,FALSE,"Page 4";#N/A,#N/A,FALSE,"Page 5";#N/A,#N/A,FALSE,"Page 6"}</definedName>
    <definedName name="wrn.pgs1to6." localSheetId="0" hidden="1">{#N/A,#N/A,FALSE,"Page 1";#N/A,#N/A,FALSE,"Page 2";#N/A,#N/A,FALSE,"Page 3";#N/A,#N/A,FALSE,"Page 4";#N/A,#N/A,FALSE,"Page 5";#N/A,#N/A,FALSE,"Page 6"}</definedName>
    <definedName name="wrn.pgs1to6." hidden="1">{#N/A,#N/A,FALSE,"Page 1";#N/A,#N/A,FALSE,"Page 2";#N/A,#N/A,FALSE,"Page 3";#N/A,#N/A,FALSE,"Page 4";#N/A,#N/A,FALSE,"Page 5";#N/A,#N/A,FALSE,"Page 6"}</definedName>
    <definedName name="wrn.Premium." localSheetId="2" hidden="1">{#N/A,#N/A,FALSE,"Cover";#N/A,#N/A,FALSE,"Case Summary";#N/A,#N/A,FALSE,"Case Summary"}</definedName>
    <definedName name="wrn.Premium." localSheetId="0" hidden="1">{#N/A,#N/A,FALSE,"Cover";#N/A,#N/A,FALSE,"Case Summary";#N/A,#N/A,FALSE,"Case Summary"}</definedName>
    <definedName name="wrn.Premium." hidden="1">{#N/A,#N/A,FALSE,"Cover";#N/A,#N/A,FALSE,"Case Summary";#N/A,#N/A,FALSE,"Case Summary"}</definedName>
    <definedName name="wrn.Print._.All." localSheetId="2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0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Full.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Limited." localSheetId="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0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Report." localSheetId="2" hidden="1">{#N/A,#N/A,FALSE,"Aetna_Fees";#N/A,#N/A,FALSE,"Rate_Work";#N/A,#N/A,FALSE,"Contrib_Comp";#N/A,#N/A,FALSE,"Contributions";#N/A,#N/A,FALSE,"COBRA_Rates"}</definedName>
    <definedName name="wrn.Print._.Report." localSheetId="0" hidden="1">{#N/A,#N/A,FALSE,"Aetna_Fees";#N/A,#N/A,FALSE,"Rate_Work";#N/A,#N/A,FALSE,"Contrib_Comp";#N/A,#N/A,FALSE,"Contributions";#N/A,#N/A,FALSE,"COBRA_Rates"}</definedName>
    <definedName name="wrn.Print._.Report." hidden="1">{#N/A,#N/A,FALSE,"Aetna_Fees";#N/A,#N/A,FALSE,"Rate_Work";#N/A,#N/A,FALSE,"Contrib_Comp";#N/A,#N/A,FALSE,"Contributions";#N/A,#N/A,FALSE,"COBRA_Rates"}</definedName>
    <definedName name="wrn.Print_Report." localSheetId="2" hidden="1">{#N/A,#N/A,FALSE,"Alternatives";#N/A,#N/A,FALSE,"Final_Renl_Offer";#N/A,#N/A,FALSE,"Renl_Summary";#N/A,#N/A,FALSE,"CIGNA_Fees";#N/A,#N/A,FALSE,"COBRA_Contrib_Rates"}</definedName>
    <definedName name="wrn.Print_Report." localSheetId="0" hidden="1">{#N/A,#N/A,FALSE,"Alternatives";#N/A,#N/A,FALSE,"Final_Renl_Offer";#N/A,#N/A,FALSE,"Renl_Summary";#N/A,#N/A,FALSE,"CIGNA_Fees";#N/A,#N/A,FALSE,"COBRA_Contrib_Rates"}</definedName>
    <definedName name="wrn.Print_Report." hidden="1">{#N/A,#N/A,FALSE,"Alternatives";#N/A,#N/A,FALSE,"Final_Renl_Offer";#N/A,#N/A,FALSE,"Renl_Summary";#N/A,#N/A,FALSE,"CIGNA_Fees";#N/A,#N/A,FALSE,"COBRA_Contrib_Rates"}</definedName>
    <definedName name="wrn.PrintAll." localSheetId="2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0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ofit._.and._.Loss._.Rollup." localSheetId="2" hidden="1">{#N/A,#N/A,FALSE,"P&amp;L Rollup"}</definedName>
    <definedName name="wrn.Profit._.and._.Loss._.Rollup." localSheetId="0" hidden="1">{#N/A,#N/A,FALSE,"P&amp;L Rollup"}</definedName>
    <definedName name="wrn.Profit._.and._.Loss._.Rollup." hidden="1">{#N/A,#N/A,FALSE,"P&amp;L Rollup"}</definedName>
    <definedName name="wrn.profit_and_loss_rollup2" localSheetId="2" hidden="1">{#N/A,#N/A,FALSE,"P&amp;L Rollup"}</definedName>
    <definedName name="wrn.profit_and_loss_rollup2" localSheetId="0" hidden="1">{#N/A,#N/A,FALSE,"P&amp;L Rollup"}</definedName>
    <definedName name="wrn.profit_and_loss_rollup2" hidden="1">{#N/A,#N/A,FALSE,"P&amp;L Rollup"}</definedName>
    <definedName name="wrn.profit4" localSheetId="2" hidden="1">{#N/A,#N/A,FALSE,"P&amp;L Rollup"}</definedName>
    <definedName name="wrn.profit4" localSheetId="0" hidden="1">{#N/A,#N/A,FALSE,"P&amp;L Rollup"}</definedName>
    <definedName name="wrn.profit4" hidden="1">{#N/A,#N/A,FALSE,"P&amp;L Rollup"}</definedName>
    <definedName name="wrn.Qtrly." localSheetId="2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0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Renewal." localSheetId="2" hidden="1">{#N/A,#N/A,FALSE,"Approval Form";#N/A,#N/A,FALSE,"Renewal";#N/A,#N/A,FALSE,"Cosmos Report"}</definedName>
    <definedName name="wrn.Renewal." localSheetId="0" hidden="1">{#N/A,#N/A,FALSE,"Approval Form";#N/A,#N/A,FALSE,"Renewal";#N/A,#N/A,FALSE,"Cosmos Report"}</definedName>
    <definedName name="wrn.Renewal." hidden="1">{#N/A,#N/A,FALSE,"Approval Form";#N/A,#N/A,FALSE,"Renewal";#N/A,#N/A,FALSE,"Cosmos Report"}</definedName>
    <definedName name="wrn.Renewal._.Justification." localSheetId="2" hidden="1">{#N/A,#N/A,FALSE,"Renewal"}</definedName>
    <definedName name="wrn.Renewal._.Justification." localSheetId="0" hidden="1">{#N/A,#N/A,FALSE,"Renewal"}</definedName>
    <definedName name="wrn.Renewal._.Justification." hidden="1">{#N/A,#N/A,FALSE,"Renewal"}</definedName>
    <definedName name="wrn.Report." localSheetId="2" hidden="1">{#N/A,#N/A,FALSE,"monthly";#N/A,#N/A,FALSE,"aeroglide 98"}</definedName>
    <definedName name="wrn.Report." localSheetId="0" hidden="1">{#N/A,#N/A,FALSE,"monthly";#N/A,#N/A,FALSE,"aeroglide 98"}</definedName>
    <definedName name="wrn.Report." hidden="1">{#N/A,#N/A,FALSE,"monthly";#N/A,#N/A,FALSE,"aeroglide 98"}</definedName>
    <definedName name="wrn.Report._.for._.Mark." localSheetId="2" hidden="1">{#N/A,#N/A,FALSE,"Cover";"Assumptions",#N/A,FALSE,"Assumptions";"FinComPlan",#N/A,FALSE,"FinComPlan";"UWGainLoss",#N/A,FALSE,"UWGainLoss"}</definedName>
    <definedName name="wrn.Report._.for._.Mark." localSheetId="0" hidden="1">{#N/A,#N/A,FALSE,"Cover";"Assumptions",#N/A,FALSE,"Assumptions";"FinComPlan",#N/A,FALSE,"FinComPlan";"UWGainLoss",#N/A,FALSE,"UWGainLoss"}</definedName>
    <definedName name="wrn.Report._.for._.Mark." hidden="1">{#N/A,#N/A,FALSE,"Cover";"Assumptions",#N/A,FALSE,"Assumptions";"FinComPlan",#N/A,FALSE,"FinComPlan";"UWGainLoss",#N/A,FALSE,"UWGainLoss"}</definedName>
    <definedName name="wrn.Salaries." localSheetId="2" hidden="1">{#N/A,#N/A,FALSE,"Salaries"}</definedName>
    <definedName name="wrn.Salaries." localSheetId="0" hidden="1">{#N/A,#N/A,FALSE,"Salaries"}</definedName>
    <definedName name="wrn.Salaries." hidden="1">{#N/A,#N/A,FALSE,"Salaries"}</definedName>
    <definedName name="wrn.sept._.reports." localSheetId="2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0" hidden="1">{"septactmtd",#N/A,FALSE,"Sep99";"sepactytd",#N/A,FALSE,"Sep99";"septplanmtd",#N/A,FALSE,"Sep99";"septplanytd",#N/A,FALSE,"Sep99";"septvarmtd",#N/A,FALSE,"Sep99";"septvarytd",#N/A,FALSE,"Sep99"}</definedName>
    <definedName name="wrn.sept._.reports." hidden="1">{"septactmtd",#N/A,FALSE,"Sep99";"sepactytd",#N/A,FALSE,"Sep99";"septplanmtd",#N/A,FALSE,"Sep99";"septplanytd",#N/A,FALSE,"Sep99";"septvarmtd",#N/A,FALSE,"Sep99";"septvarytd",#N/A,FALSE,"Sep99"}</definedName>
    <definedName name="wrn.SGA._.Input." localSheetId="2" hidden="1">{#N/A,#N/A,FALSE,"SG&amp;A Input"}</definedName>
    <definedName name="wrn.SGA._.Input." localSheetId="0" hidden="1">{#N/A,#N/A,FALSE,"SG&amp;A Input"}</definedName>
    <definedName name="wrn.SGA._.Input." hidden="1">{#N/A,#N/A,FALSE,"SG&amp;A Input"}</definedName>
    <definedName name="wrn.SGA._.Total." localSheetId="2" hidden="1">{#N/A,#N/A,FALSE,"Total SG&amp;A"}</definedName>
    <definedName name="wrn.SGA._.Total." localSheetId="0" hidden="1">{#N/A,#N/A,FALSE,"Total SG&amp;A"}</definedName>
    <definedName name="wrn.SGA._.Total." hidden="1">{#N/A,#N/A,FALSE,"Total SG&amp;A"}</definedName>
    <definedName name="wrn.sheet14." localSheetId="2" hidden="1">{#N/A,#N/A,FALSE,"Page 14"}</definedName>
    <definedName name="wrn.sheet14." localSheetId="0" hidden="1">{#N/A,#N/A,FALSE,"Page 14"}</definedName>
    <definedName name="wrn.sheet14." hidden="1">{#N/A,#N/A,FALSE,"Page 14"}</definedName>
    <definedName name="wrn.Temporary._.Employees." localSheetId="2" hidden="1">{#N/A,#N/A,FALSE,"Temps"}</definedName>
    <definedName name="wrn.Temporary._.Employees." localSheetId="0" hidden="1">{#N/A,#N/A,FALSE,"Temps"}</definedName>
    <definedName name="wrn.Temporary._.Employees." hidden="1">{#N/A,#N/A,FALSE,"Temps"}</definedName>
    <definedName name="wrn.temporary._.Employees2" localSheetId="2" hidden="1">{#N/A,#N/A,FALSE,"Temps"}</definedName>
    <definedName name="wrn.temporary._.Employees2" localSheetId="0" hidden="1">{#N/A,#N/A,FALSE,"Temps"}</definedName>
    <definedName name="wrn.temporary._.Employees2" hidden="1">{#N/A,#N/A,FALSE,"Temps"}</definedName>
    <definedName name="wrn.temporary_employees8" localSheetId="2" hidden="1">{#N/A,#N/A,FALSE,"Temps"}</definedName>
    <definedName name="wrn.temporary_employees8" localSheetId="0" hidden="1">{#N/A,#N/A,FALSE,"Temps"}</definedName>
    <definedName name="wrn.temporary_employees8" hidden="1">{#N/A,#N/A,FALSE,"Temps"}</definedName>
    <definedName name="wrn.Wacortg96." localSheetId="2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0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YearEnd." localSheetId="2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0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_1" localSheetId="2" hidden="1">{#N/A,#N/A,FALSE,"Aging Summary";#N/A,#N/A,FALSE,"Ratio Analysis";#N/A,#N/A,FALSE,"Test 120 Day Accts";#N/A,#N/A,FALSE,"Tickmarks"}</definedName>
    <definedName name="wrn_1" localSheetId="0" hidden="1">{#N/A,#N/A,FALSE,"Aging Summary";#N/A,#N/A,FALSE,"Ratio Analysis";#N/A,#N/A,FALSE,"Test 120 Day Accts";#N/A,#N/A,FALSE,"Tickmarks"}</definedName>
    <definedName name="wrn_1" hidden="1">{#N/A,#N/A,FALSE,"Aging Summary";#N/A,#N/A,FALSE,"Ratio Analysis";#N/A,#N/A,FALSE,"Test 120 Day Accts";#N/A,#N/A,FALSE,"Tickmarks"}</definedName>
    <definedName name="wrn_10_a2" localSheetId="2" hidden="1">{#N/A,#N/A,FALSE,"Aging Summary";#N/A,#N/A,FALSE,"Ratio Analysis";#N/A,#N/A,FALSE,"Test 120 Day Accts";#N/A,#N/A,FALSE,"Tickmarks"}</definedName>
    <definedName name="wrn_10_a2" localSheetId="0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localSheetId="2" hidden="1">{#N/A,#N/A,FALSE,"Aging Summary";#N/A,#N/A,FALSE,"Ratio Analysis";#N/A,#N/A,FALSE,"Test 120 Day Accts";#N/A,#N/A,FALSE,"Tickmarks"}</definedName>
    <definedName name="wrn_10a_2" localSheetId="0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localSheetId="2" hidden="1">{#N/A,#N/A,FALSE,"Aging Summary";#N/A,#N/A,FALSE,"Ratio Analysis";#N/A,#N/A,FALSE,"Test 120 Day Accts";#N/A,#N/A,FALSE,"Tickmarks"}</definedName>
    <definedName name="wrn_10a1" localSheetId="0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localSheetId="2" hidden="1">{#N/A,#N/A,FALSE,"Aging Summary";#N/A,#N/A,FALSE,"Ratio Analysis";#N/A,#N/A,FALSE,"Test 120 Day Accts";#N/A,#N/A,FALSE,"Tickmarks"}</definedName>
    <definedName name="wrn_11" localSheetId="0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localSheetId="2" hidden="1">{#N/A,#N/A,FALSE,"Aging Summary";#N/A,#N/A,FALSE,"Ratio Analysis";#N/A,#N/A,FALSE,"Test 120 Day Accts";#N/A,#N/A,FALSE,"Tickmarks"}</definedName>
    <definedName name="wrn_12" localSheetId="0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localSheetId="2" hidden="1">{#N/A,#N/A,FALSE,"Aging Summary";#N/A,#N/A,FALSE,"Ratio Analysis";#N/A,#N/A,FALSE,"Test 120 Day Accts";#N/A,#N/A,FALSE,"Tickmarks"}</definedName>
    <definedName name="wrn_12p" localSheetId="0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localSheetId="2" hidden="1">{#N/A,#N/A,FALSE,"Aging Summary";#N/A,#N/A,FALSE,"Ratio Analysis";#N/A,#N/A,FALSE,"Test 120 Day Accts";#N/A,#N/A,FALSE,"Tickmarks"}</definedName>
    <definedName name="wrn_16p" localSheetId="0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localSheetId="2" hidden="1">{#N/A,#N/A,FALSE,"Aging Summary";#N/A,#N/A,FALSE,"Ratio Analysis";#N/A,#N/A,FALSE,"Test 120 Day Accts";#N/A,#N/A,FALSE,"Tickmarks"}</definedName>
    <definedName name="wrn_1A" localSheetId="0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localSheetId="2" hidden="1">{#N/A,#N/A,FALSE,"Aging Summary";#N/A,#N/A,FALSE,"Ratio Analysis";#N/A,#N/A,FALSE,"Test 120 Day Accts";#N/A,#N/A,FALSE,"Tickmarks"}</definedName>
    <definedName name="wrn_1a1" localSheetId="0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localSheetId="2" hidden="1">{#N/A,#N/A,FALSE,"Aging Summary";#N/A,#N/A,FALSE,"Ratio Analysis";#N/A,#N/A,FALSE,"Test 120 Day Accts";#N/A,#N/A,FALSE,"Tickmarks"}</definedName>
    <definedName name="wrn_1a2" localSheetId="0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localSheetId="2" hidden="1">{#N/A,#N/A,FALSE,"Aging Summary";#N/A,#N/A,FALSE,"Ratio Analysis";#N/A,#N/A,FALSE,"Test 120 Day Accts";#N/A,#N/A,FALSE,"Tickmarks"}</definedName>
    <definedName name="wrn_1a22" localSheetId="0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localSheetId="2" hidden="1">{#N/A,#N/A,FALSE,"Aging Summary";#N/A,#N/A,FALSE,"Ratio Analysis";#N/A,#N/A,FALSE,"Test 120 Day Accts";#N/A,#N/A,FALSE,"Tickmarks"}</definedName>
    <definedName name="wrn_1P" localSheetId="0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localSheetId="2" hidden="1">{#N/A,#N/A,FALSE,"Aging Summary";#N/A,#N/A,FALSE,"Ratio Analysis";#N/A,#N/A,FALSE,"Test 120 Day Accts";#N/A,#N/A,FALSE,"Tickmarks"}</definedName>
    <definedName name="wrn_2" localSheetId="0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localSheetId="2" hidden="1">{#N/A,#N/A,FALSE,"Aging Summary";#N/A,#N/A,FALSE,"Ratio Analysis";#N/A,#N/A,FALSE,"Test 120 Day Accts";#N/A,#N/A,FALSE,"Tickmarks"}</definedName>
    <definedName name="wrn_2009a" localSheetId="0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localSheetId="2" hidden="1">{#N/A,#N/A,FALSE,"Aging Summary";#N/A,#N/A,FALSE,"Ratio Analysis";#N/A,#N/A,FALSE,"Test 120 Day Accts";#N/A,#N/A,FALSE,"Tickmarks"}</definedName>
    <definedName name="wrn_201" localSheetId="0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localSheetId="2" hidden="1">{#N/A,#N/A,FALSE,"Aging Summary";#N/A,#N/A,FALSE,"Ratio Analysis";#N/A,#N/A,FALSE,"Test 120 Day Accts";#N/A,#N/A,FALSE,"Tickmarks"}</definedName>
    <definedName name="wrn_2010a" localSheetId="0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localSheetId="2" hidden="1">{#N/A,#N/A,FALSE,"Aging Summary";#N/A,#N/A,FALSE,"Ratio Analysis";#N/A,#N/A,FALSE,"Test 120 Day Accts";#N/A,#N/A,FALSE,"Tickmarks"}</definedName>
    <definedName name="wrn_20a" localSheetId="0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localSheetId="2" hidden="1">{#N/A,#N/A,FALSE,"Aging Summary";#N/A,#N/A,FALSE,"Ratio Analysis";#N/A,#N/A,FALSE,"Test 120 Day Accts";#N/A,#N/A,FALSE,"Tickmarks"}</definedName>
    <definedName name="wrn_23a" localSheetId="0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localSheetId="2" hidden="1">{#N/A,#N/A,FALSE,"Aging Summary";#N/A,#N/A,FALSE,"Ratio Analysis";#N/A,#N/A,FALSE,"Test 120 Day Accts";#N/A,#N/A,FALSE,"Tickmarks"}</definedName>
    <definedName name="wrn_24a" localSheetId="0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localSheetId="2" hidden="1">{#N/A,#N/A,FALSE,"Aging Summary";#N/A,#N/A,FALSE,"Ratio Analysis";#N/A,#N/A,FALSE,"Test 120 Day Accts";#N/A,#N/A,FALSE,"Tickmarks"}</definedName>
    <definedName name="wrn_28a" localSheetId="0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localSheetId="2" hidden="1">{#N/A,#N/A,FALSE,"Aging Summary";#N/A,#N/A,FALSE,"Ratio Analysis";#N/A,#N/A,FALSE,"Test 120 Day Accts";#N/A,#N/A,FALSE,"Tickmarks"}</definedName>
    <definedName name="wrn_2a" localSheetId="0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localSheetId="2" hidden="1">{#N/A,#N/A,FALSE,"Aging Summary";#N/A,#N/A,FALSE,"Ratio Analysis";#N/A,#N/A,FALSE,"Test 120 Day Accts";#N/A,#N/A,FALSE,"Tickmarks"}</definedName>
    <definedName name="wrn_34p" localSheetId="0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localSheetId="2" hidden="1">{#N/A,#N/A,FALSE,"Aging Summary";#N/A,#N/A,FALSE,"Ratio Analysis";#N/A,#N/A,FALSE,"Test 120 Day Accts";#N/A,#N/A,FALSE,"Tickmarks"}</definedName>
    <definedName name="wrn_36a" localSheetId="0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localSheetId="2" hidden="1">{#N/A,#N/A,FALSE,"Aging Summary";#N/A,#N/A,FALSE,"Ratio Analysis";#N/A,#N/A,FALSE,"Test 120 Day Accts";#N/A,#N/A,FALSE,"Tickmarks"}</definedName>
    <definedName name="wrn_38a" localSheetId="0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localSheetId="2" hidden="1">{#N/A,#N/A,FALSE,"Aging Summary";#N/A,#N/A,FALSE,"Ratio Analysis";#N/A,#N/A,FALSE,"Test 120 Day Accts";#N/A,#N/A,FALSE,"Tickmarks"}</definedName>
    <definedName name="wrn_39a" localSheetId="0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localSheetId="2" hidden="1">{#N/A,#N/A,FALSE,"Aging Summary";#N/A,#N/A,FALSE,"Ratio Analysis";#N/A,#N/A,FALSE,"Test 120 Day Accts";#N/A,#N/A,FALSE,"Tickmarks"}</definedName>
    <definedName name="wrn_3a_1" localSheetId="0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localSheetId="2" hidden="1">{#N/A,#N/A,FALSE,"Aging Summary";#N/A,#N/A,FALSE,"Ratio Analysis";#N/A,#N/A,FALSE,"Test 120 Day Accts";#N/A,#N/A,FALSE,"Tickmarks"}</definedName>
    <definedName name="wrn_3p_1" localSheetId="0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localSheetId="2" hidden="1">{#N/A,#N/A,FALSE,"Aging Summary";#N/A,#N/A,FALSE,"Ratio Analysis";#N/A,#N/A,FALSE,"Test 120 Day Accts";#N/A,#N/A,FALSE,"Tickmarks"}</definedName>
    <definedName name="wrn_40a" localSheetId="0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localSheetId="2" hidden="1">{#N/A,#N/A,FALSE,"Aging Summary";#N/A,#N/A,FALSE,"Ratio Analysis";#N/A,#N/A,FALSE,"Test 120 Day Accts";#N/A,#N/A,FALSE,"Tickmarks"}</definedName>
    <definedName name="wrn_40P" localSheetId="0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localSheetId="2" hidden="1">{#N/A,#N/A,FALSE,"Aging Summary";#N/A,#N/A,FALSE,"Ratio Analysis";#N/A,#N/A,FALSE,"Test 120 Day Accts";#N/A,#N/A,FALSE,"Tickmarks"}</definedName>
    <definedName name="wrn_41A" localSheetId="0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localSheetId="2" hidden="1">{#N/A,#N/A,FALSE,"Aging Summary";#N/A,#N/A,FALSE,"Ratio Analysis";#N/A,#N/A,FALSE,"Test 120 Day Accts";#N/A,#N/A,FALSE,"Tickmarks"}</definedName>
    <definedName name="wrn_41P" localSheetId="0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localSheetId="2" hidden="1">{#N/A,#N/A,FALSE,"Aging Summary";#N/A,#N/A,FALSE,"Ratio Analysis";#N/A,#N/A,FALSE,"Test 120 Day Accts";#N/A,#N/A,FALSE,"Tickmarks"}</definedName>
    <definedName name="wrn_4a1" localSheetId="0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localSheetId="2" hidden="1">{#N/A,#N/A,FALSE,"Aging Summary";#N/A,#N/A,FALSE,"Ratio Analysis";#N/A,#N/A,FALSE,"Test 120 Day Accts";#N/A,#N/A,FALSE,"Tickmarks"}</definedName>
    <definedName name="wrn_5p_1" localSheetId="0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localSheetId="2" hidden="1">{#N/A,#N/A,FALSE,"Aging Summary";#N/A,#N/A,FALSE,"Ratio Analysis";#N/A,#N/A,FALSE,"Test 120 Day Accts";#N/A,#N/A,FALSE,"Tickmarks"}</definedName>
    <definedName name="wrn_6a" localSheetId="0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localSheetId="2" hidden="1">{#N/A,#N/A,FALSE,"Aging Summary";#N/A,#N/A,FALSE,"Ratio Analysis";#N/A,#N/A,FALSE,"Test 120 Day Accts";#N/A,#N/A,FALSE,"Tickmarks"}</definedName>
    <definedName name="wrn_6a1" localSheetId="0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localSheetId="2" hidden="1">{#N/A,#N/A,FALSE,"Aging Summary";#N/A,#N/A,FALSE,"Ratio Analysis";#N/A,#N/A,FALSE,"Test 120 Day Accts";#N/A,#N/A,FALSE,"Tickmarks"}</definedName>
    <definedName name="wrn_6p" localSheetId="0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localSheetId="2" hidden="1">{#N/A,#N/A,FALSE,"Aging Summary";#N/A,#N/A,FALSE,"Ratio Analysis";#N/A,#N/A,FALSE,"Test 120 Day Accts";#N/A,#N/A,FALSE,"Tickmarks"}</definedName>
    <definedName name="wrn_7p" localSheetId="0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localSheetId="2" hidden="1">{#N/A,#N/A,FALSE,"Aging Summary";#N/A,#N/A,FALSE,"Ratio Analysis";#N/A,#N/A,FALSE,"Test 120 Day Accts";#N/A,#N/A,FALSE,"Tickmarks"}</definedName>
    <definedName name="wrn_7p1" localSheetId="0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localSheetId="2" hidden="1">{#N/A,#N/A,FALSE,"Aging Summary";#N/A,#N/A,FALSE,"Ratio Analysis";#N/A,#N/A,FALSE,"Test 120 Day Accts";#N/A,#N/A,FALSE,"Tickmarks"}</definedName>
    <definedName name="wrn_7p11" localSheetId="0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localSheetId="2" hidden="1">{#N/A,#N/A,FALSE,"Aging Summary";#N/A,#N/A,FALSE,"Ratio Analysis";#N/A,#N/A,FALSE,"Test 120 Day Accts";#N/A,#N/A,FALSE,"Tickmarks"}</definedName>
    <definedName name="wrn_8a" localSheetId="0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localSheetId="2" hidden="1">{#N/A,#N/A,FALSE,"Aging Summary";#N/A,#N/A,FALSE,"Ratio Analysis";#N/A,#N/A,FALSE,"Test 120 Day Accts";#N/A,#N/A,FALSE,"Tickmarks"}</definedName>
    <definedName name="wrn_8a1" localSheetId="0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localSheetId="2" hidden="1">{#N/A,#N/A,FALSE,"Aging Summary";#N/A,#N/A,FALSE,"Ratio Analysis";#N/A,#N/A,FALSE,"Test 120 Day Accts";#N/A,#N/A,FALSE,"Tickmarks"}</definedName>
    <definedName name="wrn_8p" localSheetId="0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localSheetId="2" hidden="1">{#N/A,#N/A,FALSE,"Aging Summary";#N/A,#N/A,FALSE,"Ratio Analysis";#N/A,#N/A,FALSE,"Test 120 Day Accts";#N/A,#N/A,FALSE,"Tickmarks"}</definedName>
    <definedName name="wrn_8p_v" localSheetId="0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localSheetId="2" hidden="1">{#N/A,#N/A,FALSE,"Aging Summary";#N/A,#N/A,FALSE,"Ratio Analysis";#N/A,#N/A,FALSE,"Test 120 Day Accts";#N/A,#N/A,FALSE,"Tickmarks"}</definedName>
    <definedName name="wrn_8p11" localSheetId="0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localSheetId="2" hidden="1">{#N/A,#N/A,FALSE,"Aging Summary";#N/A,#N/A,FALSE,"Ratio Analysis";#N/A,#N/A,FALSE,"Test 120 Day Accts";#N/A,#N/A,FALSE,"Tickmarks"}</definedName>
    <definedName name="wrn_9a" localSheetId="0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w" localSheetId="2" hidden="1">{#N/A,#N/A,FALSE,"Cosmos Report"}</definedName>
    <definedName name="ww" localSheetId="0" hidden="1">{#N/A,#N/A,FALSE,"Cosmos Report"}</definedName>
    <definedName name="ww" hidden="1">{#N/A,#N/A,FALSE,"Cosmos Report"}</definedName>
    <definedName name="ww.ll" localSheetId="2" hidden="1">{#N/A,#N/A,TRUE,"CARRIER LISTING";#N/A,#N/A,TRUE,"CENSUS";#N/A,#N/A,TRUE,"MEDICAL";#N/A,#N/A,TRUE,"LIFE AND AD&amp;D"}</definedName>
    <definedName name="ww.ll" localSheetId="0" hidden="1">{#N/A,#N/A,TRUE,"CARRIER LISTING";#N/A,#N/A,TRUE,"CENSUS";#N/A,#N/A,TRUE,"MEDICAL";#N/A,#N/A,TRUE,"LIFE AND AD&amp;D"}</definedName>
    <definedName name="ww.ll" hidden="1">{#N/A,#N/A,TRUE,"CARRIER LISTING";#N/A,#N/A,TRUE,"CENSUS";#N/A,#N/A,TRUE,"MEDICAL";#N/A,#N/A,TRUE,"LIFE AND AD&amp;D"}</definedName>
    <definedName name="x" hidden="1">#REF!</definedName>
    <definedName name="x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hzhzh" localSheetId="2" hidden="1">{#N/A,#N/A,FALSE,"monthly";#N/A,#N/A,FALSE,"aeroglide 98"}</definedName>
    <definedName name="xhzhzh" localSheetId="0" hidden="1">{#N/A,#N/A,FALSE,"monthly";#N/A,#N/A,FALSE,"aeroglide 98"}</definedName>
    <definedName name="xhzhzh" hidden="1">{#N/A,#N/A,FALSE,"monthly";#N/A,#N/A,FALSE,"aeroglide 98"}</definedName>
    <definedName name="xx">#REF!</definedName>
    <definedName name="xxx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x" localSheetId="2" hidden="1">{#N/A,#N/A,FALSE,"Hlth_Comp";#N/A,#N/A,FALSE,"Current_Insured";#N/A,#N/A,FALSE,"Projected_Insured";#N/A,#N/A,FALSE,"CIGNA_Insured";#N/A,#N/A,FALSE,"CIGNA_MPP"}</definedName>
    <definedName name="xxxxx" localSheetId="0" hidden="1">{#N/A,#N/A,FALSE,"Hlth_Comp";#N/A,#N/A,FALSE,"Current_Insured";#N/A,#N/A,FALSE,"Projected_Insured";#N/A,#N/A,FALSE,"CIGNA_Insured";#N/A,#N/A,FALSE,"CIGNA_MPP"}</definedName>
    <definedName name="xxxxx" hidden="1">{#N/A,#N/A,FALSE,"Hlth_Comp";#N/A,#N/A,FALSE,"Current_Insured";#N/A,#N/A,FALSE,"Projected_Insured";#N/A,#N/A,FALSE,"CIGNA_Insured";#N/A,#N/A,FALSE,"CIGNA_MPP"}</definedName>
    <definedName name="xxxxxx" localSheetId="2" hidden="1">{#N/A,#N/A,FALSE,"Hlth_Comp";#N/A,#N/A,FALSE,"Current_Insured";#N/A,#N/A,FALSE,"Projected_Insured";#N/A,#N/A,FALSE,"CIGNA_Insured";#N/A,#N/A,FALSE,"CIGNA_MPP"}</definedName>
    <definedName name="xxxxxx" localSheetId="0" hidden="1">{#N/A,#N/A,FALSE,"Hlth_Comp";#N/A,#N/A,FALSE,"Current_Insured";#N/A,#N/A,FALSE,"Projected_Insured";#N/A,#N/A,FALSE,"CIGNA_Insured";#N/A,#N/A,FALSE,"CIGNA_MPP"}</definedName>
    <definedName name="xxxxxx" hidden="1">{#N/A,#N/A,FALSE,"Hlth_Comp";#N/A,#N/A,FALSE,"Current_Insured";#N/A,#N/A,FALSE,"Projected_Insured";#N/A,#N/A,FALSE,"CIGNA_Insured";#N/A,#N/A,FALSE,"CIGNA_MPP"}</definedName>
    <definedName name="xxxxxxx" localSheetId="2" hidden="1">{#N/A,#N/A,FALSE,"Report";#N/A,#N/A,FALSE,"Graphs"}</definedName>
    <definedName name="xxxxxxx" localSheetId="0" hidden="1">{#N/A,#N/A,FALSE,"Report";#N/A,#N/A,FALSE,"Graphs"}</definedName>
    <definedName name="xxxxxxx" hidden="1">{#N/A,#N/A,FALSE,"Report";#N/A,#N/A,FALSE,"Graphs"}</definedName>
    <definedName name="y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z" localSheetId="2" hidden="1">{#N/A,#N/A,FALSE,"Budget";#N/A,#N/A,FALSE,"Misc Info"}</definedName>
    <definedName name="z" localSheetId="0" hidden="1">{#N/A,#N/A,FALSE,"Budget";#N/A,#N/A,FALSE,"Misc Info"}</definedName>
    <definedName name="z" hidden="1">{#N/A,#N/A,FALSE,"Budget";#N/A,#N/A,FALSE,"Misc Info"}</definedName>
    <definedName name="z_1" localSheetId="2" hidden="1">{#N/A,#N/A,FALSE,"Budget";#N/A,#N/A,FALSE,"Misc Info"}</definedName>
    <definedName name="z_1" localSheetId="0" hidden="1">{#N/A,#N/A,FALSE,"Budget";#N/A,#N/A,FALSE,"Misc Info"}</definedName>
    <definedName name="z_1" hidden="1">{#N/A,#N/A,FALSE,"Budget";#N/A,#N/A,FALSE,"Misc Info"}</definedName>
    <definedName name="Z_2342D6B0_59BA_4258_8BB9_A8F0A74AF2C1_.wvu.Cols" localSheetId="2" hidden="1">#REF!,#REF!</definedName>
    <definedName name="Z_2342D6B0_59BA_4258_8BB9_A8F0A74AF2C1_.wvu.Cols" localSheetId="0" hidden="1">#REF!,#REF!</definedName>
    <definedName name="Z_2342D6B0_59BA_4258_8BB9_A8F0A74AF2C1_.wvu.Cols" hidden="1">#REF!,#REF!</definedName>
    <definedName name="Z_2342D6B0_59BA_4258_8BB9_A8F0A74AF2C1_.wvu.FilterData" hidden="1">#REF!</definedName>
    <definedName name="Z_2342D6B0_59BA_4258_8BB9_A8F0A74AF2C1_.wvu.PrintArea" hidden="1">#REF!</definedName>
    <definedName name="Z_2342D6B0_59BA_4258_8BB9_A8F0A74AF2C1_.wvu.PrintTitles" hidden="1">#REF!</definedName>
    <definedName name="Z_2D8E1ECD_7860_4F3A_BA73_50EB06565AB7_.wvu.Cols" hidden="1">#REF!</definedName>
    <definedName name="Z_6E07856A_D400_4CD6_8503_87A22AB36933_.wvu.FilterData" hidden="1">#REF!</definedName>
    <definedName name="Z_ADBD3006_42DE_4F4B_A142_AFAE0FC59723_.wvu.Cols" hidden="1">#REF!,#REF!,#REF!</definedName>
    <definedName name="Z_ADBD3006_42DE_4F4B_A142_AFAE0FC59723_.wvu.FilterData" hidden="1">#REF!</definedName>
    <definedName name="Z_ADBD3006_42DE_4F4B_A142_AFAE0FC59723_.wvu.PrintArea" hidden="1">#REF!</definedName>
    <definedName name="Z_ADBD3006_42DE_4F4B_A142_AFAE0FC59723_.wvu.PrintTitles" hidden="1">#REF!</definedName>
    <definedName name="zsfxfg" localSheetId="2" hidden="1">{#N/A,#N/A,FALSE,"monthly";#N/A,#N/A,FALSE,"med spec 97-98"}</definedName>
    <definedName name="zsfxfg" localSheetId="0" hidden="1">{#N/A,#N/A,FALSE,"monthly";#N/A,#N/A,FALSE,"med spec 97-98"}</definedName>
    <definedName name="zsfxfg" hidden="1">{#N/A,#N/A,FALSE,"monthly";#N/A,#N/A,FALSE,"med spec 97-98"}</definedName>
    <definedName name="zz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53" l="1"/>
  <c r="T10" i="53"/>
  <c r="M9" i="53"/>
  <c r="M11" i="53" s="1"/>
  <c r="L8" i="53"/>
  <c r="L9" i="53" s="1"/>
  <c r="L10" i="53" s="1"/>
  <c r="L11" i="53" s="1"/>
  <c r="S6" i="53"/>
  <c r="R6" i="53"/>
  <c r="S9" i="53" s="1"/>
  <c r="S11" i="53" s="1"/>
  <c r="Q6" i="53"/>
  <c r="R9" i="53" s="1"/>
  <c r="R11" i="53" s="1"/>
  <c r="P6" i="53"/>
  <c r="Q9" i="53" s="1"/>
  <c r="Q11" i="53" s="1"/>
  <c r="O6" i="53"/>
  <c r="P9" i="53" s="1"/>
  <c r="P11" i="53" s="1"/>
  <c r="N6" i="53"/>
  <c r="O9" i="53" s="1"/>
  <c r="O11" i="53" s="1"/>
  <c r="M6" i="53" l="1"/>
  <c r="N9" i="53" s="1"/>
  <c r="N11" i="53" s="1"/>
  <c r="T11" i="53" s="1"/>
  <c r="T7" i="53"/>
  <c r="T8" i="53"/>
  <c r="T9" i="53" l="1"/>
  <c r="T6" i="53"/>
</calcChain>
</file>

<file path=xl/sharedStrings.xml><?xml version="1.0" encoding="utf-8"?>
<sst xmlns="http://schemas.openxmlformats.org/spreadsheetml/2006/main" count="178" uniqueCount="75">
  <si>
    <t>#</t>
  </si>
  <si>
    <t>Field</t>
  </si>
  <si>
    <t>Content</t>
  </si>
  <si>
    <t>Resource Name</t>
  </si>
  <si>
    <t>Name of the resource onboarded</t>
  </si>
  <si>
    <t>Project ID_Name</t>
  </si>
  <si>
    <t>Project Name along with its linked ID to which a resource is mapped</t>
  </si>
  <si>
    <t xml:space="preserve">Role </t>
  </si>
  <si>
    <t>Nature of support provided by the resource - Solution Architect, Team Lead, etc.</t>
  </si>
  <si>
    <t>Assignment Details</t>
  </si>
  <si>
    <t>Field describes the resource's role in detail</t>
  </si>
  <si>
    <t>Reporting Manager</t>
  </si>
  <si>
    <t>Name of the manager to whom the onboarded resource is tagged</t>
  </si>
  <si>
    <t>Project Manager</t>
  </si>
  <si>
    <t>Name of project manager leading the project</t>
  </si>
  <si>
    <t>Start Date</t>
  </si>
  <si>
    <t>Resource start date on the project</t>
  </si>
  <si>
    <t>End Date</t>
  </si>
  <si>
    <t>Resource end date on the project</t>
  </si>
  <si>
    <t>Actual Utilization in %</t>
  </si>
  <si>
    <t>Project ID_Name /Activity</t>
  </si>
  <si>
    <t>Planned Utilization</t>
  </si>
  <si>
    <t>Month 1</t>
  </si>
  <si>
    <t>Month 2</t>
  </si>
  <si>
    <t>Month 3</t>
  </si>
  <si>
    <t>Month 4</t>
  </si>
  <si>
    <t>Month 5</t>
  </si>
  <si>
    <t>Month 6</t>
  </si>
  <si>
    <t>Month 7</t>
  </si>
  <si>
    <t>Month N</t>
  </si>
  <si>
    <t>Utilization Status</t>
  </si>
  <si>
    <t>Resource 1</t>
  </si>
  <si>
    <t>1001_Project Name 1</t>
  </si>
  <si>
    <t>Manager 1</t>
  </si>
  <si>
    <t>PM 1</t>
  </si>
  <si>
    <t>1002_Project Name 2</t>
  </si>
  <si>
    <t>PM 2</t>
  </si>
  <si>
    <t>1002_Project Name 5</t>
  </si>
  <si>
    <t>Resource 2</t>
  </si>
  <si>
    <t>Manager 3</t>
  </si>
  <si>
    <t>1003_Project Name 3</t>
  </si>
  <si>
    <t>PM 4</t>
  </si>
  <si>
    <t>Resource 3</t>
  </si>
  <si>
    <t>1004_Project Name 2</t>
  </si>
  <si>
    <t>Resource 4</t>
  </si>
  <si>
    <t>1004_Project Name 6</t>
  </si>
  <si>
    <t>Manager 2</t>
  </si>
  <si>
    <t>25-Mar</t>
  </si>
  <si>
    <t>25-Apr</t>
  </si>
  <si>
    <t>25-May</t>
  </si>
  <si>
    <t>25-Jun</t>
  </si>
  <si>
    <t>25-Jul</t>
  </si>
  <si>
    <t>25-Aug</t>
  </si>
  <si>
    <t>25-Sep</t>
  </si>
  <si>
    <t>25-Oct</t>
  </si>
  <si>
    <t>25-Nov</t>
  </si>
  <si>
    <t>25-Dec</t>
  </si>
  <si>
    <t>26-Jan</t>
  </si>
  <si>
    <t>25-Feb</t>
  </si>
  <si>
    <t>26-Mar</t>
  </si>
  <si>
    <t>26-Apr</t>
  </si>
  <si>
    <t>26-May</t>
  </si>
  <si>
    <t>26-Jun</t>
  </si>
  <si>
    <t>26-Jul</t>
  </si>
  <si>
    <t>26-Aug</t>
  </si>
  <si>
    <t>Resource Details</t>
  </si>
  <si>
    <t>Month-1</t>
  </si>
  <si>
    <t>Month-2</t>
  </si>
  <si>
    <t>Month-3</t>
  </si>
  <si>
    <t>Month-4</t>
  </si>
  <si>
    <t>Month-5</t>
  </si>
  <si>
    <t>Month-6</t>
  </si>
  <si>
    <t>Month-7</t>
  </si>
  <si>
    <t>Month-N</t>
  </si>
  <si>
    <t>Overall 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</si>
</sst>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.00_ ;_ * \-#,##0.00_ ;_ * \-??_ ;_ @_ "/>
    <numFmt numFmtId="167" formatCode="_ &quot;₹&quot;\ * #,##0_ ;_ &quot;₹&quot;\ * \-#,##0_ ;_ &quot;₹&quot;\ * &quot;-&quot;??_ ;_ @_ "/>
    <numFmt numFmtId="168" formatCode="[$$-409]#,##0_);\([$$-409]#,##0\)"/>
  </numFmts>
  <fonts count="28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Verdana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sz val="10"/>
      <color theme="1"/>
      <name val="Verdana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Verdana"/>
      <family val="2"/>
    </font>
    <font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3">
    <xf numFmtId="0" fontId="0" fillId="0" borderId="0"/>
    <xf numFmtId="0" fontId="7" fillId="0" borderId="0"/>
    <xf numFmtId="0" fontId="9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6" fontId="10" fillId="0" borderId="0" applyBorder="0" applyProtection="0"/>
    <xf numFmtId="165" fontId="4" fillId="0" borderId="0" applyFont="0" applyFill="0" applyBorder="0" applyAlignment="0" applyProtection="0"/>
    <xf numFmtId="0" fontId="3" fillId="0" borderId="0"/>
    <xf numFmtId="0" fontId="11" fillId="0" borderId="0"/>
    <xf numFmtId="164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</cellStyleXfs>
  <cellXfs count="49">
    <xf numFmtId="0" fontId="0" fillId="0" borderId="0" xfId="0"/>
    <xf numFmtId="0" fontId="8" fillId="0" borderId="0" xfId="1" applyFont="1"/>
    <xf numFmtId="0" fontId="13" fillId="2" borderId="0" xfId="11" applyFont="1" applyFill="1"/>
    <xf numFmtId="0" fontId="12" fillId="2" borderId="0" xfId="11" applyFont="1" applyFill="1" applyAlignment="1">
      <alignment wrapText="1"/>
    </xf>
    <xf numFmtId="0" fontId="3" fillId="2" borderId="0" xfId="11" applyFill="1" applyAlignment="1">
      <alignment wrapText="1"/>
    </xf>
    <xf numFmtId="0" fontId="3" fillId="3" borderId="0" xfId="11" applyFill="1" applyAlignment="1">
      <alignment wrapText="1"/>
    </xf>
    <xf numFmtId="0" fontId="12" fillId="3" borderId="0" xfId="11" applyFont="1" applyFill="1" applyAlignment="1">
      <alignment wrapText="1"/>
    </xf>
    <xf numFmtId="0" fontId="3" fillId="0" borderId="0" xfId="11" applyAlignment="1">
      <alignment wrapText="1"/>
    </xf>
    <xf numFmtId="0" fontId="12" fillId="0" borderId="0" xfId="11" applyFont="1" applyAlignment="1">
      <alignment wrapText="1"/>
    </xf>
    <xf numFmtId="167" fontId="11" fillId="0" borderId="0" xfId="13" applyNumberFormat="1" applyFont="1" applyFill="1" applyBorder="1" applyAlignment="1">
      <alignment horizontal="right" vertical="center"/>
    </xf>
    <xf numFmtId="168" fontId="8" fillId="0" borderId="0" xfId="13" applyNumberFormat="1" applyFont="1" applyFill="1" applyBorder="1"/>
    <xf numFmtId="0" fontId="16" fillId="5" borderId="1" xfId="12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14" fillId="3" borderId="1" xfId="12" applyFont="1" applyFill="1" applyBorder="1" applyAlignment="1">
      <alignment horizontal="center" vertical="center" wrapText="1"/>
    </xf>
    <xf numFmtId="0" fontId="15" fillId="6" borderId="1" xfId="12" applyFont="1" applyFill="1" applyBorder="1" applyAlignment="1">
      <alignment horizontal="right" vertical="center" wrapText="1"/>
    </xf>
    <xf numFmtId="0" fontId="15" fillId="6" borderId="1" xfId="12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 wrapText="1"/>
    </xf>
    <xf numFmtId="0" fontId="21" fillId="6" borderId="0" xfId="11" applyFont="1" applyFill="1" applyAlignment="1">
      <alignment horizontal="centerContinuous" vertical="center" wrapText="1"/>
    </xf>
    <xf numFmtId="0" fontId="19" fillId="3" borderId="0" xfId="0" applyFont="1" applyFill="1"/>
    <xf numFmtId="0" fontId="7" fillId="0" borderId="0" xfId="0" applyFont="1" applyAlignment="1">
      <alignment horizontal="left" indent="1"/>
    </xf>
    <xf numFmtId="0" fontId="19" fillId="3" borderId="0" xfId="0" applyFont="1" applyFill="1" applyAlignment="1">
      <alignment horizontal="left"/>
    </xf>
    <xf numFmtId="0" fontId="22" fillId="3" borderId="0" xfId="0" applyFont="1" applyFill="1"/>
    <xf numFmtId="0" fontId="23" fillId="0" borderId="0" xfId="0" applyFont="1" applyAlignment="1">
      <alignment horizontal="left"/>
    </xf>
    <xf numFmtId="0" fontId="22" fillId="3" borderId="0" xfId="0" applyFont="1" applyFill="1" applyAlignment="1">
      <alignment horizontal="left"/>
    </xf>
    <xf numFmtId="0" fontId="23" fillId="4" borderId="0" xfId="0" applyFont="1" applyFill="1" applyAlignment="1">
      <alignment horizontal="left" indent="1"/>
    </xf>
    <xf numFmtId="0" fontId="23" fillId="0" borderId="0" xfId="0" applyFont="1" applyAlignment="1">
      <alignment horizontal="left" indent="1"/>
    </xf>
    <xf numFmtId="9" fontId="23" fillId="0" borderId="0" xfId="18" applyFont="1"/>
    <xf numFmtId="9" fontId="22" fillId="3" borderId="0" xfId="18" applyFont="1" applyFill="1"/>
    <xf numFmtId="9" fontId="0" fillId="0" borderId="0" xfId="18" applyFont="1"/>
    <xf numFmtId="9" fontId="26" fillId="0" borderId="0" xfId="22" applyFont="1" applyAlignment="1">
      <alignment horizontal="left" vertical="top"/>
    </xf>
    <xf numFmtId="0" fontId="7" fillId="0" borderId="0" xfId="0" applyFont="1" applyAlignment="1">
      <alignment horizontal="left"/>
    </xf>
    <xf numFmtId="9" fontId="19" fillId="3" borderId="0" xfId="18" applyFont="1" applyFill="1"/>
    <xf numFmtId="9" fontId="7" fillId="0" borderId="0" xfId="18" applyFont="1"/>
    <xf numFmtId="9" fontId="27" fillId="0" borderId="0" xfId="18" applyFont="1"/>
    <xf numFmtId="9" fontId="27" fillId="4" borderId="0" xfId="18" applyFont="1" applyFill="1"/>
    <xf numFmtId="0" fontId="3" fillId="0" borderId="0" xfId="11" applyAlignment="1">
      <alignment horizontal="centerContinuous" wrapText="1"/>
    </xf>
    <xf numFmtId="0" fontId="19" fillId="3" borderId="1" xfId="0" applyFont="1" applyFill="1" applyBorder="1" applyAlignment="1">
      <alignment horizontal="left" vertical="center" textRotation="90"/>
    </xf>
    <xf numFmtId="0" fontId="3" fillId="2" borderId="0" xfId="11" applyFill="1" applyAlignment="1">
      <alignment horizontal="left" wrapText="1"/>
    </xf>
    <xf numFmtId="0" fontId="3" fillId="3" borderId="0" xfId="11" applyFill="1" applyAlignment="1">
      <alignment horizontal="left" wrapText="1"/>
    </xf>
    <xf numFmtId="0" fontId="3" fillId="0" borderId="0" xfId="11" applyAlignment="1">
      <alignment horizontal="left" wrapText="1"/>
    </xf>
    <xf numFmtId="0" fontId="21" fillId="6" borderId="0" xfId="11" applyFont="1" applyFill="1" applyAlignment="1">
      <alignment horizontal="left" vertical="center" wrapText="1"/>
    </xf>
    <xf numFmtId="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0" xfId="11" applyAlignment="1">
      <alignment horizontal="center" wrapText="1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textRotation="90"/>
    </xf>
  </cellXfs>
  <cellStyles count="23">
    <cellStyle name="Comma 2" xfId="9" xr:uid="{9CE25C85-841B-4BF5-A44F-DB5A851B4B4B}"/>
    <cellStyle name="Comma 3" xfId="10" xr:uid="{D4DA5617-431F-4D28-A391-786A381F6E4A}"/>
    <cellStyle name="Comma 3 2" xfId="16" xr:uid="{A0B2C909-4684-4C24-BBE1-206B507FAB71}"/>
    <cellStyle name="Comma 5" xfId="4" xr:uid="{964D7C95-FB2B-4A2A-A896-D48F2879A730}"/>
    <cellStyle name="Comma 5 2" xfId="6" xr:uid="{8BB71C4A-1951-431E-B174-0D7E6C36555C}"/>
    <cellStyle name="Currency 2" xfId="13" xr:uid="{443E895D-0A1E-4C1A-877B-ED0C260C0A9D}"/>
    <cellStyle name="Currency 3" xfId="3" xr:uid="{7019F880-3928-43A1-B728-52BCB4725501}"/>
    <cellStyle name="Normal" xfId="0" builtinId="0"/>
    <cellStyle name="Normal 2" xfId="8" xr:uid="{E6216CF1-599D-4717-B621-3237DD6BDBD2}"/>
    <cellStyle name="Normal 2 2" xfId="12" xr:uid="{1F747B67-00E6-4CAC-86F4-8F43034CD606}"/>
    <cellStyle name="Normal 3" xfId="11" xr:uid="{329A5EC5-D5FD-4AAF-9438-14ACCD7329B8}"/>
    <cellStyle name="Normal 3 2" xfId="17" xr:uid="{BE6F6297-B2F3-4D58-97BD-ED72498DAED6}"/>
    <cellStyle name="Normal 4" xfId="19" xr:uid="{15D2DD90-FA9C-4A32-B3DC-E24F537D0164}"/>
    <cellStyle name="Normal 5" xfId="21" xr:uid="{DFF9226B-9368-4A2E-B137-CF921F68B810}"/>
    <cellStyle name="Normal 8" xfId="2" xr:uid="{0E4FE810-DF8D-4181-B3FC-F97098D8F4C9}"/>
    <cellStyle name="Normal 9" xfId="1" xr:uid="{15C6EFB8-33E9-4955-8B03-6D5A302DC629}"/>
    <cellStyle name="Percent" xfId="18" builtinId="5"/>
    <cellStyle name="Percent 2" xfId="5" xr:uid="{41EA25DA-0C34-4F76-8EA5-FE73D2A805C2}"/>
    <cellStyle name="Percent 2 2" xfId="7" xr:uid="{3AFE1008-B94B-4FC9-948A-654922503CC8}"/>
    <cellStyle name="Percent 2 2 2" xfId="15" xr:uid="{46999D3A-3CE6-4B65-8484-4A1675B9CC94}"/>
    <cellStyle name="Percent 2 3" xfId="14" xr:uid="{13B1E7B3-FB15-40A5-9FE1-B432E47FF028}"/>
    <cellStyle name="Percent 3" xfId="20" xr:uid="{DA883220-11D4-41DD-8CE7-50C1B39373AF}"/>
    <cellStyle name="Percent 4" xfId="22" xr:uid="{D70CB504-9A5C-49D9-86A2-61B3938691F7}"/>
  </cellStyles>
  <dxfs count="6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2" formatCode="0.0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theme="0"/>
      </font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color theme="0"/>
      </font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3" formatCode="0%"/>
    </dxf>
    <dxf>
      <numFmt numFmtId="2" formatCode="0.00"/>
    </dxf>
    <dxf>
      <numFmt numFmtId="2" formatCode="0.0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color theme="0"/>
      </font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3" formatCode="0%"/>
    </dxf>
  </dxfs>
  <tableStyles count="0" defaultTableStyle="TableStyleMedium2" defaultPivotStyle="PivotStyleLight16"/>
  <colors>
    <mruColors>
      <color rgb="FFFEF2EC"/>
      <color rgb="FF44546A"/>
      <color rgb="FF3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396875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DA5815-68FE-43D6-974B-B7331A7C7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396875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535041-239F-4655-AD58-0F281205E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404495</xdr:colOff>
      <xdr:row>2</xdr:row>
      <xdr:rowOff>99059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0BBAC0-661C-49AC-A620-FBB1F3E01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2175" cy="41147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a Mitakanti" refreshedDate="45924.744434490742" createdVersion="8" refreshedVersion="8" minRefreshableVersion="3" recordCount="7" xr:uid="{0260ABE0-1305-4CC2-9EE7-C3767D8F030C}">
  <cacheSource type="worksheet">
    <worksheetSource ref="B5:S12" sheet="Capacity Utilization"/>
  </cacheSource>
  <cacheFields count="18">
    <cacheField name="#" numFmtId="0">
      <sharedItems containsSemiMixedTypes="0" containsString="0" containsNumber="1" containsInteger="1" minValue="1" maxValue="7"/>
    </cacheField>
    <cacheField name="Resource Name" numFmtId="0">
      <sharedItems count="5">
        <s v="Resource 1"/>
        <s v="Resource 2"/>
        <s v="Resource 3"/>
        <s v="Resource 4"/>
        <s v="Resource 5" u="1"/>
      </sharedItems>
    </cacheField>
    <cacheField name="Project ID_Name /Activity" numFmtId="0">
      <sharedItems/>
    </cacheField>
    <cacheField name="Role " numFmtId="0">
      <sharedItems containsNonDate="0" containsString="0" containsBlank="1"/>
    </cacheField>
    <cacheField name="Assignment Details" numFmtId="0">
      <sharedItems containsNonDate="0" containsString="0" containsBlank="1"/>
    </cacheField>
    <cacheField name="Reporting Manager" numFmtId="0">
      <sharedItems count="3">
        <s v="Manager 1"/>
        <s v="Manager 3"/>
        <s v="Manager 2"/>
      </sharedItems>
    </cacheField>
    <cacheField name="Project Manager" numFmtId="0">
      <sharedItems count="4">
        <s v="PM 1"/>
        <s v="PM 2"/>
        <s v="PM 4"/>
        <s v="PM1" u="1"/>
      </sharedItems>
    </cacheField>
    <cacheField name="Start Date" numFmtId="0">
      <sharedItems containsNonDate="0" containsString="0" containsBlank="1"/>
    </cacheField>
    <cacheField name="End Date" numFmtId="0">
      <sharedItems containsNonDate="0" containsString="0" containsBlank="1"/>
    </cacheField>
    <cacheField name="Planned Utilization" numFmtId="9">
      <sharedItems containsSemiMixedTypes="0" containsString="0" containsNumber="1" minValue="0.5" maxValue="1"/>
    </cacheField>
    <cacheField name="Month 1" numFmtId="9">
      <sharedItems containsSemiMixedTypes="0" containsString="0" containsNumber="1" minValue="0.5" maxValue="1.2"/>
    </cacheField>
    <cacheField name="Month 2" numFmtId="9">
      <sharedItems containsSemiMixedTypes="0" containsString="0" containsNumber="1" minValue="0.5" maxValue="2"/>
    </cacheField>
    <cacheField name="Month 3" numFmtId="9">
      <sharedItems containsSemiMixedTypes="0" containsString="0" containsNumber="1" minValue="0.5" maxValue="1.3089600000000001"/>
    </cacheField>
    <cacheField name="Month 4" numFmtId="9">
      <sharedItems containsSemiMixedTypes="0" containsString="0" containsNumber="1" minValue="0.5" maxValue="1.1514"/>
    </cacheField>
    <cacheField name="Month 5" numFmtId="9">
      <sharedItems containsSemiMixedTypes="0" containsString="0" containsNumber="1" minValue="0.5" maxValue="1.1514"/>
    </cacheField>
    <cacheField name="Month 6" numFmtId="9">
      <sharedItems containsSemiMixedTypes="0" containsString="0" containsNumber="1" minValue="0.5" maxValue="1.1514"/>
    </cacheField>
    <cacheField name="Month 7" numFmtId="9">
      <sharedItems containsSemiMixedTypes="0" containsString="0" containsNumber="1" minValue="0.5" maxValue="1.1514"/>
    </cacheField>
    <cacheField name="Month N" numFmtId="9">
      <sharedItems containsSemiMixedTypes="0" containsString="0" containsNumber="1" minValue="0.5" maxValue="1.15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s v="1001_Project Name 1"/>
    <m/>
    <m/>
    <x v="0"/>
    <x v="0"/>
    <m/>
    <m/>
    <n v="0.9"/>
    <n v="0.95"/>
    <n v="1.296"/>
    <n v="1.1399999999999999"/>
    <n v="1.1399999999999999"/>
    <n v="1.1399999999999999"/>
    <n v="1.1399999999999999"/>
    <n v="1.1399999999999999"/>
    <n v="1.1399999999999999"/>
  </r>
  <r>
    <n v="2"/>
    <x v="0"/>
    <s v="1002_Project Name 2"/>
    <m/>
    <m/>
    <x v="0"/>
    <x v="1"/>
    <m/>
    <m/>
    <n v="0.75"/>
    <n v="1.2"/>
    <n v="2"/>
    <n v="0.95"/>
    <n v="0.95"/>
    <n v="0.95"/>
    <n v="0.95"/>
    <n v="0.95"/>
    <n v="0.95"/>
  </r>
  <r>
    <n v="3"/>
    <x v="0"/>
    <s v="1002_Project Name 5"/>
    <m/>
    <m/>
    <x v="0"/>
    <x v="1"/>
    <m/>
    <m/>
    <n v="1"/>
    <n v="1.08"/>
    <n v="0.95"/>
    <n v="0.95"/>
    <n v="0.95"/>
    <n v="0.95"/>
    <n v="0.95"/>
    <n v="0.95"/>
    <n v="0.95"/>
  </r>
  <r>
    <n v="4"/>
    <x v="1"/>
    <s v="1001_Project Name 1"/>
    <m/>
    <m/>
    <x v="1"/>
    <x v="0"/>
    <m/>
    <m/>
    <n v="0.9"/>
    <n v="0.97200000000000009"/>
    <n v="0.95949999999999991"/>
    <n v="1.3089600000000001"/>
    <n v="1.1514"/>
    <n v="1.1514"/>
    <n v="1.1514"/>
    <n v="1.1514"/>
    <n v="1.1514"/>
  </r>
  <r>
    <n v="5"/>
    <x v="1"/>
    <s v="1003_Project Name 3"/>
    <m/>
    <m/>
    <x v="1"/>
    <x v="2"/>
    <m/>
    <m/>
    <n v="0.9"/>
    <n v="0.87480000000000013"/>
    <n v="0.95"/>
    <n v="0.95"/>
    <n v="0.95"/>
    <n v="0.95"/>
    <n v="0.95"/>
    <n v="0.95"/>
    <n v="0.95"/>
  </r>
  <r>
    <n v="6"/>
    <x v="2"/>
    <s v="1004_Project Name 2"/>
    <m/>
    <m/>
    <x v="0"/>
    <x v="1"/>
    <m/>
    <m/>
    <n v="0.5"/>
    <n v="0.78732000000000013"/>
    <n v="0.91152499999999992"/>
    <n v="1.243512"/>
    <n v="1.0938299999999999"/>
    <n v="1.0938299999999999"/>
    <n v="1.0938299999999999"/>
    <n v="1.0938299999999999"/>
    <n v="1.0938299999999999"/>
  </r>
  <r>
    <n v="7"/>
    <x v="3"/>
    <s v="1004_Project Name 6"/>
    <m/>
    <m/>
    <x v="2"/>
    <x v="2"/>
    <m/>
    <m/>
    <n v="0.5"/>
    <n v="0.5"/>
    <n v="0.5"/>
    <n v="0.5"/>
    <n v="0.5"/>
    <n v="0.5"/>
    <n v="0.5"/>
    <n v="0.5"/>
    <n v="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29869-65C3-4312-BEC3-597140A174A2}" name="PivotTable1" cacheId="0" applyNumberFormats="0" applyBorderFormats="0" applyFontFormats="0" applyPatternFormats="0" applyAlignmentFormats="0" applyWidthHeightFormats="1" dataCaption="Values" grandTotalCaption="Overall Utilization" updatedVersion="8" minRefreshableVersion="3" useAutoFormatting="1" itemPrintTitles="1" createdVersion="8" indent="0" outline="1" outlineData="1" multipleFieldFilters="0" rowHeaderCaption="Resource Details">
  <location ref="B3:J11" firstHeaderRow="0" firstDataRow="1" firstDataCol="1"/>
  <pivotFields count="18">
    <pivotField showAll="0"/>
    <pivotField axis="axisRow" showAll="0">
      <items count="6">
        <item x="0"/>
        <item x="1"/>
        <item x="2"/>
        <item x="3"/>
        <item m="1" x="4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</pivotFields>
  <rowFields count="2">
    <field x="5"/>
    <field x="1"/>
  </rowFields>
  <rowItems count="8">
    <i>
      <x/>
    </i>
    <i r="1">
      <x/>
    </i>
    <i r="1">
      <x v="2"/>
    </i>
    <i>
      <x v="1"/>
    </i>
    <i r="1">
      <x v="3"/>
    </i>
    <i>
      <x v="2"/>
    </i>
    <i r="1"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Month-1" fld="10" subtotal="average" baseField="1" baseItem="0"/>
    <dataField name="Month-2" fld="11" subtotal="average" baseField="1" baseItem="0"/>
    <dataField name="Month-3" fld="12" subtotal="average" baseField="1" baseItem="0"/>
    <dataField name="Month-4" fld="13" subtotal="average" baseField="1" baseItem="0"/>
    <dataField name="Month-5" fld="14" subtotal="average" baseField="1" baseItem="0"/>
    <dataField name="Month-6" fld="15" subtotal="average" baseField="1" baseItem="0"/>
    <dataField name="Month-7" fld="16" subtotal="average" baseField="1" baseItem="0"/>
    <dataField name="Month-N" fld="17" subtotal="average" baseField="1" baseItem="0"/>
  </dataFields>
  <formats count="27">
    <format dxfId="35">
      <pivotArea collapsedLevelsAreSubtotals="1" fieldPosition="0">
        <references count="1">
          <reference field="1" count="1">
            <x v="0"/>
          </reference>
        </references>
      </pivotArea>
    </format>
    <format dxfId="34">
      <pivotArea collapsedLevelsAreSubtotals="1" fieldPosition="0">
        <references count="1">
          <reference field="1" count="1">
            <x v="1"/>
          </reference>
        </references>
      </pivotArea>
    </format>
    <format dxfId="33">
      <pivotArea collapsedLevelsAreSubtotals="1" fieldPosition="0">
        <references count="1">
          <reference field="1" count="1">
            <x v="2"/>
          </reference>
        </references>
      </pivotArea>
    </format>
    <format dxfId="32">
      <pivotArea collapsedLevelsAreSubtotals="1" fieldPosition="0">
        <references count="1">
          <reference field="1" count="1">
            <x v="3"/>
          </reference>
        </references>
      </pivotArea>
    </format>
    <format dxfId="31">
      <pivotArea collapsedLevelsAreSubtotals="1" fieldPosition="0">
        <references count="1">
          <reference field="1" count="1">
            <x v="4"/>
          </reference>
        </references>
      </pivotArea>
    </format>
    <format dxfId="30">
      <pivotArea grandRow="1" outline="0" collapsedLevelsAreSubtotals="1" fieldPosition="0"/>
    </format>
    <format dxfId="29">
      <pivotArea field="1" type="button" dataOnly="0" labelOnly="1" outline="0" axis="axisRow" fieldPosition="1"/>
    </format>
    <format dxfId="28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7">
      <pivotArea field="1" type="button" dataOnly="0" labelOnly="1" outline="0" axis="axisRow" fieldPosition="1"/>
    </format>
    <format dxfId="26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5">
      <pivotArea dataOnly="0" grandRow="1" axis="axisRow" fieldPosition="0"/>
    </format>
    <format dxfId="24">
      <pivotArea dataOnly="0" grandRow="1" axis="axisRow" fieldPosition="0"/>
    </format>
    <format dxfId="23">
      <pivotArea collapsedLevelsAreSubtotals="1" fieldPosition="0">
        <references count="1">
          <reference field="1" count="1">
            <x v="0"/>
          </reference>
        </references>
      </pivotArea>
    </format>
    <format dxfId="22">
      <pivotArea dataOnly="0" labelOnly="1" fieldPosition="0">
        <references count="1">
          <reference field="1" count="1">
            <x v="0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1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5">
      <pivotArea outline="0" collapsedLevelsAreSubtotals="1" fieldPosition="0"/>
    </format>
    <format dxfId="14">
      <pivotArea collapsedLevelsAreSubtotals="1" fieldPosition="0">
        <references count="1">
          <reference field="5" count="1">
            <x v="0"/>
          </reference>
        </references>
      </pivotArea>
    </format>
    <format dxfId="13">
      <pivotArea collapsedLevelsAreSubtotals="1" fieldPosition="0">
        <references count="2">
          <reference field="1" count="2">
            <x v="0"/>
            <x v="2"/>
          </reference>
          <reference field="5" count="1" selected="0">
            <x v="0"/>
          </reference>
        </references>
      </pivotArea>
    </format>
    <format dxfId="12">
      <pivotArea collapsedLevelsAreSubtotals="1" fieldPosition="0">
        <references count="1">
          <reference field="5" count="1">
            <x v="1"/>
          </reference>
        </references>
      </pivotArea>
    </format>
    <format dxfId="11">
      <pivotArea collapsedLevelsAreSubtotals="1" fieldPosition="0">
        <references count="2">
          <reference field="1" count="1">
            <x v="3"/>
          </reference>
          <reference field="5" count="1" selected="0">
            <x v="1"/>
          </reference>
        </references>
      </pivotArea>
    </format>
    <format dxfId="10">
      <pivotArea collapsedLevelsAreSubtotals="1" fieldPosition="0">
        <references count="1">
          <reference field="5" count="1">
            <x v="2"/>
          </reference>
        </references>
      </pivotArea>
    </format>
    <format dxfId="9">
      <pivotArea collapsedLevelsAreSubtotals="1" fieldPosition="0">
        <references count="2">
          <reference field="1" count="1">
            <x v="1"/>
          </reference>
          <reference field="5" count="1" selected="0">
            <x v="2"/>
          </reference>
        </references>
      </pivotArea>
    </format>
  </formats>
  <conditionalFormats count="3">
    <conditionalFormat priority="1">
      <pivotAreas count="6">
        <pivotArea type="data" collapsedLevelsAreSubtotals="1" fieldPosition="0">
          <references count="1">
            <reference field="5" count="1">
              <x v="0"/>
            </reference>
          </references>
        </pivotArea>
        <pivotArea type="data" collapsedLevelsAreSubtotals="1" fieldPosition="0">
          <references count="2">
            <reference field="1" count="2">
              <x v="0"/>
              <x v="2"/>
            </reference>
            <reference field="5" count="1" selected="0">
              <x v="0"/>
            </reference>
          </references>
        </pivotArea>
        <pivotArea type="data" collapsedLevelsAreSubtotals="1" fieldPosition="0">
          <references count="1">
            <reference field="5" count="1">
              <x v="1"/>
            </reference>
          </references>
        </pivotArea>
        <pivotArea type="data" collapsedLevelsAreSubtotals="1" fieldPosition="0">
          <references count="2">
            <reference field="1" count="1">
              <x v="3"/>
            </reference>
            <reference field="5" count="1" selected="0">
              <x v="1"/>
            </reference>
          </references>
        </pivotArea>
        <pivotArea type="data" collapsedLevelsAreSubtotals="1" fieldPosition="0">
          <references count="1">
            <reference field="5" count="1">
              <x v="2"/>
            </reference>
          </references>
        </pivotArea>
        <pivotArea type="data" collapsedLevelsAreSubtotals="1" fieldPosition="0">
          <references count="2">
            <reference field="1" count="1">
              <x v="1"/>
            </reference>
            <reference field="5" count="1" selected="0">
              <x v="2"/>
            </reference>
          </references>
        </pivotArea>
      </pivotAreas>
    </conditionalFormat>
    <conditionalFormat priority="2">
      <pivotAreas count="6">
        <pivotArea type="data" collapsedLevelsAreSubtotals="1" fieldPosition="0">
          <references count="1">
            <reference field="5" count="1">
              <x v="0"/>
            </reference>
          </references>
        </pivotArea>
        <pivotArea type="data" collapsedLevelsAreSubtotals="1" fieldPosition="0">
          <references count="2">
            <reference field="1" count="2">
              <x v="0"/>
              <x v="2"/>
            </reference>
            <reference field="5" count="1" selected="0">
              <x v="0"/>
            </reference>
          </references>
        </pivotArea>
        <pivotArea type="data" collapsedLevelsAreSubtotals="1" fieldPosition="0">
          <references count="1">
            <reference field="5" count="1">
              <x v="1"/>
            </reference>
          </references>
        </pivotArea>
        <pivotArea type="data" collapsedLevelsAreSubtotals="1" fieldPosition="0">
          <references count="2">
            <reference field="1" count="1">
              <x v="3"/>
            </reference>
            <reference field="5" count="1" selected="0">
              <x v="1"/>
            </reference>
          </references>
        </pivotArea>
        <pivotArea type="data" collapsedLevelsAreSubtotals="1" fieldPosition="0">
          <references count="1">
            <reference field="5" count="1">
              <x v="2"/>
            </reference>
          </references>
        </pivotArea>
        <pivotArea type="data" collapsedLevelsAreSubtotals="1" fieldPosition="0">
          <references count="2">
            <reference field="1" count="1">
              <x v="1"/>
            </reference>
            <reference field="5" count="1" selected="0">
              <x v="2"/>
            </reference>
          </references>
        </pivotArea>
      </pivotAreas>
    </conditionalFormat>
    <conditionalFormat priority="3">
      <pivotAreas count="6">
        <pivotArea type="data" collapsedLevelsAreSubtotals="1" fieldPosition="0">
          <references count="1">
            <reference field="5" count="1">
              <x v="0"/>
            </reference>
          </references>
        </pivotArea>
        <pivotArea type="data" collapsedLevelsAreSubtotals="1" fieldPosition="0">
          <references count="2">
            <reference field="1" count="2">
              <x v="0"/>
              <x v="2"/>
            </reference>
            <reference field="5" count="1" selected="0">
              <x v="0"/>
            </reference>
          </references>
        </pivotArea>
        <pivotArea type="data" collapsedLevelsAreSubtotals="1" fieldPosition="0">
          <references count="1">
            <reference field="5" count="1">
              <x v="1"/>
            </reference>
          </references>
        </pivotArea>
        <pivotArea type="data" collapsedLevelsAreSubtotals="1" fieldPosition="0">
          <references count="2">
            <reference field="1" count="1">
              <x v="3"/>
            </reference>
            <reference field="5" count="1" selected="0">
              <x v="1"/>
            </reference>
          </references>
        </pivotArea>
        <pivotArea type="data" collapsedLevelsAreSubtotals="1" fieldPosition="0">
          <references count="1">
            <reference field="5" count="1">
              <x v="2"/>
            </reference>
          </references>
        </pivotArea>
        <pivotArea type="data" collapsedLevelsAreSubtotals="1" fieldPosition="0">
          <references count="2">
            <reference field="1" count="1">
              <x v="1"/>
            </reference>
            <reference field="5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40753-B680-450C-8570-901E94C61E78}" name="PivotTable3" cacheId="0" applyNumberFormats="0" applyBorderFormats="0" applyFontFormats="0" applyPatternFormats="0" applyAlignmentFormats="0" applyWidthHeightFormats="1" dataCaption="Values" grandTotalCaption="Overall Utilization" updatedVersion="8" minRefreshableVersion="3" useAutoFormatting="1" itemPrintTitles="1" createdVersion="8" indent="0" outline="1" outlineData="1" multipleFieldFilters="0" rowHeaderCaption="Resource Details">
  <location ref="B31:J41" firstHeaderRow="0" firstDataRow="1" firstDataCol="1"/>
  <pivotFields count="18">
    <pivotField showAll="0"/>
    <pivotField axis="axisRow" showAll="0">
      <items count="6">
        <item x="0"/>
        <item x="1"/>
        <item x="2"/>
        <item x="3"/>
        <item m="1" x="4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  <pivotField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</pivotFields>
  <rowFields count="2">
    <field x="6"/>
    <field x="1"/>
  </rowFields>
  <rowItems count="10">
    <i>
      <x/>
    </i>
    <i r="1">
      <x/>
    </i>
    <i r="1">
      <x v="1"/>
    </i>
    <i>
      <x v="1"/>
    </i>
    <i r="1">
      <x/>
    </i>
    <i r="1">
      <x v="2"/>
    </i>
    <i>
      <x v="2"/>
    </i>
    <i r="1">
      <x v="1"/>
    </i>
    <i r="1"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Month-1" fld="10" subtotal="average" baseField="1" baseItem="0"/>
    <dataField name="Month-2" fld="11" subtotal="average" baseField="1" baseItem="0"/>
    <dataField name="Month-3" fld="12" subtotal="average" baseField="1" baseItem="0"/>
    <dataField name="Month-4" fld="13" subtotal="average" baseField="1" baseItem="0"/>
    <dataField name="Month-5" fld="14" subtotal="average" baseField="1" baseItem="0"/>
    <dataField name="Month-6" fld="15" subtotal="average" baseField="1" baseItem="0"/>
    <dataField name="Month-7" fld="16" subtotal="average" baseField="1" baseItem="0"/>
    <dataField name="Month-N" fld="17" subtotal="average" baseField="1" baseItem="0"/>
  </dataFields>
  <formats count="14">
    <format dxfId="49">
      <pivotArea grandRow="1" outline="0" collapsedLevelsAreSubtotals="1" fieldPosition="0"/>
    </format>
    <format dxfId="48">
      <pivotArea field="1" type="button" dataOnly="0" labelOnly="1" outline="0" axis="axisRow" fieldPosition="1"/>
    </format>
    <format dxfId="4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46">
      <pivotArea field="1" type="button" dataOnly="0" labelOnly="1" outline="0" axis="axisRow" fieldPosition="1"/>
    </format>
    <format dxfId="45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44">
      <pivotArea dataOnly="0" grandRow="1" axis="axisRow" fieldPosition="0"/>
    </format>
    <format dxfId="43">
      <pivotArea dataOnly="0" grandRow="1" axis="axisRow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" type="button" dataOnly="0" labelOnly="1" outline="0" axis="axisRow" fieldPosition="1"/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9DEC-AD7B-4594-B6CF-707B72E28AC3}" name="PivotTable2" cacheId="0" applyNumberFormats="0" applyBorderFormats="0" applyFontFormats="0" applyPatternFormats="0" applyAlignmentFormats="0" applyWidthHeightFormats="1" dataCaption="Values" grandTotalCaption="Overall Utilization" updatedVersion="8" minRefreshableVersion="3" useAutoFormatting="1" itemPrintTitles="1" createdVersion="8" indent="0" outline="1" outlineData="1" multipleFieldFilters="0" rowHeaderCaption="Resource Details">
  <location ref="B15:J25" firstHeaderRow="0" firstDataRow="1" firstDataCol="1"/>
  <pivotFields count="18">
    <pivotField showAll="0"/>
    <pivotField axis="axisRow" showAll="0">
      <items count="6">
        <item x="0"/>
        <item x="1"/>
        <item x="2"/>
        <item x="3"/>
        <item m="1" x="4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  <pivotField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</pivotFields>
  <rowFields count="2">
    <field x="6"/>
    <field x="1"/>
  </rowFields>
  <rowItems count="10">
    <i>
      <x/>
    </i>
    <i r="1">
      <x/>
    </i>
    <i r="1">
      <x v="1"/>
    </i>
    <i>
      <x v="1"/>
    </i>
    <i r="1">
      <x/>
    </i>
    <i r="1">
      <x v="2"/>
    </i>
    <i>
      <x v="2"/>
    </i>
    <i r="1">
      <x v="1"/>
    </i>
    <i r="1"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Month-1" fld="10" subtotal="average" baseField="1" baseItem="0"/>
    <dataField name="Month-2" fld="11" subtotal="average" baseField="1" baseItem="0"/>
    <dataField name="Month-3" fld="12" subtotal="average" baseField="1" baseItem="0"/>
    <dataField name="Month-4" fld="13" subtotal="average" baseField="1" baseItem="0"/>
    <dataField name="Month-5" fld="14" subtotal="average" baseField="1" baseItem="0"/>
    <dataField name="Month-6" fld="15" subtotal="average" baseField="1" baseItem="0"/>
    <dataField name="Month-7" fld="16" subtotal="average" baseField="1" baseItem="0"/>
    <dataField name="Month-N" fld="17" subtotal="average" baseField="1" baseItem="0"/>
  </dataFields>
  <formats count="14">
    <format dxfId="63">
      <pivotArea grandRow="1" outline="0" collapsedLevelsAreSubtotals="1" fieldPosition="0"/>
    </format>
    <format dxfId="62">
      <pivotArea field="1" type="button" dataOnly="0" labelOnly="1" outline="0" axis="axisRow" fieldPosition="1"/>
    </format>
    <format dxfId="6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0">
      <pivotArea field="1" type="button" dataOnly="0" labelOnly="1" outline="0" axis="axisRow" fieldPosition="1"/>
    </format>
    <format dxfId="59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58">
      <pivotArea dataOnly="0" grandRow="1" axis="axisRow" fieldPosition="0"/>
    </format>
    <format dxfId="57">
      <pivotArea dataOnly="0" grandRow="1" axis="axisRow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" type="button" dataOnly="0" labelOnly="1" outline="0" axis="axisRow" fieldPosition="1"/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51">
      <pivotArea outline="0" collapsedLevelsAreSubtotals="1" fieldPosition="0"/>
    </format>
    <format dxfId="5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3F5F-C86B-4E75-8B45-7FCD23F75B16}">
  <dimension ref="A1:R12"/>
  <sheetViews>
    <sheetView showGridLines="0" zoomScaleNormal="100" workbookViewId="0">
      <selection activeCell="B4" sqref="B4:D12"/>
    </sheetView>
  </sheetViews>
  <sheetFormatPr defaultColWidth="7.61328125" defaultRowHeight="14.5" x14ac:dyDescent="0.35"/>
  <cols>
    <col min="1" max="1" width="3.23046875" style="7" customWidth="1"/>
    <col min="2" max="2" width="2.61328125" style="7" bestFit="1" customWidth="1"/>
    <col min="3" max="3" width="24.23046875" style="7" bestFit="1" customWidth="1"/>
    <col min="4" max="4" width="80.15234375" style="7" bestFit="1" customWidth="1"/>
    <col min="5" max="16384" width="7.61328125" style="7"/>
  </cols>
  <sheetData>
    <row r="1" spans="1:18" s="4" customFormat="1" ht="25.5" customHeight="1" x14ac:dyDescent="0.45">
      <c r="A1" s="2"/>
      <c r="B1" s="3"/>
      <c r="C1" s="3"/>
    </row>
    <row r="2" spans="1:18" s="5" customFormat="1" ht="4.5" customHeight="1" x14ac:dyDescent="0.35">
      <c r="B2" s="6"/>
      <c r="C2" s="6"/>
    </row>
    <row r="3" spans="1:18" ht="12" customHeight="1" x14ac:dyDescent="0.35">
      <c r="B3" s="8"/>
      <c r="C3" s="8"/>
    </row>
    <row r="4" spans="1:18" s="1" customFormat="1" ht="17.149999999999999" customHeight="1" x14ac:dyDescent="0.2">
      <c r="B4" s="13" t="s">
        <v>0</v>
      </c>
      <c r="C4" s="13" t="s">
        <v>1</v>
      </c>
      <c r="D4" s="13" t="s">
        <v>2</v>
      </c>
      <c r="Q4" s="9"/>
      <c r="R4" s="10"/>
    </row>
    <row r="5" spans="1:18" s="1" customFormat="1" ht="13.5" x14ac:dyDescent="0.2">
      <c r="B5" s="14">
        <v>1</v>
      </c>
      <c r="C5" s="15" t="s">
        <v>3</v>
      </c>
      <c r="D5" s="11" t="s">
        <v>4</v>
      </c>
      <c r="Q5" s="9"/>
      <c r="R5" s="10"/>
    </row>
    <row r="6" spans="1:18" s="1" customFormat="1" ht="13.5" x14ac:dyDescent="0.2">
      <c r="B6" s="14">
        <v>2</v>
      </c>
      <c r="C6" s="15" t="s">
        <v>5</v>
      </c>
      <c r="D6" s="11" t="s">
        <v>6</v>
      </c>
      <c r="Q6" s="9"/>
      <c r="R6" s="10"/>
    </row>
    <row r="7" spans="1:18" s="1" customFormat="1" ht="13.5" x14ac:dyDescent="0.2">
      <c r="B7" s="14">
        <v>3</v>
      </c>
      <c r="C7" s="15" t="s">
        <v>7</v>
      </c>
      <c r="D7" s="11" t="s">
        <v>8</v>
      </c>
      <c r="Q7" s="9"/>
      <c r="R7" s="10"/>
    </row>
    <row r="8" spans="1:18" s="1" customFormat="1" ht="13.5" x14ac:dyDescent="0.2">
      <c r="B8" s="14">
        <v>4</v>
      </c>
      <c r="C8" s="15" t="s">
        <v>9</v>
      </c>
      <c r="D8" s="11" t="s">
        <v>10</v>
      </c>
      <c r="Q8" s="9"/>
      <c r="R8" s="10"/>
    </row>
    <row r="9" spans="1:18" s="1" customFormat="1" ht="13.5" x14ac:dyDescent="0.2">
      <c r="B9" s="14">
        <v>5</v>
      </c>
      <c r="C9" s="15" t="s">
        <v>11</v>
      </c>
      <c r="D9" s="11" t="s">
        <v>12</v>
      </c>
      <c r="Q9" s="9"/>
      <c r="R9" s="10"/>
    </row>
    <row r="10" spans="1:18" s="1" customFormat="1" ht="13.5" x14ac:dyDescent="0.2">
      <c r="B10" s="14">
        <v>6</v>
      </c>
      <c r="C10" s="15" t="s">
        <v>13</v>
      </c>
      <c r="D10" s="11" t="s">
        <v>14</v>
      </c>
      <c r="Q10" s="9"/>
      <c r="R10" s="10"/>
    </row>
    <row r="11" spans="1:18" s="1" customFormat="1" ht="13.5" x14ac:dyDescent="0.2">
      <c r="B11" s="14">
        <v>7</v>
      </c>
      <c r="C11" s="15" t="s">
        <v>15</v>
      </c>
      <c r="D11" s="11" t="s">
        <v>16</v>
      </c>
      <c r="Q11" s="9"/>
      <c r="R11" s="10"/>
    </row>
    <row r="12" spans="1:18" s="1" customFormat="1" ht="13.5" x14ac:dyDescent="0.2">
      <c r="B12" s="14">
        <v>8</v>
      </c>
      <c r="C12" s="15" t="s">
        <v>17</v>
      </c>
      <c r="D12" s="11" t="s">
        <v>18</v>
      </c>
      <c r="Q12" s="9"/>
      <c r="R12" s="10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8181-946A-47D3-B355-7F47AB6D8455}">
  <sheetPr>
    <tabColor theme="1" tint="0.499984740745262"/>
  </sheetPr>
  <dimension ref="B1:J42"/>
  <sheetViews>
    <sheetView showGridLines="0" tabSelected="1" workbookViewId="0">
      <selection activeCell="B37" activeCellId="1" sqref="B33:B34 B36:B37 B39:B40"/>
      <pivotSelection pane="bottomRight" showHeader="1" axis="axisRow" dimension="1" activeRow="36" activeCol="1" previousRow="36" previousCol="1" click="1" r:id="rId2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3.5" x14ac:dyDescent="0.3"/>
  <cols>
    <col min="1" max="1" width="1.765625" customWidth="1"/>
    <col min="2" max="2" width="13.4609375" bestFit="1" customWidth="1"/>
    <col min="3" max="9" width="6.4609375" bestFit="1" customWidth="1"/>
    <col min="10" max="10" width="6.61328125" bestFit="1" customWidth="1"/>
  </cols>
  <sheetData>
    <row r="1" spans="2:10" ht="8.25" customHeight="1" x14ac:dyDescent="0.3"/>
    <row r="3" spans="2:10" x14ac:dyDescent="0.3">
      <c r="B3" s="22" t="s">
        <v>65</v>
      </c>
      <c r="C3" s="22" t="s">
        <v>66</v>
      </c>
      <c r="D3" s="22" t="s">
        <v>67</v>
      </c>
      <c r="E3" s="22" t="s">
        <v>68</v>
      </c>
      <c r="F3" s="22" t="s">
        <v>69</v>
      </c>
      <c r="G3" s="22" t="s">
        <v>70</v>
      </c>
      <c r="H3" s="22" t="s">
        <v>71</v>
      </c>
      <c r="I3" s="22" t="s">
        <v>72</v>
      </c>
      <c r="J3" s="22" t="s">
        <v>73</v>
      </c>
    </row>
    <row r="4" spans="2:10" x14ac:dyDescent="0.3">
      <c r="B4" s="23" t="s">
        <v>33</v>
      </c>
      <c r="C4" s="34">
        <v>1.0043299999999999</v>
      </c>
      <c r="D4" s="34">
        <v>1.2893812500000001</v>
      </c>
      <c r="E4" s="34">
        <v>1.070878</v>
      </c>
      <c r="F4" s="34">
        <v>1.0334574999999999</v>
      </c>
      <c r="G4" s="34">
        <v>1.0334574999999999</v>
      </c>
      <c r="H4" s="34">
        <v>1.0334574999999999</v>
      </c>
      <c r="I4" s="34">
        <v>1.0334574999999999</v>
      </c>
      <c r="J4" s="34">
        <v>1.0334574999999999</v>
      </c>
    </row>
    <row r="5" spans="2:10" x14ac:dyDescent="0.3">
      <c r="B5" s="25" t="s">
        <v>31</v>
      </c>
      <c r="C5" s="35">
        <v>1.0766666666666667</v>
      </c>
      <c r="D5" s="35">
        <v>1.4153333333333336</v>
      </c>
      <c r="E5" s="35">
        <v>1.0133333333333334</v>
      </c>
      <c r="F5" s="35">
        <v>1.0133333333333334</v>
      </c>
      <c r="G5" s="35">
        <v>1.0133333333333334</v>
      </c>
      <c r="H5" s="35">
        <v>1.0133333333333334</v>
      </c>
      <c r="I5" s="35">
        <v>1.0133333333333334</v>
      </c>
      <c r="J5" s="35">
        <v>1.0133333333333334</v>
      </c>
    </row>
    <row r="6" spans="2:10" x14ac:dyDescent="0.3">
      <c r="B6" s="26" t="s">
        <v>42</v>
      </c>
      <c r="C6" s="34">
        <v>0.78732000000000013</v>
      </c>
      <c r="D6" s="34">
        <v>0.91152499999999992</v>
      </c>
      <c r="E6" s="34">
        <v>1.243512</v>
      </c>
      <c r="F6" s="34">
        <v>1.0938299999999999</v>
      </c>
      <c r="G6" s="34">
        <v>1.0938299999999999</v>
      </c>
      <c r="H6" s="34">
        <v>1.0938299999999999</v>
      </c>
      <c r="I6" s="34">
        <v>1.0938299999999999</v>
      </c>
      <c r="J6" s="34">
        <v>1.0938299999999999</v>
      </c>
    </row>
    <row r="7" spans="2:10" x14ac:dyDescent="0.3">
      <c r="B7" s="23" t="s">
        <v>46</v>
      </c>
      <c r="C7" s="34">
        <v>0.5</v>
      </c>
      <c r="D7" s="34">
        <v>0.5</v>
      </c>
      <c r="E7" s="34">
        <v>0.5</v>
      </c>
      <c r="F7" s="34">
        <v>0.5</v>
      </c>
      <c r="G7" s="34">
        <v>0.5</v>
      </c>
      <c r="H7" s="34">
        <v>0.5</v>
      </c>
      <c r="I7" s="34">
        <v>0.5</v>
      </c>
      <c r="J7" s="34">
        <v>0.5</v>
      </c>
    </row>
    <row r="8" spans="2:10" x14ac:dyDescent="0.3">
      <c r="B8" s="26" t="s">
        <v>44</v>
      </c>
      <c r="C8" s="34">
        <v>0.5</v>
      </c>
      <c r="D8" s="34">
        <v>0.5</v>
      </c>
      <c r="E8" s="34">
        <v>0.5</v>
      </c>
      <c r="F8" s="34">
        <v>0.5</v>
      </c>
      <c r="G8" s="34">
        <v>0.5</v>
      </c>
      <c r="H8" s="34">
        <v>0.5</v>
      </c>
      <c r="I8" s="34">
        <v>0.5</v>
      </c>
      <c r="J8" s="34">
        <v>0.5</v>
      </c>
    </row>
    <row r="9" spans="2:10" x14ac:dyDescent="0.3">
      <c r="B9" s="23" t="s">
        <v>39</v>
      </c>
      <c r="C9" s="34">
        <v>0.92340000000000011</v>
      </c>
      <c r="D9" s="34">
        <v>0.95474999999999999</v>
      </c>
      <c r="E9" s="34">
        <v>1.12948</v>
      </c>
      <c r="F9" s="34">
        <v>1.0507</v>
      </c>
      <c r="G9" s="34">
        <v>1.0507</v>
      </c>
      <c r="H9" s="34">
        <v>1.0507</v>
      </c>
      <c r="I9" s="34">
        <v>1.0507</v>
      </c>
      <c r="J9" s="34">
        <v>1.0507</v>
      </c>
    </row>
    <row r="10" spans="2:10" x14ac:dyDescent="0.3">
      <c r="B10" s="26" t="s">
        <v>38</v>
      </c>
      <c r="C10" s="34">
        <v>0.92340000000000011</v>
      </c>
      <c r="D10" s="34">
        <v>0.95474999999999999</v>
      </c>
      <c r="E10" s="34">
        <v>1.12948</v>
      </c>
      <c r="F10" s="34">
        <v>1.0507</v>
      </c>
      <c r="G10" s="34">
        <v>1.0507</v>
      </c>
      <c r="H10" s="34">
        <v>1.0507</v>
      </c>
      <c r="I10" s="34">
        <v>1.0507</v>
      </c>
      <c r="J10" s="34">
        <v>1.0507</v>
      </c>
    </row>
    <row r="11" spans="2:10" x14ac:dyDescent="0.3">
      <c r="B11" s="24" t="s">
        <v>74</v>
      </c>
      <c r="C11" s="28">
        <v>0.90916000000000008</v>
      </c>
      <c r="D11" s="28">
        <v>1.0810035714285715</v>
      </c>
      <c r="E11" s="28">
        <v>1.0060674285714286</v>
      </c>
      <c r="F11" s="28">
        <v>0.96217571428571425</v>
      </c>
      <c r="G11" s="28">
        <v>0.96217571428571425</v>
      </c>
      <c r="H11" s="28">
        <v>0.96217571428571425</v>
      </c>
      <c r="I11" s="28">
        <v>0.96217571428571425</v>
      </c>
      <c r="J11" s="28">
        <v>0.96217571428571425</v>
      </c>
    </row>
    <row r="12" spans="2:10" x14ac:dyDescent="0.3">
      <c r="C12" s="29"/>
      <c r="D12" s="29"/>
      <c r="E12" s="29"/>
      <c r="F12" s="29"/>
      <c r="G12" s="29"/>
      <c r="H12" s="29"/>
      <c r="I12" s="29"/>
      <c r="J12" s="29"/>
    </row>
    <row r="13" spans="2:10" x14ac:dyDescent="0.3">
      <c r="C13" s="29"/>
      <c r="D13" s="29"/>
      <c r="E13" s="29"/>
      <c r="F13" s="29"/>
      <c r="G13" s="29"/>
      <c r="H13" s="29"/>
      <c r="I13" s="29"/>
      <c r="J13" s="29"/>
    </row>
    <row r="14" spans="2:10" x14ac:dyDescent="0.3">
      <c r="C14" s="29"/>
      <c r="D14" s="29"/>
      <c r="E14" s="29"/>
      <c r="F14" s="29"/>
      <c r="G14" s="29"/>
      <c r="H14" s="29"/>
      <c r="I14" s="29"/>
      <c r="J14" s="29"/>
    </row>
    <row r="15" spans="2:10" x14ac:dyDescent="0.3">
      <c r="B15" s="22" t="s">
        <v>65</v>
      </c>
      <c r="C15" s="28" t="s">
        <v>66</v>
      </c>
      <c r="D15" s="28" t="s">
        <v>67</v>
      </c>
      <c r="E15" s="28" t="s">
        <v>68</v>
      </c>
      <c r="F15" s="28" t="s">
        <v>69</v>
      </c>
      <c r="G15" s="28" t="s">
        <v>70</v>
      </c>
      <c r="H15" s="28" t="s">
        <v>71</v>
      </c>
      <c r="I15" s="28" t="s">
        <v>72</v>
      </c>
      <c r="J15" s="28" t="s">
        <v>73</v>
      </c>
    </row>
    <row r="16" spans="2:10" x14ac:dyDescent="0.3">
      <c r="B16" s="23" t="s">
        <v>34</v>
      </c>
      <c r="C16" s="27">
        <v>0.96100000000000008</v>
      </c>
      <c r="D16" s="27">
        <v>1.12775</v>
      </c>
      <c r="E16" s="27">
        <v>1.22448</v>
      </c>
      <c r="F16" s="27">
        <v>1.1456999999999999</v>
      </c>
      <c r="G16" s="27">
        <v>1.1456999999999999</v>
      </c>
      <c r="H16" s="27">
        <v>1.1456999999999999</v>
      </c>
      <c r="I16" s="27">
        <v>1.1456999999999999</v>
      </c>
      <c r="J16" s="27">
        <v>1.1456999999999999</v>
      </c>
    </row>
    <row r="17" spans="2:10" x14ac:dyDescent="0.3">
      <c r="B17" s="26" t="s">
        <v>31</v>
      </c>
      <c r="C17" s="27">
        <v>0.95</v>
      </c>
      <c r="D17" s="27">
        <v>1.296</v>
      </c>
      <c r="E17" s="27">
        <v>1.1399999999999999</v>
      </c>
      <c r="F17" s="27">
        <v>1.1399999999999999</v>
      </c>
      <c r="G17" s="27">
        <v>1.1399999999999999</v>
      </c>
      <c r="H17" s="27">
        <v>1.1399999999999999</v>
      </c>
      <c r="I17" s="27">
        <v>1.1399999999999999</v>
      </c>
      <c r="J17" s="27">
        <v>1.1399999999999999</v>
      </c>
    </row>
    <row r="18" spans="2:10" x14ac:dyDescent="0.3">
      <c r="B18" s="26" t="s">
        <v>38</v>
      </c>
      <c r="C18" s="27">
        <v>0.97200000000000009</v>
      </c>
      <c r="D18" s="27">
        <v>0.95949999999999991</v>
      </c>
      <c r="E18" s="27">
        <v>1.3089600000000001</v>
      </c>
      <c r="F18" s="27">
        <v>1.1514</v>
      </c>
      <c r="G18" s="27">
        <v>1.1514</v>
      </c>
      <c r="H18" s="27">
        <v>1.1514</v>
      </c>
      <c r="I18" s="27">
        <v>1.1514</v>
      </c>
      <c r="J18" s="27">
        <v>1.1514</v>
      </c>
    </row>
    <row r="19" spans="2:10" x14ac:dyDescent="0.3">
      <c r="B19" s="23" t="s">
        <v>36</v>
      </c>
      <c r="C19" s="27">
        <v>1.0224400000000002</v>
      </c>
      <c r="D19" s="27">
        <v>1.2871750000000002</v>
      </c>
      <c r="E19" s="27">
        <v>1.0478373333333333</v>
      </c>
      <c r="F19" s="27">
        <v>0.99794333333333329</v>
      </c>
      <c r="G19" s="27">
        <v>0.99794333333333329</v>
      </c>
      <c r="H19" s="27">
        <v>0.99794333333333329</v>
      </c>
      <c r="I19" s="27">
        <v>0.99794333333333329</v>
      </c>
      <c r="J19" s="27">
        <v>0.99794333333333329</v>
      </c>
    </row>
    <row r="20" spans="2:10" x14ac:dyDescent="0.3">
      <c r="B20" s="26" t="s">
        <v>31</v>
      </c>
      <c r="C20" s="27">
        <v>1.1400000000000001</v>
      </c>
      <c r="D20" s="27">
        <v>1.4750000000000001</v>
      </c>
      <c r="E20" s="27">
        <v>0.95</v>
      </c>
      <c r="F20" s="27">
        <v>0.95</v>
      </c>
      <c r="G20" s="27">
        <v>0.95</v>
      </c>
      <c r="H20" s="27">
        <v>0.95</v>
      </c>
      <c r="I20" s="27">
        <v>0.95</v>
      </c>
      <c r="J20" s="27">
        <v>0.95</v>
      </c>
    </row>
    <row r="21" spans="2:10" x14ac:dyDescent="0.3">
      <c r="B21" s="26" t="s">
        <v>42</v>
      </c>
      <c r="C21" s="27">
        <v>0.78732000000000013</v>
      </c>
      <c r="D21" s="27">
        <v>0.91152499999999992</v>
      </c>
      <c r="E21" s="27">
        <v>1.243512</v>
      </c>
      <c r="F21" s="27">
        <v>1.0938299999999999</v>
      </c>
      <c r="G21" s="27">
        <v>1.0938299999999999</v>
      </c>
      <c r="H21" s="27">
        <v>1.0938299999999999</v>
      </c>
      <c r="I21" s="27">
        <v>1.0938299999999999</v>
      </c>
      <c r="J21" s="27">
        <v>1.0938299999999999</v>
      </c>
    </row>
    <row r="22" spans="2:10" x14ac:dyDescent="0.3">
      <c r="B22" s="23" t="s">
        <v>41</v>
      </c>
      <c r="C22" s="27">
        <v>0.68740000000000001</v>
      </c>
      <c r="D22" s="27">
        <v>0.72499999999999998</v>
      </c>
      <c r="E22" s="27">
        <v>0.72499999999999998</v>
      </c>
      <c r="F22" s="27">
        <v>0.72499999999999998</v>
      </c>
      <c r="G22" s="27">
        <v>0.72499999999999998</v>
      </c>
      <c r="H22" s="27">
        <v>0.72499999999999998</v>
      </c>
      <c r="I22" s="27">
        <v>0.72499999999999998</v>
      </c>
      <c r="J22" s="27">
        <v>0.72499999999999998</v>
      </c>
    </row>
    <row r="23" spans="2:10" x14ac:dyDescent="0.3">
      <c r="B23" s="26" t="s">
        <v>38</v>
      </c>
      <c r="C23" s="27">
        <v>0.87480000000000013</v>
      </c>
      <c r="D23" s="27">
        <v>0.95</v>
      </c>
      <c r="E23" s="27">
        <v>0.95</v>
      </c>
      <c r="F23" s="27">
        <v>0.95</v>
      </c>
      <c r="G23" s="27">
        <v>0.95</v>
      </c>
      <c r="H23" s="27">
        <v>0.95</v>
      </c>
      <c r="I23" s="27">
        <v>0.95</v>
      </c>
      <c r="J23" s="27">
        <v>0.95</v>
      </c>
    </row>
    <row r="24" spans="2:10" x14ac:dyDescent="0.3">
      <c r="B24" s="26" t="s">
        <v>44</v>
      </c>
      <c r="C24" s="27">
        <v>0.5</v>
      </c>
      <c r="D24" s="27">
        <v>0.5</v>
      </c>
      <c r="E24" s="27">
        <v>0.5</v>
      </c>
      <c r="F24" s="27">
        <v>0.5</v>
      </c>
      <c r="G24" s="27">
        <v>0.5</v>
      </c>
      <c r="H24" s="27">
        <v>0.5</v>
      </c>
      <c r="I24" s="27">
        <v>0.5</v>
      </c>
      <c r="J24" s="27">
        <v>0.5</v>
      </c>
    </row>
    <row r="25" spans="2:10" x14ac:dyDescent="0.3">
      <c r="B25" s="24" t="s">
        <v>74</v>
      </c>
      <c r="C25" s="28">
        <v>0.90916000000000008</v>
      </c>
      <c r="D25" s="28">
        <v>1.0810035714285715</v>
      </c>
      <c r="E25" s="28">
        <v>1.0060674285714286</v>
      </c>
      <c r="F25" s="28">
        <v>0.96217571428571425</v>
      </c>
      <c r="G25" s="28">
        <v>0.96217571428571425</v>
      </c>
      <c r="H25" s="28">
        <v>0.96217571428571425</v>
      </c>
      <c r="I25" s="28">
        <v>0.96217571428571425</v>
      </c>
      <c r="J25" s="28">
        <v>0.96217571428571425</v>
      </c>
    </row>
    <row r="26" spans="2:10" x14ac:dyDescent="0.3">
      <c r="C26" s="29"/>
      <c r="D26" s="29"/>
      <c r="E26" s="29"/>
      <c r="F26" s="29"/>
      <c r="G26" s="29"/>
      <c r="H26" s="29"/>
      <c r="I26" s="29"/>
      <c r="J26" s="29"/>
    </row>
    <row r="27" spans="2:10" x14ac:dyDescent="0.3">
      <c r="C27" s="29"/>
      <c r="D27" s="29"/>
      <c r="E27" s="29"/>
      <c r="F27" s="29"/>
      <c r="G27" s="29"/>
      <c r="H27" s="29"/>
      <c r="I27" s="29"/>
      <c r="J27" s="29"/>
    </row>
    <row r="28" spans="2:10" x14ac:dyDescent="0.3">
      <c r="C28" s="29"/>
      <c r="D28" s="29"/>
      <c r="E28" s="29"/>
      <c r="F28" s="29"/>
      <c r="G28" s="29"/>
      <c r="H28" s="29"/>
      <c r="I28" s="29"/>
      <c r="J28" s="29"/>
    </row>
    <row r="29" spans="2:10" x14ac:dyDescent="0.3">
      <c r="C29" s="29"/>
      <c r="D29" s="29"/>
      <c r="E29" s="29"/>
      <c r="F29" s="29"/>
      <c r="G29" s="29"/>
      <c r="H29" s="29"/>
      <c r="I29" s="29"/>
      <c r="J29" s="29"/>
    </row>
    <row r="30" spans="2:10" x14ac:dyDescent="0.3">
      <c r="C30" s="29"/>
      <c r="D30" s="29"/>
      <c r="E30" s="29"/>
      <c r="F30" s="29"/>
      <c r="G30" s="29"/>
      <c r="H30" s="29"/>
      <c r="I30" s="29"/>
      <c r="J30" s="29"/>
    </row>
    <row r="31" spans="2:10" x14ac:dyDescent="0.3">
      <c r="B31" s="19" t="s">
        <v>65</v>
      </c>
      <c r="C31" s="32" t="s">
        <v>66</v>
      </c>
      <c r="D31" s="32" t="s">
        <v>67</v>
      </c>
      <c r="E31" s="32" t="s">
        <v>68</v>
      </c>
      <c r="F31" s="32" t="s">
        <v>69</v>
      </c>
      <c r="G31" s="32" t="s">
        <v>70</v>
      </c>
      <c r="H31" s="32" t="s">
        <v>71</v>
      </c>
      <c r="I31" s="32" t="s">
        <v>72</v>
      </c>
      <c r="J31" s="32" t="s">
        <v>73</v>
      </c>
    </row>
    <row r="32" spans="2:10" x14ac:dyDescent="0.3">
      <c r="B32" s="31" t="s">
        <v>34</v>
      </c>
      <c r="C32" s="33">
        <v>0.96100000000000008</v>
      </c>
      <c r="D32" s="33">
        <v>1.12775</v>
      </c>
      <c r="E32" s="33">
        <v>1.22448</v>
      </c>
      <c r="F32" s="33">
        <v>1.1456999999999999</v>
      </c>
      <c r="G32" s="33">
        <v>1.1456999999999999</v>
      </c>
      <c r="H32" s="33">
        <v>1.1456999999999999</v>
      </c>
      <c r="I32" s="33">
        <v>1.1456999999999999</v>
      </c>
      <c r="J32" s="33">
        <v>1.1456999999999999</v>
      </c>
    </row>
    <row r="33" spans="2:10" x14ac:dyDescent="0.3">
      <c r="B33" s="20" t="s">
        <v>31</v>
      </c>
      <c r="C33" s="33">
        <v>0.95</v>
      </c>
      <c r="D33" s="33">
        <v>1.296</v>
      </c>
      <c r="E33" s="33">
        <v>1.1399999999999999</v>
      </c>
      <c r="F33" s="33">
        <v>1.1399999999999999</v>
      </c>
      <c r="G33" s="33">
        <v>1.1399999999999999</v>
      </c>
      <c r="H33" s="33">
        <v>1.1399999999999999</v>
      </c>
      <c r="I33" s="33">
        <v>1.1399999999999999</v>
      </c>
      <c r="J33" s="33">
        <v>1.1399999999999999</v>
      </c>
    </row>
    <row r="34" spans="2:10" x14ac:dyDescent="0.3">
      <c r="B34" s="20" t="s">
        <v>38</v>
      </c>
      <c r="C34" s="33">
        <v>0.97200000000000009</v>
      </c>
      <c r="D34" s="33">
        <v>0.95949999999999991</v>
      </c>
      <c r="E34" s="33">
        <v>1.3089600000000001</v>
      </c>
      <c r="F34" s="33">
        <v>1.1514</v>
      </c>
      <c r="G34" s="33">
        <v>1.1514</v>
      </c>
      <c r="H34" s="33">
        <v>1.1514</v>
      </c>
      <c r="I34" s="33">
        <v>1.1514</v>
      </c>
      <c r="J34" s="33">
        <v>1.1514</v>
      </c>
    </row>
    <row r="35" spans="2:10" x14ac:dyDescent="0.3">
      <c r="B35" s="31" t="s">
        <v>36</v>
      </c>
      <c r="C35" s="33">
        <v>1.0224400000000002</v>
      </c>
      <c r="D35" s="33">
        <v>1.2871750000000002</v>
      </c>
      <c r="E35" s="33">
        <v>1.0478373333333333</v>
      </c>
      <c r="F35" s="33">
        <v>0.99794333333333329</v>
      </c>
      <c r="G35" s="33">
        <v>0.99794333333333329</v>
      </c>
      <c r="H35" s="33">
        <v>0.99794333333333329</v>
      </c>
      <c r="I35" s="33">
        <v>0.99794333333333329</v>
      </c>
      <c r="J35" s="33">
        <v>0.99794333333333329</v>
      </c>
    </row>
    <row r="36" spans="2:10" x14ac:dyDescent="0.3">
      <c r="B36" s="20" t="s">
        <v>31</v>
      </c>
      <c r="C36" s="33">
        <v>1.1400000000000001</v>
      </c>
      <c r="D36" s="33">
        <v>1.4750000000000001</v>
      </c>
      <c r="E36" s="33">
        <v>0.95</v>
      </c>
      <c r="F36" s="33">
        <v>0.95</v>
      </c>
      <c r="G36" s="33">
        <v>0.95</v>
      </c>
      <c r="H36" s="33">
        <v>0.95</v>
      </c>
      <c r="I36" s="33">
        <v>0.95</v>
      </c>
      <c r="J36" s="33">
        <v>0.95</v>
      </c>
    </row>
    <row r="37" spans="2:10" x14ac:dyDescent="0.3">
      <c r="B37" s="20" t="s">
        <v>42</v>
      </c>
      <c r="C37" s="33">
        <v>0.78732000000000013</v>
      </c>
      <c r="D37" s="33">
        <v>0.91152499999999992</v>
      </c>
      <c r="E37" s="33">
        <v>1.243512</v>
      </c>
      <c r="F37" s="33">
        <v>1.0938299999999999</v>
      </c>
      <c r="G37" s="33">
        <v>1.0938299999999999</v>
      </c>
      <c r="H37" s="33">
        <v>1.0938299999999999</v>
      </c>
      <c r="I37" s="33">
        <v>1.0938299999999999</v>
      </c>
      <c r="J37" s="33">
        <v>1.0938299999999999</v>
      </c>
    </row>
    <row r="38" spans="2:10" x14ac:dyDescent="0.3">
      <c r="B38" s="31" t="s">
        <v>41</v>
      </c>
      <c r="C38" s="33">
        <v>0.68740000000000001</v>
      </c>
      <c r="D38" s="33">
        <v>0.72499999999999998</v>
      </c>
      <c r="E38" s="33">
        <v>0.72499999999999998</v>
      </c>
      <c r="F38" s="33">
        <v>0.72499999999999998</v>
      </c>
      <c r="G38" s="33">
        <v>0.72499999999999998</v>
      </c>
      <c r="H38" s="33">
        <v>0.72499999999999998</v>
      </c>
      <c r="I38" s="33">
        <v>0.72499999999999998</v>
      </c>
      <c r="J38" s="33">
        <v>0.72499999999999998</v>
      </c>
    </row>
    <row r="39" spans="2:10" x14ac:dyDescent="0.3">
      <c r="B39" s="20" t="s">
        <v>38</v>
      </c>
      <c r="C39" s="33">
        <v>0.87480000000000013</v>
      </c>
      <c r="D39" s="33">
        <v>0.95</v>
      </c>
      <c r="E39" s="33">
        <v>0.95</v>
      </c>
      <c r="F39" s="33">
        <v>0.95</v>
      </c>
      <c r="G39" s="33">
        <v>0.95</v>
      </c>
      <c r="H39" s="33">
        <v>0.95</v>
      </c>
      <c r="I39" s="33">
        <v>0.95</v>
      </c>
      <c r="J39" s="33">
        <v>0.95</v>
      </c>
    </row>
    <row r="40" spans="2:10" x14ac:dyDescent="0.3">
      <c r="B40" s="20" t="s">
        <v>44</v>
      </c>
      <c r="C40" s="33">
        <v>0.5</v>
      </c>
      <c r="D40" s="33">
        <v>0.5</v>
      </c>
      <c r="E40" s="33">
        <v>0.5</v>
      </c>
      <c r="F40" s="33">
        <v>0.5</v>
      </c>
      <c r="G40" s="33">
        <v>0.5</v>
      </c>
      <c r="H40" s="33">
        <v>0.5</v>
      </c>
      <c r="I40" s="33">
        <v>0.5</v>
      </c>
      <c r="J40" s="33">
        <v>0.5</v>
      </c>
    </row>
    <row r="41" spans="2:10" x14ac:dyDescent="0.3">
      <c r="B41" s="21" t="s">
        <v>74</v>
      </c>
      <c r="C41" s="32">
        <v>0.90916000000000008</v>
      </c>
      <c r="D41" s="32">
        <v>1.0810035714285715</v>
      </c>
      <c r="E41" s="32">
        <v>1.0060674285714286</v>
      </c>
      <c r="F41" s="32">
        <v>0.96217571428571425</v>
      </c>
      <c r="G41" s="32">
        <v>0.96217571428571425</v>
      </c>
      <c r="H41" s="32">
        <v>0.96217571428571425</v>
      </c>
      <c r="I41" s="32">
        <v>0.96217571428571425</v>
      </c>
      <c r="J41" s="32">
        <v>0.96217571428571425</v>
      </c>
    </row>
    <row r="42" spans="2:10" x14ac:dyDescent="0.3">
      <c r="C42" s="29"/>
      <c r="D42" s="29"/>
      <c r="E42" s="29"/>
      <c r="F42" s="29"/>
      <c r="G42" s="29"/>
      <c r="H42" s="29"/>
      <c r="I42" s="29"/>
      <c r="J42" s="29"/>
    </row>
  </sheetData>
  <conditionalFormatting pivot="1" sqref="C4:J4 C5:J6 C7:J7 C8:J8 C9:J9 C10:J10">
    <cfRule type="cellIs" dxfId="8" priority="3" operator="greaterThan">
      <formula>1.1</formula>
    </cfRule>
  </conditionalFormatting>
  <conditionalFormatting pivot="1" sqref="C4:J4 C5:J6 C7:J7 C8:J8 C9:J9 C10:J10">
    <cfRule type="cellIs" dxfId="7" priority="2" operator="lessThan">
      <formula>0.9</formula>
    </cfRule>
  </conditionalFormatting>
  <conditionalFormatting pivot="1" sqref="C4:J4 C5:J6 C7:J7 C8:J8 C9:J9 C10:J10">
    <cfRule type="cellIs" dxfId="6" priority="1" operator="between">
      <formula>0.9</formula>
      <formula>1.1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25C7-B9CF-4E5B-B87B-56C2DCFB1F70}">
  <dimension ref="A1:T12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T6" sqref="T6"/>
    </sheetView>
  </sheetViews>
  <sheetFormatPr defaultColWidth="7.61328125" defaultRowHeight="14.5" x14ac:dyDescent="0.35"/>
  <cols>
    <col min="1" max="1" width="3.23046875" style="7" customWidth="1"/>
    <col min="2" max="2" width="2.61328125" style="7" bestFit="1" customWidth="1"/>
    <col min="3" max="3" width="14.84375" style="7" customWidth="1"/>
    <col min="4" max="4" width="15.61328125" style="7" bestFit="1" customWidth="1"/>
    <col min="5" max="5" width="14.84375" style="7" customWidth="1"/>
    <col min="6" max="6" width="12.84375" style="7" customWidth="1"/>
    <col min="7" max="7" width="11.3828125" style="7" customWidth="1"/>
    <col min="8" max="8" width="10.921875" style="7" customWidth="1"/>
    <col min="9" max="10" width="9.15234375" style="7" customWidth="1"/>
    <col min="11" max="11" width="9.61328125" style="40" customWidth="1"/>
    <col min="12" max="19" width="5" style="40" customWidth="1"/>
    <col min="20" max="20" width="12.765625" style="40" bestFit="1" customWidth="1"/>
    <col min="21" max="16384" width="7.61328125" style="7"/>
  </cols>
  <sheetData>
    <row r="1" spans="1:20" s="4" customFormat="1" ht="25.5" customHeight="1" x14ac:dyDescent="0.45">
      <c r="A1" s="2"/>
      <c r="B1" s="3"/>
      <c r="C1" s="3"/>
      <c r="E1" s="3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s="5" customFormat="1" ht="4.5" customHeight="1" x14ac:dyDescent="0.35">
      <c r="B2" s="6"/>
      <c r="C2" s="6"/>
      <c r="E2" s="6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0" x14ac:dyDescent="0.35">
      <c r="B3" s="8"/>
      <c r="C3" s="8"/>
      <c r="E3" s="8"/>
    </row>
    <row r="4" spans="1:20" ht="12" customHeight="1" x14ac:dyDescent="0.35">
      <c r="B4" s="8"/>
      <c r="C4" s="8"/>
      <c r="E4" s="8"/>
      <c r="L4" s="41" t="s">
        <v>19</v>
      </c>
      <c r="M4" s="41"/>
      <c r="N4" s="41"/>
      <c r="O4" s="41"/>
      <c r="P4" s="41"/>
      <c r="Q4" s="41"/>
      <c r="R4" s="41"/>
      <c r="S4" s="41"/>
    </row>
    <row r="5" spans="1:20" s="44" customFormat="1" ht="37" x14ac:dyDescent="0.35">
      <c r="B5" s="45" t="s">
        <v>0</v>
      </c>
      <c r="C5" s="45" t="s">
        <v>3</v>
      </c>
      <c r="D5" s="46" t="s">
        <v>20</v>
      </c>
      <c r="E5" s="45" t="s">
        <v>7</v>
      </c>
      <c r="F5" s="45" t="s">
        <v>9</v>
      </c>
      <c r="G5" s="45" t="s">
        <v>11</v>
      </c>
      <c r="H5" s="45" t="s">
        <v>13</v>
      </c>
      <c r="I5" s="45" t="s">
        <v>15</v>
      </c>
      <c r="J5" s="45" t="s">
        <v>17</v>
      </c>
      <c r="K5" s="47" t="s">
        <v>21</v>
      </c>
      <c r="L5" s="48" t="s">
        <v>22</v>
      </c>
      <c r="M5" s="48" t="s">
        <v>23</v>
      </c>
      <c r="N5" s="48" t="s">
        <v>24</v>
      </c>
      <c r="O5" s="48" t="s">
        <v>25</v>
      </c>
      <c r="P5" s="48" t="s">
        <v>26</v>
      </c>
      <c r="Q5" s="48" t="s">
        <v>27</v>
      </c>
      <c r="R5" s="48" t="s">
        <v>28</v>
      </c>
      <c r="S5" s="48" t="s">
        <v>29</v>
      </c>
      <c r="T5" s="45" t="s">
        <v>30</v>
      </c>
    </row>
    <row r="6" spans="1:20" x14ac:dyDescent="0.35">
      <c r="B6" s="12">
        <v>1</v>
      </c>
      <c r="C6" s="12" t="s">
        <v>31</v>
      </c>
      <c r="D6" s="12" t="s">
        <v>32</v>
      </c>
      <c r="E6" s="12"/>
      <c r="F6" s="12"/>
      <c r="G6" s="12" t="s">
        <v>33</v>
      </c>
      <c r="H6" s="12" t="s">
        <v>34</v>
      </c>
      <c r="I6" s="12"/>
      <c r="J6" s="12"/>
      <c r="K6" s="42">
        <v>0.9</v>
      </c>
      <c r="L6" s="42">
        <v>0.95</v>
      </c>
      <c r="M6" s="42">
        <f>L8*120%</f>
        <v>1.296</v>
      </c>
      <c r="N6" s="42">
        <f t="shared" ref="N6:S6" si="0">M8*120%</f>
        <v>1.1399999999999999</v>
      </c>
      <c r="O6" s="42">
        <f t="shared" si="0"/>
        <v>1.1399999999999999</v>
      </c>
      <c r="P6" s="42">
        <f t="shared" si="0"/>
        <v>1.1399999999999999</v>
      </c>
      <c r="Q6" s="42">
        <f t="shared" si="0"/>
        <v>1.1399999999999999</v>
      </c>
      <c r="R6" s="42">
        <f t="shared" si="0"/>
        <v>1.1399999999999999</v>
      </c>
      <c r="S6" s="42">
        <f t="shared" si="0"/>
        <v>1.1399999999999999</v>
      </c>
      <c r="T6" s="43" t="str">
        <f>IF(AND(AVERAGE(L6:S6)&gt;90%*K6,AVERAGE(L6:S6)&lt;110%*K6),"On-Track",IF(AND(AVERAGE(L6:S6)&gt;80%*K6,AVERAGE(L6:S6)&lt;120%*K6),"Watchout","Off-Track"))</f>
        <v>Off-Track</v>
      </c>
    </row>
    <row r="7" spans="1:20" x14ac:dyDescent="0.35">
      <c r="B7" s="12">
        <v>2</v>
      </c>
      <c r="C7" s="12" t="s">
        <v>31</v>
      </c>
      <c r="D7" s="12" t="s">
        <v>35</v>
      </c>
      <c r="E7" s="12"/>
      <c r="F7" s="12"/>
      <c r="G7" s="12" t="s">
        <v>33</v>
      </c>
      <c r="H7" s="12" t="s">
        <v>36</v>
      </c>
      <c r="I7" s="12"/>
      <c r="J7" s="12"/>
      <c r="K7" s="42">
        <v>0.75</v>
      </c>
      <c r="L7" s="42">
        <v>1.2</v>
      </c>
      <c r="M7" s="42">
        <v>2</v>
      </c>
      <c r="N7" s="42">
        <v>0.95</v>
      </c>
      <c r="O7" s="42">
        <v>0.95</v>
      </c>
      <c r="P7" s="42">
        <v>0.95</v>
      </c>
      <c r="Q7" s="42">
        <v>0.95</v>
      </c>
      <c r="R7" s="42">
        <v>0.95</v>
      </c>
      <c r="S7" s="42">
        <v>0.95</v>
      </c>
      <c r="T7" s="43" t="str">
        <f t="shared" ref="T7:T12" si="1">IF(AND(AVERAGE(L7:S7)&gt;90%*K7,AVERAGE(L7:S7)&lt;110%*K7),"On-Track",IF(AND(AVERAGE(L7:S7)&gt;80%*K7,AVERAGE(L7:S7)&lt;120%*K7),"Watchout","Off-Track"))</f>
        <v>Off-Track</v>
      </c>
    </row>
    <row r="8" spans="1:20" x14ac:dyDescent="0.35">
      <c r="B8" s="12">
        <v>3</v>
      </c>
      <c r="C8" s="12" t="s">
        <v>31</v>
      </c>
      <c r="D8" s="12" t="s">
        <v>37</v>
      </c>
      <c r="E8" s="12"/>
      <c r="F8" s="12"/>
      <c r="G8" s="12" t="s">
        <v>33</v>
      </c>
      <c r="H8" s="12" t="s">
        <v>36</v>
      </c>
      <c r="I8" s="12"/>
      <c r="J8" s="12"/>
      <c r="K8" s="42">
        <v>1</v>
      </c>
      <c r="L8" s="42">
        <f t="shared" ref="L8:L11" si="2">L7*90%</f>
        <v>1.08</v>
      </c>
      <c r="M8" s="42">
        <v>0.95</v>
      </c>
      <c r="N8" s="42">
        <v>0.95</v>
      </c>
      <c r="O8" s="42">
        <v>0.95</v>
      </c>
      <c r="P8" s="42">
        <v>0.95</v>
      </c>
      <c r="Q8" s="42">
        <v>0.95</v>
      </c>
      <c r="R8" s="42">
        <v>0.95</v>
      </c>
      <c r="S8" s="42">
        <v>0.95</v>
      </c>
      <c r="T8" s="43" t="str">
        <f t="shared" si="1"/>
        <v>On-Track</v>
      </c>
    </row>
    <row r="9" spans="1:20" x14ac:dyDescent="0.35">
      <c r="B9" s="12">
        <v>4</v>
      </c>
      <c r="C9" s="12" t="s">
        <v>38</v>
      </c>
      <c r="D9" s="12" t="s">
        <v>32</v>
      </c>
      <c r="E9" s="12"/>
      <c r="F9" s="12"/>
      <c r="G9" s="12" t="s">
        <v>39</v>
      </c>
      <c r="H9" s="12" t="s">
        <v>34</v>
      </c>
      <c r="I9" s="12"/>
      <c r="J9" s="12"/>
      <c r="K9" s="42">
        <v>0.9</v>
      </c>
      <c r="L9" s="42">
        <f t="shared" si="2"/>
        <v>0.97200000000000009</v>
      </c>
      <c r="M9" s="42">
        <f>L6*101%</f>
        <v>0.95949999999999991</v>
      </c>
      <c r="N9" s="42">
        <f t="shared" ref="N9:S9" si="3">M6*101%</f>
        <v>1.3089600000000001</v>
      </c>
      <c r="O9" s="42">
        <f t="shared" si="3"/>
        <v>1.1514</v>
      </c>
      <c r="P9" s="42">
        <f t="shared" si="3"/>
        <v>1.1514</v>
      </c>
      <c r="Q9" s="42">
        <f t="shared" si="3"/>
        <v>1.1514</v>
      </c>
      <c r="R9" s="42">
        <f t="shared" si="3"/>
        <v>1.1514</v>
      </c>
      <c r="S9" s="42">
        <f t="shared" si="3"/>
        <v>1.1514</v>
      </c>
      <c r="T9" s="43" t="str">
        <f t="shared" si="1"/>
        <v>Off-Track</v>
      </c>
    </row>
    <row r="10" spans="1:20" x14ac:dyDescent="0.35">
      <c r="B10" s="12">
        <v>5</v>
      </c>
      <c r="C10" s="12" t="s">
        <v>38</v>
      </c>
      <c r="D10" s="12" t="s">
        <v>40</v>
      </c>
      <c r="E10" s="12"/>
      <c r="F10" s="12"/>
      <c r="G10" s="12" t="s">
        <v>39</v>
      </c>
      <c r="H10" s="12" t="s">
        <v>41</v>
      </c>
      <c r="I10" s="12"/>
      <c r="J10" s="12"/>
      <c r="K10" s="42">
        <v>0.9</v>
      </c>
      <c r="L10" s="42">
        <f t="shared" si="2"/>
        <v>0.87480000000000013</v>
      </c>
      <c r="M10" s="42">
        <v>0.95</v>
      </c>
      <c r="N10" s="42">
        <v>0.95</v>
      </c>
      <c r="O10" s="42">
        <v>0.95</v>
      </c>
      <c r="P10" s="42">
        <v>0.95</v>
      </c>
      <c r="Q10" s="42">
        <v>0.95</v>
      </c>
      <c r="R10" s="42">
        <v>0.95</v>
      </c>
      <c r="S10" s="42">
        <v>0.95</v>
      </c>
      <c r="T10" s="43" t="str">
        <f t="shared" si="1"/>
        <v>On-Track</v>
      </c>
    </row>
    <row r="11" spans="1:20" x14ac:dyDescent="0.35">
      <c r="B11" s="12">
        <v>6</v>
      </c>
      <c r="C11" s="12" t="s">
        <v>42</v>
      </c>
      <c r="D11" s="12" t="s">
        <v>43</v>
      </c>
      <c r="E11" s="12"/>
      <c r="F11" s="12"/>
      <c r="G11" s="12" t="s">
        <v>33</v>
      </c>
      <c r="H11" s="12" t="s">
        <v>36</v>
      </c>
      <c r="I11" s="12"/>
      <c r="J11" s="12"/>
      <c r="K11" s="42">
        <v>0.5</v>
      </c>
      <c r="L11" s="42">
        <f t="shared" si="2"/>
        <v>0.78732000000000013</v>
      </c>
      <c r="M11" s="42">
        <f>M9*95%</f>
        <v>0.91152499999999992</v>
      </c>
      <c r="N11" s="42">
        <f t="shared" ref="N11:S11" si="4">N9*95%</f>
        <v>1.243512</v>
      </c>
      <c r="O11" s="42">
        <f t="shared" si="4"/>
        <v>1.0938299999999999</v>
      </c>
      <c r="P11" s="42">
        <f t="shared" si="4"/>
        <v>1.0938299999999999</v>
      </c>
      <c r="Q11" s="42">
        <f t="shared" si="4"/>
        <v>1.0938299999999999</v>
      </c>
      <c r="R11" s="42">
        <f t="shared" si="4"/>
        <v>1.0938299999999999</v>
      </c>
      <c r="S11" s="42">
        <f t="shared" si="4"/>
        <v>1.0938299999999999</v>
      </c>
      <c r="T11" s="43" t="str">
        <f t="shared" si="1"/>
        <v>Off-Track</v>
      </c>
    </row>
    <row r="12" spans="1:20" x14ac:dyDescent="0.35">
      <c r="B12" s="12">
        <v>7</v>
      </c>
      <c r="C12" s="12" t="s">
        <v>44</v>
      </c>
      <c r="D12" s="12" t="s">
        <v>45</v>
      </c>
      <c r="E12" s="12"/>
      <c r="F12" s="12"/>
      <c r="G12" s="12" t="s">
        <v>46</v>
      </c>
      <c r="H12" s="12" t="s">
        <v>41</v>
      </c>
      <c r="I12" s="12"/>
      <c r="J12" s="12"/>
      <c r="K12" s="42">
        <v>0.5</v>
      </c>
      <c r="L12" s="42">
        <v>0.5</v>
      </c>
      <c r="M12" s="42">
        <v>0.5</v>
      </c>
      <c r="N12" s="42">
        <v>0.5</v>
      </c>
      <c r="O12" s="42">
        <v>0.5</v>
      </c>
      <c r="P12" s="42">
        <v>0.5</v>
      </c>
      <c r="Q12" s="42">
        <v>0.5</v>
      </c>
      <c r="R12" s="42">
        <v>0.5</v>
      </c>
      <c r="S12" s="42">
        <v>0.5</v>
      </c>
      <c r="T12" s="43" t="str">
        <f t="shared" si="1"/>
        <v>On-Track</v>
      </c>
    </row>
  </sheetData>
  <phoneticPr fontId="18" type="noConversion"/>
  <conditionalFormatting sqref="T6:T12">
    <cfRule type="cellIs" dxfId="5" priority="1" operator="equal">
      <formula>"On-Track"</formula>
    </cfRule>
    <cfRule type="cellIs" dxfId="4" priority="2" operator="equal">
      <formula>"Watchout"</formula>
    </cfRule>
    <cfRule type="cellIs" dxfId="3" priority="3" operator="equal">
      <formula>"Off-Track"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FD1E-9099-4D33-946B-5E2F11F4D1EC}">
  <dimension ref="A1:AB720"/>
  <sheetViews>
    <sheetView showGridLines="0" workbookViewId="0">
      <selection activeCell="K6" sqref="K6"/>
    </sheetView>
  </sheetViews>
  <sheetFormatPr defaultColWidth="7.61328125" defaultRowHeight="14.5" x14ac:dyDescent="0.35"/>
  <cols>
    <col min="1" max="1" width="3.23046875" style="7" customWidth="1"/>
    <col min="2" max="2" width="2.61328125" style="7" bestFit="1" customWidth="1"/>
    <col min="3" max="3" width="14.84375" style="7" customWidth="1"/>
    <col min="4" max="4" width="19.84375" style="7" customWidth="1"/>
    <col min="5" max="5" width="18.23046875" style="7" customWidth="1"/>
    <col min="6" max="6" width="22.84375" style="7" customWidth="1"/>
    <col min="7" max="7" width="9.69140625" style="7" customWidth="1"/>
    <col min="8" max="8" width="8.84375" style="7" customWidth="1"/>
    <col min="9" max="10" width="9.15234375" style="7" customWidth="1"/>
    <col min="11" max="28" width="4.61328125" style="7" customWidth="1"/>
    <col min="29" max="31" width="3.23046875" style="7" customWidth="1"/>
    <col min="32" max="16384" width="7.61328125" style="7"/>
  </cols>
  <sheetData>
    <row r="1" spans="1:28" s="4" customFormat="1" ht="25.5" customHeight="1" x14ac:dyDescent="0.45">
      <c r="A1" s="2"/>
      <c r="B1" s="3"/>
      <c r="C1" s="3"/>
      <c r="E1" s="3"/>
    </row>
    <row r="2" spans="1:28" s="5" customFormat="1" ht="4.5" customHeight="1" x14ac:dyDescent="0.35">
      <c r="B2" s="6"/>
      <c r="C2" s="6"/>
      <c r="E2" s="6"/>
    </row>
    <row r="3" spans="1:28" x14ac:dyDescent="0.35">
      <c r="B3" s="8"/>
      <c r="C3" s="8"/>
      <c r="E3" s="8"/>
    </row>
    <row r="4" spans="1:28" ht="12" customHeight="1" x14ac:dyDescent="0.35">
      <c r="B4" s="8"/>
      <c r="C4" s="8"/>
      <c r="E4" s="8"/>
      <c r="K4" s="18" t="s">
        <v>19</v>
      </c>
      <c r="L4" s="18"/>
      <c r="M4" s="18"/>
      <c r="N4" s="18"/>
      <c r="O4" s="18"/>
      <c r="P4" s="18"/>
      <c r="Q4" s="18"/>
      <c r="R4" s="18"/>
      <c r="S4" s="18"/>
      <c r="T4" s="36"/>
      <c r="U4" s="36"/>
      <c r="V4" s="36"/>
      <c r="W4" s="36"/>
      <c r="X4" s="36"/>
      <c r="Y4" s="36"/>
      <c r="Z4" s="36"/>
      <c r="AA4" s="36"/>
      <c r="AB4" s="36"/>
    </row>
    <row r="5" spans="1:28" ht="35.5" x14ac:dyDescent="0.35">
      <c r="B5" s="16" t="s">
        <v>0</v>
      </c>
      <c r="C5" s="16" t="s">
        <v>3</v>
      </c>
      <c r="D5" s="17" t="s">
        <v>20</v>
      </c>
      <c r="E5" s="16" t="s">
        <v>7</v>
      </c>
      <c r="F5" s="16" t="s">
        <v>9</v>
      </c>
      <c r="G5" s="16" t="s">
        <v>11</v>
      </c>
      <c r="H5" s="16" t="s">
        <v>13</v>
      </c>
      <c r="I5" s="16" t="s">
        <v>15</v>
      </c>
      <c r="J5" s="16" t="s">
        <v>17</v>
      </c>
      <c r="K5" s="37" t="s">
        <v>47</v>
      </c>
      <c r="L5" s="37" t="s">
        <v>48</v>
      </c>
      <c r="M5" s="37" t="s">
        <v>49</v>
      </c>
      <c r="N5" s="37" t="s">
        <v>50</v>
      </c>
      <c r="O5" s="37" t="s">
        <v>51</v>
      </c>
      <c r="P5" s="37" t="s">
        <v>52</v>
      </c>
      <c r="Q5" s="37" t="s">
        <v>53</v>
      </c>
      <c r="R5" s="37" t="s">
        <v>54</v>
      </c>
      <c r="S5" s="37" t="s">
        <v>55</v>
      </c>
      <c r="T5" s="37" t="s">
        <v>56</v>
      </c>
      <c r="U5" s="37" t="s">
        <v>57</v>
      </c>
      <c r="V5" s="37" t="s">
        <v>58</v>
      </c>
      <c r="W5" s="37" t="s">
        <v>59</v>
      </c>
      <c r="X5" s="37" t="s">
        <v>60</v>
      </c>
      <c r="Y5" s="37" t="s">
        <v>61</v>
      </c>
      <c r="Z5" s="37" t="s">
        <v>62</v>
      </c>
      <c r="AA5" s="37" t="s">
        <v>63</v>
      </c>
      <c r="AB5" s="37" t="s">
        <v>64</v>
      </c>
    </row>
    <row r="6" spans="1:28" x14ac:dyDescent="0.35">
      <c r="B6" s="12">
        <v>1</v>
      </c>
      <c r="C6" s="12" t="s">
        <v>31</v>
      </c>
      <c r="D6" s="12" t="s">
        <v>32</v>
      </c>
      <c r="E6" s="12"/>
      <c r="F6" s="12"/>
      <c r="G6" s="12" t="s">
        <v>33</v>
      </c>
      <c r="H6" s="12" t="s">
        <v>34</v>
      </c>
      <c r="I6" s="12"/>
      <c r="J6" s="12"/>
      <c r="K6" s="30">
        <v>0</v>
      </c>
      <c r="L6" s="30">
        <v>0</v>
      </c>
      <c r="M6" s="30">
        <v>0.5</v>
      </c>
      <c r="N6" s="30">
        <v>0.3</v>
      </c>
      <c r="O6" s="30">
        <v>0.2</v>
      </c>
      <c r="P6" s="30">
        <v>0.25</v>
      </c>
      <c r="Q6" s="30">
        <v>0.2</v>
      </c>
      <c r="R6" s="30">
        <v>0.2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</row>
    <row r="7" spans="1:28" x14ac:dyDescent="0.35">
      <c r="B7" s="12">
        <v>2</v>
      </c>
      <c r="C7" s="12" t="s">
        <v>31</v>
      </c>
      <c r="D7" s="12" t="s">
        <v>35</v>
      </c>
      <c r="E7" s="12"/>
      <c r="F7" s="12"/>
      <c r="G7" s="12" t="s">
        <v>33</v>
      </c>
      <c r="H7" s="12" t="s">
        <v>36</v>
      </c>
      <c r="I7" s="12"/>
      <c r="J7" s="12"/>
      <c r="K7" s="30">
        <v>0.3</v>
      </c>
      <c r="L7" s="30">
        <v>0.3</v>
      </c>
      <c r="M7" s="30">
        <v>0.3</v>
      </c>
      <c r="N7" s="30">
        <v>0.3</v>
      </c>
      <c r="O7" s="30">
        <v>0.3</v>
      </c>
      <c r="P7" s="30">
        <v>0.3</v>
      </c>
      <c r="Q7" s="30">
        <v>0.3</v>
      </c>
      <c r="R7" s="30">
        <v>0.3</v>
      </c>
      <c r="S7" s="30">
        <v>0.3</v>
      </c>
      <c r="T7" s="30">
        <v>0.3</v>
      </c>
      <c r="U7" s="30">
        <v>0.3</v>
      </c>
      <c r="V7" s="30">
        <v>0.3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</row>
    <row r="8" spans="1:28" x14ac:dyDescent="0.35">
      <c r="B8" s="12">
        <v>3</v>
      </c>
      <c r="C8" s="12" t="s">
        <v>31</v>
      </c>
      <c r="D8" s="12" t="s">
        <v>37</v>
      </c>
      <c r="E8" s="12"/>
      <c r="F8" s="12"/>
      <c r="G8" s="12" t="s">
        <v>33</v>
      </c>
      <c r="H8" s="12" t="s">
        <v>36</v>
      </c>
      <c r="I8" s="12"/>
      <c r="J8" s="12"/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0.6</v>
      </c>
      <c r="Q8" s="30">
        <v>0.6</v>
      </c>
      <c r="R8" s="30">
        <v>0.5</v>
      </c>
      <c r="S8" s="30">
        <v>0.3</v>
      </c>
      <c r="T8" s="30">
        <v>0.5</v>
      </c>
      <c r="U8" s="30">
        <v>0.3</v>
      </c>
      <c r="V8" s="30">
        <v>0.3</v>
      </c>
      <c r="W8" s="30">
        <v>0.3</v>
      </c>
      <c r="X8" s="30">
        <v>0.1</v>
      </c>
      <c r="Y8" s="30">
        <v>0</v>
      </c>
      <c r="Z8" s="30">
        <v>0</v>
      </c>
      <c r="AA8" s="30">
        <v>0</v>
      </c>
      <c r="AB8" s="30">
        <v>0</v>
      </c>
    </row>
    <row r="9" spans="1:28" x14ac:dyDescent="0.35">
      <c r="B9" s="12">
        <v>4</v>
      </c>
      <c r="C9" s="12" t="s">
        <v>38</v>
      </c>
      <c r="D9" s="12" t="s">
        <v>32</v>
      </c>
      <c r="E9" s="12"/>
      <c r="F9" s="12"/>
      <c r="G9" s="12" t="s">
        <v>39</v>
      </c>
      <c r="H9" s="12" t="s">
        <v>34</v>
      </c>
      <c r="I9" s="12"/>
      <c r="J9" s="12"/>
      <c r="K9" s="30">
        <v>0</v>
      </c>
      <c r="L9" s="30">
        <v>0</v>
      </c>
      <c r="M9" s="30">
        <v>0.5</v>
      </c>
      <c r="N9" s="30">
        <v>0.3</v>
      </c>
      <c r="O9" s="30">
        <v>0.2</v>
      </c>
      <c r="P9" s="30">
        <v>0.25</v>
      </c>
      <c r="Q9" s="30">
        <v>0.2</v>
      </c>
      <c r="R9" s="30">
        <v>0.2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</row>
    <row r="10" spans="1:28" x14ac:dyDescent="0.35">
      <c r="B10" s="12">
        <v>5</v>
      </c>
      <c r="C10" s="12" t="s">
        <v>38</v>
      </c>
      <c r="D10" s="12" t="s">
        <v>40</v>
      </c>
      <c r="E10" s="12"/>
      <c r="F10" s="12"/>
      <c r="G10" s="12" t="s">
        <v>39</v>
      </c>
      <c r="H10" s="12" t="s">
        <v>41</v>
      </c>
      <c r="I10" s="12"/>
      <c r="J10" s="12"/>
      <c r="K10" s="30">
        <v>0.3</v>
      </c>
      <c r="L10" s="30">
        <v>0.3</v>
      </c>
      <c r="M10" s="30">
        <v>0.3</v>
      </c>
      <c r="N10" s="30">
        <v>0.3</v>
      </c>
      <c r="O10" s="30">
        <v>0.3</v>
      </c>
      <c r="P10" s="30">
        <v>0.3</v>
      </c>
      <c r="Q10" s="30">
        <v>0.3</v>
      </c>
      <c r="R10" s="30">
        <v>0.3</v>
      </c>
      <c r="S10" s="30">
        <v>0.3</v>
      </c>
      <c r="T10" s="30">
        <v>0.3</v>
      </c>
      <c r="U10" s="30">
        <v>0.3</v>
      </c>
      <c r="V10" s="30">
        <v>0.3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</row>
    <row r="11" spans="1:28" x14ac:dyDescent="0.35">
      <c r="B11" s="12">
        <v>6</v>
      </c>
      <c r="C11" s="12" t="s">
        <v>42</v>
      </c>
      <c r="D11" s="12" t="s">
        <v>43</v>
      </c>
      <c r="E11" s="12"/>
      <c r="F11" s="12"/>
      <c r="G11" s="12" t="s">
        <v>33</v>
      </c>
      <c r="H11" s="12" t="s">
        <v>36</v>
      </c>
      <c r="I11" s="12"/>
      <c r="J11" s="12"/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0.6</v>
      </c>
      <c r="Q11" s="30">
        <v>0.6</v>
      </c>
      <c r="R11" s="30">
        <v>0.5</v>
      </c>
      <c r="S11" s="30">
        <v>0.3</v>
      </c>
      <c r="T11" s="30">
        <v>0.5</v>
      </c>
      <c r="U11" s="30">
        <v>0.3</v>
      </c>
      <c r="V11" s="30">
        <v>0.3</v>
      </c>
      <c r="W11" s="30">
        <v>0.3</v>
      </c>
      <c r="X11" s="30">
        <v>0.1</v>
      </c>
      <c r="Y11" s="30">
        <v>0</v>
      </c>
      <c r="Z11" s="30">
        <v>0</v>
      </c>
      <c r="AA11" s="30">
        <v>0</v>
      </c>
      <c r="AB11" s="30">
        <v>0</v>
      </c>
    </row>
    <row r="12" spans="1:28" x14ac:dyDescent="0.35">
      <c r="B12" s="12">
        <v>7</v>
      </c>
      <c r="C12" s="12" t="s">
        <v>44</v>
      </c>
      <c r="D12" s="12" t="s">
        <v>45</v>
      </c>
      <c r="E12" s="12"/>
      <c r="F12" s="12"/>
      <c r="G12" s="12" t="s">
        <v>46</v>
      </c>
      <c r="H12" s="12" t="s">
        <v>41</v>
      </c>
      <c r="I12" s="12"/>
      <c r="J12" s="12"/>
      <c r="K12" s="30">
        <v>0</v>
      </c>
      <c r="L12" s="30">
        <v>0</v>
      </c>
      <c r="M12" s="30">
        <v>0.5</v>
      </c>
      <c r="N12" s="30">
        <v>0.3</v>
      </c>
      <c r="O12" s="30">
        <v>0.2</v>
      </c>
      <c r="P12" s="30">
        <v>0.25</v>
      </c>
      <c r="Q12" s="30">
        <v>0.2</v>
      </c>
      <c r="R12" s="30">
        <v>0.2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</row>
    <row r="13" spans="1:28" x14ac:dyDescent="0.35"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spans="1:28" x14ac:dyDescent="0.35"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spans="1:28" x14ac:dyDescent="0.35"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spans="1:28" x14ac:dyDescent="0.35"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spans="11:28" x14ac:dyDescent="0.35"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spans="11:28" x14ac:dyDescent="0.35"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spans="11:28" x14ac:dyDescent="0.35"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11:28" x14ac:dyDescent="0.35"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spans="11:28" x14ac:dyDescent="0.35"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spans="11:28" x14ac:dyDescent="0.35"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spans="11:28" x14ac:dyDescent="0.35"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spans="11:28" x14ac:dyDescent="0.35"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spans="11:28" x14ac:dyDescent="0.35"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1:28" x14ac:dyDescent="0.35"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spans="11:28" x14ac:dyDescent="0.35"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spans="11:28" x14ac:dyDescent="0.35"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spans="11:28" x14ac:dyDescent="0.35"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spans="11:28" x14ac:dyDescent="0.35"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spans="11:28" x14ac:dyDescent="0.35"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spans="11:28" x14ac:dyDescent="0.35"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1:28" x14ac:dyDescent="0.35"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1:28" x14ac:dyDescent="0.35"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spans="11:28" x14ac:dyDescent="0.35"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spans="11:28" x14ac:dyDescent="0.35"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spans="11:28" x14ac:dyDescent="0.35"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spans="11:28" x14ac:dyDescent="0.35"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spans="11:28" x14ac:dyDescent="0.35"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spans="11:28" x14ac:dyDescent="0.35"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spans="11:28" x14ac:dyDescent="0.35"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1:28" x14ac:dyDescent="0.35"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11:28" x14ac:dyDescent="0.35"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spans="11:28" x14ac:dyDescent="0.35"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1:28" x14ac:dyDescent="0.35"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spans="11:28" x14ac:dyDescent="0.35"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spans="11:28" x14ac:dyDescent="0.35"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11:28" x14ac:dyDescent="0.35"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1:28" x14ac:dyDescent="0.35"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1:28" x14ac:dyDescent="0.35"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1:28" x14ac:dyDescent="0.35"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1:28" x14ac:dyDescent="0.35"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1:28" x14ac:dyDescent="0.35"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spans="11:28" x14ac:dyDescent="0.35"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 spans="11:28" x14ac:dyDescent="0.35"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spans="11:28" x14ac:dyDescent="0.35"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 spans="11:28" x14ac:dyDescent="0.35"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 spans="11:28" x14ac:dyDescent="0.35"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spans="11:28" x14ac:dyDescent="0.35"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 spans="11:28" x14ac:dyDescent="0.35"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 spans="11:28" x14ac:dyDescent="0.35"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spans="11:28" x14ac:dyDescent="0.35"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 spans="11:28" x14ac:dyDescent="0.35"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 spans="11:28" x14ac:dyDescent="0.35"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spans="11:28" x14ac:dyDescent="0.35"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 spans="11:28" x14ac:dyDescent="0.35"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 spans="11:28" x14ac:dyDescent="0.35"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spans="11:28" x14ac:dyDescent="0.35"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 spans="11:28" x14ac:dyDescent="0.35"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 spans="11:28" x14ac:dyDescent="0.35"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spans="11:28" x14ac:dyDescent="0.35"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 spans="11:28" x14ac:dyDescent="0.35"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 spans="11:28" x14ac:dyDescent="0.35"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 spans="11:28" x14ac:dyDescent="0.35"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 spans="11:28" x14ac:dyDescent="0.35"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 spans="11:28" x14ac:dyDescent="0.35"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 spans="11:28" x14ac:dyDescent="0.35"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 spans="11:28" x14ac:dyDescent="0.35"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 spans="11:28" x14ac:dyDescent="0.35"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 spans="11:28" x14ac:dyDescent="0.35"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 spans="11:28" x14ac:dyDescent="0.35"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 spans="11:28" x14ac:dyDescent="0.35"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 spans="11:28" x14ac:dyDescent="0.35"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 spans="11:28" x14ac:dyDescent="0.35"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 spans="11:28" x14ac:dyDescent="0.35"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 spans="11:28" x14ac:dyDescent="0.35"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 spans="11:28" x14ac:dyDescent="0.35"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 spans="11:28" x14ac:dyDescent="0.35"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 spans="11:28" x14ac:dyDescent="0.35"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 spans="11:28" x14ac:dyDescent="0.35"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 spans="11:28" x14ac:dyDescent="0.35"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 spans="11:28" x14ac:dyDescent="0.35"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 spans="11:28" x14ac:dyDescent="0.35"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 spans="11:28" x14ac:dyDescent="0.35"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 spans="11:28" x14ac:dyDescent="0.35"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 spans="11:28" x14ac:dyDescent="0.35"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 spans="11:28" x14ac:dyDescent="0.35"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 spans="11:28" x14ac:dyDescent="0.35"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 spans="11:28" x14ac:dyDescent="0.35"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 spans="11:28" x14ac:dyDescent="0.35"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 spans="11:28" x14ac:dyDescent="0.35"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 spans="11:28" x14ac:dyDescent="0.35"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 spans="11:28" x14ac:dyDescent="0.35"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 spans="11:28" x14ac:dyDescent="0.35"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 spans="11:28" x14ac:dyDescent="0.35"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 spans="11:28" x14ac:dyDescent="0.35"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 spans="11:28" x14ac:dyDescent="0.35"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 spans="11:28" x14ac:dyDescent="0.35"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 spans="11:28" x14ac:dyDescent="0.35"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 spans="11:28" x14ac:dyDescent="0.35"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 spans="11:28" x14ac:dyDescent="0.35"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 spans="11:28" x14ac:dyDescent="0.35"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 spans="11:28" x14ac:dyDescent="0.35"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 spans="11:28" x14ac:dyDescent="0.35"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 spans="11:28" x14ac:dyDescent="0.35"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 spans="11:28" x14ac:dyDescent="0.35"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 spans="11:28" x14ac:dyDescent="0.35"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 spans="11:28" x14ac:dyDescent="0.35"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 spans="11:28" x14ac:dyDescent="0.35"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 spans="11:28" x14ac:dyDescent="0.35"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 spans="11:28" x14ac:dyDescent="0.35"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 spans="11:28" x14ac:dyDescent="0.35"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 spans="11:28" x14ac:dyDescent="0.35"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 spans="11:28" x14ac:dyDescent="0.35"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 spans="11:28" x14ac:dyDescent="0.35"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 spans="11:28" x14ac:dyDescent="0.35"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 spans="11:28" x14ac:dyDescent="0.35"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 spans="11:28" x14ac:dyDescent="0.35"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 spans="11:28" x14ac:dyDescent="0.35"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 spans="11:28" x14ac:dyDescent="0.35"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 spans="11:28" x14ac:dyDescent="0.35"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 spans="11:28" x14ac:dyDescent="0.35"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 spans="11:28" x14ac:dyDescent="0.35"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 spans="11:28" x14ac:dyDescent="0.35"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 spans="11:28" x14ac:dyDescent="0.35"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 spans="11:28" x14ac:dyDescent="0.35"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 spans="11:28" x14ac:dyDescent="0.35"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 spans="11:28" x14ac:dyDescent="0.35"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 spans="11:28" x14ac:dyDescent="0.35"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 spans="11:28" x14ac:dyDescent="0.35"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 spans="11:28" x14ac:dyDescent="0.35"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 spans="11:28" x14ac:dyDescent="0.35"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 spans="11:28" x14ac:dyDescent="0.35"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 spans="11:28" x14ac:dyDescent="0.35"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 spans="11:28" x14ac:dyDescent="0.35"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 spans="11:28" x14ac:dyDescent="0.35"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 spans="11:28" x14ac:dyDescent="0.35"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 spans="11:28" x14ac:dyDescent="0.35"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 spans="11:28" x14ac:dyDescent="0.35"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 spans="11:28" x14ac:dyDescent="0.35"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 spans="11:28" x14ac:dyDescent="0.35"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 spans="11:28" x14ac:dyDescent="0.35"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 spans="11:28" x14ac:dyDescent="0.35"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 spans="11:28" x14ac:dyDescent="0.35"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 spans="11:28" x14ac:dyDescent="0.35"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 spans="11:28" x14ac:dyDescent="0.35"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 spans="11:28" x14ac:dyDescent="0.35"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 spans="11:28" x14ac:dyDescent="0.35"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 spans="11:28" x14ac:dyDescent="0.35"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 spans="11:28" x14ac:dyDescent="0.35"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 spans="11:28" x14ac:dyDescent="0.35"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 spans="11:28" x14ac:dyDescent="0.35"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 spans="11:28" x14ac:dyDescent="0.35"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 spans="11:28" x14ac:dyDescent="0.35"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 spans="11:28" x14ac:dyDescent="0.35"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 spans="11:28" x14ac:dyDescent="0.35"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 spans="11:28" x14ac:dyDescent="0.35"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 spans="11:28" x14ac:dyDescent="0.35"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 spans="11:28" x14ac:dyDescent="0.35"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 spans="11:28" x14ac:dyDescent="0.35"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 spans="11:28" x14ac:dyDescent="0.35"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 spans="11:28" x14ac:dyDescent="0.35"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 spans="11:28" x14ac:dyDescent="0.35"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 spans="11:28" x14ac:dyDescent="0.35"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 spans="11:28" x14ac:dyDescent="0.35"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 spans="11:28" x14ac:dyDescent="0.35"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 spans="11:28" x14ac:dyDescent="0.35"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 spans="11:28" x14ac:dyDescent="0.35"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 spans="11:28" x14ac:dyDescent="0.35"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 spans="11:28" x14ac:dyDescent="0.35"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 spans="11:28" x14ac:dyDescent="0.35"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 spans="11:28" x14ac:dyDescent="0.35"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 spans="11:28" x14ac:dyDescent="0.35"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 spans="11:28" x14ac:dyDescent="0.35"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 spans="11:28" x14ac:dyDescent="0.35"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 spans="11:28" x14ac:dyDescent="0.35"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 spans="11:28" x14ac:dyDescent="0.35"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 spans="11:28" x14ac:dyDescent="0.35"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 spans="11:28" x14ac:dyDescent="0.35"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 spans="11:28" x14ac:dyDescent="0.35"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 spans="11:28" x14ac:dyDescent="0.35"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 spans="11:28" x14ac:dyDescent="0.35"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 spans="11:28" x14ac:dyDescent="0.35"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 spans="11:28" x14ac:dyDescent="0.35"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 spans="11:28" x14ac:dyDescent="0.35"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 spans="11:28" x14ac:dyDescent="0.35"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 spans="11:28" x14ac:dyDescent="0.35"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 spans="11:28" x14ac:dyDescent="0.35"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 spans="11:28" x14ac:dyDescent="0.35"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 spans="11:28" x14ac:dyDescent="0.35"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 spans="11:28" x14ac:dyDescent="0.35"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 spans="11:28" x14ac:dyDescent="0.35"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 spans="11:28" x14ac:dyDescent="0.35"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 spans="11:28" x14ac:dyDescent="0.35"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 spans="11:28" x14ac:dyDescent="0.35"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 spans="11:28" x14ac:dyDescent="0.35"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 spans="11:28" x14ac:dyDescent="0.35"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 spans="11:28" x14ac:dyDescent="0.35"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 spans="11:28" x14ac:dyDescent="0.35"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 spans="11:28" x14ac:dyDescent="0.35"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 spans="11:28" x14ac:dyDescent="0.35"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 spans="11:28" x14ac:dyDescent="0.35"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 spans="11:28" x14ac:dyDescent="0.35"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 spans="11:28" x14ac:dyDescent="0.35"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 spans="11:28" x14ac:dyDescent="0.35"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 spans="11:28" x14ac:dyDescent="0.35"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 spans="11:28" x14ac:dyDescent="0.35"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 spans="11:28" x14ac:dyDescent="0.35"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 spans="11:28" x14ac:dyDescent="0.35"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 spans="11:28" x14ac:dyDescent="0.35"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 spans="11:28" x14ac:dyDescent="0.35"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 spans="11:28" x14ac:dyDescent="0.35"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 spans="11:28" x14ac:dyDescent="0.35"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 spans="11:28" x14ac:dyDescent="0.35"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 spans="11:28" x14ac:dyDescent="0.35"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 spans="11:28" x14ac:dyDescent="0.35"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 spans="11:28" x14ac:dyDescent="0.35"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 spans="11:28" x14ac:dyDescent="0.35"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 spans="11:28" x14ac:dyDescent="0.35"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 spans="11:28" x14ac:dyDescent="0.35"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 spans="11:28" x14ac:dyDescent="0.35"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 spans="11:28" x14ac:dyDescent="0.35"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 spans="11:28" x14ac:dyDescent="0.35"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 spans="11:28" x14ac:dyDescent="0.35"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 spans="11:28" x14ac:dyDescent="0.35"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 spans="11:28" x14ac:dyDescent="0.35"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 spans="11:28" x14ac:dyDescent="0.35"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 spans="11:28" x14ac:dyDescent="0.35"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 spans="11:28" x14ac:dyDescent="0.35"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 spans="11:28" x14ac:dyDescent="0.35"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 spans="11:28" x14ac:dyDescent="0.35"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 spans="11:28" x14ac:dyDescent="0.35"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 spans="11:28" x14ac:dyDescent="0.35"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 spans="11:28" x14ac:dyDescent="0.35"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 spans="11:28" x14ac:dyDescent="0.35"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 spans="11:28" x14ac:dyDescent="0.35"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 spans="11:28" x14ac:dyDescent="0.35"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 spans="11:28" x14ac:dyDescent="0.35"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spans="11:28" x14ac:dyDescent="0.35"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spans="11:28" x14ac:dyDescent="0.35"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spans="11:28" x14ac:dyDescent="0.35"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spans="11:28" x14ac:dyDescent="0.35"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spans="11:28" x14ac:dyDescent="0.35"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spans="11:28" x14ac:dyDescent="0.35"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spans="11:28" x14ac:dyDescent="0.35"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spans="11:28" x14ac:dyDescent="0.35"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spans="11:28" x14ac:dyDescent="0.35"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spans="11:28" x14ac:dyDescent="0.35"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spans="11:28" x14ac:dyDescent="0.35"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spans="11:28" x14ac:dyDescent="0.35"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spans="11:28" x14ac:dyDescent="0.35"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spans="11:28" x14ac:dyDescent="0.35"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spans="11:28" x14ac:dyDescent="0.35"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spans="11:28" x14ac:dyDescent="0.35"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spans="11:28" x14ac:dyDescent="0.35"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spans="11:28" x14ac:dyDescent="0.35"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spans="11:28" x14ac:dyDescent="0.35"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spans="11:28" x14ac:dyDescent="0.35"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spans="11:28" x14ac:dyDescent="0.35"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spans="11:28" x14ac:dyDescent="0.35"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spans="11:28" x14ac:dyDescent="0.35"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spans="11:28" x14ac:dyDescent="0.35"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spans="11:28" x14ac:dyDescent="0.35"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spans="11:28" x14ac:dyDescent="0.35"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spans="11:28" x14ac:dyDescent="0.35"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spans="11:28" x14ac:dyDescent="0.35"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spans="11:28" x14ac:dyDescent="0.35"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spans="11:28" x14ac:dyDescent="0.35"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spans="11:28" x14ac:dyDescent="0.35"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spans="11:28" x14ac:dyDescent="0.35"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spans="11:28" x14ac:dyDescent="0.35"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spans="11:28" x14ac:dyDescent="0.35"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spans="11:28" x14ac:dyDescent="0.35"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spans="11:28" x14ac:dyDescent="0.35"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spans="11:28" x14ac:dyDescent="0.35"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spans="11:28" x14ac:dyDescent="0.35"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spans="11:28" x14ac:dyDescent="0.35"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spans="11:28" x14ac:dyDescent="0.35"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spans="11:28" x14ac:dyDescent="0.35"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spans="11:28" x14ac:dyDescent="0.35"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spans="11:28" x14ac:dyDescent="0.35"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spans="11:28" x14ac:dyDescent="0.35"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spans="11:28" x14ac:dyDescent="0.35"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spans="11:28" x14ac:dyDescent="0.35"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spans="11:28" x14ac:dyDescent="0.35"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spans="11:28" x14ac:dyDescent="0.35"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spans="11:28" x14ac:dyDescent="0.35"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spans="11:28" x14ac:dyDescent="0.35"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spans="11:28" x14ac:dyDescent="0.35"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spans="11:28" x14ac:dyDescent="0.35"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spans="11:28" x14ac:dyDescent="0.35"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spans="11:28" x14ac:dyDescent="0.35"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spans="11:28" x14ac:dyDescent="0.35"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spans="11:28" x14ac:dyDescent="0.35"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spans="11:28" x14ac:dyDescent="0.35"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spans="11:28" x14ac:dyDescent="0.35"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spans="11:28" x14ac:dyDescent="0.35"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spans="11:28" x14ac:dyDescent="0.35"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spans="11:28" x14ac:dyDescent="0.35"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spans="11:28" x14ac:dyDescent="0.35"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spans="11:28" x14ac:dyDescent="0.35"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spans="11:28" x14ac:dyDescent="0.35"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spans="11:28" x14ac:dyDescent="0.35"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spans="11:28" x14ac:dyDescent="0.35"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spans="11:28" x14ac:dyDescent="0.35"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spans="11:28" x14ac:dyDescent="0.35"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spans="11:28" x14ac:dyDescent="0.35"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spans="11:28" x14ac:dyDescent="0.35"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spans="11:28" x14ac:dyDescent="0.35"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spans="11:28" x14ac:dyDescent="0.35"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spans="11:28" x14ac:dyDescent="0.35"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spans="11:28" x14ac:dyDescent="0.35"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spans="11:28" x14ac:dyDescent="0.35"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spans="11:28" x14ac:dyDescent="0.35"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spans="11:28" x14ac:dyDescent="0.35"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spans="11:28" x14ac:dyDescent="0.35"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spans="11:28" x14ac:dyDescent="0.35"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spans="11:28" x14ac:dyDescent="0.35"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spans="11:28" x14ac:dyDescent="0.35"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spans="11:28" x14ac:dyDescent="0.35"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spans="11:28" x14ac:dyDescent="0.35"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spans="11:28" x14ac:dyDescent="0.35"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spans="11:28" x14ac:dyDescent="0.35"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spans="11:28" x14ac:dyDescent="0.35"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spans="11:28" x14ac:dyDescent="0.35"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spans="11:28" x14ac:dyDescent="0.35"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spans="11:28" x14ac:dyDescent="0.35"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spans="11:28" x14ac:dyDescent="0.35"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spans="11:28" x14ac:dyDescent="0.35"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spans="11:28" x14ac:dyDescent="0.35"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spans="11:28" x14ac:dyDescent="0.35"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spans="11:28" x14ac:dyDescent="0.35"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spans="11:28" x14ac:dyDescent="0.35"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spans="11:28" x14ac:dyDescent="0.35"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spans="11:28" x14ac:dyDescent="0.35"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spans="11:28" x14ac:dyDescent="0.35"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spans="11:28" x14ac:dyDescent="0.35"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spans="11:28" x14ac:dyDescent="0.35"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spans="11:28" x14ac:dyDescent="0.35"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spans="11:28" x14ac:dyDescent="0.35"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spans="11:28" x14ac:dyDescent="0.35"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spans="11:28" x14ac:dyDescent="0.35"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spans="11:28" x14ac:dyDescent="0.35"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spans="11:28" x14ac:dyDescent="0.35"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spans="11:28" x14ac:dyDescent="0.35"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spans="11:28" x14ac:dyDescent="0.35"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spans="11:28" x14ac:dyDescent="0.35"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spans="11:28" x14ac:dyDescent="0.35"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spans="11:28" x14ac:dyDescent="0.35"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spans="11:28" x14ac:dyDescent="0.35"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spans="11:28" x14ac:dyDescent="0.35"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spans="11:28" x14ac:dyDescent="0.35"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spans="11:28" x14ac:dyDescent="0.35"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spans="11:28" x14ac:dyDescent="0.35"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spans="11:28" x14ac:dyDescent="0.35"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spans="11:28" x14ac:dyDescent="0.35"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spans="11:28" x14ac:dyDescent="0.35"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spans="11:28" x14ac:dyDescent="0.35"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spans="11:28" x14ac:dyDescent="0.35"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spans="11:28" x14ac:dyDescent="0.35"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spans="11:28" x14ac:dyDescent="0.35"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spans="11:28" x14ac:dyDescent="0.35"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spans="11:28" x14ac:dyDescent="0.35"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spans="11:28" x14ac:dyDescent="0.35"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spans="11:28" x14ac:dyDescent="0.35"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spans="11:28" x14ac:dyDescent="0.35"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spans="11:28" x14ac:dyDescent="0.35"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spans="11:28" x14ac:dyDescent="0.35"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spans="11:28" x14ac:dyDescent="0.35"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spans="11:28" x14ac:dyDescent="0.35"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spans="11:28" x14ac:dyDescent="0.35"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spans="11:28" x14ac:dyDescent="0.35"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spans="11:28" x14ac:dyDescent="0.35"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spans="11:28" x14ac:dyDescent="0.35"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spans="11:28" x14ac:dyDescent="0.35"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spans="11:28" x14ac:dyDescent="0.35"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spans="11:28" x14ac:dyDescent="0.35"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spans="11:28" x14ac:dyDescent="0.35"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spans="11:28" x14ac:dyDescent="0.35"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spans="11:28" x14ac:dyDescent="0.35"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spans="11:28" x14ac:dyDescent="0.35"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spans="11:28" x14ac:dyDescent="0.35"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spans="11:28" x14ac:dyDescent="0.35"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spans="11:28" x14ac:dyDescent="0.35"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spans="11:28" x14ac:dyDescent="0.35"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spans="11:28" x14ac:dyDescent="0.35"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spans="11:28" x14ac:dyDescent="0.35"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spans="11:28" x14ac:dyDescent="0.35"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spans="11:28" x14ac:dyDescent="0.35"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spans="11:28" x14ac:dyDescent="0.35"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spans="11:28" x14ac:dyDescent="0.35"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spans="11:28" x14ac:dyDescent="0.35"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spans="11:28" x14ac:dyDescent="0.35"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spans="11:28" x14ac:dyDescent="0.35"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spans="11:28" x14ac:dyDescent="0.35"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spans="11:28" x14ac:dyDescent="0.35"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spans="11:28" x14ac:dyDescent="0.35"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spans="11:28" x14ac:dyDescent="0.35"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spans="11:28" x14ac:dyDescent="0.35"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spans="11:28" x14ac:dyDescent="0.35"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spans="11:28" x14ac:dyDescent="0.35"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spans="11:28" x14ac:dyDescent="0.35"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spans="11:28" x14ac:dyDescent="0.35"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spans="11:28" x14ac:dyDescent="0.35"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spans="11:28" x14ac:dyDescent="0.35"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spans="11:28" x14ac:dyDescent="0.35"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spans="11:28" x14ac:dyDescent="0.35"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spans="11:28" x14ac:dyDescent="0.35"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spans="11:28" x14ac:dyDescent="0.35"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spans="11:28" x14ac:dyDescent="0.35"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spans="11:28" x14ac:dyDescent="0.35"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spans="11:28" x14ac:dyDescent="0.35"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spans="11:28" x14ac:dyDescent="0.35"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spans="11:28" x14ac:dyDescent="0.35"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spans="11:28" x14ac:dyDescent="0.35"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spans="11:28" x14ac:dyDescent="0.35"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spans="11:28" x14ac:dyDescent="0.35"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spans="11:28" x14ac:dyDescent="0.35"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spans="11:28" x14ac:dyDescent="0.35"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spans="11:28" x14ac:dyDescent="0.35"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spans="11:28" x14ac:dyDescent="0.35"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spans="11:28" x14ac:dyDescent="0.35"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spans="11:28" x14ac:dyDescent="0.35"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spans="11:28" x14ac:dyDescent="0.35"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spans="11:28" x14ac:dyDescent="0.35"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spans="11:28" x14ac:dyDescent="0.35"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spans="11:28" x14ac:dyDescent="0.35"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spans="11:28" x14ac:dyDescent="0.35"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spans="11:28" x14ac:dyDescent="0.35"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spans="11:28" x14ac:dyDescent="0.35"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spans="11:28" x14ac:dyDescent="0.35"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spans="11:28" x14ac:dyDescent="0.35"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spans="11:28" x14ac:dyDescent="0.35"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spans="11:28" x14ac:dyDescent="0.35"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spans="11:28" x14ac:dyDescent="0.35"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spans="11:28" x14ac:dyDescent="0.35"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spans="11:28" x14ac:dyDescent="0.35"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spans="11:28" x14ac:dyDescent="0.35"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spans="11:28" x14ac:dyDescent="0.35"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spans="11:28" x14ac:dyDescent="0.35"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spans="11:28" x14ac:dyDescent="0.35"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spans="11:28" x14ac:dyDescent="0.35"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spans="11:28" x14ac:dyDescent="0.35"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spans="11:28" x14ac:dyDescent="0.35"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spans="11:28" x14ac:dyDescent="0.35"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spans="11:28" x14ac:dyDescent="0.35"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spans="11:28" x14ac:dyDescent="0.35"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spans="11:28" x14ac:dyDescent="0.35"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spans="11:28" x14ac:dyDescent="0.35"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spans="11:28" x14ac:dyDescent="0.35"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spans="11:28" x14ac:dyDescent="0.35"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spans="11:28" x14ac:dyDescent="0.35"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spans="11:28" x14ac:dyDescent="0.35"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spans="11:28" x14ac:dyDescent="0.35"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 spans="11:28" x14ac:dyDescent="0.35"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spans="11:28" x14ac:dyDescent="0.35"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spans="11:28" x14ac:dyDescent="0.35"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spans="11:28" x14ac:dyDescent="0.35"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spans="11:28" x14ac:dyDescent="0.35"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spans="11:28" x14ac:dyDescent="0.35"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spans="11:28" x14ac:dyDescent="0.35"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spans="11:28" x14ac:dyDescent="0.35"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spans="11:28" x14ac:dyDescent="0.35"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spans="11:28" x14ac:dyDescent="0.35"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spans="11:28" x14ac:dyDescent="0.35"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spans="11:28" x14ac:dyDescent="0.35"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spans="11:28" x14ac:dyDescent="0.35"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spans="11:28" x14ac:dyDescent="0.35"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spans="11:28" x14ac:dyDescent="0.35"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spans="11:28" x14ac:dyDescent="0.35"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spans="11:28" x14ac:dyDescent="0.35"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spans="11:28" x14ac:dyDescent="0.35"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spans="11:28" x14ac:dyDescent="0.35"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spans="11:28" x14ac:dyDescent="0.35"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spans="11:28" x14ac:dyDescent="0.35"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 spans="11:28" x14ac:dyDescent="0.35"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 spans="11:28" x14ac:dyDescent="0.35"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 spans="11:28" x14ac:dyDescent="0.35"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 spans="11:28" x14ac:dyDescent="0.35"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 spans="11:28" x14ac:dyDescent="0.35"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 spans="11:28" x14ac:dyDescent="0.35"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 spans="11:28" x14ac:dyDescent="0.35"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 spans="11:28" x14ac:dyDescent="0.35"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 spans="11:28" x14ac:dyDescent="0.35"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 spans="11:28" x14ac:dyDescent="0.35"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 spans="11:28" x14ac:dyDescent="0.35"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 spans="11:28" x14ac:dyDescent="0.35"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 spans="11:28" x14ac:dyDescent="0.35"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 spans="11:28" x14ac:dyDescent="0.35"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 spans="11:28" x14ac:dyDescent="0.35"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 spans="11:28" x14ac:dyDescent="0.35"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 spans="11:28" x14ac:dyDescent="0.35"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 spans="11:28" x14ac:dyDescent="0.35"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spans="11:28" x14ac:dyDescent="0.35"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spans="11:28" x14ac:dyDescent="0.35"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spans="11:28" x14ac:dyDescent="0.35"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spans="11:28" x14ac:dyDescent="0.35"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spans="11:28" x14ac:dyDescent="0.35"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spans="11:28" x14ac:dyDescent="0.35"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spans="11:28" x14ac:dyDescent="0.35"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spans="11:28" x14ac:dyDescent="0.35"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spans="11:28" x14ac:dyDescent="0.35"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spans="11:28" x14ac:dyDescent="0.35"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spans="11:28" x14ac:dyDescent="0.35"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spans="11:28" x14ac:dyDescent="0.35"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spans="11:28" x14ac:dyDescent="0.35"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spans="11:28" x14ac:dyDescent="0.35"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spans="11:28" x14ac:dyDescent="0.35"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spans="11:28" x14ac:dyDescent="0.35"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spans="11:28" x14ac:dyDescent="0.35"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spans="11:28" x14ac:dyDescent="0.35"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spans="11:28" x14ac:dyDescent="0.35"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spans="11:28" x14ac:dyDescent="0.35"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spans="11:28" x14ac:dyDescent="0.35"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spans="11:28" x14ac:dyDescent="0.35"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spans="11:28" x14ac:dyDescent="0.35"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spans="11:28" x14ac:dyDescent="0.35"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spans="11:28" x14ac:dyDescent="0.35"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spans="11:28" x14ac:dyDescent="0.35"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spans="11:28" x14ac:dyDescent="0.35"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spans="11:28" x14ac:dyDescent="0.35"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spans="11:28" x14ac:dyDescent="0.35"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spans="11:28" x14ac:dyDescent="0.35"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spans="11:28" x14ac:dyDescent="0.35"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spans="11:28" x14ac:dyDescent="0.35"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spans="11:28" x14ac:dyDescent="0.35"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spans="11:28" x14ac:dyDescent="0.35"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spans="11:28" x14ac:dyDescent="0.35"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spans="11:28" x14ac:dyDescent="0.35"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spans="11:28" x14ac:dyDescent="0.35"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spans="11:28" x14ac:dyDescent="0.35"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spans="11:28" x14ac:dyDescent="0.35"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spans="11:28" x14ac:dyDescent="0.35"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spans="11:28" x14ac:dyDescent="0.35"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spans="11:28" x14ac:dyDescent="0.35"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spans="11:28" x14ac:dyDescent="0.35"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spans="11:28" x14ac:dyDescent="0.35"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spans="11:28" x14ac:dyDescent="0.35"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spans="11:28" x14ac:dyDescent="0.35"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spans="11:28" x14ac:dyDescent="0.35"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spans="11:28" x14ac:dyDescent="0.35"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spans="11:28" x14ac:dyDescent="0.35"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spans="11:28" x14ac:dyDescent="0.35"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spans="11:28" x14ac:dyDescent="0.35"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spans="11:28" x14ac:dyDescent="0.35"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spans="11:28" x14ac:dyDescent="0.35"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spans="11:28" x14ac:dyDescent="0.35"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spans="11:28" x14ac:dyDescent="0.35"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spans="11:28" x14ac:dyDescent="0.35"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spans="11:28" x14ac:dyDescent="0.35"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spans="11:28" x14ac:dyDescent="0.35"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spans="11:28" x14ac:dyDescent="0.35"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spans="11:28" x14ac:dyDescent="0.35"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spans="11:28" x14ac:dyDescent="0.35"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spans="11:28" x14ac:dyDescent="0.35"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spans="11:28" x14ac:dyDescent="0.35"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spans="11:28" x14ac:dyDescent="0.35"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spans="11:28" x14ac:dyDescent="0.35"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spans="11:28" x14ac:dyDescent="0.35"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spans="11:28" x14ac:dyDescent="0.35"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spans="11:28" x14ac:dyDescent="0.35"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spans="11:28" x14ac:dyDescent="0.35"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spans="11:28" x14ac:dyDescent="0.35"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spans="11:28" x14ac:dyDescent="0.35"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spans="11:28" x14ac:dyDescent="0.35"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spans="11:28" x14ac:dyDescent="0.35"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spans="11:28" x14ac:dyDescent="0.35"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spans="11:28" x14ac:dyDescent="0.35"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spans="11:28" x14ac:dyDescent="0.35"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spans="11:28" x14ac:dyDescent="0.35"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spans="11:28" x14ac:dyDescent="0.35"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spans="11:28" x14ac:dyDescent="0.35"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spans="11:28" x14ac:dyDescent="0.35"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spans="11:28" x14ac:dyDescent="0.35"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spans="11:28" x14ac:dyDescent="0.35"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spans="11:28" x14ac:dyDescent="0.35"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spans="11:28" x14ac:dyDescent="0.35"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spans="11:28" x14ac:dyDescent="0.35"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spans="11:28" x14ac:dyDescent="0.35"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spans="11:28" x14ac:dyDescent="0.35"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spans="11:28" x14ac:dyDescent="0.35"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spans="11:28" x14ac:dyDescent="0.35"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spans="11:28" x14ac:dyDescent="0.35"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spans="11:28" x14ac:dyDescent="0.35"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spans="11:28" x14ac:dyDescent="0.35"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spans="11:28" x14ac:dyDescent="0.35"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spans="11:28" x14ac:dyDescent="0.35"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spans="11:28" x14ac:dyDescent="0.35"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spans="11:28" x14ac:dyDescent="0.35"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spans="11:28" x14ac:dyDescent="0.35"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spans="11:28" x14ac:dyDescent="0.35"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spans="11:28" x14ac:dyDescent="0.35"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spans="11:28" x14ac:dyDescent="0.35"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spans="11:28" x14ac:dyDescent="0.35"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spans="11:28" x14ac:dyDescent="0.35"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spans="11:28" x14ac:dyDescent="0.35"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spans="11:28" x14ac:dyDescent="0.35"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spans="11:28" x14ac:dyDescent="0.35"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spans="11:28" x14ac:dyDescent="0.35"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spans="11:28" x14ac:dyDescent="0.35"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spans="11:28" x14ac:dyDescent="0.35"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spans="11:28" x14ac:dyDescent="0.35"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spans="11:28" x14ac:dyDescent="0.35"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spans="11:28" x14ac:dyDescent="0.35"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spans="11:28" x14ac:dyDescent="0.35"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spans="11:28" x14ac:dyDescent="0.35"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spans="11:28" x14ac:dyDescent="0.35"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spans="11:28" x14ac:dyDescent="0.35"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spans="11:28" x14ac:dyDescent="0.35"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spans="11:28" x14ac:dyDescent="0.35"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spans="11:28" x14ac:dyDescent="0.35"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spans="11:28" x14ac:dyDescent="0.35"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spans="11:28" x14ac:dyDescent="0.35"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spans="11:28" x14ac:dyDescent="0.35"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spans="11:28" x14ac:dyDescent="0.35"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spans="11:28" x14ac:dyDescent="0.35"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spans="11:28" x14ac:dyDescent="0.35"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spans="11:28" x14ac:dyDescent="0.35"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spans="11:28" x14ac:dyDescent="0.35"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spans="11:28" x14ac:dyDescent="0.35"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spans="11:28" x14ac:dyDescent="0.35"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spans="11:28" x14ac:dyDescent="0.35"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spans="11:28" x14ac:dyDescent="0.35"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spans="11:28" x14ac:dyDescent="0.35"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spans="11:28" x14ac:dyDescent="0.35"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spans="11:28" x14ac:dyDescent="0.35"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spans="11:28" x14ac:dyDescent="0.35"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spans="11:28" x14ac:dyDescent="0.35"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spans="11:28" x14ac:dyDescent="0.35"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spans="11:28" x14ac:dyDescent="0.35"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spans="11:28" x14ac:dyDescent="0.35"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spans="11:28" x14ac:dyDescent="0.35"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spans="11:28" x14ac:dyDescent="0.35"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spans="11:28" x14ac:dyDescent="0.35"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spans="11:28" x14ac:dyDescent="0.35"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spans="11:28" x14ac:dyDescent="0.35"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spans="11:28" x14ac:dyDescent="0.35"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spans="11:28" x14ac:dyDescent="0.35"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spans="11:28" x14ac:dyDescent="0.35"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spans="11:28" x14ac:dyDescent="0.35"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spans="11:28" x14ac:dyDescent="0.35"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spans="11:28" x14ac:dyDescent="0.35"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spans="11:28" x14ac:dyDescent="0.35"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spans="11:28" x14ac:dyDescent="0.35"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spans="11:28" x14ac:dyDescent="0.35"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spans="11:28" x14ac:dyDescent="0.35"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spans="11:28" x14ac:dyDescent="0.35"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spans="11:28" x14ac:dyDescent="0.35"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spans="11:28" x14ac:dyDescent="0.35"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spans="11:28" x14ac:dyDescent="0.35"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spans="11:28" x14ac:dyDescent="0.35"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spans="11:28" x14ac:dyDescent="0.35"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spans="11:28" x14ac:dyDescent="0.35"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spans="11:28" x14ac:dyDescent="0.35"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spans="11:28" x14ac:dyDescent="0.35"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spans="11:28" x14ac:dyDescent="0.35"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spans="11:28" x14ac:dyDescent="0.35"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spans="11:28" x14ac:dyDescent="0.35"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spans="11:28" x14ac:dyDescent="0.35"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spans="11:28" x14ac:dyDescent="0.35"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spans="11:28" x14ac:dyDescent="0.35"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spans="11:28" x14ac:dyDescent="0.35"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spans="11:28" x14ac:dyDescent="0.35"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spans="11:28" x14ac:dyDescent="0.35"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spans="11:28" x14ac:dyDescent="0.35"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spans="11:28" x14ac:dyDescent="0.35"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spans="11:28" x14ac:dyDescent="0.35"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spans="11:28" x14ac:dyDescent="0.35"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spans="11:28" x14ac:dyDescent="0.35"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spans="11:28" x14ac:dyDescent="0.35"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spans="11:28" x14ac:dyDescent="0.35"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spans="11:28" x14ac:dyDescent="0.35"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spans="11:28" x14ac:dyDescent="0.35"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spans="11:28" x14ac:dyDescent="0.35"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spans="11:28" x14ac:dyDescent="0.35"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spans="11:28" x14ac:dyDescent="0.35"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spans="11:28" x14ac:dyDescent="0.35"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spans="11:28" x14ac:dyDescent="0.35"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spans="11:28" x14ac:dyDescent="0.35"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spans="11:28" x14ac:dyDescent="0.35"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spans="11:28" x14ac:dyDescent="0.35"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spans="11:28" x14ac:dyDescent="0.35"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spans="11:28" x14ac:dyDescent="0.35"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spans="11:28" x14ac:dyDescent="0.35"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spans="11:28" x14ac:dyDescent="0.35"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spans="11:28" x14ac:dyDescent="0.35"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spans="11:28" x14ac:dyDescent="0.35"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spans="11:28" x14ac:dyDescent="0.35"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spans="11:28" x14ac:dyDescent="0.35"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spans="11:28" x14ac:dyDescent="0.35"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spans="11:28" x14ac:dyDescent="0.35"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spans="11:28" x14ac:dyDescent="0.35"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spans="11:28" x14ac:dyDescent="0.35"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spans="11:28" x14ac:dyDescent="0.35"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spans="11:28" x14ac:dyDescent="0.35"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spans="11:28" x14ac:dyDescent="0.35"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spans="11:28" x14ac:dyDescent="0.35"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spans="11:28" x14ac:dyDescent="0.35"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spans="11:28" x14ac:dyDescent="0.35"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spans="11:28" x14ac:dyDescent="0.35"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spans="11:28" x14ac:dyDescent="0.35"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spans="11:28" x14ac:dyDescent="0.35"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spans="11:28" x14ac:dyDescent="0.35"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spans="11:28" x14ac:dyDescent="0.35"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spans="11:28" x14ac:dyDescent="0.35"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spans="11:28" x14ac:dyDescent="0.35"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spans="11:28" x14ac:dyDescent="0.35"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spans="11:28" x14ac:dyDescent="0.35"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spans="11:28" x14ac:dyDescent="0.35"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spans="11:28" x14ac:dyDescent="0.35"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</sheetData>
  <conditionalFormatting sqref="T6:T12">
    <cfRule type="cellIs" dxfId="2" priority="1" operator="equal">
      <formula>"On-Track"</formula>
    </cfRule>
    <cfRule type="cellIs" dxfId="1" priority="2" operator="equal">
      <formula>"Watchout"</formula>
    </cfRule>
    <cfRule type="cellIs" dxfId="0" priority="3" operator="equal">
      <formula>"Off-Track"</formula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F2893F-4AA5-4515-B17E-9FD89EE445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B8F954-C128-4972-8006-8369D7CEB9FB}"/>
</file>

<file path=customXml/itemProps3.xml><?xml version="1.0" encoding="utf-8"?>
<ds:datastoreItem xmlns:ds="http://schemas.openxmlformats.org/officeDocument/2006/customXml" ds:itemID="{864EA574-038E-4546-9ED2-9745AF3ACE47}">
  <ds:schemaRefs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567ba4dc-eaa4-4764-9078-86fe8f265db1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Dashboard</vt:lpstr>
      <vt:lpstr>Capacity Utilization</vt:lpstr>
      <vt:lpstr>Capacity Utilization_Option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Del Toro</dc:creator>
  <cp:keywords/>
  <dc:description/>
  <cp:lastModifiedBy>Anish Pappachan</cp:lastModifiedBy>
  <cp:revision/>
  <dcterms:created xsi:type="dcterms:W3CDTF">2024-11-19T12:18:43Z</dcterms:created>
  <dcterms:modified xsi:type="dcterms:W3CDTF">2025-12-11T11:11:03Z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  <property fmtid="{D5CDD505-2E9C-101B-9397-08002B2CF9AE}" pid="3" name="MediaServiceImageTags">
    <vt:lpwstr/>
  </property>
</Properties>
</file>