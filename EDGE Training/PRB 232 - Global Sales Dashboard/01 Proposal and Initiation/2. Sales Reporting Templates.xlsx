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BI User Requirements/Finance Team Requirements/Sales Dashboard/Report Template/"/>
    </mc:Choice>
  </mc:AlternateContent>
  <xr:revisionPtr revIDLastSave="1463" documentId="8_{8F30F21C-BCF1-4563-A992-2846BAA28D66}" xr6:coauthVersionLast="47" xr6:coauthVersionMax="47" xr10:uidLastSave="{695D45D9-208B-46BA-8257-3951546E07B6}"/>
  <bookViews>
    <workbookView xWindow="-120" yWindow="-120" windowWidth="20730" windowHeight="11040" tabRatio="1000" activeTab="4" xr2:uid="{E4B55F44-4CCD-4812-8B8F-B8EEBC86DA3B}"/>
  </bookViews>
  <sheets>
    <sheet name="Template 1- Month Sales Templat" sheetId="8" r:id="rId1"/>
    <sheet name="Template 2- Product wise" sheetId="1" r:id="rId2"/>
    <sheet name="Template 3- Geographical Region" sheetId="12" r:id="rId3"/>
    <sheet name="Template 4- Daily Sales Templat" sheetId="7" r:id="rId4"/>
    <sheet name="Reported Qty details" sheetId="14" r:id="rId5"/>
  </sheets>
  <definedNames>
    <definedName name="_1__123Graph_ACHART_1" hidden="1">#REF!</definedName>
    <definedName name="_10__123Graph_BCHART_15" hidden="1">#REF!</definedName>
    <definedName name="_11__123Graph_BCHART_17" hidden="1">#REF!</definedName>
    <definedName name="_12__123Graph_BCHART_19" hidden="1">#REF!</definedName>
    <definedName name="_13__123Graph_BChart_1A" hidden="1">#REF!</definedName>
    <definedName name="_14__123Graph_BCHART_2" hidden="1">#REF!</definedName>
    <definedName name="_15__123Graph_BCHART_4" hidden="1">#REF!</definedName>
    <definedName name="_16__123Graph_CCHART_1" hidden="1">#REF!</definedName>
    <definedName name="_17__123Graph_CCHART_15" hidden="1">#REF!</definedName>
    <definedName name="_18__123Graph_CCHART_17" hidden="1">#REF!</definedName>
    <definedName name="_19__123Graph_CCHART_19" hidden="1">#REF!</definedName>
    <definedName name="_2" hidden="1">#REF!</definedName>
    <definedName name="_2__123Graph_ACHART_10" hidden="1">#REF!</definedName>
    <definedName name="_20__123Graph_CChart_1A" hidden="1">#REF!</definedName>
    <definedName name="_21__123Graph_XCHART_1" hidden="1">#REF!</definedName>
    <definedName name="_22__123Graph_XCHART_10" hidden="1">#REF!</definedName>
    <definedName name="_23__123Graph_XCHART_15" hidden="1">#REF!</definedName>
    <definedName name="_24__123Graph_XCHART_17" hidden="1">#REF!</definedName>
    <definedName name="_25__123Graph_XCHART_19" hidden="1">#REF!</definedName>
    <definedName name="_26__123Graph_XChart_1A" hidden="1">#REF!</definedName>
    <definedName name="_27__123Graph_XCHART_2" hidden="1">#REF!</definedName>
    <definedName name="_28__123Graph_XChart_2A" hidden="1">#REF!</definedName>
    <definedName name="_29__123Graph_XCHART_4" hidden="1">#REF!</definedName>
    <definedName name="_3" hidden="1">#REF!</definedName>
    <definedName name="_3__123Graph_AChart_1A" hidden="1">#REF!</definedName>
    <definedName name="_30__123Graph_XCHART_5" hidden="1">#REF!</definedName>
    <definedName name="_4__123Graph_ACHART_2" hidden="1">#REF!</definedName>
    <definedName name="_5__123Graph_AChart_2A" hidden="1">#REF!</definedName>
    <definedName name="_6__123Graph_ACHART_4" hidden="1">#REF!</definedName>
    <definedName name="_7__123Graph_ACHART_5" hidden="1">#REF!</definedName>
    <definedName name="_8__123Graph_BCHART_1" hidden="1">#REF!</definedName>
    <definedName name="_9__123Graph_BCHART_10" hidden="1">#REF!</definedName>
    <definedName name="_dfr4" hidden="1">#REF!</definedName>
    <definedName name="_Fill" hidden="1">#REF!</definedName>
    <definedName name="_xlnm._FilterDatabase" localSheetId="2" hidden="1">'Template 3- Geographical Region'!$B$3:$K$94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m10" hidden="1">#REF!</definedName>
    <definedName name="_Pam11" hidden="1">#REF!</definedName>
    <definedName name="_Pam12" hidden="1">#REF!</definedName>
    <definedName name="_Pam13" hidden="1">#REF!</definedName>
    <definedName name="_Pam14" hidden="1">#REF!</definedName>
    <definedName name="_Pam2" hidden="1">#REF!</definedName>
    <definedName name="_Pam3" hidden="1">#REF!</definedName>
    <definedName name="_Pam4" hidden="1">#REF!</definedName>
    <definedName name="_Pam5" hidden="1">#REF!</definedName>
    <definedName name="_Pam6" hidden="1">#REF!</definedName>
    <definedName name="_Pam7" hidden="1">#REF!</definedName>
    <definedName name="_Pam8" hidden="1">#REF!</definedName>
    <definedName name="_Pam9" hidden="1">#REF!</definedName>
    <definedName name="_Regression_X" hidden="1">#REF!</definedName>
    <definedName name="_regression_y" hidden="1">#REF!</definedName>
    <definedName name="_sga" hidden="1">#REF!</definedName>
    <definedName name="_skm" hidden="1">#REF!</definedName>
    <definedName name="_Sort" hidden="1">#REF!</definedName>
    <definedName name="a" hidden="1">#REF!</definedName>
    <definedName name="aaaa" hidden="1">#REF!</definedName>
    <definedName name="addgggrrrrr5" hidden="1">#REF!</definedName>
    <definedName name="agfgtg" hidden="1">#REF!</definedName>
    <definedName name="asd" hidden="1">#REF!</definedName>
    <definedName name="AUT" hidden="1">#REF!</definedName>
    <definedName name="b" hidden="1">#REF!</definedName>
    <definedName name="bbbbbbbb" hidden="1">#REF!</definedName>
    <definedName name="bbbbbbbbbbb" hidden="1">#REF!</definedName>
    <definedName name="bbbbbbbbbbbbbbb" hidden="1">#REF!</definedName>
    <definedName name="bbrh55" hidden="1">#REF!</definedName>
    <definedName name="BCHART" hidden="1">#REF!</definedName>
    <definedName name="bdfgthjy7" hidden="1">#REF!</definedName>
    <definedName name="bdgghdgg5" hidden="1">#REF!</definedName>
    <definedName name="bfgb5g5e" hidden="1">#REF!</definedName>
    <definedName name="bgfbf5" hidden="1">#REF!</definedName>
    <definedName name="bggdhrth655" hidden="1">#REF!</definedName>
    <definedName name="bghnmh" hidden="1">#REF!</definedName>
    <definedName name="calendar">daygrid+#REF!-WEEKDAY(#REF!)-weekday_option</definedName>
    <definedName name="ccccc6" hidden="1">#REF!</definedName>
    <definedName name="cccccc" hidden="1">#REF!</definedName>
    <definedName name="ccccfffffffff" hidden="1">#REF!</definedName>
    <definedName name="cfvrsr" hidden="1">#REF!</definedName>
    <definedName name="china" hidden="1">#REF!</definedName>
    <definedName name="Clus">#REF!</definedName>
    <definedName name="cp5new" hidden="1">#REF!</definedName>
    <definedName name="csdffg45" hidden="1">#REF!</definedName>
    <definedName name="daygrid">days+weeks*7</definedName>
    <definedName name="daypattern">{1,1,2,2,3,3,4,4,5,5,6,6,7}</definedName>
    <definedName name="days">{0,1,2,3,4,5,6}</definedName>
    <definedName name="DayToStart">#REF!</definedName>
    <definedName name="dddddd" hidden="1">#REF!,#REF!</definedName>
    <definedName name="ddddddd" hidden="1">#REF!</definedName>
    <definedName name="ddddddddddddd" hidden="1">#REF!</definedName>
    <definedName name="dddddddddddddd" hidden="1">#REF!</definedName>
    <definedName name="dddddddddddddddddddddd" hidden="1">#REF!</definedName>
    <definedName name="dfggggg54" hidden="1">#REF!</definedName>
    <definedName name="dfsdfe" hidden="1">#REF!</definedName>
    <definedName name="dfsdfsdf" hidden="1">#REF!</definedName>
    <definedName name="dfserfgt4" hidden="1">#REF!</definedName>
    <definedName name="dfsfdgsgf4" hidden="1">#REF!</definedName>
    <definedName name="dgdsfge5" hidden="1">#REF!</definedName>
    <definedName name="dgfgdfhg5" hidden="1">#REF!</definedName>
    <definedName name="dhngntt" hidden="1">#REF!</definedName>
    <definedName name="dsaffeesf34" hidden="1">#REF!</definedName>
    <definedName name="dsfgdfhgter43" hidden="1">#REF!</definedName>
    <definedName name="dsfsf4w" hidden="1">#REF!</definedName>
    <definedName name="dsfsgfdg54" hidden="1">#REF!</definedName>
    <definedName name="dsfsrga54" hidden="1">#REF!</definedName>
    <definedName name="dsra4wrt4" hidden="1">#REF!</definedName>
    <definedName name="eeeeeee" hidden="1">#REF!</definedName>
    <definedName name="eeeeeeeee" hidden="1">#REF!</definedName>
    <definedName name="er45gg" hidden="1">#REF!</definedName>
    <definedName name="fbgbbbb4" hidden="1">#REF!</definedName>
    <definedName name="fbgjkkk" hidden="1">#REF!</definedName>
    <definedName name="fdsfgfhgdht" hidden="1">#REF!</definedName>
    <definedName name="feffdfbgbd" hidden="1">#REF!</definedName>
    <definedName name="ffffff" hidden="1">#REF!</definedName>
    <definedName name="ffgdgdgd" hidden="1">#REF!</definedName>
    <definedName name="ffghnbbb5" hidden="1">#REF!</definedName>
    <definedName name="fgbtrt5" hidden="1">#REF!</definedName>
    <definedName name="fgbvbgfs4" hidden="1">#REF!</definedName>
    <definedName name="fgdfg5" hidden="1">#REF!</definedName>
    <definedName name="fgdfghtrh5" hidden="1">#REF!</definedName>
    <definedName name="fgdfgrdfg45" hidden="1">#REF!</definedName>
    <definedName name="fgdhnnbb5" hidden="1">#REF!</definedName>
    <definedName name="fgfagdfg54" hidden="1">#REF!</definedName>
    <definedName name="fgfdgdfh54" hidden="1">#REF!</definedName>
    <definedName name="fgfdggghhhh" hidden="1">#REF!</definedName>
    <definedName name="fgfdgtg4" hidden="1">#REF!</definedName>
    <definedName name="fgfgfg4" hidden="1">#REF!</definedName>
    <definedName name="fgfgrg554" hidden="1">#REF!</definedName>
    <definedName name="fgfhgfjhj7" hidden="1">#REF!</definedName>
    <definedName name="fghggger" hidden="1">#REF!</definedName>
    <definedName name="fghgh6" hidden="1">#REF!</definedName>
    <definedName name="fgrdtgdt" hidden="1">#REF!</definedName>
    <definedName name="fgrertet" hidden="1">#REF!</definedName>
    <definedName name="fgsrete4" hidden="1">#REF!</definedName>
    <definedName name="firstdate">DATE(#REF!,#REF!,1)</definedName>
    <definedName name="fsgfgd45" hidden="1">#REF!</definedName>
    <definedName name="fsvfsvree4" hidden="1">#REF!</definedName>
    <definedName name="gdfg" hidden="1">#REF!</definedName>
    <definedName name="gdfg5e4" hidden="1">#REF!</definedName>
    <definedName name="gdfgdfg4" hidden="1">#REF!</definedName>
    <definedName name="gethjkkii" hidden="1">#REF!</definedName>
    <definedName name="gfdbbbbb54" hidden="1">#REF!</definedName>
    <definedName name="gffghht5" hidden="1">#REF!</definedName>
    <definedName name="gfgdfgklo9" hidden="1">#REF!</definedName>
    <definedName name="gfgdh5" hidden="1">#REF!</definedName>
    <definedName name="gfgdhgh5" hidden="1">#REF!</definedName>
    <definedName name="gfgdrgre45" hidden="1">#REF!</definedName>
    <definedName name="gfgfgtgh5" hidden="1">#REF!</definedName>
    <definedName name="gfsdfgsfgdfg4" hidden="1">#REF!</definedName>
    <definedName name="gfsf4t43trtn" hidden="1">#REF!</definedName>
    <definedName name="gg" hidden="1">#REF!</definedName>
    <definedName name="gggggggg" hidden="1">#REF!</definedName>
    <definedName name="ggggggggg" hidden="1">#REF!</definedName>
    <definedName name="gggggggggggggg" hidden="1">#REF!</definedName>
    <definedName name="ggggggggggggggg" hidden="1">#REF!</definedName>
    <definedName name="gghhjy56" hidden="1">#REF!</definedName>
    <definedName name="ghfghtr" hidden="1">#REF!</definedName>
    <definedName name="gjjj656" hidden="1">#REF!</definedName>
    <definedName name="hfgjfhutu" hidden="1">#REF!</definedName>
    <definedName name="hgfhhjukyljk7" hidden="1">#REF!</definedName>
    <definedName name="hghffhftdh2" hidden="1">#REF!</definedName>
    <definedName name="hhhhh6" hidden="1">#REF!</definedName>
    <definedName name="hhhhhhhhh" hidden="1">#REF!</definedName>
    <definedName name="hsrtggaxgdaf" hidden="1">#REF!</definedName>
    <definedName name="hthjhjhf" hidden="1">#REF!</definedName>
    <definedName name="iiiiiiiiiiii" hidden="1">#REF!</definedName>
    <definedName name="Ind">#REF!</definedName>
    <definedName name="india" hidden="1">#REF!</definedName>
    <definedName name="J" hidden="1">#REF!</definedName>
    <definedName name="jhgljkhb" hidden="1">#REF!</definedName>
    <definedName name="jhjuiufgd" hidden="1">#REF!</definedName>
    <definedName name="jjjjjjj7" hidden="1">#REF!</definedName>
    <definedName name="jjjjjjjjj" hidden="1">#REF!</definedName>
    <definedName name="jjklkjgkfgj87" hidden="1">#REF!</definedName>
    <definedName name="k" hidden="1">#REF!</definedName>
    <definedName name="kalai" hidden="1">#REF!</definedName>
    <definedName name="kashfsahfsdkfhjksdhf" hidden="1">#REF!</definedName>
    <definedName name="kghjff" hidden="1">#REF!</definedName>
    <definedName name="klj" hidden="1">#REF!</definedName>
    <definedName name="llllllllllllllllll" hidden="1">#REF!</definedName>
    <definedName name="mmmmkkl9" hidden="1">#REF!</definedName>
    <definedName name="month">MATCH(#REF!,months,0)</definedName>
    <definedName name="months">{"January","February","March","April","May","June","July","August","September","October","November","December"}</definedName>
    <definedName name="MonthToDisplay">#REF!</definedName>
    <definedName name="MonthToDisplayNumber">MATCH(#REF!,months,0)</definedName>
    <definedName name="nbcrrr" hidden="1">#REF!</definedName>
    <definedName name="nfhnhj7" hidden="1">#REF!</definedName>
    <definedName name="nhfdh6" hidden="1">#REF!</definedName>
    <definedName name="nnnnnn6" hidden="1">#REF!</definedName>
    <definedName name="nnnnnnnnnnnnnnn" hidden="1">#REF!</definedName>
    <definedName name="ok" hidden="1">#REF!</definedName>
    <definedName name="Pam" hidden="1">#REF!</definedName>
    <definedName name="pcbagraph" hidden="1">#REF!</definedName>
    <definedName name="QETRT" hidden="1">#REF!</definedName>
    <definedName name="qrfwrw443" hidden="1">#REF!</definedName>
    <definedName name="rghgdbrtr" hidden="1">#REF!</definedName>
    <definedName name="rrrrrrrrr" hidden="1">#REF!</definedName>
    <definedName name="rrrrrrrrrrrrrr" hidden="1">#REF!</definedName>
    <definedName name="sadfgsfga4" hidden="1">#REF!</definedName>
    <definedName name="saudi" hidden="1">#REF!</definedName>
    <definedName name="sdfgsgdsh54" hidden="1">#REF!</definedName>
    <definedName name="sdfwefewfse" hidden="1">#REF!</definedName>
    <definedName name="sdsdsdsdsdsdsd" hidden="1">#REF!,#REF!,#REF!</definedName>
    <definedName name="sfjdfjdfkdikdfjgjgjhfhdfjhgghkdhgkgkdgjdkgjkjkgjkdjkdkdkdkjk" hidden="1">#REF!</definedName>
    <definedName name="ssss" hidden="1">#REF!</definedName>
    <definedName name="sssssss" hidden="1">#REF!</definedName>
    <definedName name="tamil" hidden="1">#REF!</definedName>
    <definedName name="ttttttttttt" hidden="1">#REF!</definedName>
    <definedName name="uuuuuuuuu" hidden="1">#REF!</definedName>
    <definedName name="uuuuuuuuuuuuuuu" hidden="1">#REF!</definedName>
    <definedName name="vdfgwfwef" hidden="1">#REF!</definedName>
    <definedName name="vdfvrfrw3" hidden="1">#REF!</definedName>
    <definedName name="vfdfrgr" hidden="1">#REF!</definedName>
    <definedName name="vgvgvgvgvgvg" hidden="1">#REF!</definedName>
    <definedName name="vvvv4" hidden="1">#REF!</definedName>
    <definedName name="vvvvvvvvvvv" hidden="1">#REF!</definedName>
    <definedName name="weekday_option">MATCH(DayToStart,weekdays_reversed,0)-2</definedName>
    <definedName name="weekdays">{"Monday","Tuesday","Wednesday","Thursday","Friday","Saturday","Sunday"}</definedName>
    <definedName name="weekdays_reversed">{"Sunday","Saturday","Friday","Thursday","Wednesday","Tuesday","Monday"}</definedName>
    <definedName name="weeks">{0;1;2;3;4;5;6}</definedName>
    <definedName name="wfqerteq" hidden="1">#REF!</definedName>
    <definedName name="wwwww" hidden="1">#REF!</definedName>
    <definedName name="wwwwwwwwwww" hidden="1">#REF!</definedName>
    <definedName name="xxx" hidden="1">#REF!</definedName>
    <definedName name="xxxxxx" hidden="1">#REF!</definedName>
    <definedName name="YearToDisplay">#REF!</definedName>
    <definedName name="yyyyyyyyyyyyy" hidden="1">#REF!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zz" hidden="1">#REF!</definedName>
    <definedName name="z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24" i="14" l="1"/>
  <c r="CO24" i="14"/>
  <c r="I24" i="14"/>
  <c r="J24" i="14"/>
  <c r="CY24" i="14"/>
  <c r="CR24" i="14"/>
  <c r="CP24" i="14"/>
  <c r="CT22" i="14"/>
  <c r="CS22" i="14"/>
  <c r="DI22" i="14" s="1"/>
  <c r="CR22" i="14"/>
  <c r="CP22" i="14"/>
  <c r="J22" i="14"/>
  <c r="I22" i="14"/>
  <c r="CQ22" i="14"/>
  <c r="CO22" i="14"/>
  <c r="DG20" i="14"/>
  <c r="CZ20" i="14"/>
  <c r="DH20" i="14"/>
  <c r="CC20" i="14"/>
  <c r="CD20" i="14"/>
  <c r="BU20" i="14"/>
  <c r="BT20" i="14"/>
  <c r="DF20" i="14"/>
  <c r="DE20" i="14"/>
  <c r="BB20" i="14"/>
  <c r="BC20" i="14"/>
  <c r="AT20" i="14"/>
  <c r="AS20" i="14"/>
  <c r="DC20" i="14"/>
  <c r="DB20" i="14"/>
  <c r="AA20" i="14"/>
  <c r="AB20" i="14"/>
  <c r="J20" i="14"/>
  <c r="I20" i="14"/>
  <c r="CT20" i="14"/>
  <c r="CY20" i="14"/>
  <c r="CR20" i="14"/>
  <c r="CQ20" i="14"/>
  <c r="CP20" i="14"/>
  <c r="CO20" i="14"/>
  <c r="DH18" i="14"/>
  <c r="DG18" i="14"/>
  <c r="DE18" i="14"/>
  <c r="DD18" i="14"/>
  <c r="DB18" i="14"/>
  <c r="DA18" i="14"/>
  <c r="CZ18" i="14"/>
  <c r="CM18" i="14"/>
  <c r="CL18" i="14"/>
  <c r="CC18" i="14"/>
  <c r="CD18" i="14"/>
  <c r="DF18" i="14"/>
  <c r="BL18" i="14"/>
  <c r="BK18" i="14"/>
  <c r="BB18" i="14"/>
  <c r="BC18" i="14"/>
  <c r="DC18" i="14"/>
  <c r="AK18" i="14"/>
  <c r="AJ18" i="14"/>
  <c r="CT17" i="14"/>
  <c r="CS17" i="14"/>
  <c r="CR17" i="14"/>
  <c r="CP17" i="14"/>
  <c r="J17" i="14"/>
  <c r="I17" i="14"/>
  <c r="CQ17" i="14"/>
  <c r="CO17" i="14"/>
  <c r="CQ16" i="14"/>
  <c r="CO16" i="14"/>
  <c r="I16" i="14"/>
  <c r="J16" i="14"/>
  <c r="G18" i="14"/>
  <c r="F18" i="14"/>
  <c r="CR18" i="14" s="1"/>
  <c r="E18" i="14"/>
  <c r="CQ18" i="14" s="1"/>
  <c r="D18" i="14"/>
  <c r="CP18" i="14" s="1"/>
  <c r="C18" i="14"/>
  <c r="CO18" i="14" s="1"/>
  <c r="DH13" i="14"/>
  <c r="DG13" i="14"/>
  <c r="DF13" i="14"/>
  <c r="DD13" i="14"/>
  <c r="DB13" i="14"/>
  <c r="CM13" i="14"/>
  <c r="CL13" i="14"/>
  <c r="CD13" i="14"/>
  <c r="CC13" i="14"/>
  <c r="BT13" i="14"/>
  <c r="BL13" i="14"/>
  <c r="DE13" i="14"/>
  <c r="BC13" i="14"/>
  <c r="BB13" i="14"/>
  <c r="DC13" i="14"/>
  <c r="AK13" i="14"/>
  <c r="AJ13" i="14"/>
  <c r="AB13" i="14"/>
  <c r="AA13" i="14"/>
  <c r="CT13" i="14"/>
  <c r="CS13" i="14"/>
  <c r="CR13" i="14"/>
  <c r="CP13" i="14"/>
  <c r="J13" i="14"/>
  <c r="I13" i="14"/>
  <c r="CQ13" i="14"/>
  <c r="CO13" i="14"/>
  <c r="DG12" i="14"/>
  <c r="CY12" i="14"/>
  <c r="DH12" i="14"/>
  <c r="CD12" i="14"/>
  <c r="CC12" i="14"/>
  <c r="BU12" i="14"/>
  <c r="BT12" i="14"/>
  <c r="DF12" i="14"/>
  <c r="DE12" i="14"/>
  <c r="BC12" i="14"/>
  <c r="BB12" i="14"/>
  <c r="DD12" i="14"/>
  <c r="AT12" i="14"/>
  <c r="AS12" i="14"/>
  <c r="DC12" i="14"/>
  <c r="DB12" i="14"/>
  <c r="AB12" i="14"/>
  <c r="AA12" i="14"/>
  <c r="DA12" i="14"/>
  <c r="S12" i="14"/>
  <c r="R12" i="14"/>
  <c r="CS12" i="14"/>
  <c r="CT12" i="14"/>
  <c r="J12" i="14"/>
  <c r="CR12" i="14"/>
  <c r="CQ12" i="14"/>
  <c r="CP12" i="14"/>
  <c r="CO12" i="14"/>
  <c r="DH11" i="14"/>
  <c r="DF11" i="14"/>
  <c r="DE11" i="14"/>
  <c r="DC11" i="14"/>
  <c r="DB11" i="14"/>
  <c r="DA11" i="14"/>
  <c r="CZ11" i="14"/>
  <c r="CL11" i="14"/>
  <c r="CM11" i="14"/>
  <c r="DG11" i="14"/>
  <c r="BU11" i="14"/>
  <c r="BT11" i="14"/>
  <c r="BK11" i="14"/>
  <c r="BL11" i="14"/>
  <c r="BC11" i="14"/>
  <c r="AT11" i="14"/>
  <c r="AS11" i="14"/>
  <c r="AJ11" i="14"/>
  <c r="AK11" i="14"/>
  <c r="AB11" i="14"/>
  <c r="S11" i="14"/>
  <c r="R11" i="14"/>
  <c r="CO11" i="14"/>
  <c r="I11" i="14"/>
  <c r="CT11" i="14"/>
  <c r="CY11" i="14"/>
  <c r="CR11" i="14"/>
  <c r="CQ11" i="14"/>
  <c r="CP11" i="14"/>
  <c r="CB10" i="14"/>
  <c r="CB14" i="14" s="1"/>
  <c r="CB26" i="14" s="1"/>
  <c r="CA10" i="14"/>
  <c r="CD10" i="14" s="1"/>
  <c r="BY10" i="14"/>
  <c r="BY14" i="14" s="1"/>
  <c r="BY26" i="14" s="1"/>
  <c r="BP10" i="14"/>
  <c r="BP14" i="14" s="1"/>
  <c r="BP26" i="14" s="1"/>
  <c r="BO10" i="14"/>
  <c r="BO14" i="14" s="1"/>
  <c r="BO26" i="14" s="1"/>
  <c r="BN10" i="14"/>
  <c r="BN14" i="14" s="1"/>
  <c r="BN26" i="14" s="1"/>
  <c r="BA10" i="14"/>
  <c r="BA14" i="14" s="1"/>
  <c r="BA26" i="14" s="1"/>
  <c r="AZ10" i="14"/>
  <c r="BC10" i="14" s="1"/>
  <c r="AX10" i="14"/>
  <c r="AX14" i="14" s="1"/>
  <c r="AX26" i="14" s="1"/>
  <c r="AO10" i="14"/>
  <c r="AO14" i="14" s="1"/>
  <c r="AO26" i="14" s="1"/>
  <c r="AM10" i="14"/>
  <c r="AM14" i="14" s="1"/>
  <c r="AM26" i="14" s="1"/>
  <c r="Y10" i="14"/>
  <c r="AA10" i="14" s="1"/>
  <c r="W10" i="14"/>
  <c r="W14" i="14" s="1"/>
  <c r="W26" i="14" s="1"/>
  <c r="N10" i="14"/>
  <c r="N14" i="14" s="1"/>
  <c r="N26" i="14" s="1"/>
  <c r="L10" i="14"/>
  <c r="L14" i="14" s="1"/>
  <c r="L26" i="14" s="1"/>
  <c r="DH9" i="14"/>
  <c r="DG9" i="14"/>
  <c r="DF9" i="14"/>
  <c r="DD9" i="14"/>
  <c r="DB9" i="14"/>
  <c r="CR9" i="14"/>
  <c r="CM9" i="14"/>
  <c r="CL9" i="14"/>
  <c r="CD9" i="14"/>
  <c r="CC9" i="14"/>
  <c r="BT9" i="14"/>
  <c r="BQ10" i="14"/>
  <c r="BQ14" i="14" s="1"/>
  <c r="BQ26" i="14" s="1"/>
  <c r="BL9" i="14"/>
  <c r="DE9" i="14"/>
  <c r="BC9" i="14"/>
  <c r="BB9" i="14"/>
  <c r="DC9" i="14"/>
  <c r="AP10" i="14"/>
  <c r="AP14" i="14" s="1"/>
  <c r="AP26" i="14" s="1"/>
  <c r="AN10" i="14"/>
  <c r="AN14" i="14" s="1"/>
  <c r="AN26" i="14" s="1"/>
  <c r="AK9" i="14"/>
  <c r="AJ9" i="14"/>
  <c r="AB9" i="14"/>
  <c r="Z10" i="14"/>
  <c r="Z14" i="14" s="1"/>
  <c r="Z26" i="14" s="1"/>
  <c r="AA9" i="14"/>
  <c r="CT9" i="14"/>
  <c r="R9" i="14"/>
  <c r="O10" i="14"/>
  <c r="O14" i="14" s="1"/>
  <c r="O26" i="14" s="1"/>
  <c r="M10" i="14"/>
  <c r="M14" i="14" s="1"/>
  <c r="M26" i="14" s="1"/>
  <c r="J9" i="14"/>
  <c r="I9" i="14"/>
  <c r="CQ9" i="14"/>
  <c r="CO9" i="14"/>
  <c r="DG8" i="14"/>
  <c r="CK10" i="14"/>
  <c r="CK14" i="14" s="1"/>
  <c r="CK26" i="14" s="1"/>
  <c r="DH8" i="14"/>
  <c r="CI10" i="14"/>
  <c r="CI14" i="14" s="1"/>
  <c r="CI26" i="14" s="1"/>
  <c r="CH10" i="14"/>
  <c r="CH14" i="14" s="1"/>
  <c r="CH26" i="14" s="1"/>
  <c r="CG10" i="14"/>
  <c r="CG14" i="14" s="1"/>
  <c r="CG26" i="14" s="1"/>
  <c r="CF10" i="14"/>
  <c r="CF14" i="14" s="1"/>
  <c r="CF26" i="14" s="1"/>
  <c r="CD8" i="14"/>
  <c r="CC8" i="14"/>
  <c r="BZ10" i="14"/>
  <c r="BZ14" i="14" s="1"/>
  <c r="BZ26" i="14" s="1"/>
  <c r="BX10" i="14"/>
  <c r="BX14" i="14" s="1"/>
  <c r="BX26" i="14" s="1"/>
  <c r="BW10" i="14"/>
  <c r="BW14" i="14" s="1"/>
  <c r="BW26" i="14" s="1"/>
  <c r="BT8" i="14"/>
  <c r="BS10" i="14"/>
  <c r="BS14" i="14" s="1"/>
  <c r="BS26" i="14" s="1"/>
  <c r="DF8" i="14"/>
  <c r="BJ10" i="14"/>
  <c r="BJ14" i="14" s="1"/>
  <c r="BJ26" i="14" s="1"/>
  <c r="BI10" i="14"/>
  <c r="BH10" i="14"/>
  <c r="BH14" i="14" s="1"/>
  <c r="BH26" i="14" s="1"/>
  <c r="BG10" i="14"/>
  <c r="BG14" i="14" s="1"/>
  <c r="BG26" i="14" s="1"/>
  <c r="BF10" i="14"/>
  <c r="BF14" i="14" s="1"/>
  <c r="BF26" i="14" s="1"/>
  <c r="BE10" i="14"/>
  <c r="BE14" i="14" s="1"/>
  <c r="BE26" i="14" s="1"/>
  <c r="BC8" i="14"/>
  <c r="BB8" i="14"/>
  <c r="DD8" i="14"/>
  <c r="AY10" i="14"/>
  <c r="AY14" i="14" s="1"/>
  <c r="AY26" i="14" s="1"/>
  <c r="AW10" i="14"/>
  <c r="AW14" i="14" s="1"/>
  <c r="AW26" i="14" s="1"/>
  <c r="AV10" i="14"/>
  <c r="AV14" i="14" s="1"/>
  <c r="AV26" i="14" s="1"/>
  <c r="AS8" i="14"/>
  <c r="AR10" i="14"/>
  <c r="AR14" i="14" s="1"/>
  <c r="AR26" i="14" s="1"/>
  <c r="AT8" i="14"/>
  <c r="AI10" i="14"/>
  <c r="AI14" i="14" s="1"/>
  <c r="AI26" i="14" s="1"/>
  <c r="AH10" i="14"/>
  <c r="AG10" i="14"/>
  <c r="AG14" i="14" s="1"/>
  <c r="AG26" i="14" s="1"/>
  <c r="AF10" i="14"/>
  <c r="AF14" i="14" s="1"/>
  <c r="AF26" i="14" s="1"/>
  <c r="AE10" i="14"/>
  <c r="AE14" i="14" s="1"/>
  <c r="AE26" i="14" s="1"/>
  <c r="AD10" i="14"/>
  <c r="AD14" i="14" s="1"/>
  <c r="AD26" i="14" s="1"/>
  <c r="AB8" i="14"/>
  <c r="AA8" i="14"/>
  <c r="DA8" i="14"/>
  <c r="X10" i="14"/>
  <c r="X14" i="14" s="1"/>
  <c r="X26" i="14" s="1"/>
  <c r="V10" i="14"/>
  <c r="V14" i="14" s="1"/>
  <c r="V26" i="14" s="1"/>
  <c r="U10" i="14"/>
  <c r="U14" i="14" s="1"/>
  <c r="U26" i="14" s="1"/>
  <c r="R8" i="14"/>
  <c r="Q10" i="14"/>
  <c r="Q14" i="14" s="1"/>
  <c r="Q26" i="14" s="1"/>
  <c r="CS8" i="14"/>
  <c r="CT8" i="14"/>
  <c r="G10" i="14"/>
  <c r="CR8" i="14"/>
  <c r="CR10" i="14" s="1"/>
  <c r="CQ8" i="14"/>
  <c r="CP8" i="14"/>
  <c r="CO8" i="14"/>
  <c r="CR5" i="14"/>
  <c r="CI5" i="14"/>
  <c r="BZ5" i="14"/>
  <c r="BQ5" i="14"/>
  <c r="BH5" i="14"/>
  <c r="AY5" i="14"/>
  <c r="AP5" i="14"/>
  <c r="AG5" i="14"/>
  <c r="X5" i="14"/>
  <c r="O5" i="14"/>
  <c r="F5" i="14"/>
  <c r="CU17" i="14" l="1"/>
  <c r="CQ10" i="14"/>
  <c r="CQ14" i="14" s="1"/>
  <c r="CQ26" i="14" s="1"/>
  <c r="CR14" i="14"/>
  <c r="CR26" i="14" s="1"/>
  <c r="G14" i="14"/>
  <c r="CY10" i="14"/>
  <c r="CT10" i="14"/>
  <c r="CT14" i="14" s="1"/>
  <c r="DI12" i="14"/>
  <c r="CU12" i="14"/>
  <c r="CV12" i="14"/>
  <c r="BL10" i="14"/>
  <c r="BK10" i="14"/>
  <c r="BI14" i="14"/>
  <c r="DE10" i="14"/>
  <c r="CY18" i="14"/>
  <c r="I18" i="14"/>
  <c r="CS18" i="14"/>
  <c r="CV8" i="14"/>
  <c r="CU8" i="14"/>
  <c r="DI8" i="14"/>
  <c r="CO10" i="14"/>
  <c r="CO14" i="14" s="1"/>
  <c r="CO26" i="14" s="1"/>
  <c r="DB10" i="14"/>
  <c r="AK10" i="14"/>
  <c r="AJ10" i="14"/>
  <c r="AH14" i="14"/>
  <c r="CU13" i="14"/>
  <c r="DI13" i="14"/>
  <c r="CV13" i="14"/>
  <c r="S8" i="14"/>
  <c r="R13" i="14"/>
  <c r="I8" i="14"/>
  <c r="AJ8" i="14"/>
  <c r="BK8" i="14"/>
  <c r="CL8" i="14"/>
  <c r="S9" i="14"/>
  <c r="AT9" i="14"/>
  <c r="BU9" i="14"/>
  <c r="C10" i="14"/>
  <c r="C14" i="14" s="1"/>
  <c r="C26" i="14" s="1"/>
  <c r="P10" i="14"/>
  <c r="AQ10" i="14"/>
  <c r="BR10" i="14"/>
  <c r="DG10" i="14"/>
  <c r="DD11" i="14"/>
  <c r="I12" i="14"/>
  <c r="AJ12" i="14"/>
  <c r="BK12" i="14"/>
  <c r="CL12" i="14"/>
  <c r="S13" i="14"/>
  <c r="AT13" i="14"/>
  <c r="BU13" i="14"/>
  <c r="CP16" i="14"/>
  <c r="CV17" i="14"/>
  <c r="AJ20" i="14"/>
  <c r="BK20" i="14"/>
  <c r="CL20" i="14"/>
  <c r="DA20" i="14"/>
  <c r="CV22" i="14"/>
  <c r="CC10" i="14"/>
  <c r="CZ8" i="14"/>
  <c r="AS9" i="14"/>
  <c r="AB10" i="14"/>
  <c r="CU22" i="14"/>
  <c r="J8" i="14"/>
  <c r="AK8" i="14"/>
  <c r="BL8" i="14"/>
  <c r="CM8" i="14"/>
  <c r="DB8" i="14"/>
  <c r="CY9" i="14"/>
  <c r="D10" i="14"/>
  <c r="D14" i="14" s="1"/>
  <c r="D26" i="14" s="1"/>
  <c r="AA11" i="14"/>
  <c r="BB11" i="14"/>
  <c r="CC11" i="14"/>
  <c r="AK12" i="14"/>
  <c r="BL12" i="14"/>
  <c r="CM12" i="14"/>
  <c r="CY13" i="14"/>
  <c r="CY17" i="14"/>
  <c r="AS18" i="14"/>
  <c r="BT18" i="14"/>
  <c r="AK20" i="14"/>
  <c r="BL20" i="14"/>
  <c r="CM20" i="14"/>
  <c r="CY22" i="14"/>
  <c r="CA14" i="14"/>
  <c r="DD10" i="14"/>
  <c r="DC8" i="14"/>
  <c r="CZ9" i="14"/>
  <c r="E10" i="14"/>
  <c r="E14" i="14" s="1"/>
  <c r="E26" i="14" s="1"/>
  <c r="CD11" i="14"/>
  <c r="CZ13" i="14"/>
  <c r="CR16" i="14"/>
  <c r="DI17" i="14"/>
  <c r="AT18" i="14"/>
  <c r="BU18" i="14"/>
  <c r="CS9" i="14"/>
  <c r="CS10" i="14" s="1"/>
  <c r="CY8" i="14"/>
  <c r="J11" i="14"/>
  <c r="CZ12" i="14"/>
  <c r="AS13" i="14"/>
  <c r="BK9" i="14"/>
  <c r="DA9" i="14"/>
  <c r="F10" i="14"/>
  <c r="F14" i="14" s="1"/>
  <c r="F26" i="14" s="1"/>
  <c r="CS11" i="14"/>
  <c r="BK13" i="14"/>
  <c r="DA13" i="14"/>
  <c r="CS16" i="14"/>
  <c r="DD20" i="14"/>
  <c r="CS24" i="14"/>
  <c r="AZ14" i="14"/>
  <c r="H18" i="14"/>
  <c r="CT18" i="14" s="1"/>
  <c r="BU8" i="14"/>
  <c r="DE8" i="14"/>
  <c r="CJ10" i="14"/>
  <c r="CT16" i="14"/>
  <c r="CT24" i="14"/>
  <c r="Y14" i="14"/>
  <c r="BB10" i="14"/>
  <c r="H10" i="14"/>
  <c r="H14" i="14" s="1"/>
  <c r="CP9" i="14"/>
  <c r="CP10" i="14" s="1"/>
  <c r="CP14" i="14" s="1"/>
  <c r="CP26" i="14" s="1"/>
  <c r="DA10" i="14"/>
  <c r="CS20" i="14"/>
  <c r="CY16" i="14"/>
  <c r="CV11" i="14" l="1"/>
  <c r="DI11" i="14"/>
  <c r="CU11" i="14"/>
  <c r="CV10" i="14"/>
  <c r="DI10" i="14"/>
  <c r="CU10" i="14"/>
  <c r="CS14" i="14"/>
  <c r="AA14" i="14"/>
  <c r="DA14" i="14"/>
  <c r="Y26" i="14"/>
  <c r="AB14" i="14"/>
  <c r="CM10" i="14"/>
  <c r="CL10" i="14"/>
  <c r="CJ14" i="14"/>
  <c r="DH10" i="14"/>
  <c r="BU10" i="14"/>
  <c r="BT10" i="14"/>
  <c r="DF10" i="14"/>
  <c r="BR14" i="14"/>
  <c r="AT10" i="14"/>
  <c r="AS10" i="14"/>
  <c r="AQ14" i="14"/>
  <c r="DC10" i="14"/>
  <c r="CV18" i="14"/>
  <c r="DI18" i="14"/>
  <c r="CU18" i="14"/>
  <c r="CT26" i="14"/>
  <c r="CZ10" i="14"/>
  <c r="S10" i="14"/>
  <c r="R10" i="14"/>
  <c r="P14" i="14"/>
  <c r="J14" i="14"/>
  <c r="I14" i="14"/>
  <c r="CY14" i="14"/>
  <c r="G26" i="14"/>
  <c r="CV20" i="14"/>
  <c r="DI20" i="14"/>
  <c r="CU20" i="14"/>
  <c r="BB14" i="14"/>
  <c r="DD14" i="14"/>
  <c r="AZ26" i="14"/>
  <c r="BC14" i="14"/>
  <c r="DB14" i="14"/>
  <c r="AK14" i="14"/>
  <c r="AJ14" i="14"/>
  <c r="AH26" i="14"/>
  <c r="J18" i="14"/>
  <c r="I10" i="14"/>
  <c r="DI24" i="14"/>
  <c r="CV24" i="14"/>
  <c r="CU24" i="14"/>
  <c r="CC14" i="14"/>
  <c r="CA26" i="14"/>
  <c r="CD14" i="14"/>
  <c r="DG14" i="14"/>
  <c r="J10" i="14"/>
  <c r="CU9" i="14"/>
  <c r="CV9" i="14"/>
  <c r="DI9" i="14"/>
  <c r="H26" i="14"/>
  <c r="CV16" i="14"/>
  <c r="CU16" i="14"/>
  <c r="DI16" i="14"/>
  <c r="DE14" i="14"/>
  <c r="BL14" i="14"/>
  <c r="BK14" i="14"/>
  <c r="BI26" i="14"/>
  <c r="CM14" i="14" l="1"/>
  <c r="CL14" i="14"/>
  <c r="CJ26" i="14"/>
  <c r="DH14" i="14"/>
  <c r="CV14" i="14"/>
  <c r="CS26" i="14"/>
  <c r="DI14" i="14"/>
  <c r="CU14" i="14"/>
  <c r="AT14" i="14"/>
  <c r="AS14" i="14"/>
  <c r="AQ26" i="14"/>
  <c r="DC14" i="14"/>
  <c r="J26" i="14"/>
  <c r="I26" i="14"/>
  <c r="CY26" i="14"/>
  <c r="DB26" i="14"/>
  <c r="AK26" i="14"/>
  <c r="AJ26" i="14"/>
  <c r="AA26" i="14"/>
  <c r="AB26" i="14"/>
  <c r="DA26" i="14"/>
  <c r="DE26" i="14"/>
  <c r="BL26" i="14"/>
  <c r="BK26" i="14"/>
  <c r="CZ14" i="14"/>
  <c r="S14" i="14"/>
  <c r="R14" i="14"/>
  <c r="P26" i="14"/>
  <c r="BU14" i="14"/>
  <c r="BT14" i="14"/>
  <c r="DF14" i="14"/>
  <c r="BR26" i="14"/>
  <c r="CC26" i="14"/>
  <c r="DG26" i="14"/>
  <c r="CD26" i="14"/>
  <c r="BB26" i="14"/>
  <c r="DD26" i="14"/>
  <c r="BC26" i="14"/>
  <c r="DC26" i="14" l="1"/>
  <c r="AS26" i="14"/>
  <c r="AT26" i="14"/>
  <c r="BT26" i="14"/>
  <c r="DF26" i="14"/>
  <c r="BU26" i="14"/>
  <c r="CU26" i="14"/>
  <c r="CV26" i="14"/>
  <c r="DI26" i="14"/>
  <c r="R26" i="14"/>
  <c r="CZ26" i="14"/>
  <c r="S26" i="14"/>
  <c r="DH26" i="14"/>
  <c r="CM26" i="14"/>
  <c r="CL2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Venkatesh Sathyanarayanan</author>
  </authors>
  <commentList>
    <comment ref="C34" authorId="0" shapeId="0" xr:uid="{4A560C4C-7E09-4A83-90FF-03235412D70D}">
      <text>
        <r>
          <rPr>
            <b/>
            <sz val="9"/>
            <color indexed="81"/>
            <rFont val="Tahoma"/>
            <family val="2"/>
          </rPr>
          <t>Venkatesh Sathyanarayanan:</t>
        </r>
        <r>
          <rPr>
            <sz val="9"/>
            <color indexed="81"/>
            <rFont val="Tahoma"/>
            <family val="2"/>
          </rPr>
          <t xml:space="preserve">
Other Reco Items
</t>
        </r>
      </text>
    </comment>
  </commentList>
</comments>
</file>

<file path=xl/sharedStrings.xml><?xml version="1.0" encoding="utf-8"?>
<sst xmlns="http://schemas.openxmlformats.org/spreadsheetml/2006/main" count="1488" uniqueCount="356">
  <si>
    <t>India</t>
  </si>
  <si>
    <t>AB Series</t>
  </si>
  <si>
    <t>ACCESSORIES</t>
  </si>
  <si>
    <t>ENCAP</t>
  </si>
  <si>
    <t>LEPSAC</t>
  </si>
  <si>
    <t>OFSAC</t>
  </si>
  <si>
    <t>Others</t>
  </si>
  <si>
    <t>Portables</t>
  </si>
  <si>
    <t>RECIP</t>
  </si>
  <si>
    <t>SEPSAC</t>
  </si>
  <si>
    <t>Service</t>
  </si>
  <si>
    <t>Product Type</t>
  </si>
  <si>
    <t>a</t>
  </si>
  <si>
    <t>Elgi Europe</t>
  </si>
  <si>
    <t>Rotair</t>
  </si>
  <si>
    <t>Breakers</t>
  </si>
  <si>
    <t>Airend</t>
  </si>
  <si>
    <t>Europe</t>
  </si>
  <si>
    <t>Elgi USA Indstrials</t>
  </si>
  <si>
    <t>Elgi USA Portables</t>
  </si>
  <si>
    <t>Patton's Medical</t>
  </si>
  <si>
    <t>Patton's INC</t>
  </si>
  <si>
    <t>MAS</t>
  </si>
  <si>
    <t>North America</t>
  </si>
  <si>
    <t>Pipeline</t>
  </si>
  <si>
    <t>Elgi Australia</t>
  </si>
  <si>
    <t>Pulford</t>
  </si>
  <si>
    <t>Australia</t>
  </si>
  <si>
    <t>ATS</t>
  </si>
  <si>
    <t>Brazil</t>
  </si>
  <si>
    <t>Gulf</t>
  </si>
  <si>
    <t>Indonesia</t>
  </si>
  <si>
    <t>Malaysia</t>
  </si>
  <si>
    <t>Vacuum Units</t>
  </si>
  <si>
    <t>Vacuum Spares</t>
  </si>
  <si>
    <t>Channel</t>
  </si>
  <si>
    <t>Consol</t>
  </si>
  <si>
    <t>Rampicars</t>
  </si>
  <si>
    <t>Parts</t>
  </si>
  <si>
    <t>Accessories</t>
  </si>
  <si>
    <t>Equipment</t>
  </si>
  <si>
    <t>Top Block</t>
  </si>
  <si>
    <t>Lubricant</t>
  </si>
  <si>
    <t>Overhauls</t>
  </si>
  <si>
    <t>Pipe Assy</t>
  </si>
  <si>
    <t>KIT</t>
  </si>
  <si>
    <t>Amount</t>
  </si>
  <si>
    <t>C&amp;M</t>
  </si>
  <si>
    <t>WW</t>
  </si>
  <si>
    <t>SA</t>
  </si>
  <si>
    <t>Africa</t>
  </si>
  <si>
    <t>ME Direct</t>
  </si>
  <si>
    <t>ID</t>
  </si>
  <si>
    <t>Direct Exports</t>
  </si>
  <si>
    <t>USA</t>
  </si>
  <si>
    <t>Thailand</t>
  </si>
  <si>
    <t>Vietnam</t>
  </si>
  <si>
    <t>Singapore</t>
  </si>
  <si>
    <t>Algeria</t>
  </si>
  <si>
    <t>Austria</t>
  </si>
  <si>
    <t>Belgium</t>
  </si>
  <si>
    <t>Bulgaria</t>
  </si>
  <si>
    <t>Croatia</t>
  </si>
  <si>
    <t>Czech Republic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</si>
  <si>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</si>
  <si>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</si>
  <si>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</si>
  <si>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</si>
  <si>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</si>
  <si>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</si>
  <si>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</si>
  <si>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</si>
  <si>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</si>
  <si>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</si>
  <si>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</si>
  <si>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Morocco</t>
  </si>
  <si>
    <t>Netherlands</t>
  </si>
  <si>
    <t>Northern Ireland</t>
  </si>
  <si>
    <t>Norway</t>
  </si>
  <si>
    <t>Poland</t>
  </si>
  <si>
    <t>Portugal</t>
  </si>
  <si>
    <t>Romania</t>
  </si>
  <si>
    <t>Scotland</t>
  </si>
  <si>
    <t>Serbia</t>
  </si>
  <si>
    <t>Slovakia</t>
  </si>
  <si>
    <t>Slovenia</t>
  </si>
  <si>
    <t>Spain</t>
  </si>
  <si>
    <t>Sweden</t>
  </si>
  <si>
    <t>Switzerland</t>
  </si>
  <si>
    <t>Turkey</t>
  </si>
  <si>
    <t>UK</t>
  </si>
  <si>
    <t>Atlanta</t>
  </si>
  <si>
    <t>Birmingham</t>
  </si>
  <si>
    <t>Charlotte</t>
  </si>
  <si>
    <t>Florence</t>
  </si>
  <si>
    <t>Greenville</t>
  </si>
  <si>
    <t>Raleigh</t>
  </si>
  <si>
    <t>Richmond</t>
  </si>
  <si>
    <t>Detroit</t>
  </si>
  <si>
    <t>Grand Rapids</t>
  </si>
  <si>
    <t>Mn</t>
  </si>
  <si>
    <t>Direct</t>
  </si>
  <si>
    <t>Railways</t>
  </si>
  <si>
    <t>After Sales</t>
  </si>
  <si>
    <t>AME</t>
  </si>
  <si>
    <t>SAAME</t>
  </si>
  <si>
    <t>ISAAME ID</t>
  </si>
  <si>
    <t>SEA - VPS</t>
  </si>
  <si>
    <t>SEA</t>
  </si>
  <si>
    <t>Rotair DPSAC &amp; Airend</t>
  </si>
  <si>
    <t>Rotair Breakers</t>
  </si>
  <si>
    <t>Rotair Rampicar</t>
  </si>
  <si>
    <t>Europe 1 - Italy &amp; France</t>
  </si>
  <si>
    <t>ITALY</t>
  </si>
  <si>
    <t>FRANCE</t>
  </si>
  <si>
    <t>Europe 2 - Rest of Europe</t>
  </si>
  <si>
    <t>IBERIA</t>
  </si>
  <si>
    <t>EASTERN EUROPE</t>
  </si>
  <si>
    <t>NORDICS</t>
  </si>
  <si>
    <t>BENELUX</t>
  </si>
  <si>
    <t>OTHERS</t>
  </si>
  <si>
    <t>Rotair to Gulf</t>
  </si>
  <si>
    <t>Rotair to USA (Portables)</t>
  </si>
  <si>
    <t>Europe (excl interco.,)</t>
  </si>
  <si>
    <t>ELGi USA</t>
  </si>
  <si>
    <t>Unit Sales</t>
  </si>
  <si>
    <t>Patton's Inc</t>
  </si>
  <si>
    <t>Medical</t>
  </si>
  <si>
    <t>Interco Sales</t>
  </si>
  <si>
    <t>America</t>
  </si>
  <si>
    <t>ELGi Australia</t>
  </si>
  <si>
    <t>Projects</t>
  </si>
  <si>
    <t>ATS-P</t>
  </si>
  <si>
    <t xml:space="preserve">Interco Sales </t>
  </si>
  <si>
    <t>Vaccum</t>
  </si>
  <si>
    <t>ATS to interco sales</t>
  </si>
  <si>
    <t>Total (INR Mn)</t>
  </si>
  <si>
    <t>Regions</t>
  </si>
  <si>
    <t xml:space="preserve">FTM </t>
  </si>
  <si>
    <t>Q3 FY 26</t>
  </si>
  <si>
    <t>YTD FY 26</t>
  </si>
  <si>
    <t>Bud</t>
  </si>
  <si>
    <t>PY</t>
  </si>
  <si>
    <t>PM</t>
  </si>
  <si>
    <t>CY Est</t>
  </si>
  <si>
    <t xml:space="preserve">CY </t>
  </si>
  <si>
    <t>v Bud</t>
  </si>
  <si>
    <t>v PM</t>
  </si>
  <si>
    <t>v PY</t>
  </si>
  <si>
    <t>PQ</t>
  </si>
  <si>
    <t>CQ</t>
  </si>
  <si>
    <t>v PQ</t>
  </si>
  <si>
    <t>CY</t>
  </si>
  <si>
    <t>ISAAME+SEA</t>
  </si>
  <si>
    <t>Compressor</t>
  </si>
  <si>
    <t>Consolidated</t>
  </si>
  <si>
    <t xml:space="preserve">Cut-off Adjusted </t>
  </si>
  <si>
    <t>Disops</t>
  </si>
  <si>
    <t>Total</t>
  </si>
  <si>
    <t>Vertical</t>
  </si>
  <si>
    <t xml:space="preserve">YTD FY 26 </t>
  </si>
  <si>
    <t>ISAAME ID SEA (INR Mn)</t>
  </si>
  <si>
    <t>SAAME ID</t>
  </si>
  <si>
    <t>EU (EURO Mn)</t>
  </si>
  <si>
    <t>EU Industrials</t>
  </si>
  <si>
    <t>NA (USD Mn)</t>
  </si>
  <si>
    <t>Industrials</t>
  </si>
  <si>
    <t>FTM &amp; YTD</t>
  </si>
  <si>
    <t>Budget</t>
  </si>
  <si>
    <t>CM</t>
  </si>
  <si>
    <t>CM Est</t>
  </si>
  <si>
    <t xml:space="preserve">Note:- </t>
  </si>
  <si>
    <t>Kuwait</t>
  </si>
  <si>
    <t>Luxembourg</t>
  </si>
  <si>
    <t>Saudi Arabia</t>
  </si>
  <si>
    <t>Regno Unito</t>
  </si>
  <si>
    <t>Victoria</t>
  </si>
  <si>
    <t>Quantity &amp; Value details needed for Equipment Category</t>
  </si>
  <si>
    <t>Level 1</t>
  </si>
  <si>
    <t>Level 2</t>
  </si>
  <si>
    <t>Level 3</t>
  </si>
  <si>
    <t>Level 4</t>
  </si>
  <si>
    <t>Level 5</t>
  </si>
  <si>
    <t>Rest of The World</t>
  </si>
  <si>
    <t>Sale to Subsidiaries</t>
  </si>
  <si>
    <t>US</t>
  </si>
  <si>
    <t>Used for Sales Mix</t>
  </si>
  <si>
    <t>North</t>
  </si>
  <si>
    <t>South Asia</t>
  </si>
  <si>
    <t xml:space="preserve">Africa </t>
  </si>
  <si>
    <t>Middle East</t>
  </si>
  <si>
    <t>International Divisions</t>
  </si>
  <si>
    <t>South</t>
  </si>
  <si>
    <t>East</t>
  </si>
  <si>
    <t>Michigan</t>
  </si>
  <si>
    <t>New South Wales</t>
  </si>
  <si>
    <t>Queensland</t>
  </si>
  <si>
    <t>Europe 1</t>
  </si>
  <si>
    <t>Europe 2</t>
  </si>
  <si>
    <t>Branch</t>
  </si>
  <si>
    <t>State</t>
  </si>
  <si>
    <t xml:space="preserve">West </t>
  </si>
  <si>
    <t xml:space="preserve">Source </t>
  </si>
  <si>
    <t>Bangladesh</t>
  </si>
  <si>
    <t>Bhutan</t>
  </si>
  <si>
    <t>Nepal</t>
  </si>
  <si>
    <t>Sri Lanka</t>
  </si>
  <si>
    <t>Kenya</t>
  </si>
  <si>
    <t>Oman</t>
  </si>
  <si>
    <t>Qatar</t>
  </si>
  <si>
    <t>EUROPE</t>
  </si>
  <si>
    <t>AFRICA</t>
  </si>
  <si>
    <t>SOUTH EAST ASIA</t>
  </si>
  <si>
    <t>AMERICAS</t>
  </si>
  <si>
    <t>EASTASIA</t>
  </si>
  <si>
    <t>AMERICA</t>
  </si>
  <si>
    <t>NEIGHBOURING</t>
  </si>
  <si>
    <t>MIDDLE EAST &amp; WEST ASIA</t>
  </si>
  <si>
    <t>CIS</t>
  </si>
  <si>
    <t>BIS - Organ-Areaname</t>
  </si>
  <si>
    <t>BIS - Organ</t>
  </si>
  <si>
    <t>BIS - Organ-Region-Areaname</t>
  </si>
  <si>
    <t>BIS - Organ-Region</t>
  </si>
  <si>
    <t>BIS</t>
  </si>
  <si>
    <t>Italy &amp; Mediterranean</t>
  </si>
  <si>
    <t>Region</t>
  </si>
  <si>
    <t>New Caledonie</t>
  </si>
  <si>
    <t>North Macedonia</t>
  </si>
  <si>
    <t>UAE</t>
  </si>
  <si>
    <t>KENYA</t>
  </si>
  <si>
    <t>NIGERIA</t>
  </si>
  <si>
    <t>OMAN</t>
  </si>
  <si>
    <t>SAUDI ARABIA</t>
  </si>
  <si>
    <t>TANZANIA</t>
  </si>
  <si>
    <t>S.AFRICA</t>
  </si>
  <si>
    <t>BAHRAIN</t>
  </si>
  <si>
    <t>Passenger Vehicle</t>
  </si>
  <si>
    <t>Commercial Vehicle</t>
  </si>
  <si>
    <t>Tyreshop</t>
  </si>
  <si>
    <t>Institution</t>
  </si>
  <si>
    <t>Corporate</t>
  </si>
  <si>
    <t>Units</t>
  </si>
  <si>
    <t>Report As On:</t>
  </si>
  <si>
    <t>U.O.M: No of Units</t>
  </si>
  <si>
    <t>INDIA</t>
  </si>
  <si>
    <t>AUSTRALIA</t>
  </si>
  <si>
    <t>MIDDLE EAST</t>
  </si>
  <si>
    <t>SOUTH ASIA</t>
  </si>
  <si>
    <t>BRAZIL</t>
  </si>
  <si>
    <t>INTERNATIONAL DIVISION</t>
  </si>
  <si>
    <t>TOTAL - ALL REGIONS</t>
  </si>
  <si>
    <t>Product</t>
  </si>
  <si>
    <t>CY - MTD</t>
  </si>
  <si>
    <t>LY - MTD</t>
  </si>
  <si>
    <t>CY - YTD</t>
  </si>
  <si>
    <t>LY - YTD</t>
  </si>
  <si>
    <t>Growth over CY YTD Budget %</t>
  </si>
  <si>
    <t>YTD Growth
%</t>
  </si>
  <si>
    <t>YTD ACTUAL</t>
  </si>
  <si>
    <t>Budget*</t>
  </si>
  <si>
    <t>Actual</t>
  </si>
  <si>
    <t>AUS</t>
  </si>
  <si>
    <t>ME</t>
  </si>
  <si>
    <t>TOTAL</t>
  </si>
  <si>
    <t>TOTAL EN+SEPSAC</t>
  </si>
  <si>
    <t>OFSAC - AB</t>
  </si>
  <si>
    <t>OFSAC - OF</t>
  </si>
  <si>
    <t>Total - Industrials</t>
  </si>
  <si>
    <t>Portables - C&amp;M</t>
  </si>
  <si>
    <t>Portables -WW</t>
  </si>
  <si>
    <t>Total - Portables</t>
  </si>
  <si>
    <t>RECIP (Excl Borewell)</t>
  </si>
  <si>
    <t>RAILWAYS (RLY)</t>
  </si>
  <si>
    <t>BOREWELL Pump</t>
  </si>
  <si>
    <t>Total - All in</t>
  </si>
  <si>
    <t>*The MTD budget is determined based on previous billing trends.</t>
  </si>
  <si>
    <t xml:space="preserve">CY – MTD </t>
  </si>
  <si>
    <t>: Current Year - Month To Date</t>
  </si>
  <si>
    <t xml:space="preserve">LY – MTD </t>
  </si>
  <si>
    <t>: Last Year - Month To Date</t>
  </si>
  <si>
    <t xml:space="preserve">CY – YTD </t>
  </si>
  <si>
    <t>: Current Year - Year To Date</t>
  </si>
  <si>
    <t xml:space="preserve">LY – YTD </t>
  </si>
  <si>
    <t>: Last Year - Year To Date</t>
  </si>
  <si>
    <t>Quantity wise details reported by PMMO Team for Equipments</t>
  </si>
  <si>
    <t>Example of SEPSAC &amp; LEPSAC further breakup has been mentioned below</t>
  </si>
  <si>
    <t>EE 132-160 C</t>
  </si>
  <si>
    <t>EE 90-110 C</t>
  </si>
  <si>
    <t>EG 90-110 Std C</t>
  </si>
  <si>
    <t>EG 132-160 Std C</t>
  </si>
  <si>
    <t>EG 132-160 Std CV</t>
  </si>
  <si>
    <t>EG 90-110 Std CV</t>
  </si>
  <si>
    <t>EG 132-160 P C</t>
  </si>
  <si>
    <t>EG 90-110 P C</t>
  </si>
  <si>
    <t>EG 90-110 P CV</t>
  </si>
  <si>
    <t>EG 132-160 P CV</t>
  </si>
  <si>
    <t>EG 200-250 C</t>
  </si>
  <si>
    <t>EG 200-250 CV</t>
  </si>
  <si>
    <t>EE 200-250 C</t>
  </si>
  <si>
    <t>E 200-250 C</t>
  </si>
  <si>
    <t>EG 90-110 C</t>
  </si>
  <si>
    <t>EG 132-160 C</t>
  </si>
  <si>
    <t>E 11-22 C</t>
  </si>
  <si>
    <t>EG 11-22 C</t>
  </si>
  <si>
    <t>EG 26-45 C</t>
  </si>
  <si>
    <t>EG 26-45 CV</t>
  </si>
  <si>
    <t>EG 55-75 C</t>
  </si>
  <si>
    <t>EG 55-75 CD</t>
  </si>
  <si>
    <t>EG 55-75 CDV</t>
  </si>
  <si>
    <t>EG 55-75 CV</t>
  </si>
  <si>
    <t>EG 11-22 CV</t>
  </si>
  <si>
    <t>EG 11-22 CD</t>
  </si>
  <si>
    <t>EG 11-22 CDV</t>
  </si>
  <si>
    <t>EG 26-45 CD</t>
  </si>
  <si>
    <t>EG 26-45 CDV</t>
  </si>
  <si>
    <t>EV 11-22 C</t>
  </si>
  <si>
    <t>EV 11-22 CV</t>
  </si>
  <si>
    <t>EV 30-45 C</t>
  </si>
  <si>
    <t>EV 30-45 CV</t>
  </si>
  <si>
    <t>EQ 11-22 CV</t>
  </si>
  <si>
    <t>EG 55-75 P C</t>
  </si>
  <si>
    <t>EQ 11-22 C</t>
  </si>
  <si>
    <t>EQ 2-10 CV</t>
  </si>
  <si>
    <t>EQ 23-45 CV</t>
  </si>
  <si>
    <t>ATS (INR Mn)</t>
  </si>
  <si>
    <t>ATS- P</t>
  </si>
  <si>
    <t>Breakup of India Region_ Product wise :</t>
  </si>
  <si>
    <t>Item Category</t>
  </si>
  <si>
    <t>Spares</t>
  </si>
  <si>
    <t>Grand Total</t>
  </si>
  <si>
    <t>Portables (PG)</t>
  </si>
  <si>
    <t>RAILWAYS</t>
  </si>
  <si>
    <t>RCD</t>
  </si>
  <si>
    <t>AB</t>
  </si>
  <si>
    <t>WIPER Units</t>
  </si>
  <si>
    <t>Borewell Pump</t>
  </si>
  <si>
    <t>April 2025-Jan 2026</t>
  </si>
  <si>
    <t>PG - Units</t>
  </si>
  <si>
    <t>AM - EPSAC</t>
  </si>
  <si>
    <t xml:space="preserve">AM - Rail Mobility </t>
  </si>
  <si>
    <t>AM - Oil Lubricated Recips</t>
  </si>
  <si>
    <t>Receiver (Storage)</t>
  </si>
  <si>
    <t xml:space="preserve">Refrigerated Dryers Non Cyclic </t>
  </si>
  <si>
    <t>Downstream Filters</t>
  </si>
  <si>
    <t>AM - Dry Screw</t>
  </si>
  <si>
    <t>AM - Accessories</t>
  </si>
  <si>
    <t xml:space="preserve">AM - Portables </t>
  </si>
  <si>
    <t>AM - Centrifugal</t>
  </si>
  <si>
    <t>Desiccant Dryers</t>
  </si>
  <si>
    <t>AM - Water Injected</t>
  </si>
  <si>
    <t xml:space="preserve">AM - Oil Free Recips </t>
  </si>
  <si>
    <t>PG - Spares &amp; Accessories</t>
  </si>
  <si>
    <t>Australia (AUD Mn)</t>
  </si>
  <si>
    <t>Australia Industrials</t>
  </si>
  <si>
    <t>Visual Representation of India Vs ROW</t>
  </si>
  <si>
    <t>Phillippines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</si>
</sst>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;\(#,##0\);&quot;-&quot;??"/>
    <numFmt numFmtId="165" formatCode="#,##0.0000;\(#,##0.0000\);&quot;-&quot;??"/>
    <numFmt numFmtId="166" formatCode="_ * #,##0.0_ ;_ * \-#,##0.0_ ;_ * &quot;-&quot;??_ ;_ @_ "/>
    <numFmt numFmtId="167" formatCode="#,##0.00;\(#,##0.00\);&quot;-&quot;??"/>
    <numFmt numFmtId="168" formatCode="#,##0.0;\(#,##0.0\);&quot;-&quot;??"/>
    <numFmt numFmtId="169" formatCode="_ * #,##0_ ;_ * \-#,##0_ ;_ * &quot;-&quot;??_ ;_ @_ "/>
    <numFmt numFmtId="170" formatCode="dd\ mmm\ yyyy"/>
  </numFmts>
  <fonts count="3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Marlett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rgb="FFC0000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theme="1" tint="0.249977111117893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i/>
      <sz val="10"/>
      <color theme="1"/>
      <name val="Verdana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i/>
      <sz val="9"/>
      <color theme="1"/>
      <name val="Verdana"/>
      <family val="2"/>
    </font>
    <font>
      <b/>
      <sz val="10"/>
      <color rgb="FFFFFFFF"/>
      <name val="Verdana"/>
      <family val="2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1"/>
      <color theme="0"/>
      <name val="Verdana"/>
      <family val="2"/>
    </font>
    <font>
      <sz val="11"/>
      <color rgb="FFFF0000"/>
      <name val="Verdana"/>
      <family val="2"/>
    </font>
    <font>
      <b/>
      <sz val="11"/>
      <color rgb="FFFFFFFF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b/>
      <sz val="12"/>
      <color rgb="FF000000"/>
      <name val="Verdana"/>
      <family val="2"/>
    </font>
    <font>
      <b/>
      <i/>
      <sz val="11"/>
      <color theme="1"/>
      <name val="Verdana"/>
      <family val="2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indent="2"/>
    </xf>
    <xf numFmtId="0" fontId="8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1" xfId="0" applyFont="1" applyBorder="1"/>
    <xf numFmtId="0" fontId="7" fillId="0" borderId="2" xfId="0" applyFont="1" applyBorder="1" applyAlignment="1">
      <alignment horizontal="left" indent="1"/>
    </xf>
    <xf numFmtId="0" fontId="9" fillId="0" borderId="2" xfId="0" applyFont="1" applyBorder="1" applyAlignment="1">
      <alignment horizontal="left" indent="2"/>
    </xf>
    <xf numFmtId="0" fontId="8" fillId="0" borderId="2" xfId="0" applyFont="1" applyBorder="1" applyAlignment="1">
      <alignment horizontal="left" indent="2"/>
    </xf>
    <xf numFmtId="0" fontId="7" fillId="0" borderId="2" xfId="0" applyFont="1" applyBorder="1" applyAlignment="1">
      <alignment horizontal="left" indent="4"/>
    </xf>
    <xf numFmtId="0" fontId="7" fillId="0" borderId="3" xfId="0" applyFont="1" applyBorder="1"/>
    <xf numFmtId="0" fontId="6" fillId="2" borderId="3" xfId="0" applyFont="1" applyFill="1" applyBorder="1" applyAlignment="1">
      <alignment horizontal="left"/>
    </xf>
    <xf numFmtId="0" fontId="10" fillId="0" borderId="0" xfId="0" applyFont="1"/>
    <xf numFmtId="0" fontId="11" fillId="0" borderId="8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164" fontId="10" fillId="4" borderId="2" xfId="0" applyNumberFormat="1" applyFont="1" applyFill="1" applyBorder="1" applyAlignment="1">
      <alignment vertical="center"/>
    </xf>
    <xf numFmtId="9" fontId="12" fillId="0" borderId="2" xfId="0" applyNumberFormat="1" applyFont="1" applyBorder="1" applyAlignment="1">
      <alignment vertical="center"/>
    </xf>
    <xf numFmtId="165" fontId="10" fillId="0" borderId="0" xfId="0" applyNumberFormat="1" applyFont="1" applyAlignment="1">
      <alignment vertical="center"/>
    </xf>
    <xf numFmtId="0" fontId="13" fillId="0" borderId="12" xfId="0" applyFont="1" applyBorder="1" applyAlignment="1">
      <alignment vertical="center"/>
    </xf>
    <xf numFmtId="164" fontId="13" fillId="0" borderId="12" xfId="0" applyNumberFormat="1" applyFont="1" applyBorder="1" applyAlignment="1">
      <alignment vertical="center"/>
    </xf>
    <xf numFmtId="164" fontId="13" fillId="4" borderId="12" xfId="0" applyNumberFormat="1" applyFont="1" applyFill="1" applyBorder="1" applyAlignment="1">
      <alignment vertical="center"/>
    </xf>
    <xf numFmtId="9" fontId="14" fillId="0" borderId="12" xfId="0" applyNumberFormat="1" applyFont="1" applyBorder="1" applyAlignment="1">
      <alignment vertical="center"/>
    </xf>
    <xf numFmtId="9" fontId="14" fillId="0" borderId="2" xfId="0" applyNumberFormat="1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64" fontId="12" fillId="0" borderId="2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164" fontId="16" fillId="0" borderId="1" xfId="0" applyNumberFormat="1" applyFont="1" applyBorder="1" applyAlignment="1">
      <alignment vertical="center"/>
    </xf>
    <xf numFmtId="164" fontId="16" fillId="4" borderId="1" xfId="0" applyNumberFormat="1" applyFont="1" applyFill="1" applyBorder="1" applyAlignment="1">
      <alignment vertical="center"/>
    </xf>
    <xf numFmtId="9" fontId="17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9" fontId="17" fillId="0" borderId="2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66" fontId="10" fillId="0" borderId="0" xfId="1" applyNumberFormat="1" applyFont="1"/>
    <xf numFmtId="164" fontId="10" fillId="0" borderId="0" xfId="0" applyNumberFormat="1" applyFont="1"/>
    <xf numFmtId="1" fontId="10" fillId="0" borderId="0" xfId="0" applyNumberFormat="1" applyFont="1" applyAlignment="1">
      <alignment vertical="center"/>
    </xf>
    <xf numFmtId="0" fontId="18" fillId="0" borderId="0" xfId="0" applyFont="1"/>
    <xf numFmtId="0" fontId="11" fillId="0" borderId="0" xfId="0" applyFont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167" fontId="10" fillId="4" borderId="2" xfId="0" applyNumberFormat="1" applyFont="1" applyFill="1" applyBorder="1" applyAlignment="1">
      <alignment vertical="center"/>
    </xf>
    <xf numFmtId="0" fontId="10" fillId="0" borderId="2" xfId="0" applyFont="1" applyBorder="1"/>
    <xf numFmtId="167" fontId="16" fillId="0" borderId="1" xfId="0" applyNumberFormat="1" applyFont="1" applyBorder="1" applyAlignment="1">
      <alignment vertical="center"/>
    </xf>
    <xf numFmtId="167" fontId="16" fillId="4" borderId="1" xfId="0" applyNumberFormat="1" applyFont="1" applyFill="1" applyBorder="1" applyAlignment="1">
      <alignment vertical="center"/>
    </xf>
    <xf numFmtId="169" fontId="10" fillId="0" borderId="0" xfId="0" applyNumberFormat="1" applyFont="1"/>
    <xf numFmtId="9" fontId="10" fillId="0" borderId="0" xfId="2" applyFont="1"/>
    <xf numFmtId="169" fontId="10" fillId="0" borderId="2" xfId="1" applyNumberFormat="1" applyFont="1" applyBorder="1" applyAlignment="1">
      <alignment vertical="center"/>
    </xf>
    <xf numFmtId="169" fontId="10" fillId="4" borderId="2" xfId="1" applyNumberFormat="1" applyFont="1" applyFill="1" applyBorder="1" applyAlignment="1">
      <alignment vertical="center"/>
    </xf>
    <xf numFmtId="169" fontId="10" fillId="0" borderId="2" xfId="1" applyNumberFormat="1" applyFont="1" applyFill="1" applyBorder="1" applyAlignment="1">
      <alignment vertical="center"/>
    </xf>
    <xf numFmtId="0" fontId="13" fillId="0" borderId="16" xfId="0" applyFont="1" applyBorder="1" applyAlignment="1">
      <alignment vertical="center"/>
    </xf>
    <xf numFmtId="169" fontId="13" fillId="0" borderId="16" xfId="1" applyNumberFormat="1" applyFont="1" applyBorder="1" applyAlignment="1">
      <alignment vertical="center"/>
    </xf>
    <xf numFmtId="169" fontId="13" fillId="4" borderId="16" xfId="1" applyNumberFormat="1" applyFont="1" applyFill="1" applyBorder="1" applyAlignment="1">
      <alignment vertical="center"/>
    </xf>
    <xf numFmtId="9" fontId="14" fillId="0" borderId="16" xfId="0" applyNumberFormat="1" applyFont="1" applyBorder="1" applyAlignment="1">
      <alignment vertical="center"/>
    </xf>
    <xf numFmtId="0" fontId="13" fillId="0" borderId="0" xfId="0" applyFont="1"/>
    <xf numFmtId="169" fontId="13" fillId="0" borderId="16" xfId="1" applyNumberFormat="1" applyFont="1" applyFill="1" applyBorder="1" applyAlignment="1">
      <alignment vertical="center"/>
    </xf>
    <xf numFmtId="169" fontId="10" fillId="0" borderId="2" xfId="1" applyNumberFormat="1" applyFont="1" applyBorder="1"/>
    <xf numFmtId="169" fontId="16" fillId="0" borderId="1" xfId="1" applyNumberFormat="1" applyFont="1" applyBorder="1" applyAlignment="1">
      <alignment vertical="center"/>
    </xf>
    <xf numFmtId="169" fontId="16" fillId="4" borderId="1" xfId="1" applyNumberFormat="1" applyFont="1" applyFill="1" applyBorder="1" applyAlignment="1">
      <alignment vertical="center"/>
    </xf>
    <xf numFmtId="169" fontId="16" fillId="0" borderId="1" xfId="1" applyNumberFormat="1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4" borderId="2" xfId="0" applyNumberFormat="1" applyFont="1" applyFill="1" applyBorder="1" applyAlignment="1">
      <alignment vertical="center"/>
    </xf>
    <xf numFmtId="168" fontId="16" fillId="0" borderId="2" xfId="0" applyNumberFormat="1" applyFont="1" applyBorder="1" applyAlignment="1">
      <alignment vertical="center"/>
    </xf>
    <xf numFmtId="168" fontId="16" fillId="4" borderId="2" xfId="0" applyNumberFormat="1" applyFont="1" applyFill="1" applyBorder="1" applyAlignment="1">
      <alignment vertical="center"/>
    </xf>
    <xf numFmtId="167" fontId="10" fillId="0" borderId="2" xfId="1" applyNumberFormat="1" applyFont="1" applyBorder="1"/>
    <xf numFmtId="167" fontId="10" fillId="0" borderId="2" xfId="0" applyNumberFormat="1" applyFont="1" applyBorder="1"/>
    <xf numFmtId="0" fontId="20" fillId="0" borderId="0" xfId="0" applyFont="1"/>
    <xf numFmtId="0" fontId="21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22" fillId="5" borderId="4" xfId="0" applyFont="1" applyFill="1" applyBorder="1"/>
    <xf numFmtId="0" fontId="23" fillId="0" borderId="0" xfId="0" applyFont="1"/>
    <xf numFmtId="170" fontId="22" fillId="5" borderId="10" xfId="0" applyNumberFormat="1" applyFont="1" applyFill="1" applyBorder="1" applyAlignment="1">
      <alignment horizontal="left" vertical="center"/>
    </xf>
    <xf numFmtId="170" fontId="22" fillId="5" borderId="9" xfId="0" applyNumberFormat="1" applyFont="1" applyFill="1" applyBorder="1" applyAlignment="1">
      <alignment horizontal="left" vertical="center"/>
    </xf>
    <xf numFmtId="0" fontId="24" fillId="6" borderId="0" xfId="0" applyFont="1" applyFill="1" applyAlignment="1">
      <alignment vertical="center" readingOrder="1"/>
    </xf>
    <xf numFmtId="0" fontId="24" fillId="6" borderId="0" xfId="0" applyFont="1" applyFill="1" applyAlignment="1">
      <alignment horizontal="left" vertical="center" readingOrder="1"/>
    </xf>
    <xf numFmtId="0" fontId="24" fillId="7" borderId="4" xfId="0" applyFont="1" applyFill="1" applyBorder="1" applyAlignment="1">
      <alignment horizontal="center" vertical="center" wrapText="1" readingOrder="1"/>
    </xf>
    <xf numFmtId="0" fontId="24" fillId="7" borderId="9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5" fillId="0" borderId="18" xfId="0" applyFont="1" applyBorder="1" applyAlignment="1">
      <alignment vertical="center" wrapText="1" readingOrder="1"/>
    </xf>
    <xf numFmtId="1" fontId="25" fillId="0" borderId="18" xfId="0" applyNumberFormat="1" applyFont="1" applyBorder="1" applyAlignment="1">
      <alignment horizontal="center" vertical="center" wrapText="1" readingOrder="1"/>
    </xf>
    <xf numFmtId="1" fontId="26" fillId="8" borderId="18" xfId="0" applyNumberFormat="1" applyFont="1" applyFill="1" applyBorder="1" applyAlignment="1">
      <alignment horizontal="center" vertical="center" wrapText="1" readingOrder="1"/>
    </xf>
    <xf numFmtId="1" fontId="26" fillId="9" borderId="18" xfId="0" applyNumberFormat="1" applyFont="1" applyFill="1" applyBorder="1" applyAlignment="1">
      <alignment horizontal="center" vertical="center" wrapText="1" readingOrder="1"/>
    </xf>
    <xf numFmtId="9" fontId="8" fillId="0" borderId="18" xfId="0" applyNumberFormat="1" applyFont="1" applyBorder="1" applyAlignment="1">
      <alignment horizontal="center" vertical="center" wrapText="1" readingOrder="1"/>
    </xf>
    <xf numFmtId="0" fontId="25" fillId="0" borderId="19" xfId="0" applyFont="1" applyBorder="1" applyAlignment="1">
      <alignment vertical="center" wrapText="1" readingOrder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6" fillId="10" borderId="18" xfId="0" applyFont="1" applyFill="1" applyBorder="1" applyAlignment="1">
      <alignment horizontal="center" vertical="center" wrapText="1" readingOrder="1"/>
    </xf>
    <xf numFmtId="1" fontId="26" fillId="10" borderId="18" xfId="0" applyNumberFormat="1" applyFont="1" applyFill="1" applyBorder="1" applyAlignment="1">
      <alignment horizontal="center" vertical="center" wrapText="1" readingOrder="1"/>
    </xf>
    <xf numFmtId="1" fontId="25" fillId="10" borderId="18" xfId="0" applyNumberFormat="1" applyFont="1" applyFill="1" applyBorder="1" applyAlignment="1">
      <alignment horizontal="center" vertical="center" wrapText="1" readingOrder="1"/>
    </xf>
    <xf numFmtId="9" fontId="8" fillId="10" borderId="18" xfId="0" applyNumberFormat="1" applyFont="1" applyFill="1" applyBorder="1" applyAlignment="1">
      <alignment horizontal="center" vertical="center" wrapText="1" readingOrder="1"/>
    </xf>
    <xf numFmtId="0" fontId="26" fillId="10" borderId="18" xfId="0" applyFont="1" applyFill="1" applyBorder="1" applyAlignment="1">
      <alignment horizontal="left" vertical="center" wrapText="1" readingOrder="1"/>
    </xf>
    <xf numFmtId="0" fontId="8" fillId="10" borderId="18" xfId="0" applyFont="1" applyFill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 wrapText="1" readingOrder="1"/>
    </xf>
    <xf numFmtId="0" fontId="8" fillId="10" borderId="18" xfId="0" applyFont="1" applyFill="1" applyBorder="1" applyAlignment="1">
      <alignment horizontal="center" vertical="center" wrapText="1" readingOrder="1"/>
    </xf>
    <xf numFmtId="1" fontId="8" fillId="10" borderId="18" xfId="0" applyNumberFormat="1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8" fillId="10" borderId="18" xfId="0" applyFont="1" applyFill="1" applyBorder="1" applyAlignment="1">
      <alignment horizontal="left" vertical="center" wrapText="1" readingOrder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0" applyNumberFormat="1" applyFont="1"/>
    <xf numFmtId="1" fontId="7" fillId="0" borderId="0" xfId="0" applyNumberFormat="1" applyFont="1" applyAlignment="1">
      <alignment horizontal="center"/>
    </xf>
    <xf numFmtId="0" fontId="8" fillId="10" borderId="18" xfId="0" applyFont="1" applyFill="1" applyBorder="1" applyAlignment="1">
      <alignment vertical="center" wrapText="1" readingOrder="1"/>
    </xf>
    <xf numFmtId="0" fontId="26" fillId="10" borderId="18" xfId="0" applyFont="1" applyFill="1" applyBorder="1" applyAlignment="1">
      <alignment vertical="center" wrapText="1" readingOrder="1"/>
    </xf>
    <xf numFmtId="0" fontId="27" fillId="0" borderId="20" xfId="0" applyFont="1" applyBorder="1" applyAlignment="1">
      <alignment vertical="center" wrapText="1" readingOrder="1"/>
    </xf>
    <xf numFmtId="0" fontId="27" fillId="0" borderId="21" xfId="0" applyFont="1" applyBorder="1" applyAlignment="1">
      <alignment vertical="center" wrapText="1" readingOrder="1"/>
    </xf>
    <xf numFmtId="0" fontId="28" fillId="0" borderId="20" xfId="0" applyFont="1" applyBorder="1" applyAlignment="1">
      <alignment vertical="center" readingOrder="1"/>
    </xf>
    <xf numFmtId="0" fontId="29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 wrapText="1" readingOrder="1"/>
    </xf>
    <xf numFmtId="0" fontId="28" fillId="0" borderId="0" xfId="0" applyFont="1" applyAlignment="1">
      <alignment vertical="center" readingOrder="1"/>
    </xf>
    <xf numFmtId="0" fontId="31" fillId="0" borderId="0" xfId="0" applyFont="1"/>
    <xf numFmtId="0" fontId="32" fillId="0" borderId="0" xfId="0" applyFont="1"/>
    <xf numFmtId="0" fontId="0" fillId="0" borderId="16" xfId="0" applyBorder="1"/>
    <xf numFmtId="0" fontId="0" fillId="0" borderId="1" xfId="0" applyBorder="1"/>
    <xf numFmtId="167" fontId="10" fillId="4" borderId="1" xfId="0" applyNumberFormat="1" applyFont="1" applyFill="1" applyBorder="1" applyAlignment="1">
      <alignment vertical="center"/>
    </xf>
    <xf numFmtId="0" fontId="0" fillId="0" borderId="2" xfId="0" applyBorder="1" applyAlignment="1">
      <alignment horizontal="left"/>
    </xf>
    <xf numFmtId="169" fontId="0" fillId="0" borderId="2" xfId="1" applyNumberFormat="1" applyFont="1" applyBorder="1"/>
    <xf numFmtId="0" fontId="1" fillId="0" borderId="1" xfId="0" applyFont="1" applyBorder="1" applyAlignment="1">
      <alignment horizontal="left"/>
    </xf>
    <xf numFmtId="169" fontId="1" fillId="0" borderId="1" xfId="1" applyNumberFormat="1" applyFont="1" applyBorder="1"/>
    <xf numFmtId="169" fontId="0" fillId="0" borderId="16" xfId="1" applyNumberFormat="1" applyFont="1" applyBorder="1"/>
    <xf numFmtId="0" fontId="15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20" fillId="11" borderId="0" xfId="0" applyFont="1" applyFill="1"/>
    <xf numFmtId="0" fontId="33" fillId="11" borderId="1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textRotation="90"/>
    </xf>
    <xf numFmtId="0" fontId="24" fillId="7" borderId="9" xfId="0" applyFont="1" applyFill="1" applyBorder="1" applyAlignment="1">
      <alignment horizontal="center" vertical="center" wrapText="1" readingOrder="1"/>
    </xf>
    <xf numFmtId="0" fontId="24" fillId="7" borderId="4" xfId="0" applyFont="1" applyFill="1" applyBorder="1" applyAlignment="1">
      <alignment horizontal="center" vertical="center" wrapText="1" readingOrder="1"/>
    </xf>
    <xf numFmtId="0" fontId="24" fillId="7" borderId="8" xfId="0" applyFont="1" applyFill="1" applyBorder="1" applyAlignment="1">
      <alignment horizontal="center" vertical="center" wrapText="1" readingOrder="1"/>
    </xf>
    <xf numFmtId="0" fontId="24" fillId="7" borderId="17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6</xdr:col>
      <xdr:colOff>1020917</xdr:colOff>
      <xdr:row>118</xdr:row>
      <xdr:rowOff>96040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92F31-1303-4217-8A80-26EB26E67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46700"/>
          <a:ext cx="7643967" cy="377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5645-E526-4AFC-AD9D-FF00F5ABB530}">
  <sheetPr codeName="Sheet6">
    <tabColor rgb="FF92D050"/>
  </sheetPr>
  <dimension ref="B3:AB55"/>
  <sheetViews>
    <sheetView showGridLines="0" topLeftCell="A13" workbookViewId="0">
      <selection activeCell="C20" sqref="C20"/>
    </sheetView>
  </sheetViews>
  <sheetFormatPr defaultRowHeight="15" x14ac:dyDescent="0.25"/>
  <cols>
    <col min="2" max="2" width="7.85546875" customWidth="1"/>
    <col min="3" max="3" width="19.28515625" bestFit="1" customWidth="1"/>
    <col min="14" max="14" width="19.28515625" bestFit="1" customWidth="1"/>
    <col min="23" max="23" width="19.28515625" bestFit="1" customWidth="1"/>
  </cols>
  <sheetData>
    <row r="3" spans="2:28" x14ac:dyDescent="0.25">
      <c r="B3" s="24"/>
      <c r="C3" s="150" t="s">
        <v>137</v>
      </c>
      <c r="D3" s="152" t="s">
        <v>138</v>
      </c>
      <c r="E3" s="153"/>
      <c r="F3" s="153"/>
      <c r="G3" s="153"/>
      <c r="H3" s="153"/>
      <c r="I3" s="153"/>
      <c r="J3" s="153"/>
      <c r="K3" s="153"/>
      <c r="L3" s="153"/>
      <c r="M3" s="24"/>
      <c r="N3" s="150" t="s">
        <v>137</v>
      </c>
      <c r="O3" s="152" t="s">
        <v>139</v>
      </c>
      <c r="P3" s="153"/>
      <c r="Q3" s="153"/>
      <c r="R3" s="153"/>
      <c r="S3" s="153"/>
      <c r="T3" s="153"/>
      <c r="U3" s="154"/>
      <c r="V3" s="25"/>
      <c r="W3" s="150" t="s">
        <v>137</v>
      </c>
      <c r="X3" s="155" t="s">
        <v>140</v>
      </c>
      <c r="Y3" s="155"/>
      <c r="Z3" s="155"/>
      <c r="AA3" s="155"/>
      <c r="AB3" s="155"/>
    </row>
    <row r="4" spans="2:28" x14ac:dyDescent="0.25">
      <c r="B4" s="24"/>
      <c r="C4" s="151"/>
      <c r="D4" s="27" t="s">
        <v>141</v>
      </c>
      <c r="E4" s="26" t="s">
        <v>142</v>
      </c>
      <c r="F4" s="26" t="s">
        <v>143</v>
      </c>
      <c r="G4" s="26" t="s">
        <v>144</v>
      </c>
      <c r="H4" s="26" t="s">
        <v>145</v>
      </c>
      <c r="I4" s="26" t="s">
        <v>146</v>
      </c>
      <c r="J4" s="26" t="s">
        <v>147</v>
      </c>
      <c r="K4" s="26" t="s">
        <v>148</v>
      </c>
      <c r="L4" s="26" t="s">
        <v>147</v>
      </c>
      <c r="M4" s="24"/>
      <c r="N4" s="151"/>
      <c r="O4" s="26" t="s">
        <v>141</v>
      </c>
      <c r="P4" s="26" t="s">
        <v>142</v>
      </c>
      <c r="Q4" s="26" t="s">
        <v>149</v>
      </c>
      <c r="R4" s="26" t="s">
        <v>150</v>
      </c>
      <c r="S4" s="26" t="s">
        <v>146</v>
      </c>
      <c r="T4" s="26" t="s">
        <v>148</v>
      </c>
      <c r="U4" s="26" t="s">
        <v>151</v>
      </c>
      <c r="V4" s="25"/>
      <c r="W4" s="151"/>
      <c r="X4" s="26" t="s">
        <v>141</v>
      </c>
      <c r="Y4" s="26" t="s">
        <v>142</v>
      </c>
      <c r="Z4" s="26" t="s">
        <v>152</v>
      </c>
      <c r="AA4" s="26" t="s">
        <v>146</v>
      </c>
      <c r="AB4" s="26" t="s">
        <v>148</v>
      </c>
    </row>
    <row r="5" spans="2:28" x14ac:dyDescent="0.25">
      <c r="B5" s="28"/>
      <c r="C5" s="29" t="s">
        <v>153</v>
      </c>
      <c r="D5" s="30"/>
      <c r="E5" s="30"/>
      <c r="F5" s="30"/>
      <c r="G5" s="30"/>
      <c r="H5" s="31"/>
      <c r="I5" s="32"/>
      <c r="J5" s="32"/>
      <c r="K5" s="32"/>
      <c r="L5" s="32"/>
      <c r="M5" s="28"/>
      <c r="N5" s="29" t="s">
        <v>153</v>
      </c>
      <c r="O5" s="30"/>
      <c r="P5" s="30"/>
      <c r="Q5" s="30"/>
      <c r="R5" s="31"/>
      <c r="S5" s="32"/>
      <c r="T5" s="32"/>
      <c r="U5" s="32"/>
      <c r="V5" s="32"/>
      <c r="W5" s="29" t="s">
        <v>153</v>
      </c>
      <c r="X5" s="30"/>
      <c r="Y5" s="30"/>
      <c r="Z5" s="31"/>
      <c r="AA5" s="32"/>
      <c r="AB5" s="32"/>
    </row>
    <row r="6" spans="2:28" x14ac:dyDescent="0.25">
      <c r="B6" s="28"/>
      <c r="C6" s="29" t="s">
        <v>27</v>
      </c>
      <c r="D6" s="30"/>
      <c r="E6" s="30"/>
      <c r="F6" s="30"/>
      <c r="G6" s="30"/>
      <c r="H6" s="31"/>
      <c r="I6" s="32"/>
      <c r="J6" s="32"/>
      <c r="K6" s="32"/>
      <c r="L6" s="32"/>
      <c r="M6" s="28"/>
      <c r="N6" s="29" t="s">
        <v>27</v>
      </c>
      <c r="O6" s="30"/>
      <c r="P6" s="30"/>
      <c r="Q6" s="30"/>
      <c r="R6" s="31"/>
      <c r="S6" s="32"/>
      <c r="T6" s="32"/>
      <c r="U6" s="32"/>
      <c r="V6" s="32"/>
      <c r="W6" s="29" t="s">
        <v>27</v>
      </c>
      <c r="X6" s="30"/>
      <c r="Y6" s="30"/>
      <c r="Z6" s="31"/>
      <c r="AA6" s="32"/>
      <c r="AB6" s="32"/>
    </row>
    <row r="7" spans="2:28" x14ac:dyDescent="0.25">
      <c r="B7" s="28"/>
      <c r="C7" s="29" t="s">
        <v>17</v>
      </c>
      <c r="D7" s="30"/>
      <c r="E7" s="30"/>
      <c r="F7" s="30"/>
      <c r="G7" s="30"/>
      <c r="H7" s="31"/>
      <c r="I7" s="32"/>
      <c r="J7" s="32"/>
      <c r="K7" s="32"/>
      <c r="L7" s="32"/>
      <c r="M7" s="28"/>
      <c r="N7" s="29" t="s">
        <v>17</v>
      </c>
      <c r="O7" s="30"/>
      <c r="P7" s="30"/>
      <c r="Q7" s="30"/>
      <c r="R7" s="31"/>
      <c r="S7" s="32"/>
      <c r="T7" s="32"/>
      <c r="U7" s="32"/>
      <c r="V7" s="32"/>
      <c r="W7" s="29" t="s">
        <v>17</v>
      </c>
      <c r="X7" s="30"/>
      <c r="Y7" s="30"/>
      <c r="Z7" s="31"/>
      <c r="AA7" s="32"/>
      <c r="AB7" s="32"/>
    </row>
    <row r="8" spans="2:28" x14ac:dyDescent="0.25">
      <c r="B8" s="28"/>
      <c r="C8" s="29" t="s">
        <v>23</v>
      </c>
      <c r="D8" s="30"/>
      <c r="E8" s="30"/>
      <c r="F8" s="30"/>
      <c r="G8" s="30"/>
      <c r="H8" s="31"/>
      <c r="I8" s="32"/>
      <c r="J8" s="32"/>
      <c r="K8" s="32"/>
      <c r="L8" s="32"/>
      <c r="M8" s="33"/>
      <c r="N8" s="29" t="s">
        <v>23</v>
      </c>
      <c r="O8" s="30"/>
      <c r="P8" s="30"/>
      <c r="Q8" s="30"/>
      <c r="R8" s="31"/>
      <c r="S8" s="32"/>
      <c r="T8" s="32"/>
      <c r="U8" s="32"/>
      <c r="V8" s="32"/>
      <c r="W8" s="29" t="s">
        <v>23</v>
      </c>
      <c r="X8" s="30"/>
      <c r="Y8" s="30"/>
      <c r="Z8" s="31"/>
      <c r="AA8" s="32"/>
      <c r="AB8" s="32"/>
    </row>
    <row r="9" spans="2:28" x14ac:dyDescent="0.25">
      <c r="B9" s="28"/>
      <c r="C9" s="29" t="s">
        <v>29</v>
      </c>
      <c r="D9" s="30"/>
      <c r="E9" s="30"/>
      <c r="F9" s="30"/>
      <c r="G9" s="30"/>
      <c r="H9" s="31"/>
      <c r="I9" s="32"/>
      <c r="J9" s="32"/>
      <c r="K9" s="32"/>
      <c r="L9" s="32"/>
      <c r="M9" s="28"/>
      <c r="N9" s="29" t="s">
        <v>29</v>
      </c>
      <c r="O9" s="30"/>
      <c r="P9" s="30"/>
      <c r="Q9" s="30"/>
      <c r="R9" s="31"/>
      <c r="S9" s="32"/>
      <c r="T9" s="32"/>
      <c r="U9" s="32"/>
      <c r="V9" s="32"/>
      <c r="W9" s="29" t="s">
        <v>29</v>
      </c>
      <c r="X9" s="30"/>
      <c r="Y9" s="30"/>
      <c r="Z9" s="31"/>
      <c r="AA9" s="32"/>
      <c r="AB9" s="32"/>
    </row>
    <row r="10" spans="2:28" x14ac:dyDescent="0.25">
      <c r="B10" s="28"/>
      <c r="C10" s="34" t="s">
        <v>154</v>
      </c>
      <c r="D10" s="35"/>
      <c r="E10" s="35"/>
      <c r="F10" s="35"/>
      <c r="G10" s="35"/>
      <c r="H10" s="36"/>
      <c r="I10" s="37"/>
      <c r="J10" s="37"/>
      <c r="K10" s="37"/>
      <c r="L10" s="37"/>
      <c r="M10" s="28"/>
      <c r="N10" s="34" t="s">
        <v>137</v>
      </c>
      <c r="O10" s="35"/>
      <c r="P10" s="35"/>
      <c r="Q10" s="35"/>
      <c r="R10" s="36"/>
      <c r="S10" s="37"/>
      <c r="T10" s="37"/>
      <c r="U10" s="37"/>
      <c r="V10" s="38"/>
      <c r="W10" s="34" t="s">
        <v>137</v>
      </c>
      <c r="X10" s="35"/>
      <c r="Y10" s="35"/>
      <c r="Z10" s="36"/>
      <c r="AA10" s="37"/>
      <c r="AB10" s="37"/>
    </row>
    <row r="11" spans="2:28" x14ac:dyDescent="0.25">
      <c r="B11" s="28"/>
      <c r="C11" s="29" t="s">
        <v>134</v>
      </c>
      <c r="D11" s="30"/>
      <c r="E11" s="30"/>
      <c r="F11" s="30"/>
      <c r="G11" s="30"/>
      <c r="H11" s="31"/>
      <c r="I11" s="39"/>
      <c r="J11" s="40"/>
      <c r="K11" s="39"/>
      <c r="L11" s="39"/>
      <c r="M11" s="28"/>
      <c r="N11" s="29" t="s">
        <v>134</v>
      </c>
      <c r="O11" s="30"/>
      <c r="P11" s="30"/>
      <c r="Q11" s="30"/>
      <c r="R11" s="31"/>
      <c r="S11" s="39"/>
      <c r="T11" s="39"/>
      <c r="U11" s="39"/>
      <c r="V11" s="39"/>
      <c r="W11" s="29" t="s">
        <v>134</v>
      </c>
      <c r="X11" s="30"/>
      <c r="Y11" s="30"/>
      <c r="Z11" s="31"/>
      <c r="AA11" s="39"/>
      <c r="AB11" s="39"/>
    </row>
    <row r="12" spans="2:28" x14ac:dyDescent="0.25">
      <c r="B12" s="28"/>
      <c r="C12" s="29" t="s">
        <v>28</v>
      </c>
      <c r="D12" s="30"/>
      <c r="E12" s="30"/>
      <c r="F12" s="30"/>
      <c r="G12" s="30"/>
      <c r="H12" s="31"/>
      <c r="I12" s="32"/>
      <c r="J12" s="32"/>
      <c r="K12" s="32"/>
      <c r="L12" s="32"/>
      <c r="M12" s="28"/>
      <c r="N12" s="29" t="s">
        <v>28</v>
      </c>
      <c r="O12" s="30"/>
      <c r="P12" s="30"/>
      <c r="Q12" s="30"/>
      <c r="R12" s="31"/>
      <c r="S12" s="32"/>
      <c r="T12" s="32"/>
      <c r="U12" s="32"/>
      <c r="V12" s="32"/>
      <c r="W12" s="29" t="s">
        <v>28</v>
      </c>
      <c r="X12" s="30"/>
      <c r="Y12" s="30"/>
      <c r="Z12" s="31"/>
      <c r="AA12" s="32"/>
      <c r="AB12" s="32"/>
    </row>
    <row r="13" spans="2:28" x14ac:dyDescent="0.25">
      <c r="B13" s="41"/>
      <c r="C13" s="42" t="s">
        <v>155</v>
      </c>
      <c r="D13" s="43"/>
      <c r="E13" s="43"/>
      <c r="F13" s="43"/>
      <c r="G13" s="43"/>
      <c r="H13" s="44"/>
      <c r="I13" s="45"/>
      <c r="J13" s="45"/>
      <c r="K13" s="45"/>
      <c r="L13" s="45"/>
      <c r="M13" s="41"/>
      <c r="N13" s="46" t="s">
        <v>155</v>
      </c>
      <c r="O13" s="43"/>
      <c r="P13" s="43"/>
      <c r="Q13" s="43"/>
      <c r="R13" s="44"/>
      <c r="S13" s="45"/>
      <c r="T13" s="45"/>
      <c r="U13" s="45"/>
      <c r="V13" s="47"/>
      <c r="W13" s="46" t="s">
        <v>155</v>
      </c>
      <c r="X13" s="43"/>
      <c r="Y13" s="43"/>
      <c r="Z13" s="44"/>
      <c r="AA13" s="45"/>
      <c r="AB13" s="45"/>
    </row>
    <row r="14" spans="2:28" x14ac:dyDescent="0.25">
      <c r="B14" s="24"/>
      <c r="C14" s="48"/>
      <c r="D14" s="24"/>
      <c r="E14" s="24"/>
      <c r="F14" s="24"/>
      <c r="G14" s="49"/>
      <c r="H14" s="49"/>
      <c r="I14" s="24"/>
      <c r="J14" s="24"/>
      <c r="K14" s="24"/>
      <c r="L14" s="24"/>
      <c r="M14" s="24"/>
      <c r="N14" s="42" t="s">
        <v>156</v>
      </c>
      <c r="O14" s="43"/>
      <c r="P14" s="43"/>
      <c r="Q14" s="43"/>
      <c r="R14" s="44"/>
      <c r="S14" s="45"/>
      <c r="T14" s="45"/>
      <c r="U14" s="45"/>
      <c r="V14" s="24"/>
      <c r="W14" s="28"/>
      <c r="X14" s="50"/>
      <c r="Y14" s="50"/>
      <c r="Z14" s="51"/>
      <c r="AA14" s="24"/>
      <c r="AB14" s="24"/>
    </row>
    <row r="15" spans="2:28" x14ac:dyDescent="0.25">
      <c r="B15" s="24"/>
      <c r="C15" s="52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52"/>
      <c r="O15" s="24"/>
      <c r="P15" s="24"/>
      <c r="Q15" s="24"/>
      <c r="R15" s="24"/>
      <c r="S15" s="24"/>
      <c r="T15" s="24"/>
      <c r="U15" s="24"/>
      <c r="V15" s="24"/>
      <c r="W15" s="52"/>
      <c r="X15" s="24"/>
      <c r="Y15" s="24"/>
      <c r="Z15" s="24"/>
      <c r="AA15" s="24"/>
      <c r="AB15" s="24"/>
    </row>
    <row r="16" spans="2:28" x14ac:dyDescent="0.25">
      <c r="B16" s="24"/>
      <c r="C16" s="24"/>
      <c r="D16" s="63"/>
      <c r="E16" s="63"/>
      <c r="F16" s="63"/>
      <c r="G16" s="63"/>
      <c r="H16" s="63"/>
      <c r="I16" s="64"/>
      <c r="J16" s="64"/>
      <c r="K16" s="64"/>
      <c r="L16" s="64"/>
      <c r="M16" s="24"/>
      <c r="N16" s="24"/>
      <c r="O16" s="63"/>
      <c r="P16" s="63"/>
      <c r="Q16" s="63"/>
      <c r="R16" s="63"/>
      <c r="S16" s="64"/>
      <c r="T16" s="64"/>
      <c r="U16" s="64"/>
      <c r="V16" s="24"/>
      <c r="W16" s="24"/>
      <c r="X16" s="63"/>
      <c r="Y16" s="63"/>
      <c r="Z16" s="63"/>
      <c r="AA16" s="64"/>
      <c r="AB16" s="64"/>
    </row>
    <row r="17" spans="2:28" x14ac:dyDescent="0.25">
      <c r="B17" s="156" t="s">
        <v>159</v>
      </c>
      <c r="C17" s="157"/>
      <c r="D17" s="158" t="s">
        <v>138</v>
      </c>
      <c r="E17" s="159"/>
      <c r="F17" s="159"/>
      <c r="G17" s="159"/>
      <c r="H17" s="159"/>
      <c r="I17" s="159"/>
      <c r="J17" s="159"/>
      <c r="K17" s="159"/>
      <c r="L17" s="159"/>
      <c r="M17" s="24"/>
      <c r="N17" s="150" t="s">
        <v>159</v>
      </c>
      <c r="O17" s="158" t="s">
        <v>139</v>
      </c>
      <c r="P17" s="159"/>
      <c r="Q17" s="159"/>
      <c r="R17" s="159"/>
      <c r="S17" s="159"/>
      <c r="T17" s="159"/>
      <c r="U17" s="159"/>
      <c r="V17" s="53"/>
      <c r="W17" s="150" t="s">
        <v>159</v>
      </c>
      <c r="X17" s="148" t="s">
        <v>160</v>
      </c>
      <c r="Y17" s="149"/>
      <c r="Z17" s="149"/>
      <c r="AA17" s="149"/>
      <c r="AB17" s="149"/>
    </row>
    <row r="18" spans="2:28" x14ac:dyDescent="0.25">
      <c r="B18" s="156"/>
      <c r="C18" s="157"/>
      <c r="D18" s="54" t="s">
        <v>141</v>
      </c>
      <c r="E18" s="55" t="s">
        <v>142</v>
      </c>
      <c r="F18" s="55" t="s">
        <v>143</v>
      </c>
      <c r="G18" s="55" t="s">
        <v>144</v>
      </c>
      <c r="H18" s="55" t="s">
        <v>152</v>
      </c>
      <c r="I18" s="55" t="s">
        <v>146</v>
      </c>
      <c r="J18" s="55" t="s">
        <v>147</v>
      </c>
      <c r="K18" s="55" t="s">
        <v>148</v>
      </c>
      <c r="L18" s="55" t="s">
        <v>147</v>
      </c>
      <c r="M18" s="24"/>
      <c r="N18" s="151"/>
      <c r="O18" s="54" t="s">
        <v>141</v>
      </c>
      <c r="P18" s="56" t="s">
        <v>142</v>
      </c>
      <c r="Q18" s="55" t="s">
        <v>149</v>
      </c>
      <c r="R18" s="55" t="s">
        <v>150</v>
      </c>
      <c r="S18" s="55" t="s">
        <v>146</v>
      </c>
      <c r="T18" s="55" t="s">
        <v>148</v>
      </c>
      <c r="U18" s="55" t="s">
        <v>149</v>
      </c>
      <c r="V18" s="57"/>
      <c r="W18" s="151"/>
      <c r="X18" s="54" t="s">
        <v>141</v>
      </c>
      <c r="Y18" s="56" t="s">
        <v>142</v>
      </c>
      <c r="Z18" s="55" t="s">
        <v>152</v>
      </c>
      <c r="AA18" s="55" t="s">
        <v>146</v>
      </c>
      <c r="AB18" s="55" t="s">
        <v>148</v>
      </c>
    </row>
    <row r="19" spans="2:28" x14ac:dyDescent="0.25">
      <c r="B19" s="161" t="s">
        <v>161</v>
      </c>
      <c r="C19" s="29" t="s">
        <v>35</v>
      </c>
      <c r="D19" s="65"/>
      <c r="E19" s="65"/>
      <c r="F19" s="65"/>
      <c r="G19" s="65"/>
      <c r="H19" s="66"/>
      <c r="I19" s="32"/>
      <c r="J19" s="32"/>
      <c r="K19" s="32"/>
      <c r="L19" s="32"/>
      <c r="M19" s="24"/>
      <c r="N19" s="29" t="s">
        <v>35</v>
      </c>
      <c r="O19" s="65"/>
      <c r="P19" s="65"/>
      <c r="Q19" s="67"/>
      <c r="R19" s="66"/>
      <c r="S19" s="32"/>
      <c r="T19" s="32"/>
      <c r="U19" s="32"/>
      <c r="V19" s="32"/>
      <c r="W19" s="29" t="s">
        <v>35</v>
      </c>
      <c r="X19" s="65"/>
      <c r="Y19" s="65"/>
      <c r="Z19" s="66"/>
      <c r="AA19" s="32"/>
      <c r="AB19" s="32"/>
    </row>
    <row r="20" spans="2:28" x14ac:dyDescent="0.25">
      <c r="B20" s="161"/>
      <c r="C20" s="29" t="s">
        <v>101</v>
      </c>
      <c r="D20" s="65"/>
      <c r="E20" s="65"/>
      <c r="F20" s="65"/>
      <c r="G20" s="65"/>
      <c r="H20" s="66"/>
      <c r="I20" s="32"/>
      <c r="J20" s="32"/>
      <c r="K20" s="32"/>
      <c r="L20" s="32"/>
      <c r="M20" s="24"/>
      <c r="N20" s="29" t="s">
        <v>101</v>
      </c>
      <c r="O20" s="65"/>
      <c r="P20" s="65"/>
      <c r="Q20" s="67"/>
      <c r="R20" s="66"/>
      <c r="S20" s="32"/>
      <c r="T20" s="32"/>
      <c r="U20" s="32"/>
      <c r="V20" s="32"/>
      <c r="W20" s="29" t="s">
        <v>101</v>
      </c>
      <c r="X20" s="65"/>
      <c r="Y20" s="65"/>
      <c r="Z20" s="66"/>
      <c r="AA20" s="32"/>
      <c r="AB20" s="32"/>
    </row>
    <row r="21" spans="2:28" x14ac:dyDescent="0.25">
      <c r="B21" s="161"/>
      <c r="C21" s="29" t="s">
        <v>5</v>
      </c>
      <c r="D21" s="65"/>
      <c r="E21" s="65"/>
      <c r="F21" s="65"/>
      <c r="G21" s="65"/>
      <c r="H21" s="66"/>
      <c r="I21" s="32"/>
      <c r="J21" s="32"/>
      <c r="K21" s="32"/>
      <c r="L21" s="32"/>
      <c r="M21" s="24"/>
      <c r="N21" s="29" t="s">
        <v>5</v>
      </c>
      <c r="O21" s="65"/>
      <c r="P21" s="65"/>
      <c r="Q21" s="67"/>
      <c r="R21" s="66"/>
      <c r="S21" s="32"/>
      <c r="T21" s="32"/>
      <c r="U21" s="32"/>
      <c r="V21" s="32"/>
      <c r="W21" s="29" t="s">
        <v>5</v>
      </c>
      <c r="X21" s="65"/>
      <c r="Y21" s="65"/>
      <c r="Z21" s="66"/>
      <c r="AA21" s="32"/>
      <c r="AB21" s="32"/>
    </row>
    <row r="22" spans="2:28" x14ac:dyDescent="0.25">
      <c r="B22" s="161"/>
      <c r="C22" s="29" t="s">
        <v>47</v>
      </c>
      <c r="D22" s="65"/>
      <c r="E22" s="65"/>
      <c r="F22" s="65"/>
      <c r="G22" s="65"/>
      <c r="H22" s="66"/>
      <c r="I22" s="32"/>
      <c r="J22" s="32"/>
      <c r="K22" s="32"/>
      <c r="L22" s="32"/>
      <c r="M22" s="24"/>
      <c r="N22" s="29" t="s">
        <v>47</v>
      </c>
      <c r="O22" s="65"/>
      <c r="P22" s="65"/>
      <c r="Q22" s="67"/>
      <c r="R22" s="66"/>
      <c r="S22" s="32"/>
      <c r="T22" s="32"/>
      <c r="U22" s="32"/>
      <c r="V22" s="32"/>
      <c r="W22" s="29" t="s">
        <v>47</v>
      </c>
      <c r="X22" s="65"/>
      <c r="Y22" s="65"/>
      <c r="Z22" s="66"/>
      <c r="AA22" s="32"/>
      <c r="AB22" s="32"/>
    </row>
    <row r="23" spans="2:28" x14ac:dyDescent="0.25">
      <c r="B23" s="161"/>
      <c r="C23" s="29" t="s">
        <v>48</v>
      </c>
      <c r="D23" s="65"/>
      <c r="E23" s="65"/>
      <c r="F23" s="65"/>
      <c r="G23" s="65"/>
      <c r="H23" s="66"/>
      <c r="I23" s="32"/>
      <c r="J23" s="32"/>
      <c r="K23" s="32"/>
      <c r="L23" s="32"/>
      <c r="M23" s="24"/>
      <c r="N23" s="29" t="s">
        <v>48</v>
      </c>
      <c r="O23" s="65"/>
      <c r="P23" s="65"/>
      <c r="Q23" s="67"/>
      <c r="R23" s="66"/>
      <c r="S23" s="32"/>
      <c r="T23" s="32"/>
      <c r="U23" s="32"/>
      <c r="V23" s="32"/>
      <c r="W23" s="29" t="s">
        <v>48</v>
      </c>
      <c r="X23" s="65"/>
      <c r="Y23" s="65"/>
      <c r="Z23" s="66"/>
      <c r="AA23" s="32"/>
      <c r="AB23" s="32"/>
    </row>
    <row r="24" spans="2:28" x14ac:dyDescent="0.25">
      <c r="B24" s="161"/>
      <c r="C24" s="29" t="s">
        <v>102</v>
      </c>
      <c r="D24" s="65"/>
      <c r="E24" s="65"/>
      <c r="F24" s="65"/>
      <c r="G24" s="65"/>
      <c r="H24" s="66"/>
      <c r="I24" s="32"/>
      <c r="J24" s="32"/>
      <c r="K24" s="32"/>
      <c r="L24" s="32"/>
      <c r="M24" s="24"/>
      <c r="N24" s="29" t="s">
        <v>102</v>
      </c>
      <c r="O24" s="65"/>
      <c r="P24" s="65"/>
      <c r="Q24" s="67"/>
      <c r="R24" s="66"/>
      <c r="S24" s="32"/>
      <c r="T24" s="32"/>
      <c r="U24" s="32"/>
      <c r="V24" s="32"/>
      <c r="W24" s="29" t="s">
        <v>102</v>
      </c>
      <c r="X24" s="65"/>
      <c r="Y24" s="65"/>
      <c r="Z24" s="66"/>
      <c r="AA24" s="32"/>
      <c r="AB24" s="32"/>
    </row>
    <row r="25" spans="2:28" x14ac:dyDescent="0.25">
      <c r="B25" s="161"/>
      <c r="C25" s="29" t="s">
        <v>103</v>
      </c>
      <c r="D25" s="65"/>
      <c r="E25" s="65"/>
      <c r="F25" s="65"/>
      <c r="G25" s="65"/>
      <c r="H25" s="66"/>
      <c r="I25" s="32"/>
      <c r="J25" s="32"/>
      <c r="K25" s="32"/>
      <c r="L25" s="32"/>
      <c r="M25" s="24"/>
      <c r="N25" s="29" t="s">
        <v>103</v>
      </c>
      <c r="O25" s="65"/>
      <c r="P25" s="65"/>
      <c r="Q25" s="67"/>
      <c r="R25" s="66"/>
      <c r="S25" s="32"/>
      <c r="T25" s="32"/>
      <c r="U25" s="32"/>
      <c r="V25" s="32"/>
      <c r="W25" s="29" t="s">
        <v>103</v>
      </c>
      <c r="X25" s="65"/>
      <c r="Y25" s="65"/>
      <c r="Z25" s="66"/>
      <c r="AA25" s="32"/>
      <c r="AB25" s="32"/>
    </row>
    <row r="26" spans="2:28" x14ac:dyDescent="0.25">
      <c r="B26" s="161"/>
      <c r="C26" s="68" t="s">
        <v>0</v>
      </c>
      <c r="D26" s="69"/>
      <c r="E26" s="69"/>
      <c r="F26" s="69"/>
      <c r="G26" s="69"/>
      <c r="H26" s="70"/>
      <c r="I26" s="71"/>
      <c r="J26" s="71"/>
      <c r="K26" s="71"/>
      <c r="L26" s="71"/>
      <c r="M26" s="72"/>
      <c r="N26" s="68" t="s">
        <v>0</v>
      </c>
      <c r="O26" s="69"/>
      <c r="P26" s="69"/>
      <c r="Q26" s="73"/>
      <c r="R26" s="70"/>
      <c r="S26" s="71"/>
      <c r="T26" s="71"/>
      <c r="U26" s="71"/>
      <c r="V26" s="38"/>
      <c r="W26" s="68" t="s">
        <v>0</v>
      </c>
      <c r="X26" s="69"/>
      <c r="Y26" s="69"/>
      <c r="Z26" s="70"/>
      <c r="AA26" s="71"/>
      <c r="AB26" s="71"/>
    </row>
    <row r="27" spans="2:28" x14ac:dyDescent="0.25">
      <c r="B27" s="161"/>
      <c r="C27" s="60" t="s">
        <v>162</v>
      </c>
      <c r="D27" s="74"/>
      <c r="E27" s="74"/>
      <c r="F27" s="74"/>
      <c r="G27" s="65"/>
      <c r="H27" s="66"/>
      <c r="I27" s="32"/>
      <c r="J27" s="32"/>
      <c r="K27" s="32"/>
      <c r="L27" s="32"/>
      <c r="M27" s="24"/>
      <c r="N27" s="29" t="s">
        <v>162</v>
      </c>
      <c r="O27" s="65"/>
      <c r="P27" s="65"/>
      <c r="Q27" s="67"/>
      <c r="R27" s="66"/>
      <c r="S27" s="32"/>
      <c r="T27" s="32"/>
      <c r="U27" s="32"/>
      <c r="V27" s="32"/>
      <c r="W27" s="29" t="s">
        <v>162</v>
      </c>
      <c r="X27" s="65"/>
      <c r="Y27" s="65"/>
      <c r="Z27" s="66"/>
      <c r="AA27" s="32"/>
      <c r="AB27" s="32"/>
    </row>
    <row r="28" spans="2:28" x14ac:dyDescent="0.25">
      <c r="B28" s="161"/>
      <c r="C28" s="29" t="s">
        <v>108</v>
      </c>
      <c r="D28" s="65"/>
      <c r="E28" s="65"/>
      <c r="F28" s="65"/>
      <c r="G28" s="65"/>
      <c r="H28" s="66"/>
      <c r="I28" s="32"/>
      <c r="J28" s="32"/>
      <c r="K28" s="32"/>
      <c r="L28" s="32"/>
      <c r="M28" s="24"/>
      <c r="N28" s="29" t="s">
        <v>108</v>
      </c>
      <c r="O28" s="65"/>
      <c r="P28" s="65"/>
      <c r="Q28" s="67"/>
      <c r="R28" s="66"/>
      <c r="S28" s="32"/>
      <c r="T28" s="32"/>
      <c r="U28" s="32"/>
      <c r="V28" s="32"/>
      <c r="W28" s="29" t="s">
        <v>108</v>
      </c>
      <c r="X28" s="65"/>
      <c r="Y28" s="65"/>
      <c r="Z28" s="66"/>
      <c r="AA28" s="32"/>
      <c r="AB28" s="32"/>
    </row>
    <row r="29" spans="2:28" x14ac:dyDescent="0.25">
      <c r="B29" s="161"/>
      <c r="C29" s="42" t="s">
        <v>158</v>
      </c>
      <c r="D29" s="75"/>
      <c r="E29" s="75"/>
      <c r="F29" s="75"/>
      <c r="G29" s="75"/>
      <c r="H29" s="76"/>
      <c r="I29" s="45"/>
      <c r="J29" s="45"/>
      <c r="K29" s="45"/>
      <c r="L29" s="45"/>
      <c r="M29" s="24"/>
      <c r="N29" s="42" t="s">
        <v>158</v>
      </c>
      <c r="O29" s="75"/>
      <c r="P29" s="75"/>
      <c r="Q29" s="77"/>
      <c r="R29" s="76"/>
      <c r="S29" s="45"/>
      <c r="T29" s="45"/>
      <c r="U29" s="45"/>
      <c r="V29" s="47"/>
      <c r="W29" s="42" t="s">
        <v>158</v>
      </c>
      <c r="X29" s="75"/>
      <c r="Y29" s="75"/>
      <c r="Z29" s="76"/>
      <c r="AA29" s="45"/>
      <c r="AB29" s="45"/>
    </row>
    <row r="30" spans="2:28" x14ac:dyDescent="0.25">
      <c r="B30" s="160" t="s">
        <v>163</v>
      </c>
      <c r="C30" s="78"/>
      <c r="D30" s="79"/>
      <c r="E30" s="79"/>
      <c r="F30" s="79"/>
      <c r="G30" s="79"/>
      <c r="H30" s="80"/>
      <c r="I30" s="47"/>
      <c r="J30" s="47"/>
      <c r="K30" s="47"/>
      <c r="L30" s="47"/>
      <c r="M30" s="24"/>
      <c r="N30" s="78"/>
      <c r="O30" s="81"/>
      <c r="P30" s="81"/>
      <c r="Q30" s="81"/>
      <c r="R30" s="82"/>
      <c r="S30" s="47"/>
      <c r="T30" s="47"/>
      <c r="U30" s="47"/>
      <c r="V30" s="47"/>
      <c r="W30" s="78"/>
      <c r="X30" s="81"/>
      <c r="Y30" s="81"/>
      <c r="Z30" s="82"/>
      <c r="AA30" s="47"/>
      <c r="AB30" s="47"/>
    </row>
    <row r="31" spans="2:28" x14ac:dyDescent="0.25">
      <c r="B31" s="160"/>
      <c r="C31" s="29" t="s">
        <v>14</v>
      </c>
      <c r="D31" s="58"/>
      <c r="E31" s="58"/>
      <c r="F31" s="58"/>
      <c r="G31" s="58"/>
      <c r="H31" s="59"/>
      <c r="I31" s="32"/>
      <c r="J31" s="32"/>
      <c r="K31" s="32"/>
      <c r="L31" s="32"/>
      <c r="M31" s="24"/>
      <c r="N31" s="29" t="s">
        <v>14</v>
      </c>
      <c r="O31" s="58"/>
      <c r="P31" s="58"/>
      <c r="Q31" s="58"/>
      <c r="R31" s="59"/>
      <c r="S31" s="32"/>
      <c r="T31" s="32"/>
      <c r="U31" s="32"/>
      <c r="V31" s="32"/>
      <c r="W31" s="29" t="s">
        <v>14</v>
      </c>
      <c r="X31" s="58"/>
      <c r="Y31" s="58"/>
      <c r="Z31" s="59"/>
      <c r="AA31" s="32"/>
      <c r="AB31" s="32"/>
    </row>
    <row r="32" spans="2:28" x14ac:dyDescent="0.25">
      <c r="B32" s="160"/>
      <c r="C32" s="29" t="s">
        <v>164</v>
      </c>
      <c r="D32" s="58"/>
      <c r="E32" s="58"/>
      <c r="F32" s="58"/>
      <c r="G32" s="58"/>
      <c r="H32" s="59"/>
      <c r="I32" s="32"/>
      <c r="J32" s="32"/>
      <c r="K32" s="32"/>
      <c r="L32" s="32"/>
      <c r="M32" s="24"/>
      <c r="N32" s="29" t="s">
        <v>164</v>
      </c>
      <c r="O32" s="58"/>
      <c r="P32" s="58"/>
      <c r="Q32" s="58"/>
      <c r="R32" s="59"/>
      <c r="S32" s="32"/>
      <c r="T32" s="32"/>
      <c r="U32" s="32"/>
      <c r="V32" s="32"/>
      <c r="W32" s="29" t="s">
        <v>164</v>
      </c>
      <c r="X32" s="58"/>
      <c r="Y32" s="58"/>
      <c r="Z32" s="59"/>
      <c r="AA32" s="32"/>
      <c r="AB32" s="32"/>
    </row>
    <row r="33" spans="2:28" x14ac:dyDescent="0.25">
      <c r="B33" s="160"/>
      <c r="C33" s="42" t="s">
        <v>158</v>
      </c>
      <c r="D33" s="61"/>
      <c r="E33" s="61"/>
      <c r="F33" s="61"/>
      <c r="G33" s="61"/>
      <c r="H33" s="62"/>
      <c r="I33" s="45"/>
      <c r="J33" s="45"/>
      <c r="K33" s="45"/>
      <c r="L33" s="45"/>
      <c r="M33" s="24"/>
      <c r="N33" s="42" t="s">
        <v>158</v>
      </c>
      <c r="O33" s="61"/>
      <c r="P33" s="61"/>
      <c r="Q33" s="61"/>
      <c r="R33" s="62"/>
      <c r="S33" s="45"/>
      <c r="T33" s="45"/>
      <c r="U33" s="45"/>
      <c r="V33" s="47"/>
      <c r="W33" s="42" t="s">
        <v>158</v>
      </c>
      <c r="X33" s="61"/>
      <c r="Y33" s="61"/>
      <c r="Z33" s="62"/>
      <c r="AA33" s="45"/>
      <c r="AB33" s="45"/>
    </row>
    <row r="34" spans="2:28" x14ac:dyDescent="0.25">
      <c r="B34" s="160" t="s">
        <v>165</v>
      </c>
      <c r="C34" s="78"/>
      <c r="D34" s="79"/>
      <c r="E34" s="79"/>
      <c r="F34" s="79"/>
      <c r="G34" s="79"/>
      <c r="H34" s="80"/>
      <c r="I34" s="47"/>
      <c r="J34" s="47"/>
      <c r="K34" s="47"/>
      <c r="L34" s="47"/>
      <c r="M34" s="24"/>
      <c r="N34" s="78"/>
      <c r="O34" s="81"/>
      <c r="P34" s="81"/>
      <c r="Q34" s="81"/>
      <c r="R34" s="82"/>
      <c r="S34" s="47"/>
      <c r="T34" s="47"/>
      <c r="U34" s="47"/>
      <c r="V34" s="47"/>
      <c r="W34" s="78"/>
      <c r="X34" s="81"/>
      <c r="Y34" s="81"/>
      <c r="Z34" s="82"/>
      <c r="AA34" s="47"/>
      <c r="AB34" s="47"/>
    </row>
    <row r="35" spans="2:28" x14ac:dyDescent="0.25">
      <c r="B35" s="160"/>
      <c r="C35" s="29" t="s">
        <v>166</v>
      </c>
      <c r="D35" s="58"/>
      <c r="E35" s="58"/>
      <c r="F35" s="58"/>
      <c r="G35" s="58"/>
      <c r="H35" s="59"/>
      <c r="I35" s="32"/>
      <c r="J35" s="32"/>
      <c r="K35" s="32"/>
      <c r="L35" s="32"/>
      <c r="M35" s="24"/>
      <c r="N35" s="29" t="s">
        <v>166</v>
      </c>
      <c r="O35" s="58"/>
      <c r="P35" s="58"/>
      <c r="Q35" s="58"/>
      <c r="R35" s="59"/>
      <c r="S35" s="32"/>
      <c r="T35" s="32"/>
      <c r="U35" s="32"/>
      <c r="V35" s="32"/>
      <c r="W35" s="29" t="s">
        <v>166</v>
      </c>
      <c r="X35" s="58"/>
      <c r="Y35" s="58"/>
      <c r="Z35" s="59"/>
      <c r="AA35" s="32"/>
      <c r="AB35" s="32"/>
    </row>
    <row r="36" spans="2:28" x14ac:dyDescent="0.25">
      <c r="B36" s="160"/>
      <c r="C36" s="29" t="s">
        <v>7</v>
      </c>
      <c r="D36" s="58"/>
      <c r="E36" s="58"/>
      <c r="F36" s="58"/>
      <c r="G36" s="58"/>
      <c r="H36" s="59"/>
      <c r="I36" s="32"/>
      <c r="J36" s="32"/>
      <c r="K36" s="32"/>
      <c r="L36" s="32"/>
      <c r="M36" s="24"/>
      <c r="N36" s="29" t="s">
        <v>7</v>
      </c>
      <c r="O36" s="58"/>
      <c r="P36" s="58"/>
      <c r="Q36" s="58"/>
      <c r="R36" s="59"/>
      <c r="S36" s="32"/>
      <c r="T36" s="32"/>
      <c r="U36" s="32"/>
      <c r="V36" s="32"/>
      <c r="W36" s="29" t="s">
        <v>7</v>
      </c>
      <c r="X36" s="58"/>
      <c r="Y36" s="58"/>
      <c r="Z36" s="59"/>
      <c r="AA36" s="32"/>
      <c r="AB36" s="32"/>
    </row>
    <row r="37" spans="2:28" x14ac:dyDescent="0.25">
      <c r="B37" s="160"/>
      <c r="C37" s="60" t="s">
        <v>157</v>
      </c>
      <c r="D37" s="83"/>
      <c r="E37" s="84"/>
      <c r="F37" s="84"/>
      <c r="G37" s="58"/>
      <c r="H37" s="59"/>
      <c r="I37" s="32"/>
      <c r="J37" s="32"/>
      <c r="K37" s="32"/>
      <c r="L37" s="32"/>
      <c r="M37" s="24"/>
      <c r="N37" s="29" t="s">
        <v>157</v>
      </c>
      <c r="O37" s="58"/>
      <c r="P37" s="58"/>
      <c r="Q37" s="58"/>
      <c r="R37" s="59"/>
      <c r="S37" s="32"/>
      <c r="T37" s="32"/>
      <c r="U37" s="32"/>
      <c r="V37" s="32"/>
      <c r="W37" s="29" t="s">
        <v>157</v>
      </c>
      <c r="X37" s="58"/>
      <c r="Y37" s="58"/>
      <c r="Z37" s="59"/>
      <c r="AA37" s="32"/>
      <c r="AB37" s="32"/>
    </row>
    <row r="38" spans="2:28" x14ac:dyDescent="0.25">
      <c r="B38" s="160"/>
      <c r="C38" s="29" t="s">
        <v>127</v>
      </c>
      <c r="D38" s="58"/>
      <c r="E38" s="58"/>
      <c r="F38" s="58"/>
      <c r="G38" s="58"/>
      <c r="H38" s="59"/>
      <c r="I38" s="32"/>
      <c r="J38" s="32"/>
      <c r="K38" s="32"/>
      <c r="L38" s="32"/>
      <c r="M38" s="24"/>
      <c r="N38" s="29" t="s">
        <v>127</v>
      </c>
      <c r="O38" s="58"/>
      <c r="P38" s="58"/>
      <c r="Q38" s="58"/>
      <c r="R38" s="59"/>
      <c r="S38" s="32"/>
      <c r="T38" s="32"/>
      <c r="U38" s="32"/>
      <c r="V38" s="32"/>
      <c r="W38" s="29" t="s">
        <v>127</v>
      </c>
      <c r="X38" s="58"/>
      <c r="Y38" s="58"/>
      <c r="Z38" s="59"/>
      <c r="AA38" s="32"/>
      <c r="AB38" s="32"/>
    </row>
    <row r="39" spans="2:28" x14ac:dyDescent="0.25">
      <c r="B39" s="160"/>
      <c r="C39" s="42" t="s">
        <v>158</v>
      </c>
      <c r="D39" s="61"/>
      <c r="E39" s="61"/>
      <c r="F39" s="61"/>
      <c r="G39" s="61"/>
      <c r="H39" s="62"/>
      <c r="I39" s="45"/>
      <c r="J39" s="45"/>
      <c r="K39" s="45"/>
      <c r="L39" s="45"/>
      <c r="M39" s="24"/>
      <c r="N39" s="42" t="s">
        <v>158</v>
      </c>
      <c r="O39" s="61"/>
      <c r="P39" s="61"/>
      <c r="Q39" s="61"/>
      <c r="R39" s="62"/>
      <c r="S39" s="45"/>
      <c r="T39" s="45"/>
      <c r="U39" s="45"/>
      <c r="V39" s="47"/>
      <c r="W39" s="42" t="s">
        <v>158</v>
      </c>
      <c r="X39" s="61"/>
      <c r="Y39" s="61"/>
      <c r="Z39" s="62"/>
      <c r="AA39" s="45"/>
      <c r="AB39" s="45"/>
    </row>
    <row r="40" spans="2:28" x14ac:dyDescent="0.25">
      <c r="B40" s="160" t="s">
        <v>324</v>
      </c>
      <c r="C40" s="135"/>
      <c r="D40" s="135"/>
      <c r="E40" s="135"/>
      <c r="F40" s="135"/>
      <c r="G40" s="135"/>
      <c r="H40" s="59"/>
      <c r="I40" s="135"/>
      <c r="J40" s="135"/>
      <c r="K40" s="135"/>
      <c r="L40" s="135"/>
      <c r="N40" s="135"/>
      <c r="O40" s="135"/>
      <c r="P40" s="135"/>
      <c r="Q40" s="135"/>
      <c r="R40" s="59"/>
      <c r="S40" s="135"/>
      <c r="T40" s="135"/>
      <c r="U40" s="135"/>
      <c r="W40" s="135"/>
      <c r="X40" s="135"/>
      <c r="Y40" s="135"/>
      <c r="Z40" s="59"/>
      <c r="AA40" s="135"/>
      <c r="AB40" s="135"/>
    </row>
    <row r="41" spans="2:28" x14ac:dyDescent="0.25">
      <c r="B41" s="160"/>
      <c r="C41" s="29" t="s">
        <v>236</v>
      </c>
      <c r="D41" s="58"/>
      <c r="E41" s="58"/>
      <c r="F41" s="58"/>
      <c r="G41" s="58"/>
      <c r="H41" s="59"/>
      <c r="I41" s="32"/>
      <c r="J41" s="32"/>
      <c r="K41" s="32"/>
      <c r="L41" s="32"/>
      <c r="N41" s="144" t="s">
        <v>236</v>
      </c>
      <c r="O41" s="3"/>
      <c r="P41" s="3"/>
      <c r="Q41" s="3"/>
      <c r="R41" s="59"/>
      <c r="S41" s="3"/>
      <c r="T41" s="3"/>
      <c r="U41" s="3"/>
      <c r="W41" s="29" t="s">
        <v>236</v>
      </c>
      <c r="X41" s="3"/>
      <c r="Y41" s="3"/>
      <c r="Z41" s="59"/>
      <c r="AA41" s="3"/>
      <c r="AB41" s="3"/>
    </row>
    <row r="42" spans="2:28" x14ac:dyDescent="0.25">
      <c r="B42" s="160"/>
      <c r="C42" s="29" t="s">
        <v>237</v>
      </c>
      <c r="D42" s="58"/>
      <c r="E42" s="58"/>
      <c r="F42" s="58"/>
      <c r="G42" s="58"/>
      <c r="H42" s="59"/>
      <c r="I42" s="32"/>
      <c r="J42" s="32"/>
      <c r="K42" s="32"/>
      <c r="L42" s="32"/>
      <c r="N42" s="144" t="s">
        <v>237</v>
      </c>
      <c r="O42" s="3"/>
      <c r="P42" s="3"/>
      <c r="Q42" s="3"/>
      <c r="R42" s="59"/>
      <c r="S42" s="3"/>
      <c r="T42" s="3"/>
      <c r="U42" s="3"/>
      <c r="W42" s="29" t="s">
        <v>237</v>
      </c>
      <c r="X42" s="3"/>
      <c r="Y42" s="3"/>
      <c r="Z42" s="59"/>
      <c r="AA42" s="3"/>
      <c r="AB42" s="3"/>
    </row>
    <row r="43" spans="2:28" x14ac:dyDescent="0.25">
      <c r="B43" s="160"/>
      <c r="C43" s="29" t="s">
        <v>35</v>
      </c>
      <c r="D43" s="58"/>
      <c r="E43" s="58"/>
      <c r="F43" s="58"/>
      <c r="G43" s="58"/>
      <c r="H43" s="59"/>
      <c r="I43" s="32"/>
      <c r="J43" s="32"/>
      <c r="K43" s="32"/>
      <c r="L43" s="32"/>
      <c r="N43" s="144" t="s">
        <v>35</v>
      </c>
      <c r="O43" s="3"/>
      <c r="P43" s="3"/>
      <c r="Q43" s="3"/>
      <c r="R43" s="59"/>
      <c r="S43" s="3"/>
      <c r="T43" s="3"/>
      <c r="U43" s="3"/>
      <c r="W43" s="29" t="s">
        <v>35</v>
      </c>
      <c r="X43" s="3"/>
      <c r="Y43" s="3"/>
      <c r="Z43" s="59"/>
      <c r="AA43" s="3"/>
      <c r="AB43" s="3"/>
    </row>
    <row r="44" spans="2:28" x14ac:dyDescent="0.25">
      <c r="B44" s="160"/>
      <c r="C44" s="29" t="s">
        <v>238</v>
      </c>
      <c r="D44" s="58"/>
      <c r="E44" s="58"/>
      <c r="F44" s="58"/>
      <c r="G44" s="58"/>
      <c r="H44" s="59"/>
      <c r="I44" s="32"/>
      <c r="J44" s="32"/>
      <c r="K44" s="32"/>
      <c r="L44" s="32"/>
      <c r="N44" s="144" t="s">
        <v>238</v>
      </c>
      <c r="O44" s="3"/>
      <c r="P44" s="3"/>
      <c r="Q44" s="3"/>
      <c r="R44" s="59"/>
      <c r="S44" s="3"/>
      <c r="T44" s="3"/>
      <c r="U44" s="3"/>
      <c r="W44" s="29" t="s">
        <v>238</v>
      </c>
      <c r="X44" s="3"/>
      <c r="Y44" s="3"/>
      <c r="Z44" s="59"/>
      <c r="AA44" s="3"/>
      <c r="AB44" s="3"/>
    </row>
    <row r="45" spans="2:28" x14ac:dyDescent="0.25">
      <c r="B45" s="160"/>
      <c r="C45" s="29" t="s">
        <v>239</v>
      </c>
      <c r="D45" s="58"/>
      <c r="E45" s="58"/>
      <c r="F45" s="58"/>
      <c r="G45" s="58"/>
      <c r="H45" s="59"/>
      <c r="I45" s="32"/>
      <c r="J45" s="32"/>
      <c r="K45" s="32"/>
      <c r="L45" s="32"/>
      <c r="N45" s="144" t="s">
        <v>239</v>
      </c>
      <c r="O45" s="3"/>
      <c r="P45" s="3"/>
      <c r="Q45" s="3"/>
      <c r="R45" s="59"/>
      <c r="S45" s="3"/>
      <c r="T45" s="3"/>
      <c r="U45" s="3"/>
      <c r="W45" s="29" t="s">
        <v>239</v>
      </c>
      <c r="X45" s="3"/>
      <c r="Y45" s="3"/>
      <c r="Z45" s="59"/>
      <c r="AA45" s="3"/>
      <c r="AB45" s="3"/>
    </row>
    <row r="46" spans="2:28" x14ac:dyDescent="0.25">
      <c r="B46" s="160"/>
      <c r="C46" s="60" t="s">
        <v>240</v>
      </c>
      <c r="D46" s="83"/>
      <c r="E46" s="84"/>
      <c r="F46" s="84"/>
      <c r="G46" s="58"/>
      <c r="H46" s="59"/>
      <c r="I46" s="32"/>
      <c r="J46" s="32"/>
      <c r="K46" s="32"/>
      <c r="L46" s="32"/>
      <c r="N46" s="145" t="s">
        <v>240</v>
      </c>
      <c r="O46" s="3"/>
      <c r="P46" s="3"/>
      <c r="Q46" s="3"/>
      <c r="R46" s="59"/>
      <c r="S46" s="3"/>
      <c r="T46" s="3"/>
      <c r="U46" s="3"/>
      <c r="W46" s="60" t="s">
        <v>240</v>
      </c>
      <c r="X46" s="3"/>
      <c r="Y46" s="3"/>
      <c r="Z46" s="59"/>
      <c r="AA46" s="3"/>
      <c r="AB46" s="3"/>
    </row>
    <row r="47" spans="2:28" x14ac:dyDescent="0.25">
      <c r="B47" s="160"/>
      <c r="C47" s="29" t="s">
        <v>6</v>
      </c>
      <c r="D47" s="58"/>
      <c r="E47" s="58"/>
      <c r="F47" s="58"/>
      <c r="G47" s="58"/>
      <c r="H47" s="59"/>
      <c r="I47" s="32"/>
      <c r="J47" s="32"/>
      <c r="K47" s="32"/>
      <c r="L47" s="32"/>
      <c r="N47" s="144" t="s">
        <v>6</v>
      </c>
      <c r="O47" s="3"/>
      <c r="P47" s="3"/>
      <c r="Q47" s="3"/>
      <c r="R47" s="59"/>
      <c r="S47" s="3"/>
      <c r="T47" s="3"/>
      <c r="U47" s="3"/>
      <c r="W47" s="29" t="s">
        <v>6</v>
      </c>
      <c r="X47" s="3"/>
      <c r="Y47" s="3"/>
      <c r="Z47" s="59"/>
      <c r="AA47" s="3"/>
      <c r="AB47" s="3"/>
    </row>
    <row r="48" spans="2:28" x14ac:dyDescent="0.25">
      <c r="B48" s="160"/>
      <c r="C48" s="42" t="s">
        <v>158</v>
      </c>
      <c r="D48" s="61"/>
      <c r="E48" s="61"/>
      <c r="F48" s="61"/>
      <c r="G48" s="61"/>
      <c r="H48" s="62"/>
      <c r="I48" s="45"/>
      <c r="J48" s="45"/>
      <c r="K48" s="45"/>
      <c r="L48" s="45"/>
      <c r="N48" s="42" t="s">
        <v>158</v>
      </c>
      <c r="O48" s="136"/>
      <c r="P48" s="136"/>
      <c r="Q48" s="136"/>
      <c r="R48" s="137"/>
      <c r="S48" s="136"/>
      <c r="T48" s="136"/>
      <c r="U48" s="136"/>
      <c r="W48" s="42" t="s">
        <v>158</v>
      </c>
      <c r="X48" s="136"/>
      <c r="Y48" s="136"/>
      <c r="Z48" s="137"/>
      <c r="AA48" s="136"/>
      <c r="AB48" s="136"/>
    </row>
    <row r="49" spans="2:28" x14ac:dyDescent="0.25">
      <c r="B49" s="160" t="s">
        <v>352</v>
      </c>
      <c r="C49" s="78"/>
      <c r="D49" s="79"/>
      <c r="E49" s="79"/>
      <c r="F49" s="79"/>
      <c r="G49" s="79"/>
      <c r="H49" s="80"/>
      <c r="I49" s="47"/>
      <c r="J49" s="47"/>
      <c r="K49" s="47"/>
      <c r="L49" s="47"/>
      <c r="N49" s="78"/>
      <c r="O49" s="81"/>
      <c r="P49" s="81"/>
      <c r="Q49" s="81"/>
      <c r="R49" s="82"/>
      <c r="S49" s="47"/>
      <c r="T49" s="47"/>
      <c r="U49" s="47"/>
      <c r="W49" s="78"/>
      <c r="X49" s="81"/>
      <c r="Y49" s="81"/>
      <c r="Z49" s="82"/>
      <c r="AA49" s="47"/>
      <c r="AB49" s="47"/>
    </row>
    <row r="50" spans="2:28" x14ac:dyDescent="0.25">
      <c r="B50" s="160"/>
      <c r="C50" s="143" t="s">
        <v>353</v>
      </c>
      <c r="D50" s="79"/>
      <c r="E50" s="79"/>
      <c r="F50" s="79"/>
      <c r="G50" s="79"/>
      <c r="H50" s="80"/>
      <c r="I50" s="47"/>
      <c r="J50" s="47"/>
      <c r="K50" s="47"/>
      <c r="L50" s="47"/>
      <c r="N50" s="143" t="s">
        <v>353</v>
      </c>
      <c r="O50" s="81"/>
      <c r="P50" s="81"/>
      <c r="Q50" s="81"/>
      <c r="R50" s="82"/>
      <c r="S50" s="47"/>
      <c r="T50" s="47"/>
      <c r="U50" s="47"/>
      <c r="W50" s="143" t="s">
        <v>353</v>
      </c>
      <c r="X50" s="81"/>
      <c r="Y50" s="81"/>
      <c r="Z50" s="82"/>
      <c r="AA50" s="47"/>
      <c r="AB50" s="47"/>
    </row>
    <row r="51" spans="2:28" x14ac:dyDescent="0.25">
      <c r="B51" s="160"/>
      <c r="C51" s="29" t="s">
        <v>241</v>
      </c>
      <c r="D51" s="58"/>
      <c r="E51" s="58"/>
      <c r="F51" s="58"/>
      <c r="G51" s="58"/>
      <c r="H51" s="59"/>
      <c r="I51" s="32"/>
      <c r="J51" s="32"/>
      <c r="K51" s="32"/>
      <c r="L51" s="32"/>
      <c r="N51" s="144" t="s">
        <v>241</v>
      </c>
      <c r="O51" s="58"/>
      <c r="P51" s="58"/>
      <c r="Q51" s="58"/>
      <c r="R51" s="59"/>
      <c r="S51" s="32"/>
      <c r="T51" s="32"/>
      <c r="U51" s="32"/>
      <c r="W51" s="29" t="s">
        <v>241</v>
      </c>
      <c r="X51" s="58"/>
      <c r="Y51" s="58"/>
      <c r="Z51" s="59"/>
      <c r="AA51" s="32"/>
      <c r="AB51" s="32"/>
    </row>
    <row r="52" spans="2:28" x14ac:dyDescent="0.25">
      <c r="B52" s="160"/>
      <c r="C52" s="29" t="s">
        <v>10</v>
      </c>
      <c r="D52" s="58"/>
      <c r="E52" s="58"/>
      <c r="F52" s="58"/>
      <c r="G52" s="58"/>
      <c r="H52" s="59"/>
      <c r="I52" s="32"/>
      <c r="J52" s="32"/>
      <c r="K52" s="32"/>
      <c r="L52" s="32"/>
      <c r="N52" s="144" t="s">
        <v>10</v>
      </c>
      <c r="O52" s="58"/>
      <c r="P52" s="58"/>
      <c r="Q52" s="58"/>
      <c r="R52" s="59"/>
      <c r="S52" s="32"/>
      <c r="T52" s="32"/>
      <c r="U52" s="32"/>
      <c r="W52" s="29" t="s">
        <v>10</v>
      </c>
      <c r="X52" s="58"/>
      <c r="Y52" s="58"/>
      <c r="Z52" s="59"/>
      <c r="AA52" s="32"/>
      <c r="AB52" s="32"/>
    </row>
    <row r="53" spans="2:28" x14ac:dyDescent="0.25">
      <c r="B53" s="160"/>
      <c r="C53" s="60" t="s">
        <v>131</v>
      </c>
      <c r="D53" s="83"/>
      <c r="E53" s="84"/>
      <c r="F53" s="84"/>
      <c r="G53" s="58"/>
      <c r="H53" s="59"/>
      <c r="I53" s="32"/>
      <c r="J53" s="32"/>
      <c r="K53" s="32"/>
      <c r="L53" s="32"/>
      <c r="N53" s="144" t="s">
        <v>131</v>
      </c>
      <c r="O53" s="58"/>
      <c r="P53" s="58"/>
      <c r="Q53" s="58"/>
      <c r="R53" s="59"/>
      <c r="S53" s="32"/>
      <c r="T53" s="32"/>
      <c r="U53" s="32"/>
      <c r="W53" s="29" t="s">
        <v>131</v>
      </c>
      <c r="X53" s="58"/>
      <c r="Y53" s="58"/>
      <c r="Z53" s="59"/>
      <c r="AA53" s="32"/>
      <c r="AB53" s="32"/>
    </row>
    <row r="54" spans="2:28" x14ac:dyDescent="0.25">
      <c r="B54" s="160"/>
      <c r="C54" s="29" t="s">
        <v>325</v>
      </c>
      <c r="D54" s="58"/>
      <c r="E54" s="58"/>
      <c r="F54" s="58"/>
      <c r="G54" s="58"/>
      <c r="H54" s="59"/>
      <c r="I54" s="32"/>
      <c r="J54" s="32"/>
      <c r="K54" s="32"/>
      <c r="L54" s="32"/>
      <c r="N54" s="144" t="s">
        <v>132</v>
      </c>
      <c r="O54" s="58"/>
      <c r="P54" s="58"/>
      <c r="Q54" s="58"/>
      <c r="R54" s="59"/>
      <c r="S54" s="32"/>
      <c r="T54" s="32"/>
      <c r="U54" s="32"/>
      <c r="W54" s="29" t="s">
        <v>132</v>
      </c>
      <c r="X54" s="58"/>
      <c r="Y54" s="58"/>
      <c r="Z54" s="59"/>
      <c r="AA54" s="32"/>
      <c r="AB54" s="32"/>
    </row>
    <row r="55" spans="2:28" x14ac:dyDescent="0.25">
      <c r="B55" s="160"/>
      <c r="C55" s="42" t="s">
        <v>158</v>
      </c>
      <c r="D55" s="61"/>
      <c r="E55" s="61"/>
      <c r="F55" s="61"/>
      <c r="G55" s="61"/>
      <c r="H55" s="62"/>
      <c r="I55" s="45"/>
      <c r="J55" s="45"/>
      <c r="K55" s="45"/>
      <c r="L55" s="45"/>
      <c r="N55" s="42" t="s">
        <v>158</v>
      </c>
      <c r="O55" s="61"/>
      <c r="P55" s="61"/>
      <c r="Q55" s="61"/>
      <c r="R55" s="62"/>
      <c r="S55" s="45"/>
      <c r="T55" s="45"/>
      <c r="U55" s="45"/>
      <c r="W55" s="42" t="s">
        <v>158</v>
      </c>
      <c r="X55" s="61"/>
      <c r="Y55" s="61"/>
      <c r="Z55" s="62"/>
      <c r="AA55" s="45"/>
      <c r="AB55" s="45"/>
    </row>
  </sheetData>
  <mergeCells count="17">
    <mergeCell ref="B40:B48"/>
    <mergeCell ref="B49:B55"/>
    <mergeCell ref="N17:N18"/>
    <mergeCell ref="O17:U17"/>
    <mergeCell ref="W17:W18"/>
    <mergeCell ref="B19:B29"/>
    <mergeCell ref="B30:B33"/>
    <mergeCell ref="B34:B39"/>
    <mergeCell ref="X17:AB17"/>
    <mergeCell ref="C3:C4"/>
    <mergeCell ref="D3:L3"/>
    <mergeCell ref="N3:N4"/>
    <mergeCell ref="O3:U3"/>
    <mergeCell ref="W3:W4"/>
    <mergeCell ref="X3:AB3"/>
    <mergeCell ref="B17:C18"/>
    <mergeCell ref="D17:L17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BBBCE107-F91A-42E0-9D94-CCEC84FFBF2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I5:L13</xm:sqref>
        </x14:conditionalFormatting>
        <x14:conditionalFormatting xmlns:xm="http://schemas.microsoft.com/office/excel/2006/main">
          <x14:cfRule type="iconSet" priority="15" id="{AD93E0F0-3FD4-402E-B1CA-812920471ED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I21:L21</xm:sqref>
        </x14:conditionalFormatting>
        <x14:conditionalFormatting xmlns:xm="http://schemas.microsoft.com/office/excel/2006/main">
          <x14:cfRule type="iconSet" priority="16" id="{136B18C9-A70D-4AE5-A2C8-54E5A9D2AF5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I24:L24</xm:sqref>
        </x14:conditionalFormatting>
        <x14:conditionalFormatting xmlns:xm="http://schemas.microsoft.com/office/excel/2006/main">
          <x14:cfRule type="iconSet" priority="27" id="{03A23317-8590-4FD9-A52F-3A79234D6F4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I25:L26 I19:L20 I22:L23 I28:L30</xm:sqref>
        </x14:conditionalFormatting>
        <x14:conditionalFormatting xmlns:xm="http://schemas.microsoft.com/office/excel/2006/main">
          <x14:cfRule type="iconSet" priority="17" id="{EA616493-AD35-49A3-9538-290D1E5553D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I27:L27</xm:sqref>
        </x14:conditionalFormatting>
        <x14:conditionalFormatting xmlns:xm="http://schemas.microsoft.com/office/excel/2006/main">
          <x14:cfRule type="iconSet" priority="26" id="{35EC36F9-A6DD-4E1E-9EDF-B28203F53E5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I31:L34</xm:sqref>
        </x14:conditionalFormatting>
        <x14:conditionalFormatting xmlns:xm="http://schemas.microsoft.com/office/excel/2006/main">
          <x14:cfRule type="iconSet" priority="19" id="{34966225-ECE0-4D62-9747-0E7D7D6B2E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I35:L36 I38:L39</xm:sqref>
        </x14:conditionalFormatting>
        <x14:conditionalFormatting xmlns:xm="http://schemas.microsoft.com/office/excel/2006/main">
          <x14:cfRule type="iconSet" priority="18" id="{252B0A40-59A5-4FD7-815E-9C94B780D26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I37:L37</xm:sqref>
        </x14:conditionalFormatting>
        <x14:conditionalFormatting xmlns:xm="http://schemas.microsoft.com/office/excel/2006/main">
          <x14:cfRule type="iconSet" priority="9" id="{77997BA7-2050-4D08-8CFC-6CEF6C92A96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I41:L45 I47:L48</xm:sqref>
        </x14:conditionalFormatting>
        <x14:conditionalFormatting xmlns:xm="http://schemas.microsoft.com/office/excel/2006/main">
          <x14:cfRule type="iconSet" priority="8" id="{7967D425-B28E-4E0A-ACB8-CADE39E7147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I46:L46</xm:sqref>
        </x14:conditionalFormatting>
        <x14:conditionalFormatting xmlns:xm="http://schemas.microsoft.com/office/excel/2006/main">
          <x14:cfRule type="iconSet" priority="7" id="{8467D597-A349-4556-8AFF-3F753D70AAA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I49:L50</xm:sqref>
        </x14:conditionalFormatting>
        <x14:conditionalFormatting xmlns:xm="http://schemas.microsoft.com/office/excel/2006/main">
          <x14:cfRule type="iconSet" priority="6" id="{BC026D87-8E82-4463-A600-E76A2C40044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I51:L52 I54:L55</xm:sqref>
        </x14:conditionalFormatting>
        <x14:conditionalFormatting xmlns:xm="http://schemas.microsoft.com/office/excel/2006/main">
          <x14:cfRule type="iconSet" priority="5" id="{8B48C1D3-9D1E-4792-B725-DCF957F4B89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I53:L53</xm:sqref>
        </x14:conditionalFormatting>
        <x14:conditionalFormatting xmlns:xm="http://schemas.microsoft.com/office/excel/2006/main">
          <x14:cfRule type="iconSet" priority="28" id="{F16DF9F7-932B-4D85-8B73-7A2DB63DD4A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S19:S39</xm:sqref>
        </x14:conditionalFormatting>
        <x14:conditionalFormatting xmlns:xm="http://schemas.microsoft.com/office/excel/2006/main">
          <x14:cfRule type="iconSet" priority="3" id="{C2A18918-59F7-40C5-9CFB-EB3481DDD70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S49:S55</xm:sqref>
        </x14:conditionalFormatting>
        <x14:conditionalFormatting xmlns:xm="http://schemas.microsoft.com/office/excel/2006/main">
          <x14:cfRule type="iconSet" priority="10" id="{B6E18458-08F5-4656-955C-5EFB1FB512C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S14:U14</xm:sqref>
        </x14:conditionalFormatting>
        <x14:conditionalFormatting xmlns:xm="http://schemas.microsoft.com/office/excel/2006/main">
          <x14:cfRule type="iconSet" priority="14" id="{0915F9A9-6BC3-4B05-9E2E-E7D76A6FE6B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S5:V10 S12:V13</xm:sqref>
        </x14:conditionalFormatting>
        <x14:conditionalFormatting xmlns:xm="http://schemas.microsoft.com/office/excel/2006/main">
          <x14:cfRule type="iconSet" priority="11" id="{95FAA55E-87FA-491C-BC6A-A140EF1A514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S11:V11</xm:sqref>
        </x14:conditionalFormatting>
        <x14:conditionalFormatting xmlns:xm="http://schemas.microsoft.com/office/excel/2006/main">
          <x14:cfRule type="iconSet" priority="4" id="{CABF9256-8415-4CE0-94C6-4E1DB5E2459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T49:U55</xm:sqref>
        </x14:conditionalFormatting>
        <x14:conditionalFormatting xmlns:xm="http://schemas.microsoft.com/office/excel/2006/main">
          <x14:cfRule type="iconSet" priority="29" id="{303BFF58-9773-46C4-882D-7C1F3703E85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T19:V39</xm:sqref>
        </x14:conditionalFormatting>
        <x14:conditionalFormatting xmlns:xm="http://schemas.microsoft.com/office/excel/2006/main">
          <x14:cfRule type="iconSet" priority="30" id="{19145B2B-2182-4363-860D-99547F43FB7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AA19:AA39</xm:sqref>
        </x14:conditionalFormatting>
        <x14:conditionalFormatting xmlns:xm="http://schemas.microsoft.com/office/excel/2006/main">
          <x14:cfRule type="iconSet" priority="1" id="{B44C9B0D-C2AC-4B9F-AE0C-BDDDAA52720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AA49:AA55</xm:sqref>
        </x14:conditionalFormatting>
        <x14:conditionalFormatting xmlns:xm="http://schemas.microsoft.com/office/excel/2006/main">
          <x14:cfRule type="iconSet" priority="25" id="{439DA203-E89A-47C5-BFB2-B7FD0A36B2E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AA5:AB13</xm:sqref>
        </x14:conditionalFormatting>
        <x14:conditionalFormatting xmlns:xm="http://schemas.microsoft.com/office/excel/2006/main">
          <x14:cfRule type="iconSet" priority="31" id="{2D14DA02-F0AD-4452-8A43-A84C9C727AE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AB19:AB39</xm:sqref>
        </x14:conditionalFormatting>
        <x14:conditionalFormatting xmlns:xm="http://schemas.microsoft.com/office/excel/2006/main">
          <x14:cfRule type="iconSet" priority="2" id="{2C49F5C4-C8D7-4BE5-86EC-5FB95FA7633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AB49:AB55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34D1-B606-49DC-99F7-449ABF491EB8}">
  <sheetPr codeName="Sheet1"/>
  <dimension ref="B1:AC60"/>
  <sheetViews>
    <sheetView showGridLines="0" workbookViewId="0">
      <pane xSplit="1" ySplit="4" topLeftCell="F5" activePane="bottomRight" state="frozen"/>
      <selection pane="topRight" activeCell="B1" sqref="B1"/>
      <selection pane="bottomLeft" activeCell="A4" sqref="A4"/>
      <selection pane="bottomRight" activeCell="Z14" sqref="Z14"/>
    </sheetView>
  </sheetViews>
  <sheetFormatPr defaultRowHeight="15" outlineLevelRow="1" outlineLevelCol="1" x14ac:dyDescent="0.25"/>
  <cols>
    <col min="2" max="2" width="13.42578125" bestFit="1" customWidth="1"/>
    <col min="3" max="3" width="15.85546875" bestFit="1" customWidth="1"/>
    <col min="4" max="4" width="12.140625" hidden="1" customWidth="1" outlineLevel="1"/>
    <col min="5" max="5" width="8.7109375" hidden="1" customWidth="1" outlineLevel="1"/>
    <col min="6" max="6" width="12.140625" bestFit="1" customWidth="1" collapsed="1"/>
    <col min="7" max="8" width="16" hidden="1" customWidth="1" outlineLevel="1"/>
    <col min="9" max="9" width="14.7109375" hidden="1" customWidth="1" outlineLevel="1"/>
    <col min="10" max="10" width="11.140625" hidden="1" customWidth="1" outlineLevel="1"/>
    <col min="11" max="11" width="8.7109375" hidden="1" customWidth="1" outlineLevel="1"/>
    <col min="12" max="12" width="12.7109375" customWidth="1" collapsed="1"/>
    <col min="13" max="13" width="11.5703125" hidden="1" customWidth="1" outlineLevel="1"/>
    <col min="14" max="14" width="8.7109375" hidden="1" customWidth="1" outlineLevel="1"/>
    <col min="15" max="15" width="8.7109375" collapsed="1"/>
    <col min="18" max="18" width="9.140625" bestFit="1" customWidth="1"/>
    <col min="25" max="25" width="26.140625" bestFit="1" customWidth="1"/>
    <col min="26" max="26" width="8.7109375" customWidth="1"/>
    <col min="28" max="29" width="8.7109375" customWidth="1"/>
  </cols>
  <sheetData>
    <row r="1" spans="2:29" x14ac:dyDescent="0.25">
      <c r="B1" s="146" t="s">
        <v>167</v>
      </c>
    </row>
    <row r="2" spans="2:29" x14ac:dyDescent="0.25">
      <c r="B2" t="s">
        <v>177</v>
      </c>
    </row>
    <row r="4" spans="2:29" s="1" customFormat="1" x14ac:dyDescent="0.25">
      <c r="B4" s="2" t="s">
        <v>11</v>
      </c>
      <c r="C4" s="2" t="s">
        <v>0</v>
      </c>
      <c r="D4" s="2" t="s">
        <v>13</v>
      </c>
      <c r="E4" s="2" t="s">
        <v>14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25</v>
      </c>
      <c r="N4" s="2" t="s">
        <v>26</v>
      </c>
      <c r="O4" s="2" t="s">
        <v>27</v>
      </c>
      <c r="P4" s="2" t="s">
        <v>29</v>
      </c>
      <c r="Q4" s="2" t="s">
        <v>30</v>
      </c>
      <c r="R4" s="9" t="s">
        <v>31</v>
      </c>
      <c r="S4" s="2" t="s">
        <v>32</v>
      </c>
      <c r="T4" s="2" t="s">
        <v>28</v>
      </c>
      <c r="U4" s="2" t="s">
        <v>36</v>
      </c>
      <c r="W4" s="85" t="s">
        <v>326</v>
      </c>
    </row>
    <row r="5" spans="2:29" s="1" customFormat="1" ht="16.5" x14ac:dyDescent="0.25">
      <c r="B5" s="11" t="s">
        <v>40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4" t="s">
        <v>12</v>
      </c>
      <c r="T5" s="4" t="s">
        <v>12</v>
      </c>
      <c r="U5" s="4" t="s">
        <v>12</v>
      </c>
      <c r="W5" s="1" t="s">
        <v>336</v>
      </c>
    </row>
    <row r="6" spans="2:29" ht="16.5" outlineLevel="1" x14ac:dyDescent="0.25">
      <c r="B6" s="3" t="s">
        <v>8</v>
      </c>
      <c r="C6" s="4" t="s">
        <v>12</v>
      </c>
      <c r="D6" s="4" t="s">
        <v>12</v>
      </c>
      <c r="E6" s="4"/>
      <c r="F6" s="4" t="s">
        <v>12</v>
      </c>
      <c r="G6" s="4" t="s">
        <v>12</v>
      </c>
      <c r="H6" s="5"/>
      <c r="I6" s="4" t="s">
        <v>12</v>
      </c>
      <c r="J6" s="4" t="s">
        <v>12</v>
      </c>
      <c r="K6" s="4" t="s">
        <v>12</v>
      </c>
      <c r="L6" s="4" t="s">
        <v>12</v>
      </c>
      <c r="M6" s="4" t="s">
        <v>12</v>
      </c>
      <c r="N6" s="5"/>
      <c r="O6" s="4" t="s">
        <v>12</v>
      </c>
      <c r="P6" s="4" t="s">
        <v>12</v>
      </c>
      <c r="Q6" s="4" t="s">
        <v>12</v>
      </c>
      <c r="R6" s="4" t="s">
        <v>12</v>
      </c>
      <c r="S6" s="4" t="s">
        <v>12</v>
      </c>
      <c r="T6" s="5"/>
      <c r="U6" s="4" t="s">
        <v>12</v>
      </c>
    </row>
    <row r="7" spans="2:29" ht="16.5" outlineLevel="1" x14ac:dyDescent="0.25">
      <c r="B7" s="3" t="s">
        <v>3</v>
      </c>
      <c r="C7" s="4" t="s">
        <v>12</v>
      </c>
      <c r="D7" s="4" t="s">
        <v>12</v>
      </c>
      <c r="E7" s="5"/>
      <c r="F7" s="4" t="s">
        <v>12</v>
      </c>
      <c r="G7" s="4" t="s">
        <v>12</v>
      </c>
      <c r="H7" s="5"/>
      <c r="I7" s="5"/>
      <c r="J7" s="5"/>
      <c r="K7" s="5"/>
      <c r="L7" s="4" t="s">
        <v>12</v>
      </c>
      <c r="M7" s="4" t="s">
        <v>12</v>
      </c>
      <c r="N7" s="5"/>
      <c r="O7" s="4" t="s">
        <v>12</v>
      </c>
      <c r="P7" s="4" t="s">
        <v>12</v>
      </c>
      <c r="Q7" s="4" t="s">
        <v>12</v>
      </c>
      <c r="R7" s="5"/>
      <c r="S7" s="4" t="s">
        <v>12</v>
      </c>
      <c r="T7" s="5"/>
      <c r="U7" s="4" t="s">
        <v>12</v>
      </c>
      <c r="Y7" s="9" t="s">
        <v>327</v>
      </c>
      <c r="Z7" s="147" t="s">
        <v>168</v>
      </c>
      <c r="AA7" s="2" t="s">
        <v>142</v>
      </c>
      <c r="AB7" s="2" t="s">
        <v>143</v>
      </c>
      <c r="AC7" s="2" t="s">
        <v>169</v>
      </c>
    </row>
    <row r="8" spans="2:29" ht="16.5" outlineLevel="1" x14ac:dyDescent="0.25">
      <c r="B8" s="3" t="s">
        <v>9</v>
      </c>
      <c r="C8" s="4" t="s">
        <v>12</v>
      </c>
      <c r="D8" s="4" t="s">
        <v>12</v>
      </c>
      <c r="E8" s="4"/>
      <c r="F8" s="4" t="s">
        <v>12</v>
      </c>
      <c r="G8" s="4" t="s">
        <v>12</v>
      </c>
      <c r="H8" s="5"/>
      <c r="I8" s="5"/>
      <c r="J8" s="5"/>
      <c r="K8" s="5"/>
      <c r="L8" s="4" t="s">
        <v>12</v>
      </c>
      <c r="M8" s="4" t="s">
        <v>12</v>
      </c>
      <c r="N8" s="5"/>
      <c r="O8" s="4" t="s">
        <v>12</v>
      </c>
      <c r="P8" s="4" t="s">
        <v>12</v>
      </c>
      <c r="Q8" s="4" t="s">
        <v>12</v>
      </c>
      <c r="R8" s="4" t="s">
        <v>12</v>
      </c>
      <c r="S8" s="4" t="s">
        <v>12</v>
      </c>
      <c r="T8" s="5"/>
      <c r="U8" s="4" t="s">
        <v>12</v>
      </c>
      <c r="Y8" s="135" t="s">
        <v>241</v>
      </c>
      <c r="Z8" s="142"/>
      <c r="AA8" s="142"/>
      <c r="AB8" s="142"/>
      <c r="AC8" s="142"/>
    </row>
    <row r="9" spans="2:29" ht="16.5" outlineLevel="1" x14ac:dyDescent="0.25">
      <c r="B9" s="3" t="s">
        <v>4</v>
      </c>
      <c r="C9" s="4" t="s">
        <v>12</v>
      </c>
      <c r="D9" s="4" t="s">
        <v>12</v>
      </c>
      <c r="E9" s="5"/>
      <c r="F9" s="4" t="s">
        <v>12</v>
      </c>
      <c r="G9" s="4" t="s">
        <v>12</v>
      </c>
      <c r="H9" s="5"/>
      <c r="I9" s="5"/>
      <c r="J9" s="5"/>
      <c r="K9" s="5"/>
      <c r="L9" s="4" t="s">
        <v>12</v>
      </c>
      <c r="M9" s="4" t="s">
        <v>12</v>
      </c>
      <c r="N9" s="5"/>
      <c r="O9" s="4" t="s">
        <v>12</v>
      </c>
      <c r="P9" s="4" t="s">
        <v>12</v>
      </c>
      <c r="Q9" s="4" t="s">
        <v>12</v>
      </c>
      <c r="R9" s="4" t="s">
        <v>12</v>
      </c>
      <c r="S9" s="4" t="s">
        <v>12</v>
      </c>
      <c r="T9" s="5"/>
      <c r="U9" s="4" t="s">
        <v>12</v>
      </c>
      <c r="Y9" s="3" t="s">
        <v>328</v>
      </c>
      <c r="Z9" s="139"/>
      <c r="AA9" s="139"/>
      <c r="AB9" s="139"/>
      <c r="AC9" s="139"/>
    </row>
    <row r="10" spans="2:29" ht="16.5" outlineLevel="1" x14ac:dyDescent="0.25">
      <c r="B10" s="3" t="s">
        <v>5</v>
      </c>
      <c r="C10" s="4" t="s">
        <v>12</v>
      </c>
      <c r="D10" s="4" t="s">
        <v>12</v>
      </c>
      <c r="E10" s="5"/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  <c r="M10" s="4" t="s">
        <v>12</v>
      </c>
      <c r="N10" s="5"/>
      <c r="O10" s="4" t="s">
        <v>12</v>
      </c>
      <c r="P10" s="4" t="s">
        <v>12</v>
      </c>
      <c r="Q10" s="4" t="s">
        <v>12</v>
      </c>
      <c r="R10" s="4" t="s">
        <v>12</v>
      </c>
      <c r="S10" s="4" t="s">
        <v>12</v>
      </c>
      <c r="T10" s="5"/>
      <c r="U10" s="4" t="s">
        <v>12</v>
      </c>
      <c r="Y10" s="3" t="s">
        <v>39</v>
      </c>
      <c r="Z10" s="139"/>
      <c r="AA10" s="139"/>
      <c r="AB10" s="139"/>
      <c r="AC10" s="139"/>
    </row>
    <row r="11" spans="2:29" ht="16.5" outlineLevel="1" x14ac:dyDescent="0.25">
      <c r="B11" s="3" t="s">
        <v>1</v>
      </c>
      <c r="C11" s="4" t="s">
        <v>12</v>
      </c>
      <c r="D11" s="4" t="s">
        <v>12</v>
      </c>
      <c r="E11" s="5"/>
      <c r="F11" s="4" t="s">
        <v>12</v>
      </c>
      <c r="G11" s="4" t="s">
        <v>12</v>
      </c>
      <c r="H11" s="5"/>
      <c r="I11" s="5"/>
      <c r="J11" s="5"/>
      <c r="K11" s="5"/>
      <c r="L11" s="4" t="s">
        <v>12</v>
      </c>
      <c r="M11" s="5"/>
      <c r="N11" s="5"/>
      <c r="O11" s="5"/>
      <c r="P11" s="5"/>
      <c r="Q11" s="5"/>
      <c r="R11" s="5"/>
      <c r="S11" s="4" t="s">
        <v>12</v>
      </c>
      <c r="T11" s="5"/>
      <c r="U11" s="4" t="s">
        <v>12</v>
      </c>
      <c r="Y11" s="3" t="s">
        <v>10</v>
      </c>
      <c r="Z11" s="139"/>
      <c r="AA11" s="139"/>
      <c r="AB11" s="139"/>
      <c r="AC11" s="139"/>
    </row>
    <row r="12" spans="2:29" ht="16.5" outlineLevel="1" x14ac:dyDescent="0.25">
      <c r="B12" s="3" t="s">
        <v>33</v>
      </c>
      <c r="C12" s="4" t="s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4"/>
      <c r="P12" s="4"/>
      <c r="Q12" s="4"/>
      <c r="R12" s="4"/>
      <c r="S12" s="4"/>
      <c r="T12" s="5"/>
      <c r="U12" s="4" t="s">
        <v>12</v>
      </c>
      <c r="Y12" s="9" t="s">
        <v>329</v>
      </c>
      <c r="Z12" s="141"/>
      <c r="AA12" s="141"/>
      <c r="AB12" s="141"/>
      <c r="AC12" s="141"/>
    </row>
    <row r="13" spans="2:29" ht="16.5" outlineLevel="1" x14ac:dyDescent="0.25">
      <c r="B13" s="3" t="s">
        <v>102</v>
      </c>
      <c r="C13" s="4" t="s">
        <v>12</v>
      </c>
      <c r="D13" s="4"/>
      <c r="E13" s="5"/>
      <c r="F13" s="4"/>
      <c r="G13" s="4"/>
      <c r="H13" s="5"/>
      <c r="I13" s="5"/>
      <c r="J13" s="5"/>
      <c r="K13" s="5"/>
      <c r="L13" s="4"/>
      <c r="M13" s="4"/>
      <c r="N13" s="5"/>
      <c r="O13" s="4"/>
      <c r="P13" s="4"/>
      <c r="Q13" s="4"/>
      <c r="R13" s="5"/>
      <c r="S13" s="4"/>
      <c r="T13" s="5"/>
      <c r="U13" s="4" t="s">
        <v>12</v>
      </c>
    </row>
    <row r="14" spans="2:29" ht="16.5" outlineLevel="1" x14ac:dyDescent="0.25">
      <c r="B14" s="3" t="s">
        <v>7</v>
      </c>
      <c r="C14" s="4" t="s">
        <v>12</v>
      </c>
      <c r="D14" s="4"/>
      <c r="E14" s="4" t="s">
        <v>12</v>
      </c>
      <c r="F14" s="4" t="s">
        <v>12</v>
      </c>
      <c r="G14" s="4" t="s">
        <v>12</v>
      </c>
      <c r="H14" s="4" t="s">
        <v>12</v>
      </c>
      <c r="I14" s="5"/>
      <c r="J14" s="4" t="s">
        <v>12</v>
      </c>
      <c r="K14" s="4" t="s">
        <v>12</v>
      </c>
      <c r="L14" s="4" t="s">
        <v>12</v>
      </c>
      <c r="M14" s="4" t="s">
        <v>12</v>
      </c>
      <c r="N14" s="5"/>
      <c r="O14" s="4" t="s">
        <v>12</v>
      </c>
      <c r="P14" s="4" t="s">
        <v>12</v>
      </c>
      <c r="Q14" s="4" t="s">
        <v>12</v>
      </c>
      <c r="R14" s="4" t="s">
        <v>12</v>
      </c>
      <c r="S14" s="4" t="s">
        <v>12</v>
      </c>
      <c r="T14" s="5"/>
      <c r="U14" s="4" t="s">
        <v>12</v>
      </c>
      <c r="Y14" s="2" t="s">
        <v>337</v>
      </c>
      <c r="Z14" s="147" t="s">
        <v>168</v>
      </c>
      <c r="AA14" s="2" t="s">
        <v>142</v>
      </c>
      <c r="AB14" s="2" t="s">
        <v>143</v>
      </c>
      <c r="AC14" s="2" t="s">
        <v>169</v>
      </c>
    </row>
    <row r="15" spans="2:29" ht="16.5" outlineLevel="1" x14ac:dyDescent="0.25">
      <c r="B15" s="3" t="s">
        <v>15</v>
      </c>
      <c r="C15" s="5"/>
      <c r="D15" s="5"/>
      <c r="E15" s="4" t="s">
        <v>12</v>
      </c>
      <c r="F15" s="4" t="s">
        <v>12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4" t="s">
        <v>12</v>
      </c>
      <c r="Y15" s="138" t="s">
        <v>330</v>
      </c>
      <c r="Z15" s="139"/>
      <c r="AA15" s="139"/>
      <c r="AB15" s="139"/>
      <c r="AC15" s="139"/>
    </row>
    <row r="16" spans="2:29" ht="16.5" outlineLevel="1" x14ac:dyDescent="0.25">
      <c r="B16" s="3" t="s">
        <v>37</v>
      </c>
      <c r="C16" s="5"/>
      <c r="D16" s="5"/>
      <c r="E16" s="4" t="s">
        <v>12</v>
      </c>
      <c r="F16" s="4" t="s">
        <v>12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4" t="s">
        <v>12</v>
      </c>
      <c r="Y16" s="138" t="s">
        <v>331</v>
      </c>
      <c r="Z16" s="139"/>
      <c r="AA16" s="139"/>
      <c r="AB16" s="139"/>
      <c r="AC16" s="139"/>
    </row>
    <row r="17" spans="2:29" ht="16.5" outlineLevel="1" x14ac:dyDescent="0.25">
      <c r="B17" s="3" t="s">
        <v>28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4" t="s">
        <v>12</v>
      </c>
      <c r="O17" s="4" t="s">
        <v>12</v>
      </c>
      <c r="P17" s="5"/>
      <c r="Q17" s="5"/>
      <c r="R17" s="5"/>
      <c r="S17" s="5"/>
      <c r="T17" s="5"/>
      <c r="U17" s="4" t="s">
        <v>12</v>
      </c>
      <c r="Y17" s="138" t="s">
        <v>9</v>
      </c>
      <c r="Z17" s="139"/>
      <c r="AA17" s="139"/>
      <c r="AB17" s="139"/>
      <c r="AC17" s="139"/>
    </row>
    <row r="18" spans="2:29" ht="16.5" x14ac:dyDescent="0.25">
      <c r="B18" s="10" t="s">
        <v>38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5"/>
      <c r="O18" s="4" t="s">
        <v>12</v>
      </c>
      <c r="P18" s="4" t="s">
        <v>12</v>
      </c>
      <c r="Q18" s="4" t="s">
        <v>12</v>
      </c>
      <c r="R18" s="4" t="s">
        <v>12</v>
      </c>
      <c r="S18" s="4" t="s">
        <v>12</v>
      </c>
      <c r="T18" s="4" t="s">
        <v>12</v>
      </c>
      <c r="U18" s="4" t="s">
        <v>12</v>
      </c>
      <c r="Y18" s="138" t="s">
        <v>332</v>
      </c>
      <c r="Z18" s="139"/>
      <c r="AA18" s="139"/>
      <c r="AB18" s="139"/>
      <c r="AC18" s="139"/>
    </row>
    <row r="19" spans="2:29" ht="16.5" outlineLevel="1" x14ac:dyDescent="0.25">
      <c r="B19" s="3" t="s">
        <v>16</v>
      </c>
      <c r="C19" s="4" t="s">
        <v>12</v>
      </c>
      <c r="D19" s="4"/>
      <c r="E19" s="4"/>
      <c r="F19" s="4"/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  <c r="M19" s="4" t="s">
        <v>12</v>
      </c>
      <c r="N19" s="5"/>
      <c r="O19" s="4" t="s">
        <v>12</v>
      </c>
      <c r="P19" s="4" t="s">
        <v>12</v>
      </c>
      <c r="Q19" s="4" t="s">
        <v>12</v>
      </c>
      <c r="R19" s="4" t="s">
        <v>12</v>
      </c>
      <c r="S19" s="4" t="s">
        <v>12</v>
      </c>
      <c r="T19" s="4" t="s">
        <v>12</v>
      </c>
      <c r="U19" s="4" t="s">
        <v>12</v>
      </c>
      <c r="Y19" s="138" t="s">
        <v>5</v>
      </c>
      <c r="Z19" s="139"/>
      <c r="AA19" s="139"/>
      <c r="AB19" s="139"/>
      <c r="AC19" s="139"/>
    </row>
    <row r="20" spans="2:29" ht="16.5" outlineLevel="1" x14ac:dyDescent="0.25">
      <c r="B20" s="3" t="s">
        <v>41</v>
      </c>
      <c r="C20" s="4" t="s">
        <v>12</v>
      </c>
      <c r="D20" s="4"/>
      <c r="E20" s="4"/>
      <c r="F20" s="4"/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  <c r="M20" s="4" t="s">
        <v>12</v>
      </c>
      <c r="N20" s="5"/>
      <c r="O20" s="4" t="s">
        <v>12</v>
      </c>
      <c r="P20" s="4" t="s">
        <v>12</v>
      </c>
      <c r="Q20" s="4" t="s">
        <v>12</v>
      </c>
      <c r="R20" s="4" t="s">
        <v>12</v>
      </c>
      <c r="S20" s="4" t="s">
        <v>12</v>
      </c>
      <c r="T20" s="4" t="s">
        <v>12</v>
      </c>
      <c r="U20" s="4" t="s">
        <v>12</v>
      </c>
      <c r="Y20" s="138" t="s">
        <v>4</v>
      </c>
      <c r="Z20" s="139"/>
      <c r="AA20" s="139"/>
      <c r="AB20" s="139"/>
      <c r="AC20" s="139"/>
    </row>
    <row r="21" spans="2:29" ht="16.5" outlineLevel="1" x14ac:dyDescent="0.25">
      <c r="B21" s="3" t="s">
        <v>42</v>
      </c>
      <c r="C21" s="4"/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  <c r="M21" s="4" t="s">
        <v>12</v>
      </c>
      <c r="N21" s="5"/>
      <c r="O21" s="4" t="s">
        <v>12</v>
      </c>
      <c r="P21" s="4" t="s">
        <v>12</v>
      </c>
      <c r="Q21" s="4" t="s">
        <v>12</v>
      </c>
      <c r="R21" s="4" t="s">
        <v>12</v>
      </c>
      <c r="S21" s="4" t="s">
        <v>12</v>
      </c>
      <c r="T21" s="4" t="s">
        <v>12</v>
      </c>
      <c r="U21" s="4" t="s">
        <v>12</v>
      </c>
      <c r="Y21" s="138" t="s">
        <v>3</v>
      </c>
      <c r="Z21" s="139"/>
      <c r="AA21" s="139"/>
      <c r="AB21" s="139"/>
      <c r="AC21" s="139"/>
    </row>
    <row r="22" spans="2:29" ht="16.5" outlineLevel="1" x14ac:dyDescent="0.25">
      <c r="B22" s="3" t="s">
        <v>43</v>
      </c>
      <c r="C22" s="4"/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  <c r="M22" s="4" t="s">
        <v>12</v>
      </c>
      <c r="N22" s="5"/>
      <c r="O22" s="4" t="s">
        <v>12</v>
      </c>
      <c r="P22" s="4" t="s">
        <v>12</v>
      </c>
      <c r="Q22" s="4" t="s">
        <v>12</v>
      </c>
      <c r="R22" s="4" t="s">
        <v>12</v>
      </c>
      <c r="S22" s="4" t="s">
        <v>12</v>
      </c>
      <c r="T22" s="4" t="s">
        <v>12</v>
      </c>
      <c r="U22" s="4" t="s">
        <v>12</v>
      </c>
      <c r="Y22" s="138" t="s">
        <v>333</v>
      </c>
      <c r="Z22" s="139"/>
      <c r="AA22" s="139"/>
      <c r="AB22" s="139"/>
      <c r="AC22" s="139"/>
    </row>
    <row r="23" spans="2:29" ht="16.5" outlineLevel="1" x14ac:dyDescent="0.25">
      <c r="B23" s="3" t="s">
        <v>34</v>
      </c>
      <c r="C23" s="4" t="s">
        <v>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4"/>
      <c r="P23" s="4"/>
      <c r="Q23" s="4"/>
      <c r="R23" s="4"/>
      <c r="S23" s="4"/>
      <c r="T23" s="5"/>
      <c r="U23" s="4" t="s">
        <v>12</v>
      </c>
      <c r="Y23" s="138" t="s">
        <v>334</v>
      </c>
      <c r="Z23" s="139"/>
      <c r="AA23" s="139"/>
      <c r="AB23" s="139"/>
      <c r="AC23" s="139"/>
    </row>
    <row r="24" spans="2:29" ht="16.5" outlineLevel="1" x14ac:dyDescent="0.25">
      <c r="B24" s="3" t="s">
        <v>6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  <c r="M24" s="4" t="s">
        <v>12</v>
      </c>
      <c r="N24" s="4" t="s">
        <v>12</v>
      </c>
      <c r="O24" s="4" t="s">
        <v>12</v>
      </c>
      <c r="P24" s="4" t="s">
        <v>12</v>
      </c>
      <c r="Q24" s="4" t="s">
        <v>12</v>
      </c>
      <c r="R24" s="4" t="s">
        <v>12</v>
      </c>
      <c r="S24" s="4" t="s">
        <v>12</v>
      </c>
      <c r="T24" s="4" t="s">
        <v>12</v>
      </c>
      <c r="U24" s="4" t="s">
        <v>12</v>
      </c>
      <c r="Y24" s="138" t="s">
        <v>335</v>
      </c>
      <c r="Z24" s="139"/>
      <c r="AA24" s="139"/>
      <c r="AB24" s="139"/>
      <c r="AC24" s="139"/>
    </row>
    <row r="25" spans="2:29" ht="16.5" x14ac:dyDescent="0.25">
      <c r="B25" s="10" t="s">
        <v>2</v>
      </c>
      <c r="C25" s="4" t="s">
        <v>12</v>
      </c>
      <c r="D25" s="4" t="s">
        <v>12</v>
      </c>
      <c r="E25" s="5"/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  <c r="M25" s="4" t="s">
        <v>12</v>
      </c>
      <c r="N25" s="5"/>
      <c r="O25" s="4" t="s">
        <v>12</v>
      </c>
      <c r="P25" s="4" t="s">
        <v>12</v>
      </c>
      <c r="Q25" s="4" t="s">
        <v>12</v>
      </c>
      <c r="R25" s="4" t="s">
        <v>12</v>
      </c>
      <c r="S25" s="4" t="s">
        <v>12</v>
      </c>
      <c r="T25" s="5"/>
      <c r="U25" s="4" t="s">
        <v>12</v>
      </c>
      <c r="Y25" s="138" t="s">
        <v>33</v>
      </c>
      <c r="Z25" s="139"/>
      <c r="AA25" s="139"/>
      <c r="AB25" s="139"/>
      <c r="AC25" s="139"/>
    </row>
    <row r="26" spans="2:29" ht="16.5" outlineLevel="1" x14ac:dyDescent="0.25">
      <c r="B26" s="3" t="s">
        <v>44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  <c r="M26" s="4" t="s">
        <v>12</v>
      </c>
      <c r="N26" s="5"/>
      <c r="O26" s="4" t="s">
        <v>12</v>
      </c>
      <c r="P26" s="4" t="s">
        <v>12</v>
      </c>
      <c r="Q26" s="4" t="s">
        <v>12</v>
      </c>
      <c r="R26" s="4" t="s">
        <v>12</v>
      </c>
      <c r="S26" s="4" t="s">
        <v>12</v>
      </c>
      <c r="T26" s="4" t="s">
        <v>12</v>
      </c>
      <c r="U26" s="4" t="s">
        <v>12</v>
      </c>
      <c r="Y26" s="140" t="s">
        <v>329</v>
      </c>
      <c r="Z26" s="141"/>
      <c r="AA26" s="141"/>
      <c r="AB26" s="141"/>
      <c r="AC26" s="141"/>
    </row>
    <row r="27" spans="2:29" ht="16.5" outlineLevel="1" x14ac:dyDescent="0.25">
      <c r="B27" s="3" t="s">
        <v>45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  <c r="M27" s="4" t="s">
        <v>12</v>
      </c>
      <c r="N27" s="5"/>
      <c r="O27" s="4" t="s">
        <v>12</v>
      </c>
      <c r="P27" s="4" t="s">
        <v>12</v>
      </c>
      <c r="Q27" s="4" t="s">
        <v>12</v>
      </c>
      <c r="R27" s="4" t="s">
        <v>12</v>
      </c>
      <c r="S27" s="4" t="s">
        <v>12</v>
      </c>
      <c r="T27" s="4" t="s">
        <v>12</v>
      </c>
      <c r="U27" s="4" t="s">
        <v>12</v>
      </c>
    </row>
    <row r="28" spans="2:29" ht="16.5" outlineLevel="1" x14ac:dyDescent="0.25">
      <c r="B28" s="3" t="s">
        <v>6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/>
      <c r="O28" s="4" t="s">
        <v>12</v>
      </c>
      <c r="P28" s="4" t="s">
        <v>12</v>
      </c>
      <c r="Q28" s="4" t="s">
        <v>12</v>
      </c>
      <c r="R28" s="4" t="s">
        <v>12</v>
      </c>
      <c r="S28" s="4" t="s">
        <v>12</v>
      </c>
      <c r="T28" s="4" t="s">
        <v>12</v>
      </c>
      <c r="U28" s="4" t="s">
        <v>12</v>
      </c>
      <c r="Y28" s="2" t="s">
        <v>351</v>
      </c>
      <c r="Z28" s="2" t="s">
        <v>168</v>
      </c>
      <c r="AA28" s="2" t="s">
        <v>142</v>
      </c>
      <c r="AB28" s="2" t="s">
        <v>143</v>
      </c>
      <c r="AC28" s="2" t="s">
        <v>169</v>
      </c>
    </row>
    <row r="29" spans="2:29" ht="16.5" x14ac:dyDescent="0.25">
      <c r="B29" s="3" t="s">
        <v>10</v>
      </c>
      <c r="C29" s="4" t="s">
        <v>12</v>
      </c>
      <c r="D29" s="4" t="s">
        <v>12</v>
      </c>
      <c r="E29" s="4"/>
      <c r="F29" s="4" t="s">
        <v>12</v>
      </c>
      <c r="G29" s="4" t="s">
        <v>12</v>
      </c>
      <c r="H29" s="4" t="s">
        <v>12</v>
      </c>
      <c r="I29" s="4" t="s">
        <v>12</v>
      </c>
      <c r="J29" s="5"/>
      <c r="K29" s="5"/>
      <c r="L29" s="4" t="s">
        <v>12</v>
      </c>
      <c r="M29" s="4" t="s">
        <v>12</v>
      </c>
      <c r="N29" s="4" t="s">
        <v>12</v>
      </c>
      <c r="O29" s="4" t="s">
        <v>12</v>
      </c>
      <c r="P29" s="4" t="s">
        <v>12</v>
      </c>
      <c r="Q29" s="4" t="s">
        <v>12</v>
      </c>
      <c r="R29" s="4" t="s">
        <v>12</v>
      </c>
      <c r="S29" s="4" t="s">
        <v>12</v>
      </c>
      <c r="T29" s="4" t="s">
        <v>12</v>
      </c>
      <c r="U29" s="4" t="s">
        <v>12</v>
      </c>
      <c r="Y29" s="3" t="s">
        <v>338</v>
      </c>
      <c r="Z29" s="139"/>
      <c r="AA29" s="139"/>
      <c r="AB29" s="139"/>
      <c r="AC29" s="139"/>
    </row>
    <row r="30" spans="2:29" ht="16.5" x14ac:dyDescent="0.25">
      <c r="B30" s="3"/>
      <c r="C30" s="4"/>
      <c r="D30" s="4"/>
      <c r="E30" s="4"/>
      <c r="F30" s="4"/>
      <c r="G30" s="4"/>
      <c r="H30" s="4"/>
      <c r="I30" s="4"/>
      <c r="J30" s="5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Y30" s="3" t="s">
        <v>339</v>
      </c>
      <c r="Z30" s="139"/>
      <c r="AA30" s="139"/>
      <c r="AB30" s="139"/>
      <c r="AC30" s="139"/>
    </row>
    <row r="31" spans="2:29" ht="16.5" x14ac:dyDescent="0.25">
      <c r="B31" s="3"/>
      <c r="C31" s="4"/>
      <c r="D31" s="4"/>
      <c r="E31" s="4"/>
      <c r="F31" s="4"/>
      <c r="G31" s="4"/>
      <c r="H31" s="4"/>
      <c r="I31" s="4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Y31" s="3" t="s">
        <v>340</v>
      </c>
      <c r="Z31" s="139"/>
      <c r="AA31" s="139"/>
      <c r="AB31" s="139"/>
      <c r="AC31" s="139"/>
    </row>
    <row r="32" spans="2:29" ht="16.5" x14ac:dyDescent="0.25">
      <c r="B32" s="3"/>
      <c r="C32" s="4"/>
      <c r="D32" s="4"/>
      <c r="E32" s="4"/>
      <c r="F32" s="4"/>
      <c r="G32" s="4"/>
      <c r="H32" s="4"/>
      <c r="I32" s="4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Y32" s="3" t="s">
        <v>341</v>
      </c>
      <c r="Z32" s="139"/>
      <c r="AA32" s="139"/>
      <c r="AB32" s="139"/>
      <c r="AC32" s="139"/>
    </row>
    <row r="33" spans="2:29" ht="16.5" x14ac:dyDescent="0.25">
      <c r="B33" s="3" t="s">
        <v>24</v>
      </c>
      <c r="C33" s="5"/>
      <c r="D33" s="5"/>
      <c r="E33" s="5"/>
      <c r="F33" s="5"/>
      <c r="G33" s="5"/>
      <c r="H33" s="5"/>
      <c r="I33" s="4" t="s">
        <v>12</v>
      </c>
      <c r="J33" s="4" t="s">
        <v>12</v>
      </c>
      <c r="K33" s="4" t="s">
        <v>12</v>
      </c>
      <c r="L33" s="4" t="s">
        <v>12</v>
      </c>
      <c r="M33" s="5"/>
      <c r="N33" s="5"/>
      <c r="O33" s="5"/>
      <c r="P33" s="5"/>
      <c r="Q33" s="5"/>
      <c r="R33" s="5"/>
      <c r="S33" s="5"/>
      <c r="T33" s="5"/>
      <c r="U33" s="4" t="s">
        <v>12</v>
      </c>
      <c r="Y33" s="3" t="s">
        <v>342</v>
      </c>
      <c r="Z33" s="139"/>
      <c r="AA33" s="139"/>
      <c r="AB33" s="139"/>
      <c r="AC33" s="139"/>
    </row>
    <row r="34" spans="2:29" ht="16.5" x14ac:dyDescent="0.25">
      <c r="B34" s="6" t="s">
        <v>6</v>
      </c>
      <c r="C34" s="8" t="s">
        <v>12</v>
      </c>
      <c r="D34" s="8" t="s">
        <v>12</v>
      </c>
      <c r="E34" s="8" t="s">
        <v>12</v>
      </c>
      <c r="F34" s="8" t="s">
        <v>12</v>
      </c>
      <c r="G34" s="8" t="s">
        <v>12</v>
      </c>
      <c r="H34" s="7"/>
      <c r="I34" s="8" t="s">
        <v>12</v>
      </c>
      <c r="J34" s="8" t="s">
        <v>12</v>
      </c>
      <c r="K34" s="8" t="s">
        <v>12</v>
      </c>
      <c r="L34" s="8" t="s">
        <v>12</v>
      </c>
      <c r="M34" s="8" t="s">
        <v>12</v>
      </c>
      <c r="N34" s="8" t="s">
        <v>12</v>
      </c>
      <c r="O34" s="8" t="s">
        <v>12</v>
      </c>
      <c r="P34" s="8" t="s">
        <v>12</v>
      </c>
      <c r="Q34" s="8" t="s">
        <v>12</v>
      </c>
      <c r="R34" s="8" t="s">
        <v>12</v>
      </c>
      <c r="S34" s="8" t="s">
        <v>12</v>
      </c>
      <c r="T34" s="8" t="s">
        <v>12</v>
      </c>
      <c r="U34" s="8" t="s">
        <v>12</v>
      </c>
      <c r="Y34" s="3" t="s">
        <v>343</v>
      </c>
      <c r="Z34" s="139"/>
      <c r="AA34" s="139"/>
      <c r="AB34" s="139"/>
      <c r="AC34" s="139"/>
    </row>
    <row r="35" spans="2:29" x14ac:dyDescent="0.25">
      <c r="Y35" s="3" t="s">
        <v>6</v>
      </c>
      <c r="Z35" s="139"/>
      <c r="AA35" s="139"/>
      <c r="AB35" s="139"/>
      <c r="AC35" s="139"/>
    </row>
    <row r="36" spans="2:29" x14ac:dyDescent="0.25">
      <c r="B36" s="85" t="s">
        <v>171</v>
      </c>
      <c r="C36" s="134" t="s">
        <v>285</v>
      </c>
      <c r="Y36" s="3" t="s">
        <v>344</v>
      </c>
      <c r="Z36" s="139"/>
      <c r="AA36" s="139"/>
      <c r="AB36" s="139"/>
      <c r="AC36" s="139"/>
    </row>
    <row r="37" spans="2:29" x14ac:dyDescent="0.25">
      <c r="Y37" s="3" t="s">
        <v>345</v>
      </c>
      <c r="Z37" s="139"/>
      <c r="AA37" s="139"/>
      <c r="AB37" s="139"/>
      <c r="AC37" s="139"/>
    </row>
    <row r="38" spans="2:29" x14ac:dyDescent="0.25">
      <c r="C38" s="86" t="s">
        <v>4</v>
      </c>
      <c r="F38" s="86" t="s">
        <v>9</v>
      </c>
      <c r="Y38" s="3" t="s">
        <v>346</v>
      </c>
      <c r="Z38" s="139"/>
      <c r="AA38" s="139"/>
      <c r="AB38" s="139"/>
      <c r="AC38" s="139"/>
    </row>
    <row r="39" spans="2:29" x14ac:dyDescent="0.25">
      <c r="C39" t="s">
        <v>286</v>
      </c>
      <c r="F39" t="s">
        <v>302</v>
      </c>
      <c r="Y39" s="3" t="s">
        <v>347</v>
      </c>
      <c r="Z39" s="139"/>
      <c r="AA39" s="139"/>
      <c r="AB39" s="139"/>
      <c r="AC39" s="139"/>
    </row>
    <row r="40" spans="2:29" x14ac:dyDescent="0.25">
      <c r="C40" t="s">
        <v>287</v>
      </c>
      <c r="F40" t="s">
        <v>303</v>
      </c>
      <c r="Y40" s="3" t="s">
        <v>348</v>
      </c>
      <c r="Z40" s="139"/>
      <c r="AA40" s="139"/>
      <c r="AB40" s="139"/>
      <c r="AC40" s="139"/>
    </row>
    <row r="41" spans="2:29" x14ac:dyDescent="0.25">
      <c r="C41" t="s">
        <v>288</v>
      </c>
      <c r="F41" t="s">
        <v>304</v>
      </c>
      <c r="Y41" s="3" t="s">
        <v>349</v>
      </c>
      <c r="Z41" s="139"/>
      <c r="AA41" s="139"/>
      <c r="AB41" s="139"/>
      <c r="AC41" s="139"/>
    </row>
    <row r="42" spans="2:29" x14ac:dyDescent="0.25">
      <c r="C42" t="s">
        <v>289</v>
      </c>
      <c r="F42" t="s">
        <v>305</v>
      </c>
      <c r="Y42" s="3" t="s">
        <v>350</v>
      </c>
      <c r="Z42" s="139"/>
      <c r="AA42" s="139"/>
      <c r="AB42" s="139"/>
      <c r="AC42" s="139"/>
    </row>
    <row r="43" spans="2:29" x14ac:dyDescent="0.25">
      <c r="C43" t="s">
        <v>290</v>
      </c>
      <c r="F43" t="s">
        <v>306</v>
      </c>
      <c r="Y43" s="9" t="s">
        <v>329</v>
      </c>
      <c r="Z43" s="141"/>
      <c r="AA43" s="141"/>
      <c r="AB43" s="141"/>
      <c r="AC43" s="141"/>
    </row>
    <row r="44" spans="2:29" x14ac:dyDescent="0.25">
      <c r="C44" t="s">
        <v>291</v>
      </c>
      <c r="F44" t="s">
        <v>307</v>
      </c>
    </row>
    <row r="45" spans="2:29" x14ac:dyDescent="0.25">
      <c r="C45" t="s">
        <v>292</v>
      </c>
      <c r="F45" t="s">
        <v>308</v>
      </c>
    </row>
    <row r="46" spans="2:29" x14ac:dyDescent="0.25">
      <c r="C46" t="s">
        <v>293</v>
      </c>
      <c r="F46" t="s">
        <v>309</v>
      </c>
    </row>
    <row r="47" spans="2:29" x14ac:dyDescent="0.25">
      <c r="C47" t="s">
        <v>294</v>
      </c>
      <c r="F47" t="s">
        <v>310</v>
      </c>
    </row>
    <row r="48" spans="2:29" x14ac:dyDescent="0.25">
      <c r="C48" t="s">
        <v>295</v>
      </c>
      <c r="F48" t="s">
        <v>311</v>
      </c>
    </row>
    <row r="49" spans="3:6" x14ac:dyDescent="0.25">
      <c r="C49" t="s">
        <v>296</v>
      </c>
      <c r="F49" t="s">
        <v>312</v>
      </c>
    </row>
    <row r="50" spans="3:6" x14ac:dyDescent="0.25">
      <c r="C50" t="s">
        <v>297</v>
      </c>
      <c r="F50" t="s">
        <v>313</v>
      </c>
    </row>
    <row r="51" spans="3:6" x14ac:dyDescent="0.25">
      <c r="C51" t="s">
        <v>298</v>
      </c>
      <c r="F51" t="s">
        <v>314</v>
      </c>
    </row>
    <row r="52" spans="3:6" x14ac:dyDescent="0.25">
      <c r="C52" t="s">
        <v>299</v>
      </c>
      <c r="F52" t="s">
        <v>315</v>
      </c>
    </row>
    <row r="53" spans="3:6" x14ac:dyDescent="0.25">
      <c r="C53" t="s">
        <v>300</v>
      </c>
      <c r="F53" t="s">
        <v>316</v>
      </c>
    </row>
    <row r="54" spans="3:6" x14ac:dyDescent="0.25">
      <c r="C54" t="s">
        <v>301</v>
      </c>
      <c r="F54" t="s">
        <v>317</v>
      </c>
    </row>
    <row r="55" spans="3:6" x14ac:dyDescent="0.25">
      <c r="F55" t="s">
        <v>318</v>
      </c>
    </row>
    <row r="56" spans="3:6" x14ac:dyDescent="0.25">
      <c r="F56" t="s">
        <v>319</v>
      </c>
    </row>
    <row r="57" spans="3:6" x14ac:dyDescent="0.25">
      <c r="F57" t="s">
        <v>320</v>
      </c>
    </row>
    <row r="58" spans="3:6" x14ac:dyDescent="0.25">
      <c r="F58" t="s">
        <v>321</v>
      </c>
    </row>
    <row r="59" spans="3:6" x14ac:dyDescent="0.25">
      <c r="F59" t="s">
        <v>322</v>
      </c>
    </row>
    <row r="60" spans="3:6" x14ac:dyDescent="0.25">
      <c r="F60" t="s">
        <v>323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83B6-B0EF-4CAA-A665-31DDEFC31F4E}">
  <sheetPr codeName="Sheet3"/>
  <dimension ref="B1:K96"/>
  <sheetViews>
    <sheetView showGridLines="0" workbookViewId="0">
      <selection activeCell="H7" sqref="H7"/>
    </sheetView>
  </sheetViews>
  <sheetFormatPr defaultRowHeight="15" outlineLevelRow="1" x14ac:dyDescent="0.25"/>
  <cols>
    <col min="1" max="1" width="1.5703125" customWidth="1"/>
    <col min="2" max="2" width="14.85546875" bestFit="1" customWidth="1"/>
    <col min="3" max="3" width="16.5703125" bestFit="1" customWidth="1"/>
    <col min="4" max="4" width="18.85546875" bestFit="1" customWidth="1"/>
    <col min="5" max="6" width="22.28515625" bestFit="1" customWidth="1"/>
    <col min="7" max="7" width="27.7109375" bestFit="1" customWidth="1"/>
    <col min="8" max="8" width="11.140625" bestFit="1" customWidth="1"/>
    <col min="9" max="11" width="11.140625" customWidth="1"/>
  </cols>
  <sheetData>
    <row r="1" spans="2:11" x14ac:dyDescent="0.25">
      <c r="B1" s="86" t="s">
        <v>186</v>
      </c>
    </row>
    <row r="3" spans="2:11" x14ac:dyDescent="0.25">
      <c r="B3" s="2" t="s">
        <v>178</v>
      </c>
      <c r="C3" s="2" t="s">
        <v>179</v>
      </c>
      <c r="D3" s="2" t="s">
        <v>180</v>
      </c>
      <c r="E3" s="2" t="s">
        <v>181</v>
      </c>
      <c r="F3" s="2" t="s">
        <v>182</v>
      </c>
      <c r="G3" s="2" t="s">
        <v>202</v>
      </c>
      <c r="H3" s="2" t="s">
        <v>168</v>
      </c>
      <c r="I3" s="2" t="s">
        <v>142</v>
      </c>
      <c r="J3" s="2" t="s">
        <v>143</v>
      </c>
      <c r="K3" s="2" t="s">
        <v>169</v>
      </c>
    </row>
    <row r="4" spans="2:11" x14ac:dyDescent="0.25">
      <c r="B4" s="3" t="s">
        <v>0</v>
      </c>
      <c r="C4" s="3" t="s">
        <v>0</v>
      </c>
      <c r="D4" s="3" t="s">
        <v>187</v>
      </c>
      <c r="E4" s="3" t="s">
        <v>187</v>
      </c>
      <c r="F4" s="3" t="s">
        <v>187</v>
      </c>
      <c r="G4" s="3" t="s">
        <v>219</v>
      </c>
      <c r="H4" s="3"/>
      <c r="I4" s="3"/>
      <c r="J4" s="3"/>
      <c r="K4" s="3"/>
    </row>
    <row r="5" spans="2:11" outlineLevel="1" x14ac:dyDescent="0.25">
      <c r="B5" s="3" t="s">
        <v>0</v>
      </c>
      <c r="C5" s="3" t="s">
        <v>0</v>
      </c>
      <c r="D5" s="3" t="s">
        <v>192</v>
      </c>
      <c r="E5" s="3" t="s">
        <v>192</v>
      </c>
      <c r="F5" s="3" t="s">
        <v>192</v>
      </c>
      <c r="G5" s="3" t="s">
        <v>219</v>
      </c>
      <c r="H5" s="3"/>
      <c r="I5" s="3"/>
      <c r="J5" s="3"/>
      <c r="K5" s="3"/>
    </row>
    <row r="6" spans="2:11" outlineLevel="1" x14ac:dyDescent="0.25">
      <c r="B6" s="3" t="s">
        <v>0</v>
      </c>
      <c r="C6" s="3" t="s">
        <v>0</v>
      </c>
      <c r="D6" s="3" t="s">
        <v>201</v>
      </c>
      <c r="E6" s="3" t="s">
        <v>201</v>
      </c>
      <c r="F6" s="3" t="s">
        <v>201</v>
      </c>
      <c r="G6" s="3" t="s">
        <v>219</v>
      </c>
      <c r="H6" s="3"/>
      <c r="I6" s="3"/>
      <c r="J6" s="3"/>
      <c r="K6" s="3"/>
    </row>
    <row r="7" spans="2:11" outlineLevel="1" x14ac:dyDescent="0.25">
      <c r="B7" s="3" t="s">
        <v>0</v>
      </c>
      <c r="C7" s="3" t="s">
        <v>0</v>
      </c>
      <c r="D7" s="3" t="s">
        <v>193</v>
      </c>
      <c r="E7" s="3" t="s">
        <v>193</v>
      </c>
      <c r="F7" s="3" t="s">
        <v>193</v>
      </c>
      <c r="G7" s="3" t="s">
        <v>219</v>
      </c>
      <c r="H7" s="3"/>
      <c r="I7" s="3"/>
      <c r="J7" s="3"/>
      <c r="K7" s="3"/>
    </row>
    <row r="8" spans="2:11" x14ac:dyDescent="0.25">
      <c r="B8" s="3" t="s">
        <v>0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223</v>
      </c>
      <c r="H8" s="3"/>
      <c r="I8" s="3"/>
      <c r="J8" s="3"/>
      <c r="K8" s="3"/>
    </row>
    <row r="9" spans="2:11" x14ac:dyDescent="0.25">
      <c r="B9" s="3" t="s">
        <v>183</v>
      </c>
      <c r="C9" s="3" t="s">
        <v>53</v>
      </c>
      <c r="D9" s="3" t="s">
        <v>188</v>
      </c>
      <c r="E9" s="3" t="s">
        <v>203</v>
      </c>
      <c r="F9" s="3" t="s">
        <v>203</v>
      </c>
      <c r="G9" s="3" t="s">
        <v>221</v>
      </c>
      <c r="H9" s="3"/>
      <c r="I9" s="3"/>
      <c r="J9" s="3"/>
      <c r="K9" s="3"/>
    </row>
    <row r="10" spans="2:11" outlineLevel="1" x14ac:dyDescent="0.25">
      <c r="B10" s="3" t="s">
        <v>183</v>
      </c>
      <c r="C10" s="3" t="s">
        <v>53</v>
      </c>
      <c r="D10" s="3" t="s">
        <v>188</v>
      </c>
      <c r="E10" s="3" t="s">
        <v>204</v>
      </c>
      <c r="F10" s="3" t="s">
        <v>204</v>
      </c>
      <c r="G10" s="3" t="s">
        <v>221</v>
      </c>
      <c r="H10" s="3"/>
      <c r="I10" s="3"/>
      <c r="J10" s="3"/>
      <c r="K10" s="3"/>
    </row>
    <row r="11" spans="2:11" outlineLevel="1" x14ac:dyDescent="0.25">
      <c r="B11" s="3" t="s">
        <v>183</v>
      </c>
      <c r="C11" s="3" t="s">
        <v>53</v>
      </c>
      <c r="D11" s="3" t="s">
        <v>188</v>
      </c>
      <c r="E11" s="3" t="s">
        <v>205</v>
      </c>
      <c r="F11" s="3" t="s">
        <v>205</v>
      </c>
      <c r="G11" s="3" t="s">
        <v>221</v>
      </c>
      <c r="H11" s="3"/>
      <c r="I11" s="3"/>
      <c r="J11" s="3"/>
      <c r="K11" s="3"/>
    </row>
    <row r="12" spans="2:11" outlineLevel="1" x14ac:dyDescent="0.25">
      <c r="B12" s="3" t="s">
        <v>183</v>
      </c>
      <c r="C12" s="3" t="s">
        <v>53</v>
      </c>
      <c r="D12" s="3" t="s">
        <v>188</v>
      </c>
      <c r="E12" s="3" t="s">
        <v>206</v>
      </c>
      <c r="F12" s="3" t="s">
        <v>206</v>
      </c>
      <c r="G12" s="3" t="s">
        <v>221</v>
      </c>
      <c r="H12" s="3"/>
      <c r="I12" s="3"/>
      <c r="J12" s="3"/>
      <c r="K12" s="3"/>
    </row>
    <row r="13" spans="2:11" outlineLevel="1" x14ac:dyDescent="0.25">
      <c r="B13" s="3" t="s">
        <v>183</v>
      </c>
      <c r="C13" s="3" t="s">
        <v>53</v>
      </c>
      <c r="D13" s="3" t="s">
        <v>189</v>
      </c>
      <c r="E13" s="3" t="s">
        <v>207</v>
      </c>
      <c r="F13" s="3" t="s">
        <v>207</v>
      </c>
      <c r="G13" s="3" t="s">
        <v>221</v>
      </c>
      <c r="H13" s="3"/>
      <c r="I13" s="3"/>
      <c r="J13" s="3"/>
      <c r="K13" s="3"/>
    </row>
    <row r="14" spans="2:11" outlineLevel="1" x14ac:dyDescent="0.25">
      <c r="B14" s="3" t="s">
        <v>183</v>
      </c>
      <c r="C14" s="3" t="s">
        <v>53</v>
      </c>
      <c r="D14" s="3" t="s">
        <v>190</v>
      </c>
      <c r="E14" s="3" t="s">
        <v>172</v>
      </c>
      <c r="F14" s="3" t="s">
        <v>172</v>
      </c>
      <c r="G14" s="3" t="s">
        <v>221</v>
      </c>
      <c r="H14" s="3"/>
      <c r="I14" s="3"/>
      <c r="J14" s="3"/>
      <c r="K14" s="3"/>
    </row>
    <row r="15" spans="2:11" outlineLevel="1" x14ac:dyDescent="0.25">
      <c r="B15" s="3" t="s">
        <v>183</v>
      </c>
      <c r="C15" s="3" t="s">
        <v>53</v>
      </c>
      <c r="D15" s="3" t="s">
        <v>190</v>
      </c>
      <c r="E15" s="3" t="s">
        <v>208</v>
      </c>
      <c r="F15" s="3" t="s">
        <v>208</v>
      </c>
      <c r="G15" s="3" t="s">
        <v>221</v>
      </c>
      <c r="H15" s="3"/>
      <c r="I15" s="3"/>
      <c r="J15" s="3"/>
      <c r="K15" s="3"/>
    </row>
    <row r="16" spans="2:11" outlineLevel="1" x14ac:dyDescent="0.25">
      <c r="B16" s="3" t="s">
        <v>183</v>
      </c>
      <c r="C16" s="3" t="s">
        <v>53</v>
      </c>
      <c r="D16" s="3" t="s">
        <v>190</v>
      </c>
      <c r="E16" s="3" t="s">
        <v>209</v>
      </c>
      <c r="F16" s="3" t="s">
        <v>209</v>
      </c>
      <c r="G16" s="3" t="s">
        <v>221</v>
      </c>
      <c r="H16" s="3"/>
      <c r="I16" s="3"/>
      <c r="J16" s="3"/>
      <c r="K16" s="3"/>
    </row>
    <row r="17" spans="2:11" outlineLevel="1" x14ac:dyDescent="0.25">
      <c r="B17" s="3" t="s">
        <v>183</v>
      </c>
      <c r="C17" s="3" t="s">
        <v>53</v>
      </c>
      <c r="D17" s="3" t="s">
        <v>190</v>
      </c>
      <c r="E17" s="3" t="s">
        <v>174</v>
      </c>
      <c r="F17" s="3" t="s">
        <v>174</v>
      </c>
      <c r="G17" s="3" t="s">
        <v>221</v>
      </c>
      <c r="H17" s="3"/>
      <c r="I17" s="3"/>
      <c r="J17" s="3"/>
      <c r="K17" s="3"/>
    </row>
    <row r="18" spans="2:11" outlineLevel="1" x14ac:dyDescent="0.25">
      <c r="B18" s="3" t="s">
        <v>183</v>
      </c>
      <c r="C18" s="3" t="s">
        <v>53</v>
      </c>
      <c r="D18" s="3" t="s">
        <v>191</v>
      </c>
      <c r="E18" s="3" t="s">
        <v>210</v>
      </c>
      <c r="F18" s="3" t="s">
        <v>210</v>
      </c>
      <c r="G18" s="3" t="s">
        <v>222</v>
      </c>
      <c r="H18" s="3"/>
      <c r="I18" s="3"/>
      <c r="J18" s="3"/>
      <c r="K18" s="3"/>
    </row>
    <row r="19" spans="2:11" outlineLevel="1" x14ac:dyDescent="0.25">
      <c r="B19" s="3" t="s">
        <v>183</v>
      </c>
      <c r="C19" s="3" t="s">
        <v>53</v>
      </c>
      <c r="D19" s="3" t="s">
        <v>191</v>
      </c>
      <c r="E19" s="3" t="s">
        <v>211</v>
      </c>
      <c r="F19" s="3" t="s">
        <v>211</v>
      </c>
      <c r="G19" s="3" t="s">
        <v>222</v>
      </c>
      <c r="H19" s="3"/>
      <c r="I19" s="3"/>
      <c r="J19" s="3"/>
      <c r="K19" s="3"/>
    </row>
    <row r="20" spans="2:11" outlineLevel="1" x14ac:dyDescent="0.25">
      <c r="B20" s="3" t="s">
        <v>183</v>
      </c>
      <c r="C20" s="3" t="s">
        <v>53</v>
      </c>
      <c r="D20" s="3" t="s">
        <v>191</v>
      </c>
      <c r="E20" s="3" t="s">
        <v>210</v>
      </c>
      <c r="F20" s="3" t="s">
        <v>210</v>
      </c>
      <c r="G20" s="3" t="s">
        <v>222</v>
      </c>
      <c r="H20" s="3"/>
      <c r="I20" s="3"/>
      <c r="J20" s="3"/>
      <c r="K20" s="3"/>
    </row>
    <row r="21" spans="2:11" outlineLevel="1" x14ac:dyDescent="0.25">
      <c r="B21" s="3" t="s">
        <v>183</v>
      </c>
      <c r="C21" s="3" t="s">
        <v>53</v>
      </c>
      <c r="D21" s="3" t="s">
        <v>191</v>
      </c>
      <c r="E21" s="3" t="s">
        <v>212</v>
      </c>
      <c r="F21" s="3" t="s">
        <v>212</v>
      </c>
      <c r="G21" s="3" t="s">
        <v>222</v>
      </c>
      <c r="H21" s="3"/>
      <c r="I21" s="3"/>
      <c r="J21" s="3"/>
      <c r="K21" s="3"/>
    </row>
    <row r="22" spans="2:11" outlineLevel="1" x14ac:dyDescent="0.25">
      <c r="B22" s="3" t="s">
        <v>183</v>
      </c>
      <c r="C22" s="3" t="s">
        <v>53</v>
      </c>
      <c r="D22" s="3" t="s">
        <v>191</v>
      </c>
      <c r="E22" s="3" t="s">
        <v>213</v>
      </c>
      <c r="F22" s="3" t="s">
        <v>213</v>
      </c>
      <c r="G22" s="3" t="s">
        <v>222</v>
      </c>
      <c r="H22" s="3"/>
      <c r="I22" s="3"/>
      <c r="J22" s="3"/>
      <c r="K22" s="3"/>
    </row>
    <row r="23" spans="2:11" outlineLevel="1" x14ac:dyDescent="0.25">
      <c r="B23" s="3" t="s">
        <v>183</v>
      </c>
      <c r="C23" s="3" t="s">
        <v>53</v>
      </c>
      <c r="D23" s="3" t="s">
        <v>191</v>
      </c>
      <c r="E23" s="3" t="s">
        <v>214</v>
      </c>
      <c r="F23" s="3" t="s">
        <v>214</v>
      </c>
      <c r="G23" s="3" t="s">
        <v>222</v>
      </c>
      <c r="H23" s="3"/>
      <c r="I23" s="3"/>
      <c r="J23" s="3"/>
      <c r="K23" s="3"/>
    </row>
    <row r="24" spans="2:11" outlineLevel="1" x14ac:dyDescent="0.25">
      <c r="B24" s="3" t="s">
        <v>183</v>
      </c>
      <c r="C24" s="3" t="s">
        <v>53</v>
      </c>
      <c r="D24" s="3" t="s">
        <v>191</v>
      </c>
      <c r="E24" s="3" t="s">
        <v>215</v>
      </c>
      <c r="F24" s="3" t="s">
        <v>215</v>
      </c>
      <c r="G24" s="3" t="s">
        <v>222</v>
      </c>
      <c r="H24" s="3"/>
      <c r="I24" s="3"/>
      <c r="J24" s="3"/>
      <c r="K24" s="3"/>
    </row>
    <row r="25" spans="2:11" outlineLevel="1" x14ac:dyDescent="0.25">
      <c r="B25" s="3" t="s">
        <v>183</v>
      </c>
      <c r="C25" s="3" t="s">
        <v>53</v>
      </c>
      <c r="D25" s="3" t="s">
        <v>191</v>
      </c>
      <c r="E25" s="3" t="s">
        <v>216</v>
      </c>
      <c r="F25" s="3" t="s">
        <v>216</v>
      </c>
      <c r="G25" s="3" t="s">
        <v>222</v>
      </c>
      <c r="H25" s="3"/>
      <c r="I25" s="3"/>
      <c r="J25" s="3"/>
      <c r="K25" s="3"/>
    </row>
    <row r="26" spans="2:11" outlineLevel="1" x14ac:dyDescent="0.25">
      <c r="B26" s="3" t="s">
        <v>183</v>
      </c>
      <c r="C26" s="3" t="s">
        <v>53</v>
      </c>
      <c r="D26" s="3" t="s">
        <v>191</v>
      </c>
      <c r="E26" s="3" t="s">
        <v>217</v>
      </c>
      <c r="F26" s="3" t="s">
        <v>217</v>
      </c>
      <c r="G26" s="3" t="s">
        <v>222</v>
      </c>
      <c r="H26" s="3"/>
      <c r="I26" s="3"/>
      <c r="J26" s="3"/>
      <c r="K26" s="3"/>
    </row>
    <row r="27" spans="2:11" outlineLevel="1" x14ac:dyDescent="0.25">
      <c r="B27" s="3" t="s">
        <v>183</v>
      </c>
      <c r="C27" s="3" t="s">
        <v>53</v>
      </c>
      <c r="D27" s="3" t="s">
        <v>191</v>
      </c>
      <c r="E27" s="3" t="s">
        <v>218</v>
      </c>
      <c r="F27" s="3" t="s">
        <v>218</v>
      </c>
      <c r="G27" s="3" t="s">
        <v>222</v>
      </c>
      <c r="H27" s="3"/>
      <c r="I27" s="3"/>
      <c r="J27" s="3"/>
      <c r="K27" s="3"/>
    </row>
    <row r="28" spans="2:11" outlineLevel="1" x14ac:dyDescent="0.25">
      <c r="B28" s="3" t="s">
        <v>183</v>
      </c>
      <c r="C28" s="3" t="s">
        <v>53</v>
      </c>
      <c r="D28" s="3" t="s">
        <v>191</v>
      </c>
      <c r="E28" s="3" t="s">
        <v>6</v>
      </c>
      <c r="F28" s="3" t="s">
        <v>6</v>
      </c>
      <c r="G28" s="3" t="s">
        <v>222</v>
      </c>
      <c r="H28" s="3"/>
      <c r="I28" s="3"/>
      <c r="J28" s="3"/>
      <c r="K28" s="3"/>
    </row>
    <row r="29" spans="2:11" x14ac:dyDescent="0.25">
      <c r="B29" s="3" t="s">
        <v>183</v>
      </c>
      <c r="C29" s="3" t="s">
        <v>184</v>
      </c>
      <c r="D29" s="3" t="s">
        <v>184</v>
      </c>
      <c r="E29" s="3" t="s">
        <v>184</v>
      </c>
      <c r="F29" s="3" t="s">
        <v>184</v>
      </c>
      <c r="G29" s="3" t="s">
        <v>220</v>
      </c>
      <c r="H29" s="3"/>
      <c r="I29" s="3"/>
      <c r="J29" s="3"/>
      <c r="K29" s="3"/>
    </row>
    <row r="30" spans="2:11" x14ac:dyDescent="0.25">
      <c r="B30" s="3" t="s">
        <v>183</v>
      </c>
      <c r="C30" s="3" t="s">
        <v>185</v>
      </c>
      <c r="D30" s="3" t="s">
        <v>91</v>
      </c>
      <c r="E30" s="3" t="s">
        <v>91</v>
      </c>
      <c r="F30" s="3" t="s">
        <v>91</v>
      </c>
      <c r="G30" s="3" t="s">
        <v>199</v>
      </c>
      <c r="H30" s="3"/>
      <c r="I30" s="3"/>
      <c r="J30" s="3"/>
      <c r="K30" s="3"/>
    </row>
    <row r="31" spans="2:11" outlineLevel="1" x14ac:dyDescent="0.25">
      <c r="B31" s="3" t="s">
        <v>183</v>
      </c>
      <c r="C31" s="3" t="s">
        <v>185</v>
      </c>
      <c r="D31" s="3" t="s">
        <v>92</v>
      </c>
      <c r="E31" s="3" t="s">
        <v>92</v>
      </c>
      <c r="F31" s="3" t="s">
        <v>92</v>
      </c>
      <c r="G31" s="3" t="s">
        <v>199</v>
      </c>
      <c r="H31" s="3"/>
      <c r="I31" s="3"/>
      <c r="J31" s="3"/>
      <c r="K31" s="3"/>
    </row>
    <row r="32" spans="2:11" outlineLevel="1" x14ac:dyDescent="0.25">
      <c r="B32" s="3" t="s">
        <v>183</v>
      </c>
      <c r="C32" s="3" t="s">
        <v>185</v>
      </c>
      <c r="D32" s="3" t="s">
        <v>93</v>
      </c>
      <c r="E32" s="3" t="s">
        <v>93</v>
      </c>
      <c r="F32" s="3" t="s">
        <v>93</v>
      </c>
      <c r="G32" s="3" t="s">
        <v>199</v>
      </c>
      <c r="H32" s="3"/>
      <c r="I32" s="3"/>
      <c r="J32" s="3"/>
      <c r="K32" s="3"/>
    </row>
    <row r="33" spans="2:11" outlineLevel="1" x14ac:dyDescent="0.25">
      <c r="B33" s="3" t="s">
        <v>183</v>
      </c>
      <c r="C33" s="3" t="s">
        <v>185</v>
      </c>
      <c r="D33" s="3" t="s">
        <v>94</v>
      </c>
      <c r="E33" s="3" t="s">
        <v>94</v>
      </c>
      <c r="F33" s="3" t="s">
        <v>94</v>
      </c>
      <c r="G33" s="3" t="s">
        <v>199</v>
      </c>
      <c r="H33" s="3"/>
      <c r="I33" s="3"/>
      <c r="J33" s="3"/>
      <c r="K33" s="3"/>
    </row>
    <row r="34" spans="2:11" outlineLevel="1" x14ac:dyDescent="0.25">
      <c r="B34" s="3" t="s">
        <v>183</v>
      </c>
      <c r="C34" s="3" t="s">
        <v>185</v>
      </c>
      <c r="D34" s="3" t="s">
        <v>95</v>
      </c>
      <c r="E34" s="3" t="s">
        <v>95</v>
      </c>
      <c r="F34" s="3" t="s">
        <v>95</v>
      </c>
      <c r="G34" s="3" t="s">
        <v>199</v>
      </c>
      <c r="H34" s="3"/>
      <c r="I34" s="3"/>
      <c r="J34" s="3"/>
      <c r="K34" s="3"/>
    </row>
    <row r="35" spans="2:11" outlineLevel="1" x14ac:dyDescent="0.25">
      <c r="B35" s="3" t="s">
        <v>183</v>
      </c>
      <c r="C35" s="3" t="s">
        <v>185</v>
      </c>
      <c r="D35" s="3" t="s">
        <v>96</v>
      </c>
      <c r="E35" s="3" t="s">
        <v>96</v>
      </c>
      <c r="F35" s="3" t="s">
        <v>96</v>
      </c>
      <c r="G35" s="3" t="s">
        <v>199</v>
      </c>
      <c r="H35" s="3"/>
      <c r="I35" s="3"/>
      <c r="J35" s="3"/>
      <c r="K35" s="3"/>
    </row>
    <row r="36" spans="2:11" outlineLevel="1" x14ac:dyDescent="0.25">
      <c r="B36" s="3" t="s">
        <v>183</v>
      </c>
      <c r="C36" s="3" t="s">
        <v>185</v>
      </c>
      <c r="D36" s="3" t="s">
        <v>97</v>
      </c>
      <c r="E36" s="3" t="s">
        <v>97</v>
      </c>
      <c r="F36" s="3" t="s">
        <v>97</v>
      </c>
      <c r="G36" s="3" t="s">
        <v>199</v>
      </c>
      <c r="H36" s="3"/>
      <c r="I36" s="3"/>
      <c r="J36" s="3"/>
      <c r="K36" s="3"/>
    </row>
    <row r="37" spans="2:11" outlineLevel="1" x14ac:dyDescent="0.25">
      <c r="B37" s="3" t="s">
        <v>183</v>
      </c>
      <c r="C37" s="3" t="s">
        <v>185</v>
      </c>
      <c r="D37" s="3" t="s">
        <v>194</v>
      </c>
      <c r="E37" s="3" t="s">
        <v>98</v>
      </c>
      <c r="F37" s="3" t="s">
        <v>98</v>
      </c>
      <c r="G37" s="3" t="s">
        <v>199</v>
      </c>
      <c r="H37" s="3"/>
      <c r="I37" s="3"/>
      <c r="J37" s="3"/>
      <c r="K37" s="3"/>
    </row>
    <row r="38" spans="2:11" outlineLevel="1" x14ac:dyDescent="0.25">
      <c r="B38" s="3" t="s">
        <v>183</v>
      </c>
      <c r="C38" s="3" t="s">
        <v>185</v>
      </c>
      <c r="D38" s="3" t="s">
        <v>194</v>
      </c>
      <c r="E38" s="3" t="s">
        <v>99</v>
      </c>
      <c r="F38" s="3" t="s">
        <v>99</v>
      </c>
      <c r="G38" s="3" t="s">
        <v>199</v>
      </c>
      <c r="H38" s="3"/>
      <c r="I38" s="3"/>
      <c r="J38" s="3"/>
      <c r="K38" s="3"/>
    </row>
    <row r="39" spans="2:11" x14ac:dyDescent="0.25">
      <c r="B39" s="3" t="s">
        <v>183</v>
      </c>
      <c r="C39" s="3" t="s">
        <v>29</v>
      </c>
      <c r="D39" s="3" t="s">
        <v>29</v>
      </c>
      <c r="E39" s="3" t="s">
        <v>29</v>
      </c>
      <c r="F39" s="3" t="s">
        <v>29</v>
      </c>
      <c r="G39" s="3"/>
      <c r="H39" s="3"/>
      <c r="I39" s="3"/>
      <c r="J39" s="3"/>
      <c r="K39" s="3"/>
    </row>
    <row r="40" spans="2:11" x14ac:dyDescent="0.25">
      <c r="B40" s="3" t="s">
        <v>183</v>
      </c>
      <c r="C40" s="3" t="s">
        <v>27</v>
      </c>
      <c r="D40" s="3" t="s">
        <v>176</v>
      </c>
      <c r="E40" s="3" t="s">
        <v>176</v>
      </c>
      <c r="F40" s="3" t="s">
        <v>176</v>
      </c>
      <c r="G40" s="3" t="s">
        <v>200</v>
      </c>
      <c r="H40" s="3"/>
      <c r="I40" s="3"/>
      <c r="J40" s="3"/>
      <c r="K40" s="3"/>
    </row>
    <row r="41" spans="2:11" outlineLevel="1" x14ac:dyDescent="0.25">
      <c r="B41" s="3" t="s">
        <v>183</v>
      </c>
      <c r="C41" s="3" t="s">
        <v>27</v>
      </c>
      <c r="D41" s="3" t="s">
        <v>195</v>
      </c>
      <c r="E41" s="3" t="s">
        <v>195</v>
      </c>
      <c r="F41" s="3" t="s">
        <v>195</v>
      </c>
      <c r="G41" s="3" t="s">
        <v>200</v>
      </c>
      <c r="H41" s="3"/>
      <c r="I41" s="3"/>
      <c r="J41" s="3"/>
      <c r="K41" s="3"/>
    </row>
    <row r="42" spans="2:11" outlineLevel="1" x14ac:dyDescent="0.25">
      <c r="B42" s="3" t="s">
        <v>183</v>
      </c>
      <c r="C42" s="3" t="s">
        <v>27</v>
      </c>
      <c r="D42" s="3" t="s">
        <v>196</v>
      </c>
      <c r="E42" s="3" t="s">
        <v>196</v>
      </c>
      <c r="F42" s="3" t="s">
        <v>196</v>
      </c>
      <c r="G42" s="3" t="s">
        <v>200</v>
      </c>
      <c r="H42" s="3"/>
      <c r="I42" s="3"/>
      <c r="J42" s="3"/>
      <c r="K42" s="3"/>
    </row>
    <row r="43" spans="2:11" x14ac:dyDescent="0.25">
      <c r="B43" s="3" t="s">
        <v>183</v>
      </c>
      <c r="C43" s="3" t="s">
        <v>17</v>
      </c>
      <c r="D43" s="3" t="s">
        <v>197</v>
      </c>
      <c r="E43" s="3" t="s">
        <v>224</v>
      </c>
      <c r="F43" s="3" t="s">
        <v>72</v>
      </c>
      <c r="G43" s="3" t="s">
        <v>225</v>
      </c>
      <c r="H43" s="3"/>
      <c r="I43" s="3"/>
      <c r="J43" s="3"/>
      <c r="K43" s="3"/>
    </row>
    <row r="44" spans="2:11" outlineLevel="1" x14ac:dyDescent="0.25">
      <c r="B44" s="3" t="s">
        <v>183</v>
      </c>
      <c r="C44" s="3" t="s">
        <v>17</v>
      </c>
      <c r="D44" s="3" t="s">
        <v>197</v>
      </c>
      <c r="E44" s="3" t="s">
        <v>224</v>
      </c>
      <c r="F44" s="3" t="s">
        <v>68</v>
      </c>
      <c r="G44" s="3" t="s">
        <v>225</v>
      </c>
      <c r="H44" s="3"/>
      <c r="I44" s="3"/>
      <c r="J44" s="3"/>
      <c r="K44" s="3"/>
    </row>
    <row r="45" spans="2:11" outlineLevel="1" x14ac:dyDescent="0.25">
      <c r="B45" s="3" t="s">
        <v>183</v>
      </c>
      <c r="C45" s="3" t="s">
        <v>17</v>
      </c>
      <c r="D45" s="3" t="s">
        <v>197</v>
      </c>
      <c r="E45" s="3" t="s">
        <v>224</v>
      </c>
      <c r="F45" s="3" t="s">
        <v>88</v>
      </c>
      <c r="G45" s="3" t="s">
        <v>225</v>
      </c>
      <c r="H45" s="3"/>
      <c r="I45" s="3"/>
      <c r="J45" s="3"/>
      <c r="K45" s="3"/>
    </row>
    <row r="46" spans="2:11" outlineLevel="1" x14ac:dyDescent="0.25">
      <c r="B46" s="3" t="s">
        <v>183</v>
      </c>
      <c r="C46" s="3" t="s">
        <v>17</v>
      </c>
      <c r="D46" s="3" t="s">
        <v>197</v>
      </c>
      <c r="E46" s="3" t="s">
        <v>224</v>
      </c>
      <c r="F46" s="3" t="s">
        <v>89</v>
      </c>
      <c r="G46" s="3" t="s">
        <v>225</v>
      </c>
      <c r="H46" s="3"/>
      <c r="I46" s="3"/>
      <c r="J46" s="3"/>
      <c r="K46" s="3"/>
    </row>
    <row r="47" spans="2:11" outlineLevel="1" x14ac:dyDescent="0.25">
      <c r="B47" s="3" t="s">
        <v>183</v>
      </c>
      <c r="C47" s="3" t="s">
        <v>17</v>
      </c>
      <c r="D47" s="3" t="s">
        <v>197</v>
      </c>
      <c r="E47" s="3" t="s">
        <v>224</v>
      </c>
      <c r="F47" s="3" t="s">
        <v>59</v>
      </c>
      <c r="G47" s="3" t="s">
        <v>225</v>
      </c>
      <c r="H47" s="3"/>
      <c r="I47" s="3"/>
      <c r="J47" s="3"/>
      <c r="K47" s="3"/>
    </row>
    <row r="48" spans="2:11" x14ac:dyDescent="0.25">
      <c r="B48" s="3" t="s">
        <v>183</v>
      </c>
      <c r="C48" s="3" t="s">
        <v>17</v>
      </c>
      <c r="D48" s="3" t="s">
        <v>197</v>
      </c>
      <c r="E48" s="3" t="s">
        <v>66</v>
      </c>
      <c r="F48" s="3" t="s">
        <v>58</v>
      </c>
      <c r="G48" s="3" t="s">
        <v>225</v>
      </c>
      <c r="H48" s="3"/>
      <c r="I48" s="3"/>
      <c r="J48" s="3"/>
      <c r="K48" s="3"/>
    </row>
    <row r="49" spans="2:11" outlineLevel="1" x14ac:dyDescent="0.25">
      <c r="B49" s="3" t="s">
        <v>183</v>
      </c>
      <c r="C49" s="3" t="s">
        <v>17</v>
      </c>
      <c r="D49" s="3" t="s">
        <v>197</v>
      </c>
      <c r="E49" s="3" t="s">
        <v>66</v>
      </c>
      <c r="F49" s="3" t="s">
        <v>66</v>
      </c>
      <c r="G49" s="3" t="s">
        <v>225</v>
      </c>
      <c r="H49" s="3"/>
      <c r="I49" s="3"/>
      <c r="J49" s="3"/>
      <c r="K49" s="3"/>
    </row>
    <row r="50" spans="2:11" outlineLevel="1" x14ac:dyDescent="0.25">
      <c r="B50" s="3" t="s">
        <v>183</v>
      </c>
      <c r="C50" s="3" t="s">
        <v>17</v>
      </c>
      <c r="D50" s="3" t="s">
        <v>197</v>
      </c>
      <c r="E50" s="3" t="s">
        <v>66</v>
      </c>
      <c r="F50" s="3" t="s">
        <v>75</v>
      </c>
      <c r="G50" s="3" t="s">
        <v>225</v>
      </c>
      <c r="H50" s="3"/>
      <c r="I50" s="3"/>
      <c r="J50" s="3"/>
      <c r="K50" s="3"/>
    </row>
    <row r="51" spans="2:11" outlineLevel="1" x14ac:dyDescent="0.25">
      <c r="B51" s="3" t="s">
        <v>183</v>
      </c>
      <c r="C51" s="3" t="s">
        <v>17</v>
      </c>
      <c r="D51" s="3" t="s">
        <v>197</v>
      </c>
      <c r="E51" s="3" t="s">
        <v>66</v>
      </c>
      <c r="F51" s="3" t="s">
        <v>226</v>
      </c>
      <c r="G51" s="3" t="s">
        <v>225</v>
      </c>
      <c r="H51" s="3"/>
      <c r="I51" s="3"/>
      <c r="J51" s="3"/>
      <c r="K51" s="3"/>
    </row>
    <row r="52" spans="2:11" x14ac:dyDescent="0.25">
      <c r="B52" s="3" t="s">
        <v>183</v>
      </c>
      <c r="C52" s="3" t="s">
        <v>17</v>
      </c>
      <c r="D52" s="3" t="s">
        <v>198</v>
      </c>
      <c r="E52" s="3" t="s">
        <v>116</v>
      </c>
      <c r="F52" s="3" t="s">
        <v>86</v>
      </c>
      <c r="G52" s="3" t="s">
        <v>225</v>
      </c>
      <c r="H52" s="3"/>
      <c r="I52" s="3"/>
      <c r="J52" s="3"/>
      <c r="K52" s="3"/>
    </row>
    <row r="53" spans="2:11" outlineLevel="1" x14ac:dyDescent="0.25">
      <c r="B53" s="3" t="s">
        <v>183</v>
      </c>
      <c r="C53" s="3" t="s">
        <v>17</v>
      </c>
      <c r="D53" s="3" t="s">
        <v>198</v>
      </c>
      <c r="E53" s="3" t="s">
        <v>116</v>
      </c>
      <c r="F53" s="3" t="s">
        <v>80</v>
      </c>
      <c r="G53" s="3" t="s">
        <v>225</v>
      </c>
      <c r="H53" s="3"/>
      <c r="I53" s="3"/>
      <c r="J53" s="3"/>
      <c r="K53" s="3"/>
    </row>
    <row r="54" spans="2:11" x14ac:dyDescent="0.25">
      <c r="B54" s="3" t="s">
        <v>183</v>
      </c>
      <c r="C54" s="3" t="s">
        <v>17</v>
      </c>
      <c r="D54" s="3" t="s">
        <v>198</v>
      </c>
      <c r="E54" s="3" t="s">
        <v>117</v>
      </c>
      <c r="F54" s="3" t="s">
        <v>79</v>
      </c>
      <c r="G54" s="3" t="s">
        <v>225</v>
      </c>
      <c r="H54" s="3"/>
      <c r="I54" s="3"/>
      <c r="J54" s="3"/>
      <c r="K54" s="3"/>
    </row>
    <row r="55" spans="2:11" outlineLevel="1" x14ac:dyDescent="0.25">
      <c r="B55" s="3" t="s">
        <v>183</v>
      </c>
      <c r="C55" s="3" t="s">
        <v>17</v>
      </c>
      <c r="D55" s="3" t="s">
        <v>198</v>
      </c>
      <c r="E55" s="3" t="s">
        <v>117</v>
      </c>
      <c r="F55" s="3" t="s">
        <v>63</v>
      </c>
      <c r="G55" s="3" t="s">
        <v>225</v>
      </c>
      <c r="H55" s="3"/>
      <c r="I55" s="3"/>
      <c r="J55" s="3"/>
      <c r="K55" s="3"/>
    </row>
    <row r="56" spans="2:11" outlineLevel="1" x14ac:dyDescent="0.25">
      <c r="B56" s="3" t="s">
        <v>183</v>
      </c>
      <c r="C56" s="3" t="s">
        <v>17</v>
      </c>
      <c r="D56" s="3" t="s">
        <v>198</v>
      </c>
      <c r="E56" s="3" t="s">
        <v>117</v>
      </c>
      <c r="F56" s="3" t="s">
        <v>84</v>
      </c>
      <c r="G56" s="3" t="s">
        <v>225</v>
      </c>
      <c r="H56" s="3"/>
      <c r="I56" s="3"/>
      <c r="J56" s="3"/>
      <c r="K56" s="3"/>
    </row>
    <row r="57" spans="2:11" outlineLevel="1" x14ac:dyDescent="0.25">
      <c r="B57" s="3" t="s">
        <v>183</v>
      </c>
      <c r="C57" s="3" t="s">
        <v>17</v>
      </c>
      <c r="D57" s="3" t="s">
        <v>198</v>
      </c>
      <c r="E57" s="3" t="s">
        <v>117</v>
      </c>
      <c r="F57" s="3" t="s">
        <v>69</v>
      </c>
      <c r="G57" s="3" t="s">
        <v>225</v>
      </c>
      <c r="H57" s="3"/>
      <c r="I57" s="3"/>
      <c r="J57" s="3"/>
      <c r="K57" s="3"/>
    </row>
    <row r="58" spans="2:11" x14ac:dyDescent="0.25">
      <c r="B58" s="3" t="s">
        <v>183</v>
      </c>
      <c r="C58" s="3" t="s">
        <v>17</v>
      </c>
      <c r="D58" s="3" t="s">
        <v>198</v>
      </c>
      <c r="E58" s="3" t="s">
        <v>118</v>
      </c>
      <c r="F58" s="3" t="s">
        <v>64</v>
      </c>
      <c r="G58" s="3" t="s">
        <v>225</v>
      </c>
      <c r="H58" s="3"/>
      <c r="I58" s="3"/>
      <c r="J58" s="3"/>
      <c r="K58" s="3"/>
    </row>
    <row r="59" spans="2:11" outlineLevel="1" x14ac:dyDescent="0.25">
      <c r="B59" s="3" t="s">
        <v>183</v>
      </c>
      <c r="C59" s="3" t="s">
        <v>17</v>
      </c>
      <c r="D59" s="3" t="s">
        <v>198</v>
      </c>
      <c r="E59" s="3" t="s">
        <v>118</v>
      </c>
      <c r="F59" s="3" t="s">
        <v>87</v>
      </c>
      <c r="G59" s="3" t="s">
        <v>225</v>
      </c>
      <c r="H59" s="3"/>
      <c r="I59" s="3"/>
      <c r="J59" s="3"/>
      <c r="K59" s="3"/>
    </row>
    <row r="60" spans="2:11" outlineLevel="1" x14ac:dyDescent="0.25">
      <c r="B60" s="3" t="s">
        <v>183</v>
      </c>
      <c r="C60" s="3" t="s">
        <v>17</v>
      </c>
      <c r="D60" s="3" t="s">
        <v>198</v>
      </c>
      <c r="E60" s="3" t="s">
        <v>118</v>
      </c>
      <c r="F60" s="3" t="s">
        <v>65</v>
      </c>
      <c r="G60" s="3" t="s">
        <v>225</v>
      </c>
      <c r="H60" s="3"/>
      <c r="I60" s="3"/>
      <c r="J60" s="3"/>
      <c r="K60" s="3"/>
    </row>
    <row r="61" spans="2:11" outlineLevel="1" x14ac:dyDescent="0.25">
      <c r="B61" s="3" t="s">
        <v>183</v>
      </c>
      <c r="C61" s="3" t="s">
        <v>17</v>
      </c>
      <c r="D61" s="3" t="s">
        <v>198</v>
      </c>
      <c r="E61" s="3" t="s">
        <v>118</v>
      </c>
      <c r="F61" s="3" t="s">
        <v>70</v>
      </c>
      <c r="G61" s="3" t="s">
        <v>225</v>
      </c>
      <c r="H61" s="3"/>
      <c r="I61" s="3"/>
      <c r="J61" s="3"/>
      <c r="K61" s="3"/>
    </row>
    <row r="62" spans="2:11" outlineLevel="1" x14ac:dyDescent="0.25">
      <c r="B62" s="3" t="s">
        <v>183</v>
      </c>
      <c r="C62" s="3" t="s">
        <v>17</v>
      </c>
      <c r="D62" s="3" t="s">
        <v>198</v>
      </c>
      <c r="E62" s="3" t="s">
        <v>118</v>
      </c>
      <c r="F62" s="3" t="s">
        <v>78</v>
      </c>
      <c r="G62" s="3" t="s">
        <v>225</v>
      </c>
      <c r="H62" s="3"/>
      <c r="I62" s="3"/>
      <c r="J62" s="3"/>
      <c r="K62" s="3"/>
    </row>
    <row r="63" spans="2:11" x14ac:dyDescent="0.25">
      <c r="B63" s="3" t="s">
        <v>183</v>
      </c>
      <c r="C63" s="3" t="s">
        <v>17</v>
      </c>
      <c r="D63" s="3" t="s">
        <v>198</v>
      </c>
      <c r="E63" s="3" t="s">
        <v>90</v>
      </c>
      <c r="F63" s="3" t="s">
        <v>90</v>
      </c>
      <c r="G63" s="3" t="s">
        <v>225</v>
      </c>
      <c r="H63" s="3"/>
      <c r="I63" s="3"/>
      <c r="J63" s="3"/>
      <c r="K63" s="3"/>
    </row>
    <row r="64" spans="2:11" outlineLevel="1" x14ac:dyDescent="0.25">
      <c r="B64" s="3" t="s">
        <v>183</v>
      </c>
      <c r="C64" s="3" t="s">
        <v>17</v>
      </c>
      <c r="D64" s="3" t="s">
        <v>198</v>
      </c>
      <c r="E64" s="3" t="s">
        <v>90</v>
      </c>
      <c r="F64" s="3" t="s">
        <v>77</v>
      </c>
      <c r="G64" s="3" t="s">
        <v>225</v>
      </c>
      <c r="H64" s="3"/>
      <c r="I64" s="3"/>
      <c r="J64" s="3"/>
      <c r="K64" s="3"/>
    </row>
    <row r="65" spans="2:11" outlineLevel="1" x14ac:dyDescent="0.25">
      <c r="B65" s="3" t="s">
        <v>183</v>
      </c>
      <c r="C65" s="3" t="s">
        <v>17</v>
      </c>
      <c r="D65" s="3" t="s">
        <v>198</v>
      </c>
      <c r="E65" s="3" t="s">
        <v>90</v>
      </c>
      <c r="F65" s="3" t="s">
        <v>71</v>
      </c>
      <c r="G65" s="3" t="s">
        <v>225</v>
      </c>
      <c r="H65" s="3"/>
      <c r="I65" s="3"/>
      <c r="J65" s="3"/>
      <c r="K65" s="3"/>
    </row>
    <row r="66" spans="2:11" x14ac:dyDescent="0.25">
      <c r="B66" s="3" t="s">
        <v>183</v>
      </c>
      <c r="C66" s="3" t="s">
        <v>17</v>
      </c>
      <c r="D66" s="3" t="s">
        <v>198</v>
      </c>
      <c r="E66" s="3" t="s">
        <v>119</v>
      </c>
      <c r="F66" s="3" t="s">
        <v>60</v>
      </c>
      <c r="G66" s="3" t="s">
        <v>225</v>
      </c>
      <c r="H66" s="3"/>
      <c r="I66" s="3"/>
      <c r="J66" s="3"/>
      <c r="K66" s="3"/>
    </row>
    <row r="67" spans="2:11" outlineLevel="1" x14ac:dyDescent="0.25">
      <c r="B67" s="3" t="s">
        <v>183</v>
      </c>
      <c r="C67" s="3" t="s">
        <v>17</v>
      </c>
      <c r="D67" s="3" t="s">
        <v>198</v>
      </c>
      <c r="E67" s="3" t="s">
        <v>119</v>
      </c>
      <c r="F67" s="3" t="s">
        <v>76</v>
      </c>
      <c r="G67" s="3" t="s">
        <v>225</v>
      </c>
      <c r="H67" s="3"/>
      <c r="I67" s="3"/>
      <c r="J67" s="3"/>
      <c r="K67" s="3"/>
    </row>
    <row r="68" spans="2:11" outlineLevel="1" x14ac:dyDescent="0.25">
      <c r="B68" s="3" t="s">
        <v>183</v>
      </c>
      <c r="C68" s="3" t="s">
        <v>17</v>
      </c>
      <c r="D68" s="3" t="s">
        <v>198</v>
      </c>
      <c r="E68" s="3" t="s">
        <v>119</v>
      </c>
      <c r="F68" s="3" t="s">
        <v>173</v>
      </c>
      <c r="G68" s="3" t="s">
        <v>225</v>
      </c>
      <c r="H68" s="3"/>
      <c r="I68" s="3"/>
      <c r="J68" s="3"/>
      <c r="K68" s="3"/>
    </row>
    <row r="69" spans="2:11" x14ac:dyDescent="0.25">
      <c r="B69" s="3" t="s">
        <v>183</v>
      </c>
      <c r="C69" s="3" t="s">
        <v>17</v>
      </c>
      <c r="D69" s="3" t="s">
        <v>198</v>
      </c>
      <c r="E69" s="3" t="s">
        <v>120</v>
      </c>
      <c r="F69" s="3" t="s">
        <v>67</v>
      </c>
      <c r="G69" s="3" t="s">
        <v>225</v>
      </c>
      <c r="H69" s="3"/>
      <c r="I69" s="3"/>
      <c r="J69" s="3"/>
      <c r="K69" s="3"/>
    </row>
    <row r="70" spans="2:11" outlineLevel="1" x14ac:dyDescent="0.25">
      <c r="B70" s="3" t="s">
        <v>183</v>
      </c>
      <c r="C70" s="3" t="s">
        <v>17</v>
      </c>
      <c r="D70" s="3" t="s">
        <v>198</v>
      </c>
      <c r="E70" s="3" t="s">
        <v>120</v>
      </c>
      <c r="F70" s="3" t="s">
        <v>82</v>
      </c>
      <c r="G70" s="3" t="s">
        <v>225</v>
      </c>
      <c r="H70" s="3"/>
      <c r="I70" s="3"/>
      <c r="J70" s="3"/>
      <c r="K70" s="3"/>
    </row>
    <row r="71" spans="2:11" outlineLevel="1" x14ac:dyDescent="0.25">
      <c r="B71" s="3" t="s">
        <v>183</v>
      </c>
      <c r="C71" s="3" t="s">
        <v>17</v>
      </c>
      <c r="D71" s="3" t="s">
        <v>198</v>
      </c>
      <c r="E71" s="3" t="s">
        <v>120</v>
      </c>
      <c r="F71" s="3" t="s">
        <v>175</v>
      </c>
      <c r="G71" s="3" t="s">
        <v>225</v>
      </c>
      <c r="H71" s="3"/>
      <c r="I71" s="3"/>
      <c r="J71" s="3"/>
      <c r="K71" s="3"/>
    </row>
    <row r="72" spans="2:11" outlineLevel="1" x14ac:dyDescent="0.25">
      <c r="B72" s="3" t="s">
        <v>183</v>
      </c>
      <c r="C72" s="3" t="s">
        <v>17</v>
      </c>
      <c r="D72" s="3" t="s">
        <v>198</v>
      </c>
      <c r="E72" s="3" t="s">
        <v>120</v>
      </c>
      <c r="F72" s="3" t="s">
        <v>73</v>
      </c>
      <c r="G72" s="3" t="s">
        <v>225</v>
      </c>
      <c r="H72" s="3"/>
      <c r="I72" s="3"/>
      <c r="J72" s="3"/>
      <c r="K72" s="3"/>
    </row>
    <row r="73" spans="2:11" outlineLevel="1" x14ac:dyDescent="0.25">
      <c r="B73" s="3" t="s">
        <v>183</v>
      </c>
      <c r="C73" s="3" t="s">
        <v>17</v>
      </c>
      <c r="D73" s="3" t="s">
        <v>198</v>
      </c>
      <c r="E73" s="3" t="s">
        <v>120</v>
      </c>
      <c r="F73" s="3" t="s">
        <v>74</v>
      </c>
      <c r="G73" s="3" t="s">
        <v>225</v>
      </c>
      <c r="H73" s="3"/>
      <c r="I73" s="3"/>
      <c r="J73" s="3"/>
      <c r="K73" s="3"/>
    </row>
    <row r="74" spans="2:11" outlineLevel="1" x14ac:dyDescent="0.25">
      <c r="B74" s="3" t="s">
        <v>183</v>
      </c>
      <c r="C74" s="3" t="s">
        <v>17</v>
      </c>
      <c r="D74" s="3" t="s">
        <v>198</v>
      </c>
      <c r="E74" s="3" t="s">
        <v>120</v>
      </c>
      <c r="F74" s="3" t="s">
        <v>61</v>
      </c>
      <c r="G74" s="3" t="s">
        <v>225</v>
      </c>
      <c r="H74" s="3"/>
      <c r="I74" s="3"/>
      <c r="J74" s="3"/>
      <c r="K74" s="3"/>
    </row>
    <row r="75" spans="2:11" outlineLevel="1" x14ac:dyDescent="0.25">
      <c r="B75" s="3" t="s">
        <v>183</v>
      </c>
      <c r="C75" s="3" t="s">
        <v>17</v>
      </c>
      <c r="D75" s="3" t="s">
        <v>198</v>
      </c>
      <c r="E75" s="3" t="s">
        <v>120</v>
      </c>
      <c r="F75" s="3" t="s">
        <v>83</v>
      </c>
      <c r="G75" s="3" t="s">
        <v>225</v>
      </c>
      <c r="H75" s="3"/>
      <c r="I75" s="3"/>
      <c r="J75" s="3"/>
      <c r="K75" s="3"/>
    </row>
    <row r="76" spans="2:11" outlineLevel="1" x14ac:dyDescent="0.25">
      <c r="B76" s="3" t="s">
        <v>183</v>
      </c>
      <c r="C76" s="3" t="s">
        <v>17</v>
      </c>
      <c r="D76" s="3" t="s">
        <v>198</v>
      </c>
      <c r="E76" s="3" t="s">
        <v>120</v>
      </c>
      <c r="F76" s="3" t="s">
        <v>62</v>
      </c>
      <c r="G76" s="3" t="s">
        <v>225</v>
      </c>
      <c r="H76" s="3"/>
      <c r="I76" s="3"/>
      <c r="J76" s="3"/>
      <c r="K76" s="3"/>
    </row>
    <row r="77" spans="2:11" outlineLevel="1" x14ac:dyDescent="0.25">
      <c r="B77" s="3" t="s">
        <v>183</v>
      </c>
      <c r="C77" s="3" t="s">
        <v>17</v>
      </c>
      <c r="D77" s="3" t="s">
        <v>198</v>
      </c>
      <c r="E77" s="3" t="s">
        <v>120</v>
      </c>
      <c r="F77" s="3" t="s">
        <v>227</v>
      </c>
      <c r="G77" s="3" t="s">
        <v>225</v>
      </c>
      <c r="H77" s="3"/>
      <c r="I77" s="3"/>
      <c r="J77" s="3"/>
      <c r="K77" s="3"/>
    </row>
    <row r="78" spans="2:11" outlineLevel="1" x14ac:dyDescent="0.25">
      <c r="B78" s="3" t="s">
        <v>183</v>
      </c>
      <c r="C78" s="3" t="s">
        <v>17</v>
      </c>
      <c r="D78" s="3" t="s">
        <v>198</v>
      </c>
      <c r="E78" s="3" t="s">
        <v>120</v>
      </c>
      <c r="F78" s="3" t="s">
        <v>85</v>
      </c>
      <c r="G78" s="3" t="s">
        <v>225</v>
      </c>
      <c r="H78" s="3"/>
      <c r="I78" s="3"/>
      <c r="J78" s="3"/>
      <c r="K78" s="3"/>
    </row>
    <row r="79" spans="2:11" outlineLevel="1" x14ac:dyDescent="0.25">
      <c r="B79" s="3" t="s">
        <v>183</v>
      </c>
      <c r="C79" s="3" t="s">
        <v>17</v>
      </c>
      <c r="D79" s="3" t="s">
        <v>198</v>
      </c>
      <c r="E79" s="3" t="s">
        <v>120</v>
      </c>
      <c r="F79" s="3" t="s">
        <v>81</v>
      </c>
      <c r="G79" s="3" t="s">
        <v>225</v>
      </c>
      <c r="H79" s="3"/>
      <c r="I79" s="3"/>
      <c r="J79" s="3"/>
      <c r="K79" s="3"/>
    </row>
    <row r="80" spans="2:11" x14ac:dyDescent="0.25">
      <c r="B80" s="3" t="s">
        <v>183</v>
      </c>
      <c r="C80" s="3" t="s">
        <v>17</v>
      </c>
      <c r="D80" s="3" t="s">
        <v>14</v>
      </c>
      <c r="E80" s="3" t="s">
        <v>72</v>
      </c>
      <c r="F80" s="3" t="s">
        <v>72</v>
      </c>
      <c r="G80" s="3" t="s">
        <v>225</v>
      </c>
      <c r="H80" s="3"/>
      <c r="I80" s="3"/>
      <c r="J80" s="3"/>
      <c r="K80" s="3"/>
    </row>
    <row r="81" spans="2:11" x14ac:dyDescent="0.25">
      <c r="B81" s="3" t="s">
        <v>183</v>
      </c>
      <c r="C81" s="3" t="s">
        <v>108</v>
      </c>
      <c r="D81" s="3" t="s">
        <v>55</v>
      </c>
      <c r="E81" s="3" t="s">
        <v>55</v>
      </c>
      <c r="F81" s="3" t="s">
        <v>55</v>
      </c>
      <c r="G81" s="3" t="s">
        <v>221</v>
      </c>
      <c r="H81" s="3"/>
      <c r="I81" s="3"/>
      <c r="J81" s="3"/>
      <c r="K81" s="3"/>
    </row>
    <row r="82" spans="2:11" outlineLevel="1" x14ac:dyDescent="0.25">
      <c r="B82" s="3" t="s">
        <v>183</v>
      </c>
      <c r="C82" s="3" t="s">
        <v>108</v>
      </c>
      <c r="D82" s="3" t="s">
        <v>56</v>
      </c>
      <c r="E82" s="3" t="s">
        <v>56</v>
      </c>
      <c r="F82" s="3" t="s">
        <v>56</v>
      </c>
      <c r="G82" s="3" t="s">
        <v>221</v>
      </c>
      <c r="H82" s="3"/>
      <c r="I82" s="3"/>
      <c r="J82" s="3"/>
      <c r="K82" s="3"/>
    </row>
    <row r="83" spans="2:11" outlineLevel="1" x14ac:dyDescent="0.25">
      <c r="B83" s="3" t="s">
        <v>183</v>
      </c>
      <c r="C83" s="3" t="s">
        <v>108</v>
      </c>
      <c r="D83" s="3" t="s">
        <v>355</v>
      </c>
      <c r="E83" s="3" t="s">
        <v>355</v>
      </c>
      <c r="F83" s="3" t="s">
        <v>355</v>
      </c>
      <c r="G83" s="3" t="s">
        <v>221</v>
      </c>
      <c r="H83" s="3"/>
      <c r="I83" s="3"/>
      <c r="J83" s="3"/>
      <c r="K83" s="3"/>
    </row>
    <row r="84" spans="2:11" outlineLevel="1" x14ac:dyDescent="0.25">
      <c r="B84" s="3" t="s">
        <v>183</v>
      </c>
      <c r="C84" s="3" t="s">
        <v>108</v>
      </c>
      <c r="D84" s="3" t="s">
        <v>57</v>
      </c>
      <c r="E84" s="3" t="s">
        <v>57</v>
      </c>
      <c r="F84" s="3" t="s">
        <v>57</v>
      </c>
      <c r="G84" s="3" t="s">
        <v>221</v>
      </c>
      <c r="H84" s="3"/>
      <c r="I84" s="3"/>
      <c r="J84" s="3"/>
      <c r="K84" s="3"/>
    </row>
    <row r="85" spans="2:11" outlineLevel="1" x14ac:dyDescent="0.25">
      <c r="B85" s="3" t="s">
        <v>183</v>
      </c>
      <c r="C85" s="3" t="s">
        <v>108</v>
      </c>
      <c r="D85" s="3" t="s">
        <v>31</v>
      </c>
      <c r="E85" s="3" t="s">
        <v>31</v>
      </c>
      <c r="F85" s="3" t="s">
        <v>31</v>
      </c>
      <c r="G85" s="3" t="s">
        <v>221</v>
      </c>
      <c r="H85" s="3"/>
      <c r="I85" s="3"/>
      <c r="J85" s="3"/>
      <c r="K85" s="3"/>
    </row>
    <row r="86" spans="2:11" outlineLevel="1" x14ac:dyDescent="0.25">
      <c r="B86" s="3" t="s">
        <v>183</v>
      </c>
      <c r="C86" s="3" t="s">
        <v>108</v>
      </c>
      <c r="D86" s="3" t="s">
        <v>32</v>
      </c>
      <c r="E86" s="3" t="s">
        <v>32</v>
      </c>
      <c r="F86" s="3" t="s">
        <v>32</v>
      </c>
      <c r="G86" s="3" t="s">
        <v>221</v>
      </c>
      <c r="H86" s="3"/>
      <c r="I86" s="3"/>
      <c r="J86" s="3"/>
      <c r="K86" s="3"/>
    </row>
    <row r="87" spans="2:11" outlineLevel="1" x14ac:dyDescent="0.25">
      <c r="B87" s="3" t="s">
        <v>183</v>
      </c>
      <c r="C87" s="3" t="s">
        <v>30</v>
      </c>
      <c r="D87" s="3" t="s">
        <v>228</v>
      </c>
      <c r="E87" s="3" t="s">
        <v>228</v>
      </c>
      <c r="F87" s="3" t="s">
        <v>228</v>
      </c>
      <c r="G87" s="3" t="s">
        <v>221</v>
      </c>
      <c r="H87" s="3"/>
      <c r="I87" s="3"/>
      <c r="J87" s="3"/>
      <c r="K87" s="3"/>
    </row>
    <row r="88" spans="2:11" outlineLevel="1" x14ac:dyDescent="0.25">
      <c r="B88" s="3" t="s">
        <v>183</v>
      </c>
      <c r="C88" s="3" t="s">
        <v>30</v>
      </c>
      <c r="D88" s="3" t="s">
        <v>229</v>
      </c>
      <c r="E88" s="3" t="s">
        <v>229</v>
      </c>
      <c r="F88" s="3" t="s">
        <v>229</v>
      </c>
      <c r="G88" s="3" t="s">
        <v>221</v>
      </c>
      <c r="H88" s="3"/>
      <c r="I88" s="3"/>
      <c r="J88" s="3"/>
      <c r="K88" s="3"/>
    </row>
    <row r="89" spans="2:11" outlineLevel="1" x14ac:dyDescent="0.25">
      <c r="B89" s="3" t="s">
        <v>183</v>
      </c>
      <c r="C89" s="3" t="s">
        <v>30</v>
      </c>
      <c r="D89" s="3" t="s">
        <v>230</v>
      </c>
      <c r="E89" s="3" t="s">
        <v>230</v>
      </c>
      <c r="F89" s="3" t="s">
        <v>230</v>
      </c>
      <c r="G89" s="3" t="s">
        <v>221</v>
      </c>
      <c r="H89" s="3"/>
      <c r="I89" s="3"/>
      <c r="J89" s="3"/>
      <c r="K89" s="3"/>
    </row>
    <row r="90" spans="2:11" outlineLevel="1" x14ac:dyDescent="0.25">
      <c r="B90" s="3" t="s">
        <v>183</v>
      </c>
      <c r="C90" s="3" t="s">
        <v>30</v>
      </c>
      <c r="D90" s="3" t="s">
        <v>231</v>
      </c>
      <c r="E90" s="3" t="s">
        <v>231</v>
      </c>
      <c r="F90" s="3" t="s">
        <v>231</v>
      </c>
      <c r="G90" s="3" t="s">
        <v>221</v>
      </c>
      <c r="H90" s="3"/>
      <c r="I90" s="3"/>
      <c r="J90" s="3"/>
      <c r="K90" s="3"/>
    </row>
    <row r="91" spans="2:11" outlineLevel="1" x14ac:dyDescent="0.25">
      <c r="B91" s="3" t="s">
        <v>183</v>
      </c>
      <c r="C91" s="3" t="s">
        <v>30</v>
      </c>
      <c r="D91" s="3" t="s">
        <v>232</v>
      </c>
      <c r="E91" s="3" t="s">
        <v>232</v>
      </c>
      <c r="F91" s="3" t="s">
        <v>232</v>
      </c>
      <c r="G91" s="3" t="s">
        <v>221</v>
      </c>
      <c r="H91" s="3"/>
      <c r="I91" s="3"/>
      <c r="J91" s="3"/>
      <c r="K91" s="3"/>
    </row>
    <row r="92" spans="2:11" outlineLevel="1" x14ac:dyDescent="0.25">
      <c r="B92" s="3" t="s">
        <v>183</v>
      </c>
      <c r="C92" s="3" t="s">
        <v>30</v>
      </c>
      <c r="D92" s="3" t="s">
        <v>233</v>
      </c>
      <c r="E92" s="3" t="s">
        <v>233</v>
      </c>
      <c r="F92" s="3" t="s">
        <v>233</v>
      </c>
      <c r="G92" s="3" t="s">
        <v>221</v>
      </c>
      <c r="H92" s="3"/>
      <c r="I92" s="3"/>
      <c r="J92" s="3"/>
      <c r="K92" s="3"/>
    </row>
    <row r="93" spans="2:11" outlineLevel="1" x14ac:dyDescent="0.25">
      <c r="B93" s="3" t="s">
        <v>183</v>
      </c>
      <c r="C93" s="3" t="s">
        <v>30</v>
      </c>
      <c r="D93" s="3" t="s">
        <v>234</v>
      </c>
      <c r="E93" s="3" t="s">
        <v>234</v>
      </c>
      <c r="F93" s="3" t="s">
        <v>234</v>
      </c>
      <c r="G93" s="3" t="s">
        <v>221</v>
      </c>
      <c r="H93" s="3"/>
      <c r="I93" s="3"/>
      <c r="J93" s="3"/>
      <c r="K93" s="3"/>
    </row>
    <row r="94" spans="2:11" x14ac:dyDescent="0.25">
      <c r="B94" s="6" t="s">
        <v>183</v>
      </c>
      <c r="C94" s="6" t="s">
        <v>30</v>
      </c>
      <c r="D94" s="6" t="s">
        <v>235</v>
      </c>
      <c r="E94" s="6" t="s">
        <v>235</v>
      </c>
      <c r="F94" s="6" t="s">
        <v>235</v>
      </c>
      <c r="G94" s="6" t="s">
        <v>221</v>
      </c>
      <c r="H94" s="6"/>
      <c r="I94" s="6"/>
      <c r="J94" s="6"/>
      <c r="K94" s="6"/>
    </row>
    <row r="96" spans="2:11" x14ac:dyDescent="0.25">
      <c r="B96" s="85" t="s">
        <v>354</v>
      </c>
    </row>
  </sheetData>
  <autoFilter ref="B3:K94" xr:uid="{429D83B6-B0EF-4CAA-A665-31DDEFC31F4E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AADB-5D08-4163-BFAF-696DC224470B}">
  <sheetPr codeName="Sheet4">
    <tabColor rgb="FF92D050"/>
  </sheetPr>
  <dimension ref="A3:F73"/>
  <sheetViews>
    <sheetView showGridLines="0" workbookViewId="0">
      <selection activeCell="A3" sqref="A3:F73"/>
    </sheetView>
  </sheetViews>
  <sheetFormatPr defaultRowHeight="15" outlineLevelRow="2" x14ac:dyDescent="0.25"/>
  <cols>
    <col min="1" max="1" width="28.85546875" bestFit="1" customWidth="1"/>
    <col min="2" max="2" width="9" bestFit="1" customWidth="1"/>
    <col min="3" max="5" width="8.7109375" customWidth="1"/>
    <col min="6" max="6" width="9.85546875" bestFit="1" customWidth="1"/>
  </cols>
  <sheetData>
    <row r="3" spans="1:6" x14ac:dyDescent="0.25">
      <c r="A3" s="12" t="s">
        <v>100</v>
      </c>
      <c r="B3" s="87" t="s">
        <v>168</v>
      </c>
      <c r="C3" s="87" t="s">
        <v>142</v>
      </c>
      <c r="D3" s="87" t="s">
        <v>143</v>
      </c>
      <c r="E3" s="87" t="s">
        <v>170</v>
      </c>
      <c r="F3" s="87" t="s">
        <v>46</v>
      </c>
    </row>
    <row r="4" spans="1:6" hidden="1" outlineLevel="1" x14ac:dyDescent="0.25">
      <c r="A4" s="13" t="s">
        <v>35</v>
      </c>
      <c r="B4" s="13"/>
      <c r="C4" s="13"/>
      <c r="D4" s="13"/>
      <c r="E4" s="13"/>
      <c r="F4" s="13"/>
    </row>
    <row r="5" spans="1:6" hidden="1" outlineLevel="1" x14ac:dyDescent="0.25">
      <c r="A5" s="13" t="s">
        <v>101</v>
      </c>
      <c r="B5" s="13"/>
      <c r="C5" s="13"/>
      <c r="D5" s="13"/>
      <c r="E5" s="13"/>
      <c r="F5" s="13"/>
    </row>
    <row r="6" spans="1:6" hidden="1" outlineLevel="1" x14ac:dyDescent="0.25">
      <c r="A6" s="13" t="s">
        <v>5</v>
      </c>
      <c r="B6" s="13"/>
      <c r="C6" s="13"/>
      <c r="D6" s="13"/>
      <c r="E6" s="13"/>
      <c r="F6" s="13"/>
    </row>
    <row r="7" spans="1:6" hidden="1" outlineLevel="1" x14ac:dyDescent="0.25">
      <c r="A7" s="13" t="s">
        <v>47</v>
      </c>
      <c r="B7" s="13"/>
      <c r="C7" s="13"/>
      <c r="D7" s="13"/>
      <c r="E7" s="13"/>
      <c r="F7" s="13"/>
    </row>
    <row r="8" spans="1:6" hidden="1" outlineLevel="1" x14ac:dyDescent="0.25">
      <c r="A8" s="13" t="s">
        <v>48</v>
      </c>
      <c r="B8" s="13"/>
      <c r="C8" s="13"/>
      <c r="D8" s="13"/>
      <c r="E8" s="13"/>
      <c r="F8" s="13"/>
    </row>
    <row r="9" spans="1:6" hidden="1" outlineLevel="1" x14ac:dyDescent="0.25">
      <c r="A9" s="13" t="s">
        <v>102</v>
      </c>
      <c r="B9" s="13"/>
      <c r="C9" s="13"/>
      <c r="D9" s="13"/>
      <c r="E9" s="13"/>
      <c r="F9" s="13"/>
    </row>
    <row r="10" spans="1:6" hidden="1" outlineLevel="1" x14ac:dyDescent="0.25">
      <c r="A10" s="13" t="s">
        <v>103</v>
      </c>
      <c r="B10" s="13"/>
      <c r="C10" s="13"/>
      <c r="D10" s="13"/>
      <c r="E10" s="13"/>
      <c r="F10" s="13"/>
    </row>
    <row r="11" spans="1:6" collapsed="1" x14ac:dyDescent="0.25">
      <c r="A11" s="14" t="s">
        <v>0</v>
      </c>
      <c r="B11" s="14"/>
      <c r="C11" s="14"/>
      <c r="D11" s="14"/>
      <c r="E11" s="14"/>
      <c r="F11" s="14"/>
    </row>
    <row r="12" spans="1:6" hidden="1" outlineLevel="1" x14ac:dyDescent="0.25">
      <c r="A12" s="15" t="s">
        <v>104</v>
      </c>
      <c r="B12" s="15"/>
      <c r="C12" s="15"/>
      <c r="D12" s="15"/>
      <c r="E12" s="15"/>
      <c r="F12" s="15"/>
    </row>
    <row r="13" spans="1:6" hidden="1" outlineLevel="1" x14ac:dyDescent="0.25">
      <c r="A13" s="13" t="s">
        <v>30</v>
      </c>
      <c r="B13" s="13"/>
      <c r="C13" s="13"/>
      <c r="D13" s="13"/>
      <c r="E13" s="13"/>
      <c r="F13" s="13"/>
    </row>
    <row r="14" spans="1:6" hidden="1" outlineLevel="1" x14ac:dyDescent="0.25">
      <c r="A14" s="13" t="s">
        <v>51</v>
      </c>
      <c r="B14" s="13"/>
      <c r="C14" s="13"/>
      <c r="D14" s="13"/>
      <c r="E14" s="13"/>
      <c r="F14" s="13"/>
    </row>
    <row r="15" spans="1:6" hidden="1" outlineLevel="1" x14ac:dyDescent="0.25">
      <c r="A15" s="13" t="s">
        <v>50</v>
      </c>
      <c r="B15" s="13"/>
      <c r="C15" s="13"/>
      <c r="D15" s="13"/>
      <c r="E15" s="13"/>
      <c r="F15" s="13"/>
    </row>
    <row r="16" spans="1:6" hidden="1" outlineLevel="1" x14ac:dyDescent="0.25">
      <c r="A16" s="16" t="s">
        <v>49</v>
      </c>
      <c r="B16" s="16"/>
      <c r="C16" s="16"/>
      <c r="D16" s="16"/>
      <c r="E16" s="16"/>
      <c r="F16" s="16"/>
    </row>
    <row r="17" spans="1:6" collapsed="1" x14ac:dyDescent="0.25">
      <c r="A17" s="15" t="s">
        <v>105</v>
      </c>
      <c r="B17" s="15"/>
      <c r="C17" s="15"/>
      <c r="D17" s="15"/>
      <c r="E17" s="15"/>
      <c r="F17" s="15"/>
    </row>
    <row r="18" spans="1:6" x14ac:dyDescent="0.25">
      <c r="A18" s="15" t="s">
        <v>52</v>
      </c>
      <c r="B18" s="15"/>
      <c r="C18" s="15"/>
      <c r="D18" s="15"/>
      <c r="E18" s="15"/>
      <c r="F18" s="15"/>
    </row>
    <row r="19" spans="1:6" x14ac:dyDescent="0.25">
      <c r="A19" s="17" t="s">
        <v>106</v>
      </c>
      <c r="B19" s="17"/>
      <c r="C19" s="17"/>
      <c r="D19" s="17"/>
      <c r="E19" s="17"/>
      <c r="F19" s="17"/>
    </row>
    <row r="20" spans="1:6" hidden="1" outlineLevel="1" x14ac:dyDescent="0.25">
      <c r="A20" s="18" t="s">
        <v>31</v>
      </c>
      <c r="B20" s="18"/>
      <c r="C20" s="18"/>
      <c r="D20" s="18"/>
      <c r="E20" s="18"/>
      <c r="F20" s="18"/>
    </row>
    <row r="21" spans="1:6" hidden="1" outlineLevel="1" x14ac:dyDescent="0.25">
      <c r="A21" s="18" t="s">
        <v>55</v>
      </c>
      <c r="B21" s="18"/>
      <c r="C21" s="18"/>
      <c r="D21" s="18"/>
      <c r="E21" s="18"/>
      <c r="F21" s="18"/>
    </row>
    <row r="22" spans="1:6" hidden="1" outlineLevel="1" x14ac:dyDescent="0.25">
      <c r="A22" s="18" t="s">
        <v>32</v>
      </c>
      <c r="B22" s="18"/>
      <c r="C22" s="18"/>
      <c r="D22" s="18"/>
      <c r="E22" s="18"/>
      <c r="F22" s="18"/>
    </row>
    <row r="23" spans="1:6" hidden="1" outlineLevel="1" x14ac:dyDescent="0.25">
      <c r="A23" s="18" t="s">
        <v>107</v>
      </c>
      <c r="B23" s="18"/>
      <c r="C23" s="18"/>
      <c r="D23" s="18"/>
      <c r="E23" s="18"/>
      <c r="F23" s="18"/>
    </row>
    <row r="24" spans="1:6" collapsed="1" x14ac:dyDescent="0.25">
      <c r="A24" s="17" t="s">
        <v>108</v>
      </c>
      <c r="B24" s="17"/>
      <c r="C24" s="17"/>
      <c r="D24" s="17"/>
      <c r="E24" s="17"/>
      <c r="F24" s="17"/>
    </row>
    <row r="25" spans="1:6" x14ac:dyDescent="0.25">
      <c r="A25" s="14" t="s">
        <v>14</v>
      </c>
      <c r="B25" s="14"/>
      <c r="C25" s="14"/>
      <c r="D25" s="14"/>
      <c r="E25" s="14"/>
      <c r="F25" s="14"/>
    </row>
    <row r="26" spans="1:6" hidden="1" outlineLevel="1" x14ac:dyDescent="0.25">
      <c r="A26" s="13" t="s">
        <v>109</v>
      </c>
      <c r="B26" s="13"/>
      <c r="C26" s="13"/>
      <c r="D26" s="13"/>
      <c r="E26" s="13"/>
      <c r="F26" s="13"/>
    </row>
    <row r="27" spans="1:6" hidden="1" outlineLevel="1" x14ac:dyDescent="0.25">
      <c r="A27" s="13" t="s">
        <v>110</v>
      </c>
      <c r="B27" s="13"/>
      <c r="C27" s="13"/>
      <c r="D27" s="13"/>
      <c r="E27" s="13"/>
      <c r="F27" s="13"/>
    </row>
    <row r="28" spans="1:6" hidden="1" outlineLevel="1" x14ac:dyDescent="0.25">
      <c r="A28" s="13" t="s">
        <v>111</v>
      </c>
      <c r="B28" s="13"/>
      <c r="C28" s="13"/>
      <c r="D28" s="13"/>
      <c r="E28" s="13"/>
      <c r="F28" s="13"/>
    </row>
    <row r="29" spans="1:6" collapsed="1" x14ac:dyDescent="0.25">
      <c r="A29" s="14" t="s">
        <v>17</v>
      </c>
      <c r="B29" s="14"/>
      <c r="C29" s="14"/>
      <c r="D29" s="14"/>
      <c r="E29" s="14"/>
      <c r="F29" s="14"/>
    </row>
    <row r="30" spans="1:6" hidden="1" outlineLevel="1" x14ac:dyDescent="0.25">
      <c r="A30" s="15" t="s">
        <v>112</v>
      </c>
      <c r="B30" s="15"/>
      <c r="C30" s="15"/>
      <c r="D30" s="15"/>
      <c r="E30" s="15"/>
      <c r="F30" s="15"/>
    </row>
    <row r="31" spans="1:6" hidden="1" outlineLevel="2" x14ac:dyDescent="0.25">
      <c r="A31" s="13" t="s">
        <v>113</v>
      </c>
      <c r="B31" s="13"/>
      <c r="C31" s="13"/>
      <c r="D31" s="13"/>
      <c r="E31" s="13"/>
      <c r="F31" s="13"/>
    </row>
    <row r="32" spans="1:6" hidden="1" outlineLevel="2" x14ac:dyDescent="0.25">
      <c r="A32" s="13" t="s">
        <v>114</v>
      </c>
      <c r="B32" s="13"/>
      <c r="C32" s="13"/>
      <c r="D32" s="13"/>
      <c r="E32" s="13"/>
      <c r="F32" s="13"/>
    </row>
    <row r="33" spans="1:6" hidden="1" outlineLevel="1" collapsed="1" x14ac:dyDescent="0.25">
      <c r="A33" s="15" t="s">
        <v>115</v>
      </c>
      <c r="B33" s="15"/>
      <c r="C33" s="15"/>
      <c r="D33" s="15"/>
      <c r="E33" s="15"/>
      <c r="F33" s="15"/>
    </row>
    <row r="34" spans="1:6" hidden="1" outlineLevel="2" x14ac:dyDescent="0.25">
      <c r="A34" s="13" t="s">
        <v>116</v>
      </c>
      <c r="B34" s="13"/>
      <c r="C34" s="13"/>
      <c r="D34" s="13"/>
      <c r="E34" s="13"/>
      <c r="F34" s="13"/>
    </row>
    <row r="35" spans="1:6" hidden="1" outlineLevel="2" x14ac:dyDescent="0.25">
      <c r="A35" s="13" t="s">
        <v>117</v>
      </c>
      <c r="B35" s="13"/>
      <c r="C35" s="13"/>
      <c r="D35" s="13"/>
      <c r="E35" s="13"/>
      <c r="F35" s="13"/>
    </row>
    <row r="36" spans="1:6" hidden="1" outlineLevel="2" x14ac:dyDescent="0.25">
      <c r="A36" s="13" t="s">
        <v>118</v>
      </c>
      <c r="B36" s="13"/>
      <c r="C36" s="13"/>
      <c r="D36" s="13"/>
      <c r="E36" s="13"/>
      <c r="F36" s="13"/>
    </row>
    <row r="37" spans="1:6" hidden="1" outlineLevel="2" x14ac:dyDescent="0.25">
      <c r="A37" s="13" t="s">
        <v>90</v>
      </c>
      <c r="B37" s="13"/>
      <c r="C37" s="13"/>
      <c r="D37" s="13"/>
      <c r="E37" s="13"/>
      <c r="F37" s="13"/>
    </row>
    <row r="38" spans="1:6" hidden="1" outlineLevel="2" x14ac:dyDescent="0.25">
      <c r="A38" s="13" t="s">
        <v>119</v>
      </c>
      <c r="B38" s="13"/>
      <c r="C38" s="13"/>
      <c r="D38" s="13"/>
      <c r="E38" s="13"/>
      <c r="F38" s="13"/>
    </row>
    <row r="39" spans="1:6" hidden="1" outlineLevel="2" x14ac:dyDescent="0.25">
      <c r="A39" s="13" t="s">
        <v>120</v>
      </c>
      <c r="B39" s="13"/>
      <c r="C39" s="13"/>
      <c r="D39" s="13"/>
      <c r="E39" s="13"/>
      <c r="F39" s="13"/>
    </row>
    <row r="40" spans="1:6" hidden="1" outlineLevel="1" collapsed="1" x14ac:dyDescent="0.25">
      <c r="A40" s="19" t="s">
        <v>121</v>
      </c>
      <c r="B40" s="19"/>
      <c r="C40" s="19"/>
      <c r="D40" s="19"/>
      <c r="E40" s="19"/>
      <c r="F40" s="19"/>
    </row>
    <row r="41" spans="1:6" hidden="1" outlineLevel="1" x14ac:dyDescent="0.25">
      <c r="A41" s="19" t="s">
        <v>122</v>
      </c>
      <c r="B41" s="19"/>
      <c r="C41" s="19"/>
      <c r="D41" s="19"/>
      <c r="E41" s="19"/>
      <c r="F41" s="19"/>
    </row>
    <row r="42" spans="1:6" collapsed="1" x14ac:dyDescent="0.25">
      <c r="A42" s="17" t="s">
        <v>123</v>
      </c>
      <c r="B42" s="17"/>
      <c r="C42" s="17"/>
      <c r="D42" s="17"/>
      <c r="E42" s="17"/>
      <c r="F42" s="17"/>
    </row>
    <row r="43" spans="1:6" x14ac:dyDescent="0.25">
      <c r="A43" s="20" t="s">
        <v>124</v>
      </c>
      <c r="B43" s="20"/>
      <c r="C43" s="20"/>
      <c r="D43" s="20"/>
      <c r="E43" s="20"/>
      <c r="F43" s="20"/>
    </row>
    <row r="44" spans="1:6" hidden="1" outlineLevel="1" x14ac:dyDescent="0.25">
      <c r="A44" s="21" t="s">
        <v>125</v>
      </c>
      <c r="B44" s="21"/>
      <c r="C44" s="21"/>
      <c r="D44" s="21"/>
      <c r="E44" s="21"/>
      <c r="F44" s="21"/>
    </row>
    <row r="45" spans="1:6" hidden="1" outlineLevel="1" x14ac:dyDescent="0.25">
      <c r="A45" s="21" t="s">
        <v>39</v>
      </c>
      <c r="B45" s="21"/>
      <c r="C45" s="21"/>
      <c r="D45" s="21"/>
      <c r="E45" s="21"/>
      <c r="F45" s="21"/>
    </row>
    <row r="46" spans="1:6" hidden="1" outlineLevel="1" x14ac:dyDescent="0.25">
      <c r="A46" s="21" t="s">
        <v>38</v>
      </c>
      <c r="B46" s="21"/>
      <c r="C46" s="21"/>
      <c r="D46" s="21"/>
      <c r="E46" s="21"/>
      <c r="F46" s="21"/>
    </row>
    <row r="47" spans="1:6" collapsed="1" x14ac:dyDescent="0.25">
      <c r="A47" s="20" t="s">
        <v>7</v>
      </c>
      <c r="B47" s="20"/>
      <c r="C47" s="20"/>
      <c r="D47" s="20"/>
      <c r="E47" s="20"/>
      <c r="F47" s="20"/>
    </row>
    <row r="48" spans="1:6" x14ac:dyDescent="0.25">
      <c r="A48" s="20" t="s">
        <v>126</v>
      </c>
      <c r="B48" s="20"/>
      <c r="C48" s="20"/>
      <c r="D48" s="20"/>
      <c r="E48" s="20"/>
      <c r="F48" s="20"/>
    </row>
    <row r="49" spans="1:6" hidden="1" outlineLevel="1" x14ac:dyDescent="0.25">
      <c r="A49" s="21" t="s">
        <v>125</v>
      </c>
      <c r="B49" s="21"/>
      <c r="C49" s="21"/>
      <c r="D49" s="21"/>
      <c r="E49" s="21"/>
      <c r="F49" s="21"/>
    </row>
    <row r="50" spans="1:6" hidden="1" outlineLevel="1" x14ac:dyDescent="0.25">
      <c r="A50" s="21" t="s">
        <v>39</v>
      </c>
      <c r="B50" s="21"/>
      <c r="C50" s="21"/>
      <c r="D50" s="21"/>
      <c r="E50" s="21"/>
      <c r="F50" s="21"/>
    </row>
    <row r="51" spans="1:6" hidden="1" outlineLevel="1" x14ac:dyDescent="0.25">
      <c r="A51" s="21" t="s">
        <v>38</v>
      </c>
      <c r="B51" s="21"/>
      <c r="C51" s="21"/>
      <c r="D51" s="21"/>
      <c r="E51" s="21"/>
      <c r="F51" s="21"/>
    </row>
    <row r="52" spans="1:6" hidden="1" outlineLevel="1" x14ac:dyDescent="0.25">
      <c r="A52" s="21" t="s">
        <v>10</v>
      </c>
      <c r="B52" s="21"/>
      <c r="C52" s="21"/>
      <c r="D52" s="21"/>
      <c r="E52" s="21"/>
      <c r="F52" s="21"/>
    </row>
    <row r="53" spans="1:6" collapsed="1" x14ac:dyDescent="0.25">
      <c r="A53" s="20" t="s">
        <v>127</v>
      </c>
      <c r="B53" s="20"/>
      <c r="C53" s="20"/>
      <c r="D53" s="20"/>
      <c r="E53" s="20"/>
      <c r="F53" s="20"/>
    </row>
    <row r="54" spans="1:6" x14ac:dyDescent="0.25">
      <c r="A54" s="20" t="s">
        <v>22</v>
      </c>
      <c r="B54" s="20"/>
      <c r="C54" s="20"/>
      <c r="D54" s="20"/>
      <c r="E54" s="20"/>
      <c r="F54" s="20"/>
    </row>
    <row r="55" spans="1:6" hidden="1" outlineLevel="1" x14ac:dyDescent="0.25">
      <c r="A55" s="21" t="s">
        <v>125</v>
      </c>
      <c r="B55" s="21"/>
      <c r="C55" s="21"/>
      <c r="D55" s="21"/>
      <c r="E55" s="21"/>
      <c r="F55" s="21"/>
    </row>
    <row r="56" spans="1:6" hidden="1" outlineLevel="1" x14ac:dyDescent="0.25">
      <c r="A56" s="21" t="s">
        <v>39</v>
      </c>
      <c r="B56" s="21"/>
      <c r="C56" s="21"/>
      <c r="D56" s="21"/>
      <c r="E56" s="21"/>
      <c r="F56" s="21"/>
    </row>
    <row r="57" spans="1:6" hidden="1" outlineLevel="1" x14ac:dyDescent="0.25">
      <c r="A57" s="21" t="s">
        <v>38</v>
      </c>
      <c r="B57" s="21"/>
      <c r="C57" s="21"/>
      <c r="D57" s="21"/>
      <c r="E57" s="21"/>
      <c r="F57" s="21"/>
    </row>
    <row r="58" spans="1:6" hidden="1" outlineLevel="1" x14ac:dyDescent="0.25">
      <c r="A58" s="21" t="s">
        <v>10</v>
      </c>
      <c r="B58" s="21"/>
      <c r="C58" s="21"/>
      <c r="D58" s="21"/>
      <c r="E58" s="21"/>
      <c r="F58" s="21"/>
    </row>
    <row r="59" spans="1:6" collapsed="1" x14ac:dyDescent="0.25">
      <c r="A59" s="19" t="s">
        <v>128</v>
      </c>
      <c r="B59" s="19"/>
      <c r="C59" s="19"/>
      <c r="D59" s="19"/>
      <c r="E59" s="19"/>
      <c r="F59" s="19"/>
    </row>
    <row r="60" spans="1:6" x14ac:dyDescent="0.25">
      <c r="A60" s="17" t="s">
        <v>129</v>
      </c>
      <c r="B60" s="17"/>
      <c r="C60" s="17"/>
      <c r="D60" s="17"/>
      <c r="E60" s="17"/>
      <c r="F60" s="17"/>
    </row>
    <row r="61" spans="1:6" x14ac:dyDescent="0.25">
      <c r="A61" s="17" t="s">
        <v>29</v>
      </c>
      <c r="B61" s="17"/>
      <c r="C61" s="17"/>
      <c r="D61" s="17"/>
      <c r="E61" s="17"/>
      <c r="F61" s="17"/>
    </row>
    <row r="62" spans="1:6" x14ac:dyDescent="0.25">
      <c r="A62" s="20" t="s">
        <v>130</v>
      </c>
      <c r="B62" s="20"/>
      <c r="C62" s="20"/>
      <c r="D62" s="20"/>
      <c r="E62" s="20"/>
      <c r="F62" s="20"/>
    </row>
    <row r="63" spans="1:6" x14ac:dyDescent="0.25">
      <c r="A63" s="20" t="s">
        <v>26</v>
      </c>
      <c r="B63" s="20"/>
      <c r="C63" s="20"/>
      <c r="D63" s="20"/>
      <c r="E63" s="20"/>
      <c r="F63" s="20"/>
    </row>
    <row r="64" spans="1:6" hidden="1" outlineLevel="1" x14ac:dyDescent="0.25">
      <c r="A64" s="21" t="s">
        <v>125</v>
      </c>
      <c r="B64" s="21"/>
      <c r="C64" s="21"/>
      <c r="D64" s="21"/>
      <c r="E64" s="21"/>
      <c r="F64" s="21"/>
    </row>
    <row r="65" spans="1:6" hidden="1" outlineLevel="1" x14ac:dyDescent="0.25">
      <c r="A65" s="21" t="s">
        <v>10</v>
      </c>
      <c r="B65" s="21"/>
      <c r="C65" s="21"/>
      <c r="D65" s="21"/>
      <c r="E65" s="21"/>
      <c r="F65" s="21"/>
    </row>
    <row r="66" spans="1:6" hidden="1" outlineLevel="1" x14ac:dyDescent="0.25">
      <c r="A66" s="21" t="s">
        <v>131</v>
      </c>
      <c r="B66" s="21"/>
      <c r="C66" s="21"/>
      <c r="D66" s="21"/>
      <c r="E66" s="21"/>
      <c r="F66" s="21"/>
    </row>
    <row r="67" spans="1:6" hidden="1" outlineLevel="1" x14ac:dyDescent="0.25">
      <c r="A67" s="21" t="s">
        <v>132</v>
      </c>
      <c r="B67" s="21"/>
      <c r="C67" s="21"/>
      <c r="D67" s="21"/>
      <c r="E67" s="21"/>
      <c r="F67" s="21"/>
    </row>
    <row r="68" spans="1:6" collapsed="1" x14ac:dyDescent="0.25">
      <c r="A68" s="19" t="s">
        <v>133</v>
      </c>
      <c r="B68" s="19"/>
      <c r="C68" s="19"/>
      <c r="D68" s="19"/>
      <c r="E68" s="19"/>
      <c r="F68" s="19"/>
    </row>
    <row r="69" spans="1:6" x14ac:dyDescent="0.25">
      <c r="A69" s="17" t="s">
        <v>27</v>
      </c>
      <c r="B69" s="17"/>
      <c r="C69" s="17"/>
      <c r="D69" s="17"/>
      <c r="E69" s="17"/>
      <c r="F69" s="17"/>
    </row>
    <row r="70" spans="1:6" x14ac:dyDescent="0.25">
      <c r="A70" s="15" t="s">
        <v>134</v>
      </c>
      <c r="B70" s="15"/>
      <c r="C70" s="15"/>
      <c r="D70" s="15"/>
      <c r="E70" s="15"/>
      <c r="F70" s="15"/>
    </row>
    <row r="71" spans="1:6" x14ac:dyDescent="0.25">
      <c r="A71" s="17" t="s">
        <v>28</v>
      </c>
      <c r="B71" s="17"/>
      <c r="C71" s="17"/>
      <c r="D71" s="17"/>
      <c r="E71" s="17"/>
      <c r="F71" s="17"/>
    </row>
    <row r="72" spans="1:6" x14ac:dyDescent="0.25">
      <c r="A72" s="22" t="s">
        <v>135</v>
      </c>
      <c r="B72" s="22"/>
      <c r="C72" s="22"/>
      <c r="D72" s="22"/>
      <c r="E72" s="22"/>
      <c r="F72" s="22"/>
    </row>
    <row r="73" spans="1:6" x14ac:dyDescent="0.25">
      <c r="A73" s="23" t="s">
        <v>136</v>
      </c>
      <c r="B73" s="23"/>
      <c r="C73" s="23"/>
      <c r="D73" s="23"/>
      <c r="E73" s="23"/>
      <c r="F73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A9AA-F991-4C93-B32C-13717C891420}">
  <dimension ref="B1:DJ34"/>
  <sheetViews>
    <sheetView showGridLines="0" tabSelected="1" zoomScale="80" zoomScaleNormal="80" workbookViewId="0">
      <pane xSplit="5" ySplit="7" topLeftCell="F8" activePane="bottomRight" state="frozen"/>
      <selection pane="topRight" activeCell="F1" sqref="F1"/>
      <selection pane="bottomLeft" activeCell="A6" sqref="A6"/>
      <selection pane="bottomRight" activeCell="J8" sqref="J8"/>
    </sheetView>
  </sheetViews>
  <sheetFormatPr defaultColWidth="9.140625" defaultRowHeight="18" customHeight="1" outlineLevelCol="1" x14ac:dyDescent="0.2"/>
  <cols>
    <col min="1" max="1" width="9.140625" style="88"/>
    <col min="2" max="2" width="27" style="88" customWidth="1"/>
    <col min="3" max="5" width="12.5703125" style="88" customWidth="1" outlineLevel="1"/>
    <col min="6" max="8" width="12.5703125" style="88" customWidth="1"/>
    <col min="9" max="9" width="17.42578125" style="88" customWidth="1"/>
    <col min="10" max="10" width="16.42578125" style="88" customWidth="1"/>
    <col min="11" max="11" width="4.85546875" style="88" customWidth="1"/>
    <col min="12" max="14" width="12.5703125" style="88" hidden="1" customWidth="1" outlineLevel="1"/>
    <col min="15" max="15" width="12.5703125" style="88" customWidth="1" collapsed="1"/>
    <col min="16" max="17" width="12.5703125" style="88" customWidth="1"/>
    <col min="18" max="19" width="16.5703125" style="88" customWidth="1"/>
    <col min="20" max="20" width="4.85546875" style="88" customWidth="1"/>
    <col min="21" max="23" width="12.5703125" style="88" hidden="1" customWidth="1" outlineLevel="1"/>
    <col min="24" max="24" width="12.5703125" style="88" customWidth="1" collapsed="1"/>
    <col min="25" max="26" width="12.5703125" style="88" customWidth="1"/>
    <col min="27" max="28" width="16.5703125" style="88" customWidth="1"/>
    <col min="29" max="29" width="4.85546875" style="88" customWidth="1"/>
    <col min="30" max="32" width="12.5703125" style="88" hidden="1" customWidth="1" outlineLevel="1"/>
    <col min="33" max="33" width="12.5703125" style="88" customWidth="1" collapsed="1"/>
    <col min="34" max="35" width="12.5703125" style="88" customWidth="1"/>
    <col min="36" max="37" width="16.5703125" style="88" customWidth="1"/>
    <col min="38" max="38" width="4.85546875" style="88" customWidth="1"/>
    <col min="39" max="41" width="12.5703125" style="88" hidden="1" customWidth="1" outlineLevel="1"/>
    <col min="42" max="42" width="12.5703125" style="88" customWidth="1" collapsed="1"/>
    <col min="43" max="44" width="12.5703125" style="88" customWidth="1"/>
    <col min="45" max="46" width="16.5703125" style="88" customWidth="1"/>
    <col min="47" max="47" width="4.85546875" style="88" customWidth="1"/>
    <col min="48" max="50" width="12.5703125" style="88" hidden="1" customWidth="1" outlineLevel="1"/>
    <col min="51" max="51" width="12.5703125" style="88" customWidth="1" collapsed="1"/>
    <col min="52" max="53" width="12.5703125" style="88" customWidth="1"/>
    <col min="54" max="55" width="16.5703125" style="88" customWidth="1"/>
    <col min="56" max="56" width="4.85546875" style="88" customWidth="1"/>
    <col min="57" max="59" width="12.5703125" style="88" hidden="1" customWidth="1" outlineLevel="1"/>
    <col min="60" max="60" width="12.5703125" style="88" customWidth="1" collapsed="1"/>
    <col min="61" max="62" width="12.5703125" style="88" customWidth="1"/>
    <col min="63" max="64" width="16.5703125" style="88" customWidth="1"/>
    <col min="65" max="65" width="4.85546875" style="88" customWidth="1"/>
    <col min="66" max="68" width="12.5703125" style="88" hidden="1" customWidth="1" outlineLevel="1"/>
    <col min="69" max="69" width="12.5703125" style="88" customWidth="1" collapsed="1"/>
    <col min="70" max="71" width="12.5703125" style="88" customWidth="1"/>
    <col min="72" max="73" width="16.5703125" style="88" customWidth="1"/>
    <col min="74" max="74" width="4.85546875" style="88" customWidth="1"/>
    <col min="75" max="77" width="12.5703125" style="88" hidden="1" customWidth="1" outlineLevel="1"/>
    <col min="78" max="78" width="12.5703125" style="88" customWidth="1" collapsed="1"/>
    <col min="79" max="80" width="12.5703125" style="88" customWidth="1"/>
    <col min="81" max="82" width="16.5703125" style="88" customWidth="1"/>
    <col min="83" max="83" width="4.85546875" style="88" customWidth="1"/>
    <col min="84" max="86" width="12.5703125" style="88" hidden="1" customWidth="1" outlineLevel="1"/>
    <col min="87" max="87" width="12.5703125" style="88" customWidth="1" collapsed="1"/>
    <col min="88" max="89" width="12.5703125" style="88" customWidth="1"/>
    <col min="90" max="91" width="16.5703125" style="88" customWidth="1"/>
    <col min="92" max="92" width="4.85546875" style="88" customWidth="1"/>
    <col min="93" max="95" width="12.5703125" style="88" hidden="1" customWidth="1" outlineLevel="1"/>
    <col min="96" max="96" width="12.5703125" style="88" customWidth="1" collapsed="1"/>
    <col min="97" max="98" width="12.5703125" style="88" customWidth="1"/>
    <col min="99" max="99" width="16.5703125" style="88" customWidth="1"/>
    <col min="100" max="100" width="16.42578125" style="88" bestFit="1" customWidth="1"/>
    <col min="101" max="101" width="4.85546875" style="88" customWidth="1"/>
    <col min="102" max="102" width="32.140625" style="88" customWidth="1"/>
    <col min="103" max="113" width="11.140625" style="89" customWidth="1"/>
    <col min="114" max="114" width="9.140625" style="89"/>
    <col min="115" max="16384" width="9.140625" style="88"/>
  </cols>
  <sheetData>
    <row r="1" spans="2:114" ht="8.4499999999999993" customHeight="1" x14ac:dyDescent="0.2"/>
    <row r="2" spans="2:114" ht="20.25" customHeight="1" x14ac:dyDescent="0.2">
      <c r="B2" s="133" t="s">
        <v>284</v>
      </c>
    </row>
    <row r="3" spans="2:114" ht="20.100000000000001" customHeight="1" x14ac:dyDescent="0.2">
      <c r="B3" s="90" t="s">
        <v>242</v>
      </c>
      <c r="D3" s="91"/>
    </row>
    <row r="4" spans="2:114" ht="20.100000000000001" customHeight="1" x14ac:dyDescent="0.2">
      <c r="B4" s="92">
        <v>46081</v>
      </c>
    </row>
    <row r="5" spans="2:114" ht="23.1" customHeight="1" x14ac:dyDescent="0.2">
      <c r="B5" s="93" t="s">
        <v>243</v>
      </c>
      <c r="C5" s="94" t="s">
        <v>244</v>
      </c>
      <c r="D5" s="94"/>
      <c r="E5" s="94"/>
      <c r="F5" s="94" t="str">
        <f>C5</f>
        <v>INDIA</v>
      </c>
      <c r="G5" s="94"/>
      <c r="H5" s="94"/>
      <c r="I5" s="94"/>
      <c r="J5" s="94"/>
      <c r="L5" s="95" t="s">
        <v>54</v>
      </c>
      <c r="M5" s="95"/>
      <c r="N5" s="95"/>
      <c r="O5" s="94" t="str">
        <f>L5</f>
        <v>USA</v>
      </c>
      <c r="P5" s="95"/>
      <c r="Q5" s="95"/>
      <c r="R5" s="95"/>
      <c r="S5" s="95"/>
      <c r="U5" s="95" t="s">
        <v>210</v>
      </c>
      <c r="V5" s="95"/>
      <c r="W5" s="95"/>
      <c r="X5" s="94" t="str">
        <f>U5</f>
        <v>EUROPE</v>
      </c>
      <c r="Y5" s="95"/>
      <c r="Z5" s="95"/>
      <c r="AA5" s="95"/>
      <c r="AB5" s="95"/>
      <c r="AD5" s="95" t="s">
        <v>245</v>
      </c>
      <c r="AE5" s="95"/>
      <c r="AF5" s="95"/>
      <c r="AG5" s="94" t="str">
        <f>AD5</f>
        <v>AUSTRALIA</v>
      </c>
      <c r="AH5" s="95"/>
      <c r="AI5" s="95"/>
      <c r="AJ5" s="95"/>
      <c r="AK5" s="95"/>
      <c r="AM5" s="95" t="s">
        <v>211</v>
      </c>
      <c r="AN5" s="95"/>
      <c r="AO5" s="95"/>
      <c r="AP5" s="94" t="str">
        <f>AM5</f>
        <v>AFRICA</v>
      </c>
      <c r="AQ5" s="95"/>
      <c r="AR5" s="95"/>
      <c r="AS5" s="95"/>
      <c r="AT5" s="95"/>
      <c r="AV5" s="95" t="s">
        <v>246</v>
      </c>
      <c r="AW5" s="95"/>
      <c r="AX5" s="95"/>
      <c r="AY5" s="94" t="str">
        <f>AV5</f>
        <v>MIDDLE EAST</v>
      </c>
      <c r="AZ5" s="95"/>
      <c r="BA5" s="95"/>
      <c r="BB5" s="95"/>
      <c r="BC5" s="95"/>
      <c r="BE5" s="95" t="s">
        <v>247</v>
      </c>
      <c r="BF5" s="95"/>
      <c r="BG5" s="95"/>
      <c r="BH5" s="94" t="str">
        <f>BE5</f>
        <v>SOUTH ASIA</v>
      </c>
      <c r="BI5" s="95"/>
      <c r="BJ5" s="95"/>
      <c r="BK5" s="95"/>
      <c r="BL5" s="95"/>
      <c r="BN5" s="95" t="s">
        <v>212</v>
      </c>
      <c r="BO5" s="95"/>
      <c r="BP5" s="94"/>
      <c r="BQ5" s="94" t="str">
        <f>BN5</f>
        <v>SOUTH EAST ASIA</v>
      </c>
      <c r="BR5" s="95"/>
      <c r="BS5" s="95"/>
      <c r="BT5" s="95"/>
      <c r="BU5" s="95"/>
      <c r="BW5" s="95" t="s">
        <v>248</v>
      </c>
      <c r="BX5" s="95"/>
      <c r="BY5" s="95"/>
      <c r="BZ5" s="94" t="str">
        <f>BW5</f>
        <v>BRAZIL</v>
      </c>
      <c r="CA5" s="95"/>
      <c r="CB5" s="95"/>
      <c r="CC5" s="95"/>
      <c r="CD5" s="95"/>
      <c r="CF5" s="95" t="s">
        <v>249</v>
      </c>
      <c r="CG5" s="95"/>
      <c r="CH5" s="95"/>
      <c r="CI5" s="94" t="str">
        <f>CF5</f>
        <v>INTERNATIONAL DIVISION</v>
      </c>
      <c r="CJ5" s="95"/>
      <c r="CK5" s="95"/>
      <c r="CL5" s="95"/>
      <c r="CM5" s="95"/>
      <c r="CO5" s="95" t="s">
        <v>250</v>
      </c>
      <c r="CP5" s="95"/>
      <c r="CQ5" s="95"/>
      <c r="CR5" s="94" t="str">
        <f>CO5</f>
        <v>TOTAL - ALL REGIONS</v>
      </c>
      <c r="CS5" s="95"/>
      <c r="CT5" s="95"/>
      <c r="CU5" s="95"/>
      <c r="CV5" s="95"/>
    </row>
    <row r="6" spans="2:114" s="98" customFormat="1" ht="23.1" customHeight="1" x14ac:dyDescent="0.25">
      <c r="B6" s="163" t="s">
        <v>251</v>
      </c>
      <c r="C6" s="162" t="s">
        <v>252</v>
      </c>
      <c r="D6" s="162"/>
      <c r="E6" s="97" t="s">
        <v>253</v>
      </c>
      <c r="F6" s="162" t="s">
        <v>254</v>
      </c>
      <c r="G6" s="162"/>
      <c r="H6" s="97" t="s">
        <v>255</v>
      </c>
      <c r="I6" s="162" t="s">
        <v>256</v>
      </c>
      <c r="J6" s="163" t="s">
        <v>257</v>
      </c>
      <c r="L6" s="162" t="s">
        <v>252</v>
      </c>
      <c r="M6" s="162"/>
      <c r="N6" s="97" t="s">
        <v>253</v>
      </c>
      <c r="O6" s="162" t="s">
        <v>254</v>
      </c>
      <c r="P6" s="162"/>
      <c r="Q6" s="97" t="s">
        <v>255</v>
      </c>
      <c r="R6" s="162" t="s">
        <v>256</v>
      </c>
      <c r="S6" s="163" t="s">
        <v>257</v>
      </c>
      <c r="U6" s="162" t="s">
        <v>252</v>
      </c>
      <c r="V6" s="162"/>
      <c r="W6" s="97" t="s">
        <v>253</v>
      </c>
      <c r="X6" s="162" t="s">
        <v>254</v>
      </c>
      <c r="Y6" s="162"/>
      <c r="Z6" s="97" t="s">
        <v>255</v>
      </c>
      <c r="AA6" s="162" t="s">
        <v>256</v>
      </c>
      <c r="AB6" s="163" t="s">
        <v>257</v>
      </c>
      <c r="AD6" s="162" t="s">
        <v>252</v>
      </c>
      <c r="AE6" s="162"/>
      <c r="AF6" s="97" t="s">
        <v>253</v>
      </c>
      <c r="AG6" s="162" t="s">
        <v>254</v>
      </c>
      <c r="AH6" s="162"/>
      <c r="AI6" s="97" t="s">
        <v>255</v>
      </c>
      <c r="AJ6" s="162" t="s">
        <v>256</v>
      </c>
      <c r="AK6" s="163" t="s">
        <v>257</v>
      </c>
      <c r="AM6" s="162" t="s">
        <v>252</v>
      </c>
      <c r="AN6" s="162"/>
      <c r="AO6" s="97" t="s">
        <v>253</v>
      </c>
      <c r="AP6" s="162" t="s">
        <v>254</v>
      </c>
      <c r="AQ6" s="162"/>
      <c r="AR6" s="97" t="s">
        <v>255</v>
      </c>
      <c r="AS6" s="162" t="s">
        <v>256</v>
      </c>
      <c r="AT6" s="163" t="s">
        <v>257</v>
      </c>
      <c r="AV6" s="162" t="s">
        <v>252</v>
      </c>
      <c r="AW6" s="162"/>
      <c r="AX6" s="97" t="s">
        <v>253</v>
      </c>
      <c r="AY6" s="162" t="s">
        <v>254</v>
      </c>
      <c r="AZ6" s="162"/>
      <c r="BA6" s="97" t="s">
        <v>255</v>
      </c>
      <c r="BB6" s="162" t="s">
        <v>256</v>
      </c>
      <c r="BC6" s="163" t="s">
        <v>257</v>
      </c>
      <c r="BE6" s="162" t="s">
        <v>252</v>
      </c>
      <c r="BF6" s="162"/>
      <c r="BG6" s="97" t="s">
        <v>253</v>
      </c>
      <c r="BH6" s="162" t="s">
        <v>254</v>
      </c>
      <c r="BI6" s="162"/>
      <c r="BJ6" s="97" t="s">
        <v>255</v>
      </c>
      <c r="BK6" s="162" t="s">
        <v>256</v>
      </c>
      <c r="BL6" s="163" t="s">
        <v>257</v>
      </c>
      <c r="BN6" s="162" t="s">
        <v>252</v>
      </c>
      <c r="BO6" s="162"/>
      <c r="BP6" s="97" t="s">
        <v>253</v>
      </c>
      <c r="BQ6" s="162" t="s">
        <v>254</v>
      </c>
      <c r="BR6" s="162"/>
      <c r="BS6" s="97" t="s">
        <v>255</v>
      </c>
      <c r="BT6" s="162" t="s">
        <v>256</v>
      </c>
      <c r="BU6" s="163" t="s">
        <v>257</v>
      </c>
      <c r="BW6" s="162" t="s">
        <v>252</v>
      </c>
      <c r="BX6" s="162"/>
      <c r="BY6" s="97" t="s">
        <v>253</v>
      </c>
      <c r="BZ6" s="162" t="s">
        <v>254</v>
      </c>
      <c r="CA6" s="162"/>
      <c r="CB6" s="97" t="s">
        <v>255</v>
      </c>
      <c r="CC6" s="162" t="s">
        <v>256</v>
      </c>
      <c r="CD6" s="163" t="s">
        <v>257</v>
      </c>
      <c r="CF6" s="162" t="s">
        <v>252</v>
      </c>
      <c r="CG6" s="162"/>
      <c r="CH6" s="97" t="s">
        <v>253</v>
      </c>
      <c r="CI6" s="162" t="s">
        <v>254</v>
      </c>
      <c r="CJ6" s="162"/>
      <c r="CK6" s="97" t="s">
        <v>255</v>
      </c>
      <c r="CL6" s="162" t="s">
        <v>256</v>
      </c>
      <c r="CM6" s="163" t="s">
        <v>257</v>
      </c>
      <c r="CO6" s="162" t="s">
        <v>252</v>
      </c>
      <c r="CP6" s="162"/>
      <c r="CQ6" s="97" t="s">
        <v>253</v>
      </c>
      <c r="CR6" s="162" t="s">
        <v>254</v>
      </c>
      <c r="CS6" s="162"/>
      <c r="CT6" s="97" t="s">
        <v>255</v>
      </c>
      <c r="CU6" s="162" t="s">
        <v>256</v>
      </c>
      <c r="CV6" s="163" t="s">
        <v>257</v>
      </c>
      <c r="CX6" s="99" t="s">
        <v>258</v>
      </c>
      <c r="CY6" s="100"/>
      <c r="CZ6" s="100"/>
      <c r="DA6" s="100"/>
      <c r="DB6" s="100"/>
      <c r="DC6" s="100"/>
      <c r="DD6" s="100"/>
      <c r="DE6" s="100"/>
      <c r="DF6" s="100"/>
      <c r="DG6" s="100"/>
      <c r="DH6" s="100"/>
      <c r="DI6" s="100"/>
    </row>
    <row r="7" spans="2:114" s="98" customFormat="1" ht="23.1" customHeight="1" x14ac:dyDescent="0.25">
      <c r="B7" s="164"/>
      <c r="C7" s="96" t="s">
        <v>259</v>
      </c>
      <c r="D7" s="96" t="s">
        <v>260</v>
      </c>
      <c r="E7" s="96" t="s">
        <v>260</v>
      </c>
      <c r="F7" s="96" t="s">
        <v>168</v>
      </c>
      <c r="G7" s="96" t="s">
        <v>260</v>
      </c>
      <c r="H7" s="96" t="s">
        <v>260</v>
      </c>
      <c r="I7" s="163"/>
      <c r="J7" s="165"/>
      <c r="L7" s="96" t="s">
        <v>259</v>
      </c>
      <c r="M7" s="96" t="s">
        <v>260</v>
      </c>
      <c r="N7" s="96" t="s">
        <v>260</v>
      </c>
      <c r="O7" s="96" t="s">
        <v>168</v>
      </c>
      <c r="P7" s="96" t="s">
        <v>260</v>
      </c>
      <c r="Q7" s="96" t="s">
        <v>260</v>
      </c>
      <c r="R7" s="163"/>
      <c r="S7" s="165"/>
      <c r="U7" s="96" t="s">
        <v>259</v>
      </c>
      <c r="V7" s="96" t="s">
        <v>260</v>
      </c>
      <c r="W7" s="96" t="s">
        <v>260</v>
      </c>
      <c r="X7" s="96" t="s">
        <v>168</v>
      </c>
      <c r="Y7" s="96" t="s">
        <v>260</v>
      </c>
      <c r="Z7" s="96" t="s">
        <v>260</v>
      </c>
      <c r="AA7" s="163"/>
      <c r="AB7" s="165"/>
      <c r="AD7" s="96" t="s">
        <v>259</v>
      </c>
      <c r="AE7" s="96" t="s">
        <v>260</v>
      </c>
      <c r="AF7" s="96" t="s">
        <v>260</v>
      </c>
      <c r="AG7" s="96" t="s">
        <v>168</v>
      </c>
      <c r="AH7" s="96" t="s">
        <v>260</v>
      </c>
      <c r="AI7" s="96" t="s">
        <v>260</v>
      </c>
      <c r="AJ7" s="163"/>
      <c r="AK7" s="165"/>
      <c r="AM7" s="96" t="s">
        <v>259</v>
      </c>
      <c r="AN7" s="96" t="s">
        <v>260</v>
      </c>
      <c r="AO7" s="96" t="s">
        <v>260</v>
      </c>
      <c r="AP7" s="96" t="s">
        <v>168</v>
      </c>
      <c r="AQ7" s="96" t="s">
        <v>260</v>
      </c>
      <c r="AR7" s="96" t="s">
        <v>260</v>
      </c>
      <c r="AS7" s="163"/>
      <c r="AT7" s="165"/>
      <c r="AV7" s="96" t="s">
        <v>259</v>
      </c>
      <c r="AW7" s="96" t="s">
        <v>260</v>
      </c>
      <c r="AX7" s="96" t="s">
        <v>260</v>
      </c>
      <c r="AY7" s="96" t="s">
        <v>168</v>
      </c>
      <c r="AZ7" s="96" t="s">
        <v>260</v>
      </c>
      <c r="BA7" s="96" t="s">
        <v>260</v>
      </c>
      <c r="BB7" s="163"/>
      <c r="BC7" s="165"/>
      <c r="BE7" s="96" t="s">
        <v>259</v>
      </c>
      <c r="BF7" s="96" t="s">
        <v>260</v>
      </c>
      <c r="BG7" s="96" t="s">
        <v>260</v>
      </c>
      <c r="BH7" s="96" t="s">
        <v>168</v>
      </c>
      <c r="BI7" s="96" t="s">
        <v>260</v>
      </c>
      <c r="BJ7" s="96" t="s">
        <v>260</v>
      </c>
      <c r="BK7" s="163"/>
      <c r="BL7" s="165"/>
      <c r="BN7" s="96" t="s">
        <v>259</v>
      </c>
      <c r="BO7" s="96" t="s">
        <v>260</v>
      </c>
      <c r="BP7" s="96" t="s">
        <v>260</v>
      </c>
      <c r="BQ7" s="96" t="s">
        <v>168</v>
      </c>
      <c r="BR7" s="96" t="s">
        <v>260</v>
      </c>
      <c r="BS7" s="96" t="s">
        <v>260</v>
      </c>
      <c r="BT7" s="163"/>
      <c r="BU7" s="165"/>
      <c r="BW7" s="96" t="s">
        <v>259</v>
      </c>
      <c r="BX7" s="96" t="s">
        <v>260</v>
      </c>
      <c r="BY7" s="96" t="s">
        <v>260</v>
      </c>
      <c r="BZ7" s="96" t="s">
        <v>168</v>
      </c>
      <c r="CA7" s="96" t="s">
        <v>260</v>
      </c>
      <c r="CB7" s="96" t="s">
        <v>260</v>
      </c>
      <c r="CC7" s="163"/>
      <c r="CD7" s="165"/>
      <c r="CF7" s="96" t="s">
        <v>259</v>
      </c>
      <c r="CG7" s="96" t="s">
        <v>260</v>
      </c>
      <c r="CH7" s="96" t="s">
        <v>260</v>
      </c>
      <c r="CI7" s="96" t="s">
        <v>168</v>
      </c>
      <c r="CJ7" s="96" t="s">
        <v>260</v>
      </c>
      <c r="CK7" s="96" t="s">
        <v>260</v>
      </c>
      <c r="CL7" s="163"/>
      <c r="CM7" s="165"/>
      <c r="CO7" s="96" t="s">
        <v>259</v>
      </c>
      <c r="CP7" s="96" t="s">
        <v>260</v>
      </c>
      <c r="CQ7" s="96" t="s">
        <v>260</v>
      </c>
      <c r="CR7" s="96" t="s">
        <v>168</v>
      </c>
      <c r="CS7" s="96" t="s">
        <v>260</v>
      </c>
      <c r="CT7" s="96" t="s">
        <v>260</v>
      </c>
      <c r="CU7" s="163"/>
      <c r="CV7" s="165"/>
      <c r="CX7" s="97" t="s">
        <v>251</v>
      </c>
      <c r="CY7" s="97" t="s">
        <v>244</v>
      </c>
      <c r="CZ7" s="97" t="s">
        <v>54</v>
      </c>
      <c r="DA7" s="97" t="s">
        <v>210</v>
      </c>
      <c r="DB7" s="97" t="s">
        <v>261</v>
      </c>
      <c r="DC7" s="97" t="s">
        <v>211</v>
      </c>
      <c r="DD7" s="97" t="s">
        <v>262</v>
      </c>
      <c r="DE7" s="97" t="s">
        <v>49</v>
      </c>
      <c r="DF7" s="97" t="s">
        <v>108</v>
      </c>
      <c r="DG7" s="97" t="s">
        <v>248</v>
      </c>
      <c r="DH7" s="97" t="s">
        <v>52</v>
      </c>
      <c r="DI7" s="97" t="s">
        <v>263</v>
      </c>
    </row>
    <row r="8" spans="2:114" ht="20.100000000000001" customHeight="1" x14ac:dyDescent="0.2">
      <c r="B8" s="101" t="s">
        <v>3</v>
      </c>
      <c r="C8" s="102">
        <v>224</v>
      </c>
      <c r="D8" s="103">
        <v>173</v>
      </c>
      <c r="E8" s="104">
        <v>184</v>
      </c>
      <c r="F8" s="102">
        <v>1835</v>
      </c>
      <c r="G8" s="103">
        <v>1632</v>
      </c>
      <c r="H8" s="104">
        <v>1548</v>
      </c>
      <c r="I8" s="105">
        <f t="shared" ref="I8:I14" si="0">IFERROR(G8/F8-1,0)</f>
        <v>-0.11062670299727517</v>
      </c>
      <c r="J8" s="105">
        <f t="shared" ref="J8:J14" si="1">IFERROR(G8/H8-1,0)</f>
        <v>5.4263565891472965E-2</v>
      </c>
      <c r="L8" s="102">
        <v>63</v>
      </c>
      <c r="M8" s="103">
        <v>95</v>
      </c>
      <c r="N8" s="104">
        <v>34</v>
      </c>
      <c r="O8" s="102">
        <v>680</v>
      </c>
      <c r="P8" s="103">
        <v>728</v>
      </c>
      <c r="Q8" s="104">
        <v>643</v>
      </c>
      <c r="R8" s="105">
        <f t="shared" ref="R8:R14" si="2">IFERROR(P8/O8-1,0)</f>
        <v>7.0588235294117618E-2</v>
      </c>
      <c r="S8" s="105">
        <f t="shared" ref="S8:S14" si="3">IFERROR(P8/Q8-1,0)</f>
        <v>0.13219284603421455</v>
      </c>
      <c r="U8" s="102">
        <v>105</v>
      </c>
      <c r="V8" s="103">
        <v>83</v>
      </c>
      <c r="W8" s="104">
        <v>73</v>
      </c>
      <c r="X8" s="102">
        <v>1174</v>
      </c>
      <c r="Y8" s="103">
        <v>990</v>
      </c>
      <c r="Z8" s="104">
        <v>833</v>
      </c>
      <c r="AA8" s="105">
        <f t="shared" ref="AA8:AA14" si="4">IFERROR(Y8/X8-1,0)</f>
        <v>-0.15672913117546849</v>
      </c>
      <c r="AB8" s="105">
        <f t="shared" ref="AB8:AB14" si="5">IFERROR(Y8/Z8-1,0)</f>
        <v>0.18847539015606252</v>
      </c>
      <c r="AD8" s="102">
        <v>22</v>
      </c>
      <c r="AE8" s="103">
        <v>20</v>
      </c>
      <c r="AF8" s="104">
        <v>18</v>
      </c>
      <c r="AG8" s="102">
        <v>220</v>
      </c>
      <c r="AH8" s="103">
        <v>233</v>
      </c>
      <c r="AI8" s="104">
        <v>158</v>
      </c>
      <c r="AJ8" s="105">
        <f t="shared" ref="AJ8:AJ14" si="6">IFERROR(AH8/AG8-1,0)</f>
        <v>5.9090909090909083E-2</v>
      </c>
      <c r="AK8" s="105">
        <f t="shared" ref="AK8:AK14" si="7">IFERROR(AH8/AI8-1,0)</f>
        <v>0.47468354430379756</v>
      </c>
      <c r="AM8" s="102">
        <v>7</v>
      </c>
      <c r="AN8" s="103">
        <v>0</v>
      </c>
      <c r="AO8" s="104">
        <v>0</v>
      </c>
      <c r="AP8" s="102">
        <v>31</v>
      </c>
      <c r="AQ8" s="103">
        <v>14</v>
      </c>
      <c r="AR8" s="104">
        <v>9</v>
      </c>
      <c r="AS8" s="105">
        <f t="shared" ref="AS8:AS14" si="8">IFERROR(AQ8/AP8-1,0)</f>
        <v>-0.54838709677419351</v>
      </c>
      <c r="AT8" s="105">
        <f t="shared" ref="AT8:AT14" si="9">IFERROR(AQ8/AR8-1,0)</f>
        <v>0.55555555555555558</v>
      </c>
      <c r="AV8" s="102">
        <v>16</v>
      </c>
      <c r="AW8" s="103">
        <v>14</v>
      </c>
      <c r="AX8" s="104">
        <v>12</v>
      </c>
      <c r="AY8" s="102">
        <v>102</v>
      </c>
      <c r="AZ8" s="103">
        <v>157</v>
      </c>
      <c r="BA8" s="104">
        <v>146</v>
      </c>
      <c r="BB8" s="105">
        <f t="shared" ref="BB8:BB14" si="10">IFERROR(AZ8/AY8-1,0)</f>
        <v>0.53921568627450989</v>
      </c>
      <c r="BC8" s="105">
        <f t="shared" ref="BC8:BC14" si="11">IFERROR(AZ8/BA8-1,0)</f>
        <v>7.5342465753424737E-2</v>
      </c>
      <c r="BE8" s="102">
        <v>3</v>
      </c>
      <c r="BF8" s="103">
        <v>2</v>
      </c>
      <c r="BG8" s="104">
        <v>0</v>
      </c>
      <c r="BH8" s="102">
        <v>20</v>
      </c>
      <c r="BI8" s="103">
        <v>15</v>
      </c>
      <c r="BJ8" s="104">
        <v>17</v>
      </c>
      <c r="BK8" s="105">
        <f t="shared" ref="BK8:BK14" si="12">IFERROR(BI8/BH8-1,0)</f>
        <v>-0.25</v>
      </c>
      <c r="BL8" s="105">
        <f t="shared" ref="BL8:BL14" si="13">IFERROR(BI8/BJ8-1,0)</f>
        <v>-0.11764705882352944</v>
      </c>
      <c r="BN8" s="102">
        <v>3</v>
      </c>
      <c r="BO8" s="103">
        <v>3</v>
      </c>
      <c r="BP8" s="104">
        <v>2</v>
      </c>
      <c r="BQ8" s="102">
        <v>50</v>
      </c>
      <c r="BR8" s="103">
        <v>20</v>
      </c>
      <c r="BS8" s="104">
        <v>28</v>
      </c>
      <c r="BT8" s="105">
        <f t="shared" ref="BT8:BT14" si="14">IFERROR(BR8/BQ8-1,0)</f>
        <v>-0.6</v>
      </c>
      <c r="BU8" s="105">
        <f t="shared" ref="BU8:BU14" si="15">IFERROR(BR8/BS8-1,0)</f>
        <v>-0.2857142857142857</v>
      </c>
      <c r="BW8" s="102">
        <v>5</v>
      </c>
      <c r="BX8" s="103">
        <v>4</v>
      </c>
      <c r="BY8" s="104">
        <v>4</v>
      </c>
      <c r="BZ8" s="102">
        <v>62</v>
      </c>
      <c r="CA8" s="103">
        <v>48</v>
      </c>
      <c r="CB8" s="104">
        <v>39</v>
      </c>
      <c r="CC8" s="105">
        <f t="shared" ref="CC8:CC14" si="16">IFERROR(CA8/BZ8-1,0)</f>
        <v>-0.22580645161290325</v>
      </c>
      <c r="CD8" s="105">
        <f t="shared" ref="CD8:CD14" si="17">IFERROR(CA8/CB8-1,0)</f>
        <v>0.23076923076923084</v>
      </c>
      <c r="CF8" s="102">
        <v>0</v>
      </c>
      <c r="CG8" s="103">
        <v>0</v>
      </c>
      <c r="CH8" s="104">
        <v>2</v>
      </c>
      <c r="CI8" s="102">
        <v>4</v>
      </c>
      <c r="CJ8" s="103">
        <v>17</v>
      </c>
      <c r="CK8" s="104">
        <v>9</v>
      </c>
      <c r="CL8" s="105">
        <f t="shared" ref="CL8:CL14" si="18">IFERROR(CJ8/CI8-1,0)</f>
        <v>3.25</v>
      </c>
      <c r="CM8" s="105">
        <f t="shared" ref="CM8:CM14" si="19">IFERROR(CJ8/CK8-1,0)</f>
        <v>0.88888888888888884</v>
      </c>
      <c r="CO8" s="102">
        <f t="shared" ref="CO8:CT9" si="20">SUM(C8,L8,U8,AD8,AM8,AV8,BE8,BN8,BW8,CF8)</f>
        <v>448</v>
      </c>
      <c r="CP8" s="103">
        <f t="shared" si="20"/>
        <v>394</v>
      </c>
      <c r="CQ8" s="104">
        <f t="shared" si="20"/>
        <v>329</v>
      </c>
      <c r="CR8" s="102">
        <f t="shared" si="20"/>
        <v>4178</v>
      </c>
      <c r="CS8" s="103">
        <f t="shared" si="20"/>
        <v>3854</v>
      </c>
      <c r="CT8" s="104">
        <f t="shared" si="20"/>
        <v>3430</v>
      </c>
      <c r="CU8" s="105">
        <f t="shared" ref="CU8:CU14" si="21">IFERROR(CS8/CR8-1,0)</f>
        <v>-7.7549066539013833E-2</v>
      </c>
      <c r="CV8" s="105">
        <f t="shared" ref="CV8:CV14" si="22">IFERROR(CS8/CT8-1,0)</f>
        <v>0.12361516034985431</v>
      </c>
      <c r="CX8" s="106" t="s">
        <v>3</v>
      </c>
      <c r="CY8" s="107">
        <f t="shared" ref="CY8:CY14" si="23">G8</f>
        <v>1632</v>
      </c>
      <c r="CZ8" s="107">
        <f t="shared" ref="CZ8:CZ14" si="24">P8</f>
        <v>728</v>
      </c>
      <c r="DA8" s="107">
        <f t="shared" ref="DA8:DA14" si="25">Y8</f>
        <v>990</v>
      </c>
      <c r="DB8" s="107">
        <f t="shared" ref="DB8:DB14" si="26">AH8</f>
        <v>233</v>
      </c>
      <c r="DC8" s="107">
        <f t="shared" ref="DC8:DC14" si="27">AQ8</f>
        <v>14</v>
      </c>
      <c r="DD8" s="107">
        <f t="shared" ref="DD8:DD14" si="28">AZ8</f>
        <v>157</v>
      </c>
      <c r="DE8" s="107">
        <f t="shared" ref="DE8:DE14" si="29">BI8</f>
        <v>15</v>
      </c>
      <c r="DF8" s="107">
        <f t="shared" ref="DF8:DF14" si="30">BR8</f>
        <v>20</v>
      </c>
      <c r="DG8" s="107">
        <f t="shared" ref="DG8:DG14" si="31">CA8</f>
        <v>48</v>
      </c>
      <c r="DH8" s="107">
        <f t="shared" ref="DH8:DH14" si="32">CJ8</f>
        <v>17</v>
      </c>
      <c r="DI8" s="107">
        <f t="shared" ref="DI8:DI14" si="33">CS8</f>
        <v>3854</v>
      </c>
    </row>
    <row r="9" spans="2:114" ht="20.100000000000001" customHeight="1" x14ac:dyDescent="0.2">
      <c r="B9" s="101" t="s">
        <v>9</v>
      </c>
      <c r="C9" s="102">
        <v>506</v>
      </c>
      <c r="D9" s="103">
        <v>357</v>
      </c>
      <c r="E9" s="104">
        <v>333</v>
      </c>
      <c r="F9" s="102">
        <v>4280</v>
      </c>
      <c r="G9" s="103">
        <v>3699</v>
      </c>
      <c r="H9" s="104">
        <v>3481</v>
      </c>
      <c r="I9" s="105">
        <f t="shared" si="0"/>
        <v>-0.13574766355140189</v>
      </c>
      <c r="J9" s="105">
        <f t="shared" si="1"/>
        <v>6.2625682275208261E-2</v>
      </c>
      <c r="L9" s="102">
        <v>52</v>
      </c>
      <c r="M9" s="103">
        <v>48</v>
      </c>
      <c r="N9" s="104">
        <v>44</v>
      </c>
      <c r="O9" s="102">
        <v>575</v>
      </c>
      <c r="P9" s="103">
        <v>625</v>
      </c>
      <c r="Q9" s="104">
        <v>539</v>
      </c>
      <c r="R9" s="105">
        <f t="shared" si="2"/>
        <v>8.6956521739130377E-2</v>
      </c>
      <c r="S9" s="105">
        <f t="shared" si="3"/>
        <v>0.15955473098330231</v>
      </c>
      <c r="U9" s="102">
        <v>72</v>
      </c>
      <c r="V9" s="103">
        <v>59</v>
      </c>
      <c r="W9" s="104">
        <v>60</v>
      </c>
      <c r="X9" s="102">
        <v>806</v>
      </c>
      <c r="Y9" s="103">
        <v>707</v>
      </c>
      <c r="Z9" s="104">
        <v>662</v>
      </c>
      <c r="AA9" s="105">
        <f t="shared" si="4"/>
        <v>-0.12282878411910669</v>
      </c>
      <c r="AB9" s="105">
        <f t="shared" si="5"/>
        <v>6.7975830815709903E-2</v>
      </c>
      <c r="AD9" s="102">
        <v>17</v>
      </c>
      <c r="AE9" s="103">
        <v>17</v>
      </c>
      <c r="AF9" s="104">
        <v>21</v>
      </c>
      <c r="AG9" s="102">
        <v>176</v>
      </c>
      <c r="AH9" s="103">
        <v>158</v>
      </c>
      <c r="AI9" s="104">
        <v>164</v>
      </c>
      <c r="AJ9" s="105">
        <f t="shared" si="6"/>
        <v>-0.10227272727272729</v>
      </c>
      <c r="AK9" s="105">
        <f t="shared" si="7"/>
        <v>-3.6585365853658569E-2</v>
      </c>
      <c r="AM9" s="102">
        <v>14</v>
      </c>
      <c r="AN9" s="103">
        <v>9</v>
      </c>
      <c r="AO9" s="104">
        <v>9</v>
      </c>
      <c r="AP9" s="102">
        <v>100</v>
      </c>
      <c r="AQ9" s="103">
        <v>60</v>
      </c>
      <c r="AR9" s="104">
        <v>51</v>
      </c>
      <c r="AS9" s="105">
        <f t="shared" si="8"/>
        <v>-0.4</v>
      </c>
      <c r="AT9" s="105">
        <f t="shared" si="9"/>
        <v>0.17647058823529416</v>
      </c>
      <c r="AV9" s="102">
        <v>21</v>
      </c>
      <c r="AW9" s="103">
        <v>31</v>
      </c>
      <c r="AX9" s="104">
        <v>20</v>
      </c>
      <c r="AY9" s="102">
        <v>277</v>
      </c>
      <c r="AZ9" s="103">
        <v>297</v>
      </c>
      <c r="BA9" s="104">
        <v>268</v>
      </c>
      <c r="BB9" s="105">
        <f t="shared" si="10"/>
        <v>7.2202166064981865E-2</v>
      </c>
      <c r="BC9" s="105">
        <f t="shared" si="11"/>
        <v>0.10820895522388052</v>
      </c>
      <c r="BE9" s="102">
        <v>8</v>
      </c>
      <c r="BF9" s="103">
        <v>4</v>
      </c>
      <c r="BG9" s="104">
        <v>7</v>
      </c>
      <c r="BH9" s="102">
        <v>84</v>
      </c>
      <c r="BI9" s="103">
        <v>68</v>
      </c>
      <c r="BJ9" s="104">
        <v>58</v>
      </c>
      <c r="BK9" s="105">
        <f t="shared" si="12"/>
        <v>-0.19047619047619047</v>
      </c>
      <c r="BL9" s="105">
        <f t="shared" si="13"/>
        <v>0.17241379310344818</v>
      </c>
      <c r="BN9" s="102">
        <v>9</v>
      </c>
      <c r="BO9" s="103">
        <v>3</v>
      </c>
      <c r="BP9" s="104">
        <v>2</v>
      </c>
      <c r="BQ9" s="102">
        <v>128</v>
      </c>
      <c r="BR9" s="103">
        <v>46</v>
      </c>
      <c r="BS9" s="104">
        <v>73</v>
      </c>
      <c r="BT9" s="105">
        <f t="shared" si="14"/>
        <v>-0.640625</v>
      </c>
      <c r="BU9" s="105">
        <f t="shared" si="15"/>
        <v>-0.36986301369863017</v>
      </c>
      <c r="BW9" s="102">
        <v>9</v>
      </c>
      <c r="BX9" s="103">
        <v>10</v>
      </c>
      <c r="BY9" s="104">
        <v>5</v>
      </c>
      <c r="BZ9" s="102">
        <v>91</v>
      </c>
      <c r="CA9" s="103">
        <v>96</v>
      </c>
      <c r="CB9" s="104">
        <v>74</v>
      </c>
      <c r="CC9" s="105">
        <f t="shared" si="16"/>
        <v>5.4945054945054972E-2</v>
      </c>
      <c r="CD9" s="105">
        <f t="shared" si="17"/>
        <v>0.29729729729729737</v>
      </c>
      <c r="CF9" s="102">
        <v>4</v>
      </c>
      <c r="CG9" s="103">
        <v>1</v>
      </c>
      <c r="CH9" s="104">
        <v>2</v>
      </c>
      <c r="CI9" s="102">
        <v>41</v>
      </c>
      <c r="CJ9" s="103">
        <v>45</v>
      </c>
      <c r="CK9" s="104">
        <v>32</v>
      </c>
      <c r="CL9" s="105">
        <f t="shared" si="18"/>
        <v>9.7560975609756184E-2</v>
      </c>
      <c r="CM9" s="105">
        <f t="shared" si="19"/>
        <v>0.40625</v>
      </c>
      <c r="CO9" s="102">
        <f t="shared" si="20"/>
        <v>712</v>
      </c>
      <c r="CP9" s="103">
        <f t="shared" si="20"/>
        <v>539</v>
      </c>
      <c r="CQ9" s="104">
        <f t="shared" si="20"/>
        <v>503</v>
      </c>
      <c r="CR9" s="102">
        <f t="shared" si="20"/>
        <v>6558</v>
      </c>
      <c r="CS9" s="103">
        <f t="shared" si="20"/>
        <v>5801</v>
      </c>
      <c r="CT9" s="104">
        <f t="shared" si="20"/>
        <v>5402</v>
      </c>
      <c r="CU9" s="105">
        <f t="shared" si="21"/>
        <v>-0.11543153400426964</v>
      </c>
      <c r="CV9" s="105">
        <f t="shared" si="22"/>
        <v>7.3861532765642446E-2</v>
      </c>
      <c r="CX9" s="101" t="s">
        <v>9</v>
      </c>
      <c r="CY9" s="108">
        <f t="shared" si="23"/>
        <v>3699</v>
      </c>
      <c r="CZ9" s="108">
        <f t="shared" si="24"/>
        <v>625</v>
      </c>
      <c r="DA9" s="108">
        <f t="shared" si="25"/>
        <v>707</v>
      </c>
      <c r="DB9" s="108">
        <f t="shared" si="26"/>
        <v>158</v>
      </c>
      <c r="DC9" s="108">
        <f t="shared" si="27"/>
        <v>60</v>
      </c>
      <c r="DD9" s="108">
        <f t="shared" si="28"/>
        <v>297</v>
      </c>
      <c r="DE9" s="108">
        <f t="shared" si="29"/>
        <v>68</v>
      </c>
      <c r="DF9" s="108">
        <f t="shared" si="30"/>
        <v>46</v>
      </c>
      <c r="DG9" s="108">
        <f t="shared" si="31"/>
        <v>96</v>
      </c>
      <c r="DH9" s="108">
        <f t="shared" si="32"/>
        <v>45</v>
      </c>
      <c r="DI9" s="108">
        <f t="shared" si="33"/>
        <v>5801</v>
      </c>
    </row>
    <row r="10" spans="2:114" s="98" customFormat="1" ht="20.100000000000001" customHeight="1" x14ac:dyDescent="0.25">
      <c r="B10" s="109" t="s">
        <v>264</v>
      </c>
      <c r="C10" s="110">
        <f>C8+C9</f>
        <v>730</v>
      </c>
      <c r="D10" s="110">
        <f t="shared" ref="D10:H10" si="34">D8+D9</f>
        <v>530</v>
      </c>
      <c r="E10" s="110">
        <f t="shared" si="34"/>
        <v>517</v>
      </c>
      <c r="F10" s="111">
        <f t="shared" si="34"/>
        <v>6115</v>
      </c>
      <c r="G10" s="110">
        <f t="shared" si="34"/>
        <v>5331</v>
      </c>
      <c r="H10" s="104">
        <f t="shared" si="34"/>
        <v>5029</v>
      </c>
      <c r="I10" s="112">
        <f t="shared" si="0"/>
        <v>-0.12820932134096485</v>
      </c>
      <c r="J10" s="112">
        <f t="shared" si="1"/>
        <v>6.0051700139192699E-2</v>
      </c>
      <c r="L10" s="110">
        <f>L8+L9</f>
        <v>115</v>
      </c>
      <c r="M10" s="110">
        <f t="shared" ref="M10:Q10" si="35">M8+M9</f>
        <v>143</v>
      </c>
      <c r="N10" s="110">
        <f t="shared" si="35"/>
        <v>78</v>
      </c>
      <c r="O10" s="111">
        <f t="shared" si="35"/>
        <v>1255</v>
      </c>
      <c r="P10" s="110">
        <f t="shared" si="35"/>
        <v>1353</v>
      </c>
      <c r="Q10" s="104">
        <f t="shared" si="35"/>
        <v>1182</v>
      </c>
      <c r="R10" s="112">
        <f t="shared" si="2"/>
        <v>7.8087649402390547E-2</v>
      </c>
      <c r="S10" s="112">
        <f t="shared" si="3"/>
        <v>0.14467005076142136</v>
      </c>
      <c r="U10" s="110">
        <f>U8+U9</f>
        <v>177</v>
      </c>
      <c r="V10" s="110">
        <f t="shared" ref="V10:Z10" si="36">V8+V9</f>
        <v>142</v>
      </c>
      <c r="W10" s="110">
        <f t="shared" si="36"/>
        <v>133</v>
      </c>
      <c r="X10" s="111">
        <f t="shared" si="36"/>
        <v>1980</v>
      </c>
      <c r="Y10" s="110">
        <f t="shared" si="36"/>
        <v>1697</v>
      </c>
      <c r="Z10" s="104">
        <f t="shared" si="36"/>
        <v>1495</v>
      </c>
      <c r="AA10" s="112">
        <f t="shared" si="4"/>
        <v>-0.14292929292929291</v>
      </c>
      <c r="AB10" s="112">
        <f t="shared" si="5"/>
        <v>0.13511705685618725</v>
      </c>
      <c r="AD10" s="110">
        <f>AD8+AD9</f>
        <v>39</v>
      </c>
      <c r="AE10" s="110">
        <f t="shared" ref="AE10:AI10" si="37">AE8+AE9</f>
        <v>37</v>
      </c>
      <c r="AF10" s="110">
        <f t="shared" si="37"/>
        <v>39</v>
      </c>
      <c r="AG10" s="111">
        <f t="shared" si="37"/>
        <v>396</v>
      </c>
      <c r="AH10" s="110">
        <f t="shared" si="37"/>
        <v>391</v>
      </c>
      <c r="AI10" s="104">
        <f t="shared" si="37"/>
        <v>322</v>
      </c>
      <c r="AJ10" s="112">
        <f t="shared" si="6"/>
        <v>-1.2626262626262652E-2</v>
      </c>
      <c r="AK10" s="112">
        <f t="shared" si="7"/>
        <v>0.21428571428571419</v>
      </c>
      <c r="AM10" s="110">
        <f>AM8+AM9</f>
        <v>21</v>
      </c>
      <c r="AN10" s="110">
        <f t="shared" ref="AN10:AR10" si="38">AN8+AN9</f>
        <v>9</v>
      </c>
      <c r="AO10" s="110">
        <f t="shared" si="38"/>
        <v>9</v>
      </c>
      <c r="AP10" s="111">
        <f t="shared" si="38"/>
        <v>131</v>
      </c>
      <c r="AQ10" s="110">
        <f t="shared" si="38"/>
        <v>74</v>
      </c>
      <c r="AR10" s="104">
        <f t="shared" si="38"/>
        <v>60</v>
      </c>
      <c r="AS10" s="112">
        <f t="shared" si="8"/>
        <v>-0.43511450381679384</v>
      </c>
      <c r="AT10" s="112">
        <f t="shared" si="9"/>
        <v>0.23333333333333339</v>
      </c>
      <c r="AV10" s="110">
        <f>AV8+AV9</f>
        <v>37</v>
      </c>
      <c r="AW10" s="110">
        <f t="shared" ref="AW10:BA10" si="39">AW8+AW9</f>
        <v>45</v>
      </c>
      <c r="AX10" s="110">
        <f t="shared" si="39"/>
        <v>32</v>
      </c>
      <c r="AY10" s="111">
        <f t="shared" si="39"/>
        <v>379</v>
      </c>
      <c r="AZ10" s="110">
        <f t="shared" si="39"/>
        <v>454</v>
      </c>
      <c r="BA10" s="104">
        <f t="shared" si="39"/>
        <v>414</v>
      </c>
      <c r="BB10" s="112">
        <f t="shared" si="10"/>
        <v>0.19788918205804751</v>
      </c>
      <c r="BC10" s="112">
        <f t="shared" si="11"/>
        <v>9.661835748792269E-2</v>
      </c>
      <c r="BE10" s="110">
        <f>BE8+BE9</f>
        <v>11</v>
      </c>
      <c r="BF10" s="110">
        <f t="shared" ref="BF10:BJ10" si="40">BF8+BF9</f>
        <v>6</v>
      </c>
      <c r="BG10" s="110">
        <f t="shared" si="40"/>
        <v>7</v>
      </c>
      <c r="BH10" s="111">
        <f t="shared" si="40"/>
        <v>104</v>
      </c>
      <c r="BI10" s="110">
        <f t="shared" si="40"/>
        <v>83</v>
      </c>
      <c r="BJ10" s="104">
        <f t="shared" si="40"/>
        <v>75</v>
      </c>
      <c r="BK10" s="112">
        <f t="shared" si="12"/>
        <v>-0.20192307692307687</v>
      </c>
      <c r="BL10" s="112">
        <f t="shared" si="13"/>
        <v>0.10666666666666669</v>
      </c>
      <c r="BN10" s="110">
        <f>BN8+BN9</f>
        <v>12</v>
      </c>
      <c r="BO10" s="110">
        <f t="shared" ref="BO10:BS10" si="41">BO8+BO9</f>
        <v>6</v>
      </c>
      <c r="BP10" s="110">
        <f t="shared" si="41"/>
        <v>4</v>
      </c>
      <c r="BQ10" s="111">
        <f t="shared" si="41"/>
        <v>178</v>
      </c>
      <c r="BR10" s="110">
        <f t="shared" si="41"/>
        <v>66</v>
      </c>
      <c r="BS10" s="104">
        <f t="shared" si="41"/>
        <v>101</v>
      </c>
      <c r="BT10" s="112">
        <f t="shared" si="14"/>
        <v>-0.6292134831460674</v>
      </c>
      <c r="BU10" s="112">
        <f t="shared" si="15"/>
        <v>-0.34653465346534651</v>
      </c>
      <c r="BW10" s="110">
        <f>BW8+BW9</f>
        <v>14</v>
      </c>
      <c r="BX10" s="110">
        <f t="shared" ref="BX10:CB10" si="42">BX8+BX9</f>
        <v>14</v>
      </c>
      <c r="BY10" s="110">
        <f t="shared" si="42"/>
        <v>9</v>
      </c>
      <c r="BZ10" s="111">
        <f t="shared" si="42"/>
        <v>153</v>
      </c>
      <c r="CA10" s="110">
        <f t="shared" si="42"/>
        <v>144</v>
      </c>
      <c r="CB10" s="104">
        <f t="shared" si="42"/>
        <v>113</v>
      </c>
      <c r="CC10" s="112">
        <f t="shared" si="16"/>
        <v>-5.8823529411764719E-2</v>
      </c>
      <c r="CD10" s="112">
        <f t="shared" si="17"/>
        <v>0.27433628318584069</v>
      </c>
      <c r="CF10" s="110">
        <f>CF8+CF9</f>
        <v>4</v>
      </c>
      <c r="CG10" s="110">
        <f t="shared" ref="CG10:CK10" si="43">CG8+CG9</f>
        <v>1</v>
      </c>
      <c r="CH10" s="110">
        <f t="shared" si="43"/>
        <v>4</v>
      </c>
      <c r="CI10" s="111">
        <f t="shared" si="43"/>
        <v>45</v>
      </c>
      <c r="CJ10" s="110">
        <f t="shared" si="43"/>
        <v>62</v>
      </c>
      <c r="CK10" s="104">
        <f t="shared" si="43"/>
        <v>41</v>
      </c>
      <c r="CL10" s="112">
        <f t="shared" si="18"/>
        <v>0.37777777777777777</v>
      </c>
      <c r="CM10" s="112">
        <f t="shared" si="19"/>
        <v>0.51219512195121952</v>
      </c>
      <c r="CO10" s="110">
        <f>CO8+CO9</f>
        <v>1160</v>
      </c>
      <c r="CP10" s="110">
        <f t="shared" ref="CP10:CT10" si="44">CP8+CP9</f>
        <v>933</v>
      </c>
      <c r="CQ10" s="110">
        <f t="shared" si="44"/>
        <v>832</v>
      </c>
      <c r="CR10" s="111">
        <f t="shared" si="44"/>
        <v>10736</v>
      </c>
      <c r="CS10" s="110">
        <f t="shared" si="44"/>
        <v>9655</v>
      </c>
      <c r="CT10" s="104">
        <f t="shared" si="44"/>
        <v>8832</v>
      </c>
      <c r="CU10" s="112">
        <f t="shared" si="21"/>
        <v>-0.10068926974664683</v>
      </c>
      <c r="CV10" s="112">
        <f t="shared" si="22"/>
        <v>9.3183876811594235E-2</v>
      </c>
      <c r="CX10" s="113" t="s">
        <v>264</v>
      </c>
      <c r="CY10" s="114">
        <f t="shared" si="23"/>
        <v>5331</v>
      </c>
      <c r="CZ10" s="114">
        <f t="shared" si="24"/>
        <v>1353</v>
      </c>
      <c r="DA10" s="114">
        <f t="shared" si="25"/>
        <v>1697</v>
      </c>
      <c r="DB10" s="114">
        <f t="shared" si="26"/>
        <v>391</v>
      </c>
      <c r="DC10" s="114">
        <f t="shared" si="27"/>
        <v>74</v>
      </c>
      <c r="DD10" s="114">
        <f t="shared" si="28"/>
        <v>454</v>
      </c>
      <c r="DE10" s="114">
        <f t="shared" si="29"/>
        <v>83</v>
      </c>
      <c r="DF10" s="114">
        <f t="shared" si="30"/>
        <v>66</v>
      </c>
      <c r="DG10" s="114">
        <f t="shared" si="31"/>
        <v>144</v>
      </c>
      <c r="DH10" s="114">
        <f t="shared" si="32"/>
        <v>62</v>
      </c>
      <c r="DI10" s="114">
        <f t="shared" si="33"/>
        <v>9655</v>
      </c>
    </row>
    <row r="11" spans="2:114" ht="20.100000000000001" customHeight="1" x14ac:dyDescent="0.2">
      <c r="B11" s="101" t="s">
        <v>4</v>
      </c>
      <c r="C11" s="102">
        <v>35</v>
      </c>
      <c r="D11" s="103">
        <v>22</v>
      </c>
      <c r="E11" s="104">
        <v>23</v>
      </c>
      <c r="F11" s="102">
        <v>268</v>
      </c>
      <c r="G11" s="103">
        <v>207</v>
      </c>
      <c r="H11" s="104">
        <v>219</v>
      </c>
      <c r="I11" s="105">
        <f t="shared" si="0"/>
        <v>-0.22761194029850751</v>
      </c>
      <c r="J11" s="105">
        <f t="shared" si="1"/>
        <v>-5.4794520547945202E-2</v>
      </c>
      <c r="L11" s="102">
        <v>9</v>
      </c>
      <c r="M11" s="103">
        <v>2</v>
      </c>
      <c r="N11" s="104">
        <v>10</v>
      </c>
      <c r="O11" s="102">
        <v>120</v>
      </c>
      <c r="P11" s="103">
        <v>84</v>
      </c>
      <c r="Q11" s="104">
        <v>92</v>
      </c>
      <c r="R11" s="105">
        <f t="shared" si="2"/>
        <v>-0.30000000000000004</v>
      </c>
      <c r="S11" s="105">
        <f t="shared" si="3"/>
        <v>-8.6956521739130488E-2</v>
      </c>
      <c r="U11" s="102">
        <v>6</v>
      </c>
      <c r="V11" s="103">
        <v>10</v>
      </c>
      <c r="W11" s="104">
        <v>13</v>
      </c>
      <c r="X11" s="102">
        <v>81</v>
      </c>
      <c r="Y11" s="103">
        <v>71</v>
      </c>
      <c r="Z11" s="104">
        <v>60</v>
      </c>
      <c r="AA11" s="105">
        <f t="shared" si="4"/>
        <v>-0.12345679012345678</v>
      </c>
      <c r="AB11" s="105">
        <f t="shared" si="5"/>
        <v>0.18333333333333335</v>
      </c>
      <c r="AD11" s="102">
        <v>1</v>
      </c>
      <c r="AE11" s="103">
        <v>6</v>
      </c>
      <c r="AF11" s="104">
        <v>2</v>
      </c>
      <c r="AG11" s="102">
        <v>17</v>
      </c>
      <c r="AH11" s="103">
        <v>22</v>
      </c>
      <c r="AI11" s="104">
        <v>19</v>
      </c>
      <c r="AJ11" s="105">
        <f t="shared" si="6"/>
        <v>0.29411764705882359</v>
      </c>
      <c r="AK11" s="105">
        <f t="shared" si="7"/>
        <v>0.15789473684210531</v>
      </c>
      <c r="AM11" s="102">
        <v>0</v>
      </c>
      <c r="AN11" s="103">
        <v>0</v>
      </c>
      <c r="AO11" s="104">
        <v>1</v>
      </c>
      <c r="AP11" s="102">
        <v>4</v>
      </c>
      <c r="AQ11" s="103">
        <v>4</v>
      </c>
      <c r="AR11" s="104">
        <v>3</v>
      </c>
      <c r="AS11" s="105">
        <f t="shared" si="8"/>
        <v>0</v>
      </c>
      <c r="AT11" s="105">
        <f t="shared" si="9"/>
        <v>0.33333333333333326</v>
      </c>
      <c r="AV11" s="102">
        <v>2</v>
      </c>
      <c r="AW11" s="103">
        <v>7</v>
      </c>
      <c r="AX11" s="104">
        <v>1</v>
      </c>
      <c r="AY11" s="102">
        <v>17</v>
      </c>
      <c r="AZ11" s="103">
        <v>28</v>
      </c>
      <c r="BA11" s="104">
        <v>11</v>
      </c>
      <c r="BB11" s="105">
        <f t="shared" si="10"/>
        <v>0.64705882352941169</v>
      </c>
      <c r="BC11" s="105">
        <f t="shared" si="11"/>
        <v>1.5454545454545454</v>
      </c>
      <c r="BE11" s="102">
        <v>0</v>
      </c>
      <c r="BF11" s="103">
        <v>1</v>
      </c>
      <c r="BG11" s="104">
        <v>0</v>
      </c>
      <c r="BH11" s="102">
        <v>5</v>
      </c>
      <c r="BI11" s="103">
        <v>13</v>
      </c>
      <c r="BJ11" s="104">
        <v>9</v>
      </c>
      <c r="BK11" s="105">
        <f t="shared" si="12"/>
        <v>1.6</v>
      </c>
      <c r="BL11" s="105">
        <f t="shared" si="13"/>
        <v>0.44444444444444442</v>
      </c>
      <c r="BN11" s="102">
        <v>4</v>
      </c>
      <c r="BO11" s="103">
        <v>0</v>
      </c>
      <c r="BP11" s="104">
        <v>4</v>
      </c>
      <c r="BQ11" s="102">
        <v>19</v>
      </c>
      <c r="BR11" s="103">
        <v>7</v>
      </c>
      <c r="BS11" s="104">
        <v>14</v>
      </c>
      <c r="BT11" s="105">
        <f t="shared" si="14"/>
        <v>-0.63157894736842102</v>
      </c>
      <c r="BU11" s="105">
        <f t="shared" si="15"/>
        <v>-0.5</v>
      </c>
      <c r="BW11" s="102">
        <v>1</v>
      </c>
      <c r="BX11" s="103">
        <v>1</v>
      </c>
      <c r="BY11" s="104">
        <v>0</v>
      </c>
      <c r="BZ11" s="102">
        <v>16</v>
      </c>
      <c r="CA11" s="103">
        <v>7</v>
      </c>
      <c r="CB11" s="104">
        <v>15</v>
      </c>
      <c r="CC11" s="105">
        <f t="shared" si="16"/>
        <v>-0.5625</v>
      </c>
      <c r="CD11" s="105">
        <f t="shared" si="17"/>
        <v>-0.53333333333333333</v>
      </c>
      <c r="CF11" s="102">
        <v>0</v>
      </c>
      <c r="CG11" s="103">
        <v>0</v>
      </c>
      <c r="CH11" s="104">
        <v>0</v>
      </c>
      <c r="CI11" s="102">
        <v>3</v>
      </c>
      <c r="CJ11" s="103">
        <v>2</v>
      </c>
      <c r="CK11" s="104">
        <v>1</v>
      </c>
      <c r="CL11" s="105">
        <f t="shared" si="18"/>
        <v>-0.33333333333333337</v>
      </c>
      <c r="CM11" s="105">
        <f t="shared" si="19"/>
        <v>1</v>
      </c>
      <c r="CO11" s="102">
        <f t="shared" ref="CO11:CT13" si="45">SUM(C11,L11,U11,AD11,AM11,AV11,BE11,BN11,BW11,CF11)</f>
        <v>58</v>
      </c>
      <c r="CP11" s="103">
        <f t="shared" si="45"/>
        <v>49</v>
      </c>
      <c r="CQ11" s="104">
        <f t="shared" si="45"/>
        <v>54</v>
      </c>
      <c r="CR11" s="102">
        <f t="shared" si="45"/>
        <v>550</v>
      </c>
      <c r="CS11" s="103">
        <f t="shared" si="45"/>
        <v>445</v>
      </c>
      <c r="CT11" s="104">
        <f t="shared" si="45"/>
        <v>443</v>
      </c>
      <c r="CU11" s="105">
        <f t="shared" si="21"/>
        <v>-0.19090909090909092</v>
      </c>
      <c r="CV11" s="105">
        <f t="shared" si="22"/>
        <v>4.5146726862301811E-3</v>
      </c>
      <c r="CX11" s="101" t="s">
        <v>4</v>
      </c>
      <c r="CY11" s="108">
        <f t="shared" si="23"/>
        <v>207</v>
      </c>
      <c r="CZ11" s="108">
        <f t="shared" si="24"/>
        <v>84</v>
      </c>
      <c r="DA11" s="108">
        <f t="shared" si="25"/>
        <v>71</v>
      </c>
      <c r="DB11" s="108">
        <f t="shared" si="26"/>
        <v>22</v>
      </c>
      <c r="DC11" s="108">
        <f t="shared" si="27"/>
        <v>4</v>
      </c>
      <c r="DD11" s="108">
        <f t="shared" si="28"/>
        <v>28</v>
      </c>
      <c r="DE11" s="108">
        <f t="shared" si="29"/>
        <v>13</v>
      </c>
      <c r="DF11" s="108">
        <f t="shared" si="30"/>
        <v>7</v>
      </c>
      <c r="DG11" s="108">
        <f t="shared" si="31"/>
        <v>7</v>
      </c>
      <c r="DH11" s="108">
        <f t="shared" si="32"/>
        <v>2</v>
      </c>
      <c r="DI11" s="108">
        <f t="shared" si="33"/>
        <v>445</v>
      </c>
    </row>
    <row r="12" spans="2:114" ht="20.100000000000001" customHeight="1" x14ac:dyDescent="0.2">
      <c r="B12" s="101" t="s">
        <v>265</v>
      </c>
      <c r="C12" s="102">
        <v>9</v>
      </c>
      <c r="D12" s="103">
        <v>13</v>
      </c>
      <c r="E12" s="104">
        <v>8</v>
      </c>
      <c r="F12" s="102">
        <v>72</v>
      </c>
      <c r="G12" s="103">
        <v>68</v>
      </c>
      <c r="H12" s="104">
        <v>62</v>
      </c>
      <c r="I12" s="105">
        <f t="shared" si="0"/>
        <v>-5.555555555555558E-2</v>
      </c>
      <c r="J12" s="105">
        <f t="shared" si="1"/>
        <v>9.6774193548387011E-2</v>
      </c>
      <c r="L12" s="102">
        <v>5</v>
      </c>
      <c r="M12" s="103">
        <v>1</v>
      </c>
      <c r="N12" s="104">
        <v>1</v>
      </c>
      <c r="O12" s="102">
        <v>23</v>
      </c>
      <c r="P12" s="103">
        <v>13</v>
      </c>
      <c r="Q12" s="104">
        <v>16</v>
      </c>
      <c r="R12" s="105">
        <f t="shared" si="2"/>
        <v>-0.43478260869565222</v>
      </c>
      <c r="S12" s="105">
        <f t="shared" si="3"/>
        <v>-0.1875</v>
      </c>
      <c r="U12" s="102">
        <v>4</v>
      </c>
      <c r="V12" s="103">
        <v>0</v>
      </c>
      <c r="W12" s="104">
        <v>0</v>
      </c>
      <c r="X12" s="102">
        <v>31</v>
      </c>
      <c r="Y12" s="103">
        <v>4</v>
      </c>
      <c r="Z12" s="104">
        <v>21</v>
      </c>
      <c r="AA12" s="105">
        <f t="shared" si="4"/>
        <v>-0.87096774193548387</v>
      </c>
      <c r="AB12" s="105">
        <f t="shared" si="5"/>
        <v>-0.80952380952380953</v>
      </c>
      <c r="AD12" s="102">
        <v>0</v>
      </c>
      <c r="AE12" s="103">
        <v>0</v>
      </c>
      <c r="AF12" s="104">
        <v>0</v>
      </c>
      <c r="AG12" s="102">
        <v>9</v>
      </c>
      <c r="AH12" s="103">
        <v>9</v>
      </c>
      <c r="AI12" s="104">
        <v>5</v>
      </c>
      <c r="AJ12" s="105">
        <f t="shared" si="6"/>
        <v>0</v>
      </c>
      <c r="AK12" s="105">
        <f t="shared" si="7"/>
        <v>0.8</v>
      </c>
      <c r="AM12" s="102">
        <v>0</v>
      </c>
      <c r="AN12" s="103">
        <v>0</v>
      </c>
      <c r="AO12" s="104">
        <v>0</v>
      </c>
      <c r="AP12" s="102">
        <v>4</v>
      </c>
      <c r="AQ12" s="103">
        <v>0</v>
      </c>
      <c r="AR12" s="104">
        <v>2</v>
      </c>
      <c r="AS12" s="105">
        <f t="shared" si="8"/>
        <v>-1</v>
      </c>
      <c r="AT12" s="105">
        <f t="shared" si="9"/>
        <v>-1</v>
      </c>
      <c r="AV12" s="102">
        <v>0</v>
      </c>
      <c r="AW12" s="103">
        <v>0</v>
      </c>
      <c r="AX12" s="104">
        <v>0</v>
      </c>
      <c r="AY12" s="102">
        <v>0</v>
      </c>
      <c r="AZ12" s="103">
        <v>3</v>
      </c>
      <c r="BA12" s="104">
        <v>0</v>
      </c>
      <c r="BB12" s="105">
        <f t="shared" si="10"/>
        <v>0</v>
      </c>
      <c r="BC12" s="105">
        <f t="shared" si="11"/>
        <v>0</v>
      </c>
      <c r="BE12" s="102">
        <v>0</v>
      </c>
      <c r="BF12" s="103">
        <v>0</v>
      </c>
      <c r="BG12" s="104">
        <v>0</v>
      </c>
      <c r="BH12" s="102">
        <v>1</v>
      </c>
      <c r="BI12" s="103">
        <v>1</v>
      </c>
      <c r="BJ12" s="104">
        <v>2</v>
      </c>
      <c r="BK12" s="105">
        <f t="shared" si="12"/>
        <v>0</v>
      </c>
      <c r="BL12" s="105">
        <f t="shared" si="13"/>
        <v>-0.5</v>
      </c>
      <c r="BN12" s="102">
        <v>2</v>
      </c>
      <c r="BO12" s="103">
        <v>1</v>
      </c>
      <c r="BP12" s="104">
        <v>0</v>
      </c>
      <c r="BQ12" s="102">
        <v>10</v>
      </c>
      <c r="BR12" s="103">
        <v>17</v>
      </c>
      <c r="BS12" s="104">
        <v>10</v>
      </c>
      <c r="BT12" s="105">
        <f t="shared" si="14"/>
        <v>0.7</v>
      </c>
      <c r="BU12" s="105">
        <f t="shared" si="15"/>
        <v>0.7</v>
      </c>
      <c r="BW12" s="102">
        <v>0</v>
      </c>
      <c r="BX12" s="103">
        <v>0</v>
      </c>
      <c r="BY12" s="104">
        <v>0</v>
      </c>
      <c r="BZ12" s="102">
        <v>0</v>
      </c>
      <c r="CA12" s="103">
        <v>0</v>
      </c>
      <c r="CB12" s="104">
        <v>0</v>
      </c>
      <c r="CC12" s="105">
        <f t="shared" si="16"/>
        <v>0</v>
      </c>
      <c r="CD12" s="105">
        <f t="shared" si="17"/>
        <v>0</v>
      </c>
      <c r="CF12" s="102">
        <v>1</v>
      </c>
      <c r="CG12" s="103">
        <v>0</v>
      </c>
      <c r="CH12" s="104">
        <v>0</v>
      </c>
      <c r="CI12" s="102">
        <v>3</v>
      </c>
      <c r="CJ12" s="103">
        <v>2</v>
      </c>
      <c r="CK12" s="104">
        <v>2</v>
      </c>
      <c r="CL12" s="105">
        <f t="shared" si="18"/>
        <v>-0.33333333333333337</v>
      </c>
      <c r="CM12" s="105">
        <f t="shared" si="19"/>
        <v>0</v>
      </c>
      <c r="CO12" s="102">
        <f t="shared" si="45"/>
        <v>21</v>
      </c>
      <c r="CP12" s="103">
        <f t="shared" si="45"/>
        <v>15</v>
      </c>
      <c r="CQ12" s="104">
        <f t="shared" si="45"/>
        <v>9</v>
      </c>
      <c r="CR12" s="102">
        <f t="shared" si="45"/>
        <v>153</v>
      </c>
      <c r="CS12" s="103">
        <f t="shared" si="45"/>
        <v>117</v>
      </c>
      <c r="CT12" s="104">
        <f t="shared" si="45"/>
        <v>120</v>
      </c>
      <c r="CU12" s="105">
        <f t="shared" si="21"/>
        <v>-0.23529411764705888</v>
      </c>
      <c r="CV12" s="105">
        <f t="shared" si="22"/>
        <v>-2.5000000000000022E-2</v>
      </c>
      <c r="CX12" s="101" t="s">
        <v>265</v>
      </c>
      <c r="CY12" s="108">
        <f t="shared" si="23"/>
        <v>68</v>
      </c>
      <c r="CZ12" s="108">
        <f t="shared" si="24"/>
        <v>13</v>
      </c>
      <c r="DA12" s="108">
        <f t="shared" si="25"/>
        <v>4</v>
      </c>
      <c r="DB12" s="108">
        <f t="shared" si="26"/>
        <v>9</v>
      </c>
      <c r="DC12" s="108">
        <f t="shared" si="27"/>
        <v>0</v>
      </c>
      <c r="DD12" s="108">
        <f t="shared" si="28"/>
        <v>3</v>
      </c>
      <c r="DE12" s="108">
        <f t="shared" si="29"/>
        <v>1</v>
      </c>
      <c r="DF12" s="108">
        <f t="shared" si="30"/>
        <v>17</v>
      </c>
      <c r="DG12" s="108">
        <f t="shared" si="31"/>
        <v>0</v>
      </c>
      <c r="DH12" s="108">
        <f t="shared" si="32"/>
        <v>2</v>
      </c>
      <c r="DI12" s="108">
        <f t="shared" si="33"/>
        <v>117</v>
      </c>
    </row>
    <row r="13" spans="2:114" ht="20.100000000000001" customHeight="1" x14ac:dyDescent="0.2">
      <c r="B13" s="101" t="s">
        <v>266</v>
      </c>
      <c r="C13" s="102">
        <v>16</v>
      </c>
      <c r="D13" s="103">
        <v>12</v>
      </c>
      <c r="E13" s="104">
        <v>7</v>
      </c>
      <c r="F13" s="102">
        <v>122</v>
      </c>
      <c r="G13" s="103">
        <v>79</v>
      </c>
      <c r="H13" s="104">
        <v>81</v>
      </c>
      <c r="I13" s="105">
        <f t="shared" si="0"/>
        <v>-0.35245901639344257</v>
      </c>
      <c r="J13" s="105">
        <f t="shared" si="1"/>
        <v>-2.4691358024691357E-2</v>
      </c>
      <c r="L13" s="102">
        <v>2</v>
      </c>
      <c r="M13" s="103">
        <v>1</v>
      </c>
      <c r="N13" s="104">
        <v>1</v>
      </c>
      <c r="O13" s="102">
        <v>11</v>
      </c>
      <c r="P13" s="103">
        <v>3</v>
      </c>
      <c r="Q13" s="104">
        <v>5</v>
      </c>
      <c r="R13" s="105">
        <f t="shared" si="2"/>
        <v>-0.72727272727272729</v>
      </c>
      <c r="S13" s="105">
        <f t="shared" si="3"/>
        <v>-0.4</v>
      </c>
      <c r="U13" s="102">
        <v>3</v>
      </c>
      <c r="V13" s="103">
        <v>1</v>
      </c>
      <c r="W13" s="104">
        <v>0</v>
      </c>
      <c r="X13" s="102">
        <v>21</v>
      </c>
      <c r="Y13" s="103">
        <v>5</v>
      </c>
      <c r="Z13" s="104">
        <v>17</v>
      </c>
      <c r="AA13" s="105">
        <f t="shared" si="4"/>
        <v>-0.76190476190476186</v>
      </c>
      <c r="AB13" s="105">
        <f t="shared" si="5"/>
        <v>-0.70588235294117641</v>
      </c>
      <c r="AD13" s="102">
        <v>0</v>
      </c>
      <c r="AE13" s="103">
        <v>0</v>
      </c>
      <c r="AF13" s="104">
        <v>0</v>
      </c>
      <c r="AG13" s="102">
        <v>1</v>
      </c>
      <c r="AH13" s="103">
        <v>0</v>
      </c>
      <c r="AI13" s="104">
        <v>0</v>
      </c>
      <c r="AJ13" s="105">
        <f t="shared" si="6"/>
        <v>-1</v>
      </c>
      <c r="AK13" s="105">
        <f t="shared" si="7"/>
        <v>0</v>
      </c>
      <c r="AM13" s="102">
        <v>0</v>
      </c>
      <c r="AN13" s="103">
        <v>0</v>
      </c>
      <c r="AO13" s="104">
        <v>0</v>
      </c>
      <c r="AP13" s="102">
        <v>6</v>
      </c>
      <c r="AQ13" s="103">
        <v>3</v>
      </c>
      <c r="AR13" s="104">
        <v>1</v>
      </c>
      <c r="AS13" s="105">
        <f t="shared" si="8"/>
        <v>-0.5</v>
      </c>
      <c r="AT13" s="105">
        <f t="shared" si="9"/>
        <v>2</v>
      </c>
      <c r="AV13" s="102">
        <v>0</v>
      </c>
      <c r="AW13" s="103">
        <v>0</v>
      </c>
      <c r="AX13" s="104">
        <v>0</v>
      </c>
      <c r="AY13" s="102">
        <v>2</v>
      </c>
      <c r="AZ13" s="103">
        <v>0</v>
      </c>
      <c r="BA13" s="104">
        <v>1</v>
      </c>
      <c r="BB13" s="105">
        <f t="shared" si="10"/>
        <v>-1</v>
      </c>
      <c r="BC13" s="105">
        <f t="shared" si="11"/>
        <v>-1</v>
      </c>
      <c r="BE13" s="102">
        <v>0</v>
      </c>
      <c r="BF13" s="103">
        <v>0</v>
      </c>
      <c r="BG13" s="104">
        <v>0</v>
      </c>
      <c r="BH13" s="102">
        <v>0</v>
      </c>
      <c r="BI13" s="103">
        <v>0</v>
      </c>
      <c r="BJ13" s="104">
        <v>0</v>
      </c>
      <c r="BK13" s="105">
        <f t="shared" si="12"/>
        <v>0</v>
      </c>
      <c r="BL13" s="105">
        <f t="shared" si="13"/>
        <v>0</v>
      </c>
      <c r="BN13" s="102">
        <v>0</v>
      </c>
      <c r="BO13" s="103">
        <v>2</v>
      </c>
      <c r="BP13" s="104">
        <v>0</v>
      </c>
      <c r="BQ13" s="115">
        <v>5</v>
      </c>
      <c r="BR13" s="103">
        <v>7</v>
      </c>
      <c r="BS13" s="104">
        <v>4</v>
      </c>
      <c r="BT13" s="105">
        <f t="shared" si="14"/>
        <v>0.39999999999999991</v>
      </c>
      <c r="BU13" s="105">
        <f t="shared" si="15"/>
        <v>0.75</v>
      </c>
      <c r="BW13" s="102">
        <v>0</v>
      </c>
      <c r="BX13" s="103">
        <v>0</v>
      </c>
      <c r="BY13" s="104">
        <v>0</v>
      </c>
      <c r="BZ13" s="102">
        <v>0</v>
      </c>
      <c r="CA13" s="103">
        <v>2</v>
      </c>
      <c r="CB13" s="104">
        <v>0</v>
      </c>
      <c r="CC13" s="105">
        <f t="shared" si="16"/>
        <v>0</v>
      </c>
      <c r="CD13" s="105">
        <f t="shared" si="17"/>
        <v>0</v>
      </c>
      <c r="CF13" s="102">
        <v>0</v>
      </c>
      <c r="CG13" s="103">
        <v>0</v>
      </c>
      <c r="CH13" s="104">
        <v>0</v>
      </c>
      <c r="CI13" s="102">
        <v>0</v>
      </c>
      <c r="CJ13" s="103">
        <v>2</v>
      </c>
      <c r="CK13" s="104">
        <v>0</v>
      </c>
      <c r="CL13" s="105">
        <f t="shared" si="18"/>
        <v>0</v>
      </c>
      <c r="CM13" s="105">
        <f t="shared" si="19"/>
        <v>0</v>
      </c>
      <c r="CO13" s="102">
        <f t="shared" si="45"/>
        <v>21</v>
      </c>
      <c r="CP13" s="103">
        <f t="shared" si="45"/>
        <v>16</v>
      </c>
      <c r="CQ13" s="104">
        <f t="shared" si="45"/>
        <v>8</v>
      </c>
      <c r="CR13" s="102">
        <f t="shared" si="45"/>
        <v>168</v>
      </c>
      <c r="CS13" s="103">
        <f t="shared" si="45"/>
        <v>101</v>
      </c>
      <c r="CT13" s="104">
        <f t="shared" si="45"/>
        <v>109</v>
      </c>
      <c r="CU13" s="105">
        <f t="shared" si="21"/>
        <v>-0.39880952380952384</v>
      </c>
      <c r="CV13" s="105">
        <f t="shared" si="22"/>
        <v>-7.3394495412844041E-2</v>
      </c>
      <c r="CX13" s="101" t="s">
        <v>266</v>
      </c>
      <c r="CY13" s="108">
        <f t="shared" si="23"/>
        <v>79</v>
      </c>
      <c r="CZ13" s="108">
        <f t="shared" si="24"/>
        <v>3</v>
      </c>
      <c r="DA13" s="108">
        <f t="shared" si="25"/>
        <v>5</v>
      </c>
      <c r="DB13" s="108">
        <f t="shared" si="26"/>
        <v>0</v>
      </c>
      <c r="DC13" s="108">
        <f t="shared" si="27"/>
        <v>3</v>
      </c>
      <c r="DD13" s="108">
        <f t="shared" si="28"/>
        <v>0</v>
      </c>
      <c r="DE13" s="108">
        <f t="shared" si="29"/>
        <v>0</v>
      </c>
      <c r="DF13" s="108">
        <f t="shared" si="30"/>
        <v>7</v>
      </c>
      <c r="DG13" s="108">
        <f t="shared" si="31"/>
        <v>2</v>
      </c>
      <c r="DH13" s="108">
        <f t="shared" si="32"/>
        <v>2</v>
      </c>
      <c r="DI13" s="108">
        <f t="shared" si="33"/>
        <v>101</v>
      </c>
    </row>
    <row r="14" spans="2:114" s="118" customFormat="1" ht="20.100000000000001" customHeight="1" x14ac:dyDescent="0.2">
      <c r="B14" s="116" t="s">
        <v>267</v>
      </c>
      <c r="C14" s="117">
        <f>SUM(C10:C13)</f>
        <v>790</v>
      </c>
      <c r="D14" s="117">
        <f t="shared" ref="D14:H14" si="46">SUM(D10:D13)</f>
        <v>577</v>
      </c>
      <c r="E14" s="117">
        <f t="shared" si="46"/>
        <v>555</v>
      </c>
      <c r="F14" s="117">
        <f t="shared" si="46"/>
        <v>6577</v>
      </c>
      <c r="G14" s="117">
        <f t="shared" si="46"/>
        <v>5685</v>
      </c>
      <c r="H14" s="117">
        <f t="shared" si="46"/>
        <v>5391</v>
      </c>
      <c r="I14" s="112">
        <f t="shared" si="0"/>
        <v>-0.13562414474684503</v>
      </c>
      <c r="J14" s="112">
        <f t="shared" si="1"/>
        <v>5.4535336672231427E-2</v>
      </c>
      <c r="L14" s="117">
        <f>SUM(L10:L13)</f>
        <v>131</v>
      </c>
      <c r="M14" s="117">
        <f t="shared" ref="M14:Q14" si="47">SUM(M10:M13)</f>
        <v>147</v>
      </c>
      <c r="N14" s="117">
        <f t="shared" si="47"/>
        <v>90</v>
      </c>
      <c r="O14" s="117">
        <f t="shared" si="47"/>
        <v>1409</v>
      </c>
      <c r="P14" s="117">
        <f t="shared" si="47"/>
        <v>1453</v>
      </c>
      <c r="Q14" s="117">
        <f t="shared" si="47"/>
        <v>1295</v>
      </c>
      <c r="R14" s="105">
        <f t="shared" si="2"/>
        <v>3.1227821149751644E-2</v>
      </c>
      <c r="S14" s="105">
        <f t="shared" si="3"/>
        <v>0.12200772200772203</v>
      </c>
      <c r="U14" s="117">
        <f>SUM(U10:U13)</f>
        <v>190</v>
      </c>
      <c r="V14" s="117">
        <f t="shared" ref="V14:Z14" si="48">SUM(V10:V13)</f>
        <v>153</v>
      </c>
      <c r="W14" s="117">
        <f t="shared" si="48"/>
        <v>146</v>
      </c>
      <c r="X14" s="117">
        <f t="shared" si="48"/>
        <v>2113</v>
      </c>
      <c r="Y14" s="117">
        <f t="shared" si="48"/>
        <v>1777</v>
      </c>
      <c r="Z14" s="117">
        <f t="shared" si="48"/>
        <v>1593</v>
      </c>
      <c r="AA14" s="105">
        <f t="shared" si="4"/>
        <v>-0.15901561760530047</v>
      </c>
      <c r="AB14" s="105">
        <f t="shared" si="5"/>
        <v>0.11550533584431899</v>
      </c>
      <c r="AD14" s="117">
        <f>SUM(AD10:AD13)</f>
        <v>40</v>
      </c>
      <c r="AE14" s="117">
        <f t="shared" ref="AE14:AI14" si="49">SUM(AE10:AE13)</f>
        <v>43</v>
      </c>
      <c r="AF14" s="117">
        <f t="shared" si="49"/>
        <v>41</v>
      </c>
      <c r="AG14" s="117">
        <f t="shared" si="49"/>
        <v>423</v>
      </c>
      <c r="AH14" s="117">
        <f t="shared" si="49"/>
        <v>422</v>
      </c>
      <c r="AI14" s="117">
        <f t="shared" si="49"/>
        <v>346</v>
      </c>
      <c r="AJ14" s="105">
        <f t="shared" si="6"/>
        <v>-2.3640661938534313E-3</v>
      </c>
      <c r="AK14" s="105">
        <f t="shared" si="7"/>
        <v>0.21965317919075145</v>
      </c>
      <c r="AM14" s="117">
        <f>SUM(AM10:AM13)</f>
        <v>21</v>
      </c>
      <c r="AN14" s="117">
        <f t="shared" ref="AN14:AR14" si="50">SUM(AN10:AN13)</f>
        <v>9</v>
      </c>
      <c r="AO14" s="117">
        <f t="shared" si="50"/>
        <v>10</v>
      </c>
      <c r="AP14" s="117">
        <f t="shared" si="50"/>
        <v>145</v>
      </c>
      <c r="AQ14" s="117">
        <f t="shared" si="50"/>
        <v>81</v>
      </c>
      <c r="AR14" s="117">
        <f t="shared" si="50"/>
        <v>66</v>
      </c>
      <c r="AS14" s="105">
        <f t="shared" si="8"/>
        <v>-0.44137931034482758</v>
      </c>
      <c r="AT14" s="105">
        <f t="shared" si="9"/>
        <v>0.22727272727272729</v>
      </c>
      <c r="AV14" s="117">
        <f>SUM(AV10:AV13)</f>
        <v>39</v>
      </c>
      <c r="AW14" s="117">
        <f t="shared" ref="AW14:BA14" si="51">SUM(AW10:AW13)</f>
        <v>52</v>
      </c>
      <c r="AX14" s="117">
        <f t="shared" si="51"/>
        <v>33</v>
      </c>
      <c r="AY14" s="117">
        <f t="shared" si="51"/>
        <v>398</v>
      </c>
      <c r="AZ14" s="117">
        <f t="shared" si="51"/>
        <v>485</v>
      </c>
      <c r="BA14" s="117">
        <f t="shared" si="51"/>
        <v>426</v>
      </c>
      <c r="BB14" s="105">
        <f t="shared" si="10"/>
        <v>0.21859296482412049</v>
      </c>
      <c r="BC14" s="105">
        <f t="shared" si="11"/>
        <v>0.13849765258215951</v>
      </c>
      <c r="BE14" s="117">
        <f>SUM(BE10:BE13)</f>
        <v>11</v>
      </c>
      <c r="BF14" s="117">
        <f t="shared" ref="BF14:BJ14" si="52">SUM(BF10:BF13)</f>
        <v>7</v>
      </c>
      <c r="BG14" s="117">
        <f t="shared" si="52"/>
        <v>7</v>
      </c>
      <c r="BH14" s="117">
        <f t="shared" si="52"/>
        <v>110</v>
      </c>
      <c r="BI14" s="117">
        <f t="shared" si="52"/>
        <v>97</v>
      </c>
      <c r="BJ14" s="117">
        <f t="shared" si="52"/>
        <v>86</v>
      </c>
      <c r="BK14" s="105">
        <f t="shared" si="12"/>
        <v>-0.11818181818181817</v>
      </c>
      <c r="BL14" s="105">
        <f t="shared" si="13"/>
        <v>0.12790697674418605</v>
      </c>
      <c r="BN14" s="117">
        <f>SUM(BN10:BN13)</f>
        <v>18</v>
      </c>
      <c r="BO14" s="117">
        <f t="shared" ref="BO14:BS14" si="53">SUM(BO10:BO13)</f>
        <v>9</v>
      </c>
      <c r="BP14" s="117">
        <f t="shared" si="53"/>
        <v>8</v>
      </c>
      <c r="BQ14" s="117">
        <f t="shared" si="53"/>
        <v>212</v>
      </c>
      <c r="BR14" s="117">
        <f t="shared" si="53"/>
        <v>97</v>
      </c>
      <c r="BS14" s="117">
        <f t="shared" si="53"/>
        <v>129</v>
      </c>
      <c r="BT14" s="105">
        <f t="shared" si="14"/>
        <v>-0.54245283018867929</v>
      </c>
      <c r="BU14" s="105">
        <f t="shared" si="15"/>
        <v>-0.24806201550387597</v>
      </c>
      <c r="BW14" s="117">
        <f>SUM(BW10:BW13)</f>
        <v>15</v>
      </c>
      <c r="BX14" s="117">
        <f t="shared" ref="BX14:CB14" si="54">SUM(BX10:BX13)</f>
        <v>15</v>
      </c>
      <c r="BY14" s="117">
        <f t="shared" si="54"/>
        <v>9</v>
      </c>
      <c r="BZ14" s="117">
        <f t="shared" si="54"/>
        <v>169</v>
      </c>
      <c r="CA14" s="117">
        <f t="shared" si="54"/>
        <v>153</v>
      </c>
      <c r="CB14" s="117">
        <f t="shared" si="54"/>
        <v>128</v>
      </c>
      <c r="CC14" s="105">
        <f t="shared" si="16"/>
        <v>-9.4674556213017791E-2</v>
      </c>
      <c r="CD14" s="105">
        <f t="shared" si="17"/>
        <v>0.1953125</v>
      </c>
      <c r="CF14" s="117">
        <f>SUM(CF10:CF13)</f>
        <v>5</v>
      </c>
      <c r="CG14" s="117">
        <f t="shared" ref="CG14:CK14" si="55">SUM(CG10:CG13)</f>
        <v>1</v>
      </c>
      <c r="CH14" s="117">
        <f t="shared" si="55"/>
        <v>4</v>
      </c>
      <c r="CI14" s="117">
        <f t="shared" si="55"/>
        <v>51</v>
      </c>
      <c r="CJ14" s="117">
        <f t="shared" si="55"/>
        <v>68</v>
      </c>
      <c r="CK14" s="117">
        <f t="shared" si="55"/>
        <v>44</v>
      </c>
      <c r="CL14" s="105">
        <f t="shared" si="18"/>
        <v>0.33333333333333326</v>
      </c>
      <c r="CM14" s="105">
        <f t="shared" si="19"/>
        <v>0.54545454545454541</v>
      </c>
      <c r="CO14" s="117">
        <f>SUM(CO10:CO13)</f>
        <v>1260</v>
      </c>
      <c r="CP14" s="117">
        <f t="shared" ref="CP14:CT14" si="56">SUM(CP10:CP13)</f>
        <v>1013</v>
      </c>
      <c r="CQ14" s="117">
        <f t="shared" si="56"/>
        <v>903</v>
      </c>
      <c r="CR14" s="117">
        <f t="shared" si="56"/>
        <v>11607</v>
      </c>
      <c r="CS14" s="117">
        <f t="shared" si="56"/>
        <v>10318</v>
      </c>
      <c r="CT14" s="117">
        <f t="shared" si="56"/>
        <v>9504</v>
      </c>
      <c r="CU14" s="112">
        <f t="shared" si="21"/>
        <v>-0.11105367450676318</v>
      </c>
      <c r="CV14" s="112">
        <f t="shared" si="22"/>
        <v>8.564814814814814E-2</v>
      </c>
      <c r="CX14" s="119" t="s">
        <v>267</v>
      </c>
      <c r="CY14" s="114">
        <f t="shared" si="23"/>
        <v>5685</v>
      </c>
      <c r="CZ14" s="114">
        <f t="shared" si="24"/>
        <v>1453</v>
      </c>
      <c r="DA14" s="114">
        <f t="shared" si="25"/>
        <v>1777</v>
      </c>
      <c r="DB14" s="114">
        <f t="shared" si="26"/>
        <v>422</v>
      </c>
      <c r="DC14" s="114">
        <f t="shared" si="27"/>
        <v>81</v>
      </c>
      <c r="DD14" s="114">
        <f t="shared" si="28"/>
        <v>485</v>
      </c>
      <c r="DE14" s="114">
        <f t="shared" si="29"/>
        <v>97</v>
      </c>
      <c r="DF14" s="114">
        <f t="shared" si="30"/>
        <v>97</v>
      </c>
      <c r="DG14" s="114">
        <f t="shared" si="31"/>
        <v>153</v>
      </c>
      <c r="DH14" s="114">
        <f t="shared" si="32"/>
        <v>68</v>
      </c>
      <c r="DI14" s="114">
        <f t="shared" si="33"/>
        <v>10318</v>
      </c>
      <c r="DJ14" s="98"/>
    </row>
    <row r="15" spans="2:114" customFormat="1" ht="9.9499999999999993" customHeight="1" x14ac:dyDescent="0.25">
      <c r="C15" s="120"/>
      <c r="D15" s="120"/>
      <c r="E15" s="120"/>
      <c r="F15" s="120"/>
      <c r="G15" s="120"/>
      <c r="H15" s="120"/>
      <c r="L15" s="120"/>
      <c r="M15" s="120"/>
      <c r="N15" s="120"/>
      <c r="O15" s="120"/>
      <c r="P15" s="120"/>
      <c r="Q15" s="120"/>
      <c r="U15" s="120"/>
      <c r="V15" s="120"/>
      <c r="W15" s="120"/>
      <c r="X15" s="120"/>
      <c r="Y15" s="120"/>
      <c r="Z15" s="120"/>
      <c r="AD15" s="120"/>
      <c r="AE15" s="120"/>
      <c r="AF15" s="120"/>
      <c r="AG15" s="120"/>
      <c r="AH15" s="120"/>
      <c r="AI15" s="120"/>
      <c r="AM15" s="121"/>
      <c r="AN15" s="121"/>
      <c r="AO15" s="121"/>
      <c r="AP15" s="121"/>
      <c r="AQ15" s="121"/>
      <c r="AR15" s="121"/>
      <c r="AV15" s="120"/>
      <c r="AW15" s="120"/>
      <c r="AX15" s="120"/>
      <c r="AY15" s="120"/>
      <c r="AZ15" s="120"/>
      <c r="BA15" s="120"/>
      <c r="BE15" s="120"/>
      <c r="BF15" s="120"/>
      <c r="BG15" s="120"/>
      <c r="BH15" s="120"/>
      <c r="BI15" s="120"/>
      <c r="BJ15" s="120"/>
      <c r="BN15" s="120"/>
      <c r="BO15" s="120"/>
      <c r="BP15" s="120"/>
      <c r="BQ15" s="120"/>
      <c r="BR15" s="120"/>
      <c r="BS15" s="120"/>
      <c r="BW15" s="120"/>
      <c r="BX15" s="120"/>
      <c r="BY15" s="120"/>
      <c r="BZ15" s="120"/>
      <c r="CA15" s="120"/>
      <c r="CB15" s="120"/>
      <c r="CF15" s="120"/>
      <c r="CG15" s="120"/>
      <c r="CH15" s="120"/>
      <c r="CI15" s="120"/>
      <c r="CJ15" s="120"/>
      <c r="CK15" s="120"/>
      <c r="CO15" s="120"/>
      <c r="CP15" s="120"/>
      <c r="CQ15" s="120"/>
      <c r="CR15" s="120"/>
      <c r="CS15" s="120"/>
      <c r="CT15" s="120"/>
    </row>
    <row r="16" spans="2:114" ht="20.100000000000001" customHeight="1" x14ac:dyDescent="0.2">
      <c r="B16" s="101" t="s">
        <v>268</v>
      </c>
      <c r="C16" s="102">
        <v>105</v>
      </c>
      <c r="D16" s="103">
        <v>93</v>
      </c>
      <c r="E16" s="104">
        <v>90</v>
      </c>
      <c r="F16" s="102">
        <v>1149</v>
      </c>
      <c r="G16" s="103">
        <v>1030</v>
      </c>
      <c r="H16" s="104">
        <v>1041</v>
      </c>
      <c r="I16" s="105">
        <f>IFERROR(G16/F16-1,0)</f>
        <v>-0.10356832027850305</v>
      </c>
      <c r="J16" s="105">
        <f>IFERROR(G16/H16-1,0)</f>
        <v>-1.0566762728146051E-2</v>
      </c>
      <c r="L16" s="122"/>
      <c r="M16" s="122"/>
      <c r="N16" s="122"/>
      <c r="O16" s="122"/>
      <c r="P16" s="122"/>
      <c r="Q16" s="122"/>
      <c r="U16" s="122"/>
      <c r="V16" s="122"/>
      <c r="W16" s="122"/>
      <c r="X16" s="122"/>
      <c r="Y16" s="122"/>
      <c r="Z16" s="122"/>
      <c r="AD16" s="122"/>
      <c r="AE16" s="122"/>
      <c r="AF16" s="122"/>
      <c r="AG16" s="122"/>
      <c r="AH16" s="122"/>
      <c r="AI16" s="122"/>
      <c r="AM16" s="123"/>
      <c r="AN16" s="123"/>
      <c r="AO16" s="123"/>
      <c r="AP16" s="123"/>
      <c r="AQ16" s="123"/>
      <c r="AR16" s="123"/>
      <c r="AV16" s="122"/>
      <c r="AW16" s="122"/>
      <c r="AX16" s="122"/>
      <c r="AY16" s="122"/>
      <c r="AZ16" s="122"/>
      <c r="BA16" s="122"/>
      <c r="BE16" s="122"/>
      <c r="BF16" s="122"/>
      <c r="BG16" s="122"/>
      <c r="BH16" s="122"/>
      <c r="BI16" s="122"/>
      <c r="BJ16" s="122"/>
      <c r="BN16" s="122"/>
      <c r="BO16" s="122"/>
      <c r="BP16" s="122"/>
      <c r="BQ16" s="122"/>
      <c r="BR16" s="122"/>
      <c r="BS16" s="122"/>
      <c r="BW16" s="122"/>
      <c r="BX16" s="122"/>
      <c r="BY16" s="122"/>
      <c r="BZ16" s="122"/>
      <c r="CA16" s="122"/>
      <c r="CB16" s="122"/>
      <c r="CF16" s="122"/>
      <c r="CG16" s="122"/>
      <c r="CH16" s="122"/>
      <c r="CI16" s="122"/>
      <c r="CJ16" s="122"/>
      <c r="CK16" s="122"/>
      <c r="CO16" s="102">
        <f t="shared" ref="CO16:CT18" si="57">SUM(C16,L16,U16,AD16,AM16,AV16,BE16,BN16,BW16,CF16)</f>
        <v>105</v>
      </c>
      <c r="CP16" s="103">
        <f t="shared" si="57"/>
        <v>93</v>
      </c>
      <c r="CQ16" s="104">
        <f t="shared" si="57"/>
        <v>90</v>
      </c>
      <c r="CR16" s="102">
        <f t="shared" si="57"/>
        <v>1149</v>
      </c>
      <c r="CS16" s="103">
        <f t="shared" si="57"/>
        <v>1030</v>
      </c>
      <c r="CT16" s="104">
        <f t="shared" si="57"/>
        <v>1041</v>
      </c>
      <c r="CU16" s="105">
        <f>IFERROR(CS16/CR16-1,0)</f>
        <v>-0.10356832027850305</v>
      </c>
      <c r="CV16" s="105">
        <f>IFERROR(CS16/CT16-1,0)</f>
        <v>-1.0566762728146051E-2</v>
      </c>
      <c r="CX16" s="101" t="s">
        <v>268</v>
      </c>
      <c r="CY16" s="108">
        <f>G16</f>
        <v>1030</v>
      </c>
      <c r="CZ16" s="108"/>
      <c r="DA16" s="108"/>
      <c r="DB16" s="108"/>
      <c r="DC16" s="108"/>
      <c r="DD16" s="108"/>
      <c r="DE16" s="108"/>
      <c r="DF16" s="108"/>
      <c r="DG16" s="108"/>
      <c r="DH16" s="108"/>
      <c r="DI16" s="108">
        <f>CS16</f>
        <v>1030</v>
      </c>
    </row>
    <row r="17" spans="2:114" ht="20.100000000000001" customHeight="1" x14ac:dyDescent="0.2">
      <c r="B17" s="101" t="s">
        <v>269</v>
      </c>
      <c r="C17" s="102">
        <v>32</v>
      </c>
      <c r="D17" s="103">
        <v>34</v>
      </c>
      <c r="E17" s="104">
        <v>39</v>
      </c>
      <c r="F17" s="102">
        <v>254</v>
      </c>
      <c r="G17" s="103">
        <v>283</v>
      </c>
      <c r="H17" s="104">
        <v>317</v>
      </c>
      <c r="I17" s="105">
        <f>IFERROR(G17/F17-1,0)</f>
        <v>0.11417322834645671</v>
      </c>
      <c r="J17" s="105">
        <f>IFERROR(G17/H17-1,0)</f>
        <v>-0.10725552050473186</v>
      </c>
      <c r="L17" s="122"/>
      <c r="M17" s="122"/>
      <c r="N17" s="122"/>
      <c r="O17" s="122"/>
      <c r="P17" s="122"/>
      <c r="Q17" s="122"/>
      <c r="U17" s="122"/>
      <c r="V17" s="122"/>
      <c r="W17" s="122"/>
      <c r="X17" s="122"/>
      <c r="Y17" s="122"/>
      <c r="Z17" s="122"/>
      <c r="AD17" s="122"/>
      <c r="AE17" s="122"/>
      <c r="AF17" s="122"/>
      <c r="AG17" s="122"/>
      <c r="AH17" s="122"/>
      <c r="AI17" s="122"/>
      <c r="AM17" s="123"/>
      <c r="AN17" s="123"/>
      <c r="AO17" s="123"/>
      <c r="AP17" s="123"/>
      <c r="AQ17" s="123"/>
      <c r="AR17" s="123"/>
      <c r="AV17" s="122"/>
      <c r="AW17" s="122"/>
      <c r="AX17" s="122"/>
      <c r="AY17" s="122"/>
      <c r="AZ17" s="122"/>
      <c r="BA17" s="122"/>
      <c r="BE17" s="122"/>
      <c r="BF17" s="122"/>
      <c r="BG17" s="122"/>
      <c r="BH17" s="122"/>
      <c r="BI17" s="122"/>
      <c r="BJ17" s="122"/>
      <c r="BN17" s="122"/>
      <c r="BO17" s="122"/>
      <c r="BP17" s="122"/>
      <c r="BQ17" s="122"/>
      <c r="BR17" s="122"/>
      <c r="BS17" s="122"/>
      <c r="BW17" s="122"/>
      <c r="BX17" s="122"/>
      <c r="BY17" s="122"/>
      <c r="BZ17" s="122"/>
      <c r="CA17" s="122"/>
      <c r="CB17" s="122"/>
      <c r="CF17" s="122"/>
      <c r="CG17" s="122"/>
      <c r="CH17" s="122"/>
      <c r="CI17" s="122"/>
      <c r="CJ17" s="122"/>
      <c r="CK17" s="122"/>
      <c r="CO17" s="102">
        <f t="shared" si="57"/>
        <v>32</v>
      </c>
      <c r="CP17" s="103">
        <f t="shared" si="57"/>
        <v>34</v>
      </c>
      <c r="CQ17" s="104">
        <f t="shared" si="57"/>
        <v>39</v>
      </c>
      <c r="CR17" s="102">
        <f t="shared" si="57"/>
        <v>254</v>
      </c>
      <c r="CS17" s="103">
        <f t="shared" si="57"/>
        <v>283</v>
      </c>
      <c r="CT17" s="104">
        <f t="shared" si="57"/>
        <v>317</v>
      </c>
      <c r="CU17" s="105">
        <f>IFERROR(CS17/CR17-1,0)</f>
        <v>0.11417322834645671</v>
      </c>
      <c r="CV17" s="105">
        <f>IFERROR(CS17/CT17-1,0)</f>
        <v>-0.10725552050473186</v>
      </c>
      <c r="CX17" s="101" t="s">
        <v>269</v>
      </c>
      <c r="CY17" s="108">
        <f>G17</f>
        <v>283</v>
      </c>
      <c r="CZ17" s="108"/>
      <c r="DA17" s="108"/>
      <c r="DB17" s="108"/>
      <c r="DC17" s="108"/>
      <c r="DD17" s="108"/>
      <c r="DE17" s="108"/>
      <c r="DF17" s="108"/>
      <c r="DG17" s="108"/>
      <c r="DH17" s="108"/>
      <c r="DI17" s="108">
        <f>CS17</f>
        <v>283</v>
      </c>
    </row>
    <row r="18" spans="2:114" ht="20.100000000000001" customHeight="1" x14ac:dyDescent="0.2">
      <c r="B18" s="124" t="s">
        <v>270</v>
      </c>
      <c r="C18" s="117">
        <f t="shared" ref="C18:H18" si="58">C16+C17</f>
        <v>137</v>
      </c>
      <c r="D18" s="117">
        <f t="shared" si="58"/>
        <v>127</v>
      </c>
      <c r="E18" s="117">
        <f t="shared" si="58"/>
        <v>129</v>
      </c>
      <c r="F18" s="117">
        <f t="shared" si="58"/>
        <v>1403</v>
      </c>
      <c r="G18" s="117">
        <f t="shared" si="58"/>
        <v>1313</v>
      </c>
      <c r="H18" s="117">
        <f t="shared" si="58"/>
        <v>1358</v>
      </c>
      <c r="I18" s="112">
        <f>IFERROR(G18/F18-1,0)</f>
        <v>-6.414825374198152E-2</v>
      </c>
      <c r="J18" s="112">
        <f>IFERROR(G18/H18-1,0)</f>
        <v>-3.3136966126656842E-2</v>
      </c>
      <c r="L18" s="122"/>
      <c r="M18" s="122"/>
      <c r="N18" s="122"/>
      <c r="O18" s="122"/>
      <c r="P18" s="122"/>
      <c r="Q18" s="122"/>
      <c r="U18" s="122"/>
      <c r="V18" s="122"/>
      <c r="W18" s="122"/>
      <c r="X18" s="122"/>
      <c r="Y18" s="122"/>
      <c r="Z18" s="122"/>
      <c r="AD18" s="102">
        <v>0</v>
      </c>
      <c r="AE18" s="103">
        <v>0</v>
      </c>
      <c r="AF18" s="104">
        <v>0</v>
      </c>
      <c r="AG18" s="102">
        <v>5</v>
      </c>
      <c r="AH18" s="103">
        <v>2</v>
      </c>
      <c r="AI18" s="104">
        <v>1</v>
      </c>
      <c r="AJ18" s="105">
        <f>IFERROR(AH18/AG18-1,0)</f>
        <v>-0.6</v>
      </c>
      <c r="AK18" s="105">
        <f>IFERROR(AH18/AI18-1,0)</f>
        <v>1</v>
      </c>
      <c r="AM18" s="102">
        <v>7</v>
      </c>
      <c r="AN18" s="103">
        <v>2</v>
      </c>
      <c r="AO18" s="104">
        <v>4</v>
      </c>
      <c r="AP18" s="102">
        <v>45</v>
      </c>
      <c r="AQ18" s="103">
        <v>79</v>
      </c>
      <c r="AR18" s="104">
        <v>47</v>
      </c>
      <c r="AS18" s="105">
        <f>IFERROR(AQ18/AP18-1,0)</f>
        <v>0.75555555555555554</v>
      </c>
      <c r="AT18" s="105">
        <f>IFERROR(AQ18/AR18-1,0)</f>
        <v>0.68085106382978733</v>
      </c>
      <c r="AV18" s="102">
        <v>12</v>
      </c>
      <c r="AW18" s="103">
        <v>20</v>
      </c>
      <c r="AX18" s="104">
        <v>7</v>
      </c>
      <c r="AY18" s="102">
        <v>118</v>
      </c>
      <c r="AZ18" s="103">
        <v>120</v>
      </c>
      <c r="BA18" s="104">
        <v>136</v>
      </c>
      <c r="BB18" s="105">
        <f>IFERROR(AZ18/AY18-1,0)</f>
        <v>1.6949152542372836E-2</v>
      </c>
      <c r="BC18" s="105">
        <f>IFERROR(AZ18/BA18-1,0)</f>
        <v>-0.11764705882352944</v>
      </c>
      <c r="BE18" s="102">
        <v>1</v>
      </c>
      <c r="BF18" s="103">
        <v>1</v>
      </c>
      <c r="BG18" s="104">
        <v>1</v>
      </c>
      <c r="BH18" s="102">
        <v>2</v>
      </c>
      <c r="BI18" s="103">
        <v>6</v>
      </c>
      <c r="BJ18" s="104">
        <v>2</v>
      </c>
      <c r="BK18" s="105">
        <f>IFERROR(BI18/BH18-1,0)</f>
        <v>2</v>
      </c>
      <c r="BL18" s="105">
        <f>IFERROR(BI18/BJ18-1,0)</f>
        <v>2</v>
      </c>
      <c r="BN18" s="102">
        <v>2</v>
      </c>
      <c r="BO18" s="103">
        <v>0</v>
      </c>
      <c r="BP18" s="104">
        <v>1</v>
      </c>
      <c r="BQ18" s="102">
        <v>17</v>
      </c>
      <c r="BR18" s="103">
        <v>12</v>
      </c>
      <c r="BS18" s="104">
        <v>21</v>
      </c>
      <c r="BT18" s="105">
        <f>IFERROR(BR18/BQ18-1,0)</f>
        <v>-0.29411764705882348</v>
      </c>
      <c r="BU18" s="105">
        <f>IFERROR(BR18/BS18-1,0)</f>
        <v>-0.4285714285714286</v>
      </c>
      <c r="BW18" s="102">
        <v>8</v>
      </c>
      <c r="BX18" s="103">
        <v>14</v>
      </c>
      <c r="BY18" s="104">
        <v>15</v>
      </c>
      <c r="BZ18" s="102">
        <v>86</v>
      </c>
      <c r="CA18" s="103">
        <v>99</v>
      </c>
      <c r="CB18" s="104">
        <v>84</v>
      </c>
      <c r="CC18" s="105">
        <f>IFERROR(CA18/BZ18-1,0)</f>
        <v>0.15116279069767447</v>
      </c>
      <c r="CD18" s="105">
        <f>IFERROR(CA18/CB18-1,0)</f>
        <v>0.1785714285714286</v>
      </c>
      <c r="CF18" s="102">
        <v>2</v>
      </c>
      <c r="CG18" s="103">
        <v>2</v>
      </c>
      <c r="CH18" s="104">
        <v>3</v>
      </c>
      <c r="CI18" s="102">
        <v>25</v>
      </c>
      <c r="CJ18" s="103">
        <v>26</v>
      </c>
      <c r="CK18" s="104">
        <v>22</v>
      </c>
      <c r="CL18" s="105">
        <f>IFERROR(CJ18/CI18-1,0)</f>
        <v>4.0000000000000036E-2</v>
      </c>
      <c r="CM18" s="105">
        <f>IFERROR(CJ18/CK18-1,0)</f>
        <v>0.18181818181818188</v>
      </c>
      <c r="CO18" s="117">
        <f t="shared" si="57"/>
        <v>169</v>
      </c>
      <c r="CP18" s="117">
        <f t="shared" si="57"/>
        <v>166</v>
      </c>
      <c r="CQ18" s="117">
        <f t="shared" si="57"/>
        <v>160</v>
      </c>
      <c r="CR18" s="117">
        <f t="shared" si="57"/>
        <v>1701</v>
      </c>
      <c r="CS18" s="117">
        <f t="shared" si="57"/>
        <v>1657</v>
      </c>
      <c r="CT18" s="117">
        <f t="shared" si="57"/>
        <v>1671</v>
      </c>
      <c r="CU18" s="112">
        <f>IFERROR(CS18/CR18-1,0)</f>
        <v>-2.5867136978248051E-2</v>
      </c>
      <c r="CV18" s="112">
        <f>IFERROR(CS18/CT18-1,0)</f>
        <v>-8.3782166367444288E-3</v>
      </c>
      <c r="CX18" s="124" t="s">
        <v>270</v>
      </c>
      <c r="CY18" s="114">
        <f>G18</f>
        <v>1313</v>
      </c>
      <c r="CZ18" s="114">
        <f>P18</f>
        <v>0</v>
      </c>
      <c r="DA18" s="114">
        <f>Y18</f>
        <v>0</v>
      </c>
      <c r="DB18" s="114">
        <f>AH18</f>
        <v>2</v>
      </c>
      <c r="DC18" s="114">
        <f>AQ18</f>
        <v>79</v>
      </c>
      <c r="DD18" s="114">
        <f>AZ18</f>
        <v>120</v>
      </c>
      <c r="DE18" s="114">
        <f>BI18</f>
        <v>6</v>
      </c>
      <c r="DF18" s="114">
        <f>BR18</f>
        <v>12</v>
      </c>
      <c r="DG18" s="114">
        <f>CA18</f>
        <v>99</v>
      </c>
      <c r="DH18" s="114">
        <f>CJ18</f>
        <v>26</v>
      </c>
      <c r="DI18" s="114">
        <f>CS18</f>
        <v>1657</v>
      </c>
    </row>
    <row r="19" spans="2:114" customFormat="1" ht="9.9499999999999993" customHeight="1" x14ac:dyDescent="0.25">
      <c r="C19" s="120"/>
      <c r="D19" s="120"/>
      <c r="E19" s="120"/>
      <c r="F19" s="120"/>
      <c r="G19" s="120"/>
      <c r="H19" s="120"/>
      <c r="L19" s="120"/>
      <c r="M19" s="120"/>
      <c r="N19" s="120"/>
      <c r="O19" s="120"/>
      <c r="P19" s="120"/>
      <c r="Q19" s="120"/>
      <c r="U19" s="120"/>
      <c r="V19" s="120"/>
      <c r="W19" s="120"/>
      <c r="X19" s="120"/>
      <c r="Y19" s="120"/>
      <c r="Z19" s="120"/>
      <c r="AD19" s="120"/>
      <c r="AE19" s="120"/>
      <c r="AF19" s="120"/>
      <c r="AG19" s="120"/>
      <c r="AH19" s="120"/>
      <c r="AI19" s="120"/>
      <c r="AM19" s="121"/>
      <c r="AN19" s="121"/>
      <c r="AO19" s="121"/>
      <c r="AP19" s="121"/>
      <c r="AQ19" s="121"/>
      <c r="AR19" s="121"/>
      <c r="AV19" s="120"/>
      <c r="AW19" s="120"/>
      <c r="AX19" s="120"/>
      <c r="AY19" s="120"/>
      <c r="AZ19" s="120"/>
      <c r="BA19" s="120"/>
      <c r="BE19" s="120"/>
      <c r="BF19" s="120"/>
      <c r="BG19" s="120"/>
      <c r="BH19" s="120"/>
      <c r="BI19" s="120"/>
      <c r="BJ19" s="120"/>
      <c r="BN19" s="120"/>
      <c r="BO19" s="120"/>
      <c r="BP19" s="120"/>
      <c r="BQ19" s="120"/>
      <c r="BR19" s="120"/>
      <c r="BS19" s="120"/>
      <c r="BW19" s="120"/>
      <c r="BX19" s="120"/>
      <c r="BY19" s="120"/>
      <c r="BZ19" s="120"/>
      <c r="CA19" s="120"/>
      <c r="CB19" s="120"/>
      <c r="CF19" s="120"/>
      <c r="CG19" s="120"/>
      <c r="CH19" s="120"/>
      <c r="CI19" s="120"/>
      <c r="CJ19" s="120"/>
      <c r="CK19" s="120"/>
      <c r="CO19" s="120"/>
      <c r="CP19" s="120"/>
      <c r="CQ19" s="120"/>
      <c r="CR19" s="120"/>
      <c r="CS19" s="120"/>
      <c r="CT19" s="120"/>
    </row>
    <row r="20" spans="2:114" ht="20.100000000000001" customHeight="1" x14ac:dyDescent="0.2">
      <c r="B20" s="101" t="s">
        <v>271</v>
      </c>
      <c r="C20" s="102">
        <v>1339</v>
      </c>
      <c r="D20" s="103">
        <v>1178</v>
      </c>
      <c r="E20" s="104">
        <v>1046</v>
      </c>
      <c r="F20" s="102">
        <v>12219</v>
      </c>
      <c r="G20" s="103">
        <v>11500</v>
      </c>
      <c r="H20" s="104">
        <v>11477</v>
      </c>
      <c r="I20" s="112">
        <f>IFERROR(G20/F20-1,0)</f>
        <v>-5.884278582535396E-2</v>
      </c>
      <c r="J20" s="112">
        <f>IFERROR(G20/H20-1,0)</f>
        <v>2.0040080160319551E-3</v>
      </c>
      <c r="L20" s="122"/>
      <c r="M20" s="122"/>
      <c r="N20" s="122"/>
      <c r="O20" s="122"/>
      <c r="P20" s="122"/>
      <c r="Q20" s="122"/>
      <c r="U20" s="102">
        <v>0</v>
      </c>
      <c r="V20" s="103">
        <v>0</v>
      </c>
      <c r="W20" s="104">
        <v>4</v>
      </c>
      <c r="X20" s="102">
        <v>0</v>
      </c>
      <c r="Y20" s="103">
        <v>37</v>
      </c>
      <c r="Z20" s="104">
        <v>55</v>
      </c>
      <c r="AA20" s="105">
        <f>IFERROR(Y20/X20-1,0)</f>
        <v>0</v>
      </c>
      <c r="AB20" s="105">
        <f>IFERROR(Y20/Z20-1,0)</f>
        <v>-0.32727272727272727</v>
      </c>
      <c r="AD20" s="102">
        <v>2</v>
      </c>
      <c r="AE20" s="103">
        <v>-1</v>
      </c>
      <c r="AF20" s="104">
        <v>26</v>
      </c>
      <c r="AG20" s="102">
        <v>35</v>
      </c>
      <c r="AH20" s="103">
        <v>24</v>
      </c>
      <c r="AI20" s="104">
        <v>68</v>
      </c>
      <c r="AJ20" s="105">
        <f>IFERROR(AH20/AG20-1,0)</f>
        <v>-0.31428571428571428</v>
      </c>
      <c r="AK20" s="105">
        <f>IFERROR(AH20/AI20-1,0)</f>
        <v>-0.64705882352941169</v>
      </c>
      <c r="AM20" s="102">
        <v>11</v>
      </c>
      <c r="AN20" s="103">
        <v>0</v>
      </c>
      <c r="AO20" s="104">
        <v>10</v>
      </c>
      <c r="AP20" s="102">
        <v>91</v>
      </c>
      <c r="AQ20" s="103">
        <v>58</v>
      </c>
      <c r="AR20" s="104">
        <v>59</v>
      </c>
      <c r="AS20" s="105">
        <f>IFERROR(AQ20/AP20-1,0)</f>
        <v>-0.36263736263736268</v>
      </c>
      <c r="AT20" s="105">
        <f>IFERROR(AQ20/AR20-1,0)</f>
        <v>-1.6949152542372836E-2</v>
      </c>
      <c r="AV20" s="102">
        <v>15</v>
      </c>
      <c r="AW20" s="103">
        <v>10</v>
      </c>
      <c r="AX20" s="104">
        <v>15</v>
      </c>
      <c r="AY20" s="102">
        <v>133</v>
      </c>
      <c r="AZ20" s="103">
        <v>186</v>
      </c>
      <c r="BA20" s="104">
        <v>118</v>
      </c>
      <c r="BB20" s="105">
        <f>IFERROR(AZ20/AY20-1,0)</f>
        <v>0.39849624060150379</v>
      </c>
      <c r="BC20" s="105">
        <f>IFERROR(AZ20/BA20-1,0)</f>
        <v>0.57627118644067798</v>
      </c>
      <c r="BE20" s="102">
        <v>7</v>
      </c>
      <c r="BF20" s="103">
        <v>18</v>
      </c>
      <c r="BG20" s="104">
        <v>1</v>
      </c>
      <c r="BH20" s="102">
        <v>93</v>
      </c>
      <c r="BI20" s="103">
        <v>93</v>
      </c>
      <c r="BJ20" s="104">
        <v>106</v>
      </c>
      <c r="BK20" s="105">
        <f>IFERROR(BI20/BH20-1,0)</f>
        <v>0</v>
      </c>
      <c r="BL20" s="105">
        <f>IFERROR(BI20/BJ20-1,0)</f>
        <v>-0.12264150943396224</v>
      </c>
      <c r="BN20" s="102">
        <v>0</v>
      </c>
      <c r="BO20" s="103">
        <v>1</v>
      </c>
      <c r="BP20" s="104">
        <v>2</v>
      </c>
      <c r="BQ20" s="102">
        <v>9</v>
      </c>
      <c r="BR20" s="103">
        <v>12</v>
      </c>
      <c r="BS20" s="104">
        <v>23</v>
      </c>
      <c r="BT20" s="105">
        <f>IFERROR(BR20/BQ20-1,0)</f>
        <v>0.33333333333333326</v>
      </c>
      <c r="BU20" s="105">
        <f>IFERROR(BR20/BS20-1,0)</f>
        <v>-0.47826086956521741</v>
      </c>
      <c r="BW20" s="102">
        <v>0</v>
      </c>
      <c r="BX20" s="103">
        <v>0</v>
      </c>
      <c r="BY20" s="104">
        <v>0</v>
      </c>
      <c r="BZ20" s="102">
        <v>0</v>
      </c>
      <c r="CA20" s="103">
        <v>0</v>
      </c>
      <c r="CB20" s="104">
        <v>0</v>
      </c>
      <c r="CC20" s="105">
        <f>IFERROR(CA20/BZ20-1,0)</f>
        <v>0</v>
      </c>
      <c r="CD20" s="105">
        <f>IFERROR(CA20/CB20-1,0)</f>
        <v>0</v>
      </c>
      <c r="CF20" s="102">
        <v>2</v>
      </c>
      <c r="CG20" s="103">
        <v>0</v>
      </c>
      <c r="CH20" s="104">
        <v>4</v>
      </c>
      <c r="CI20" s="102">
        <v>32</v>
      </c>
      <c r="CJ20" s="103">
        <v>17</v>
      </c>
      <c r="CK20" s="104">
        <v>19</v>
      </c>
      <c r="CL20" s="105">
        <f>IFERROR(CJ20/CI20-1,0)</f>
        <v>-0.46875</v>
      </c>
      <c r="CM20" s="105">
        <f>IFERROR(CJ20/CK20-1,0)</f>
        <v>-0.10526315789473684</v>
      </c>
      <c r="CO20" s="102">
        <f t="shared" ref="CO20:CT20" si="59">SUM(C20,L20,U20,AD20,AM20,AV20,BE20,BN20,BW20,CF20)</f>
        <v>1376</v>
      </c>
      <c r="CP20" s="103">
        <f t="shared" si="59"/>
        <v>1206</v>
      </c>
      <c r="CQ20" s="104">
        <f t="shared" si="59"/>
        <v>1108</v>
      </c>
      <c r="CR20" s="102">
        <f t="shared" si="59"/>
        <v>12612</v>
      </c>
      <c r="CS20" s="103">
        <f t="shared" si="59"/>
        <v>11927</v>
      </c>
      <c r="CT20" s="104">
        <f t="shared" si="59"/>
        <v>11925</v>
      </c>
      <c r="CU20" s="112">
        <f>IFERROR(CS20/CR20-1,0)</f>
        <v>-5.4313352362829082E-2</v>
      </c>
      <c r="CV20" s="112">
        <f>IFERROR(CS20/CT20-1,0)</f>
        <v>1.6771488469591311E-4</v>
      </c>
      <c r="CX20" s="125" t="s">
        <v>271</v>
      </c>
      <c r="CY20" s="114">
        <f>G20</f>
        <v>11500</v>
      </c>
      <c r="CZ20" s="114">
        <f>P20</f>
        <v>0</v>
      </c>
      <c r="DA20" s="114">
        <f>Y20</f>
        <v>37</v>
      </c>
      <c r="DB20" s="114">
        <f>AH20</f>
        <v>24</v>
      </c>
      <c r="DC20" s="114">
        <f>AQ20</f>
        <v>58</v>
      </c>
      <c r="DD20" s="114">
        <f>AZ20</f>
        <v>186</v>
      </c>
      <c r="DE20" s="114">
        <f>BI20</f>
        <v>93</v>
      </c>
      <c r="DF20" s="114">
        <f>BR20</f>
        <v>12</v>
      </c>
      <c r="DG20" s="114">
        <f>CA20</f>
        <v>0</v>
      </c>
      <c r="DH20" s="114">
        <f>CJ20</f>
        <v>17</v>
      </c>
      <c r="DI20" s="114">
        <f>CS20</f>
        <v>11927</v>
      </c>
    </row>
    <row r="21" spans="2:114" customFormat="1" ht="9.9499999999999993" customHeight="1" x14ac:dyDescent="0.25">
      <c r="C21" s="120"/>
      <c r="D21" s="120"/>
      <c r="E21" s="120"/>
      <c r="F21" s="120"/>
      <c r="G21" s="120"/>
      <c r="H21" s="120"/>
      <c r="L21" s="120"/>
      <c r="M21" s="120"/>
      <c r="N21" s="120"/>
      <c r="O21" s="120"/>
      <c r="P21" s="120"/>
      <c r="Q21" s="120"/>
      <c r="U21" s="120"/>
      <c r="V21" s="120"/>
      <c r="W21" s="120"/>
      <c r="X21" s="120"/>
      <c r="Y21" s="120"/>
      <c r="Z21" s="120"/>
      <c r="AD21" s="120"/>
      <c r="AE21" s="120"/>
      <c r="AF21" s="120"/>
      <c r="AG21" s="120"/>
      <c r="AH21" s="120"/>
      <c r="AI21" s="120"/>
      <c r="AM21" s="121"/>
      <c r="AN21" s="121"/>
      <c r="AO21" s="121"/>
      <c r="AP21" s="121"/>
      <c r="AQ21" s="121"/>
      <c r="AR21" s="121"/>
      <c r="AV21" s="120"/>
      <c r="AW21" s="120"/>
      <c r="AX21" s="120"/>
      <c r="AY21" s="120"/>
      <c r="AZ21" s="120"/>
      <c r="BA21" s="120"/>
      <c r="BE21" s="120"/>
      <c r="BF21" s="120"/>
      <c r="BG21" s="120"/>
      <c r="BH21" s="120"/>
      <c r="BI21" s="120"/>
      <c r="BJ21" s="120"/>
      <c r="BN21" s="120"/>
      <c r="BO21" s="120"/>
      <c r="BP21" s="120"/>
      <c r="BQ21" s="120"/>
      <c r="BR21" s="120"/>
      <c r="BS21" s="120"/>
      <c r="BW21" s="120"/>
      <c r="BX21" s="120"/>
      <c r="BY21" s="120"/>
      <c r="BZ21" s="120"/>
      <c r="CA21" s="120"/>
      <c r="CB21" s="120"/>
      <c r="CF21" s="120"/>
      <c r="CG21" s="120"/>
      <c r="CH21" s="120"/>
      <c r="CI21" s="120"/>
      <c r="CJ21" s="120"/>
      <c r="CK21" s="120"/>
      <c r="CO21" s="120"/>
      <c r="CP21" s="120"/>
      <c r="CQ21" s="120"/>
      <c r="CR21" s="120"/>
      <c r="CS21" s="120"/>
      <c r="CT21" s="120"/>
    </row>
    <row r="22" spans="2:114" ht="20.100000000000001" customHeight="1" x14ac:dyDescent="0.2">
      <c r="B22" s="101" t="s">
        <v>272</v>
      </c>
      <c r="C22" s="102">
        <v>499</v>
      </c>
      <c r="D22" s="103">
        <v>696</v>
      </c>
      <c r="E22" s="104">
        <v>411</v>
      </c>
      <c r="F22" s="102">
        <v>5588</v>
      </c>
      <c r="G22" s="103">
        <v>7178</v>
      </c>
      <c r="H22" s="104">
        <v>4887</v>
      </c>
      <c r="I22" s="112">
        <f>IFERROR(G22/F22-1,0)</f>
        <v>0.28453829634931993</v>
      </c>
      <c r="J22" s="112">
        <f>IFERROR(G22/H22-1,0)</f>
        <v>0.46879476161244127</v>
      </c>
      <c r="L22" s="122"/>
      <c r="M22" s="122"/>
      <c r="N22" s="122"/>
      <c r="O22" s="122"/>
      <c r="P22" s="122"/>
      <c r="Q22" s="122"/>
      <c r="U22" s="122"/>
      <c r="V22" s="122"/>
      <c r="W22" s="122"/>
      <c r="X22" s="122"/>
      <c r="Y22" s="122"/>
      <c r="Z22" s="122"/>
      <c r="AD22" s="122"/>
      <c r="AE22" s="122"/>
      <c r="AF22" s="122"/>
      <c r="AG22" s="122"/>
      <c r="AH22" s="122"/>
      <c r="AI22" s="122"/>
      <c r="AM22" s="123"/>
      <c r="AN22" s="123"/>
      <c r="AO22" s="123"/>
      <c r="AP22" s="123"/>
      <c r="AQ22" s="123"/>
      <c r="AR22" s="123"/>
      <c r="AV22" s="122"/>
      <c r="AW22" s="122"/>
      <c r="AX22" s="122"/>
      <c r="AY22" s="122"/>
      <c r="AZ22" s="122"/>
      <c r="BA22" s="122"/>
      <c r="BE22" s="122"/>
      <c r="BF22" s="122"/>
      <c r="BG22" s="122"/>
      <c r="BH22" s="122"/>
      <c r="BI22" s="122"/>
      <c r="BJ22" s="122"/>
      <c r="BN22" s="122"/>
      <c r="BO22" s="122"/>
      <c r="BP22" s="122"/>
      <c r="BQ22" s="122"/>
      <c r="BR22" s="122"/>
      <c r="BS22" s="122"/>
      <c r="BW22" s="122"/>
      <c r="BX22" s="122"/>
      <c r="BY22" s="122"/>
      <c r="BZ22" s="122"/>
      <c r="CA22" s="122"/>
      <c r="CB22" s="122"/>
      <c r="CF22" s="122"/>
      <c r="CG22" s="122"/>
      <c r="CH22" s="122"/>
      <c r="CI22" s="122"/>
      <c r="CJ22" s="122"/>
      <c r="CK22" s="122"/>
      <c r="CO22" s="102">
        <f t="shared" ref="CO22:CT22" si="60">SUM(C22,L22,U22,AD22,AM22,AV22,BE22,BN22,BW22,CF22)</f>
        <v>499</v>
      </c>
      <c r="CP22" s="103">
        <f t="shared" si="60"/>
        <v>696</v>
      </c>
      <c r="CQ22" s="104">
        <f t="shared" si="60"/>
        <v>411</v>
      </c>
      <c r="CR22" s="102">
        <f t="shared" si="60"/>
        <v>5588</v>
      </c>
      <c r="CS22" s="103">
        <f t="shared" si="60"/>
        <v>7178</v>
      </c>
      <c r="CT22" s="104">
        <f t="shared" si="60"/>
        <v>4887</v>
      </c>
      <c r="CU22" s="112">
        <f>IFERROR(CS22/CR22-1,0)</f>
        <v>0.28453829634931993</v>
      </c>
      <c r="CV22" s="112">
        <f>IFERROR(CS22/CT22-1,0)</f>
        <v>0.46879476161244127</v>
      </c>
      <c r="CX22" s="125" t="s">
        <v>272</v>
      </c>
      <c r="CY22" s="114">
        <f>G22</f>
        <v>7178</v>
      </c>
      <c r="CZ22" s="114"/>
      <c r="DA22" s="114"/>
      <c r="DB22" s="114"/>
      <c r="DC22" s="114"/>
      <c r="DD22" s="114"/>
      <c r="DE22" s="114"/>
      <c r="DF22" s="114"/>
      <c r="DG22" s="114"/>
      <c r="DH22" s="114"/>
      <c r="DI22" s="114">
        <f>CS22</f>
        <v>7178</v>
      </c>
    </row>
    <row r="23" spans="2:114" customFormat="1" ht="9.9499999999999993" customHeight="1" x14ac:dyDescent="0.25">
      <c r="C23" s="120"/>
      <c r="D23" s="120"/>
      <c r="E23" s="120"/>
      <c r="F23" s="120"/>
      <c r="G23" s="120"/>
      <c r="H23" s="120"/>
      <c r="L23" s="120"/>
      <c r="M23" s="120"/>
      <c r="N23" s="120"/>
      <c r="O23" s="120"/>
      <c r="P23" s="120"/>
      <c r="Q23" s="120"/>
      <c r="U23" s="120"/>
      <c r="V23" s="120"/>
      <c r="W23" s="120"/>
      <c r="X23" s="120"/>
      <c r="Y23" s="120"/>
      <c r="Z23" s="120"/>
      <c r="AD23" s="120"/>
      <c r="AE23" s="120"/>
      <c r="AF23" s="120"/>
      <c r="AG23" s="120"/>
      <c r="AH23" s="120"/>
      <c r="AI23" s="120"/>
      <c r="AM23" s="121"/>
      <c r="AN23" s="121"/>
      <c r="AO23" s="121"/>
      <c r="AP23" s="121"/>
      <c r="AQ23" s="121"/>
      <c r="AR23" s="121"/>
      <c r="AV23" s="120"/>
      <c r="AW23" s="120"/>
      <c r="AX23" s="120"/>
      <c r="AY23" s="120"/>
      <c r="AZ23" s="120"/>
      <c r="BA23" s="120"/>
      <c r="BE23" s="120"/>
      <c r="BF23" s="120"/>
      <c r="BG23" s="120"/>
      <c r="BH23" s="120"/>
      <c r="BI23" s="120"/>
      <c r="BJ23" s="120"/>
      <c r="BN23" s="120"/>
      <c r="BO23" s="120"/>
      <c r="BP23" s="120"/>
      <c r="BQ23" s="120"/>
      <c r="BR23" s="120"/>
      <c r="BS23" s="120"/>
      <c r="BW23" s="120"/>
      <c r="BX23" s="120"/>
      <c r="BY23" s="120"/>
      <c r="BZ23" s="120"/>
      <c r="CA23" s="120"/>
      <c r="CB23" s="120"/>
      <c r="CF23" s="120"/>
      <c r="CG23" s="120"/>
      <c r="CH23" s="120"/>
      <c r="CI23" s="120"/>
      <c r="CJ23" s="120"/>
      <c r="CK23" s="120"/>
      <c r="CO23" s="120"/>
      <c r="CP23" s="120"/>
      <c r="CQ23" s="120"/>
      <c r="CR23" s="120"/>
      <c r="CS23" s="120"/>
      <c r="CT23" s="120"/>
    </row>
    <row r="24" spans="2:114" ht="20.100000000000001" customHeight="1" x14ac:dyDescent="0.2">
      <c r="B24" s="101" t="s">
        <v>273</v>
      </c>
      <c r="C24" s="102">
        <v>710</v>
      </c>
      <c r="D24" s="103">
        <v>651</v>
      </c>
      <c r="E24" s="104">
        <v>325</v>
      </c>
      <c r="F24" s="102">
        <v>3238</v>
      </c>
      <c r="G24" s="103">
        <v>3482</v>
      </c>
      <c r="H24" s="104">
        <v>3927</v>
      </c>
      <c r="I24" s="112">
        <f>IFERROR(G24/F24-1,0)</f>
        <v>7.5355157504632508E-2</v>
      </c>
      <c r="J24" s="112">
        <f>IFERROR(G24/H24-1,0)</f>
        <v>-0.11331805449452503</v>
      </c>
      <c r="L24" s="122"/>
      <c r="M24" s="122"/>
      <c r="N24" s="122"/>
      <c r="O24" s="122"/>
      <c r="P24" s="122"/>
      <c r="Q24" s="122"/>
      <c r="U24" s="122"/>
      <c r="V24" s="122"/>
      <c r="W24" s="122"/>
      <c r="X24" s="122"/>
      <c r="Y24" s="122"/>
      <c r="Z24" s="122"/>
      <c r="AD24" s="122"/>
      <c r="AE24" s="122"/>
      <c r="AF24" s="122"/>
      <c r="AG24" s="122"/>
      <c r="AH24" s="122"/>
      <c r="AI24" s="122"/>
      <c r="AM24" s="123"/>
      <c r="AN24" s="123"/>
      <c r="AO24" s="123"/>
      <c r="AP24" s="123"/>
      <c r="AQ24" s="123"/>
      <c r="AR24" s="123"/>
      <c r="AV24" s="122"/>
      <c r="AW24" s="122"/>
      <c r="AX24" s="122"/>
      <c r="AY24" s="122"/>
      <c r="AZ24" s="122"/>
      <c r="BA24" s="122"/>
      <c r="BE24" s="122"/>
      <c r="BF24" s="122"/>
      <c r="BG24" s="122"/>
      <c r="BH24" s="122"/>
      <c r="BI24" s="122"/>
      <c r="BJ24" s="122"/>
      <c r="BN24" s="122"/>
      <c r="BO24" s="122"/>
      <c r="BP24" s="122"/>
      <c r="BQ24" s="122"/>
      <c r="BR24" s="122"/>
      <c r="BS24" s="122"/>
      <c r="BW24" s="122"/>
      <c r="BX24" s="122"/>
      <c r="BY24" s="122"/>
      <c r="BZ24" s="122"/>
      <c r="CA24" s="122"/>
      <c r="CB24" s="122"/>
      <c r="CF24" s="122"/>
      <c r="CG24" s="122"/>
      <c r="CH24" s="122"/>
      <c r="CI24" s="122"/>
      <c r="CJ24" s="122"/>
      <c r="CK24" s="122"/>
      <c r="CO24" s="102">
        <f t="shared" ref="CO24:CT24" si="61">SUM(C24,L24,U24,AD24,AM24,AV24,BE24,BN24,BW24,CF24)</f>
        <v>710</v>
      </c>
      <c r="CP24" s="103">
        <f t="shared" si="61"/>
        <v>651</v>
      </c>
      <c r="CQ24" s="104">
        <f t="shared" si="61"/>
        <v>325</v>
      </c>
      <c r="CR24" s="102">
        <f t="shared" si="61"/>
        <v>3238</v>
      </c>
      <c r="CS24" s="103">
        <f t="shared" si="61"/>
        <v>3482</v>
      </c>
      <c r="CT24" s="104">
        <f t="shared" si="61"/>
        <v>3927</v>
      </c>
      <c r="CU24" s="112">
        <f>IFERROR(CS24/CR24-1,0)</f>
        <v>7.5355157504632508E-2</v>
      </c>
      <c r="CV24" s="112">
        <f>IFERROR(CS24/CT24-1,0)</f>
        <v>-0.11331805449452503</v>
      </c>
      <c r="CX24" s="125" t="s">
        <v>273</v>
      </c>
      <c r="CY24" s="114">
        <f>G24</f>
        <v>3482</v>
      </c>
      <c r="CZ24" s="114"/>
      <c r="DA24" s="114"/>
      <c r="DB24" s="114"/>
      <c r="DC24" s="114"/>
      <c r="DD24" s="114"/>
      <c r="DE24" s="114"/>
      <c r="DF24" s="114"/>
      <c r="DG24" s="114"/>
      <c r="DH24" s="114"/>
      <c r="DI24" s="114">
        <f>CS24</f>
        <v>3482</v>
      </c>
    </row>
    <row r="25" spans="2:114" customFormat="1" ht="9.9499999999999993" customHeight="1" x14ac:dyDescent="0.25">
      <c r="C25" s="120"/>
      <c r="D25" s="120"/>
      <c r="E25" s="120"/>
      <c r="F25" s="120"/>
      <c r="G25" s="120"/>
      <c r="H25" s="120"/>
      <c r="L25" s="120"/>
      <c r="M25" s="120"/>
      <c r="N25" s="120"/>
      <c r="O25" s="120"/>
      <c r="P25" s="120"/>
      <c r="Q25" s="120"/>
      <c r="U25" s="120"/>
      <c r="V25" s="120"/>
      <c r="W25" s="120"/>
      <c r="X25" s="120"/>
      <c r="Y25" s="120"/>
      <c r="Z25" s="120"/>
      <c r="AD25" s="120"/>
      <c r="AE25" s="120"/>
      <c r="AF25" s="120"/>
      <c r="AG25" s="120"/>
      <c r="AH25" s="120"/>
      <c r="AI25" s="120"/>
      <c r="AM25" s="121"/>
      <c r="AN25" s="121"/>
      <c r="AO25" s="121"/>
      <c r="AP25" s="121"/>
      <c r="AQ25" s="121"/>
      <c r="AR25" s="121"/>
      <c r="AV25" s="120"/>
      <c r="AW25" s="120"/>
      <c r="AX25" s="120"/>
      <c r="AY25" s="120"/>
      <c r="AZ25" s="120"/>
      <c r="BA25" s="120"/>
      <c r="BE25" s="120"/>
      <c r="BF25" s="120"/>
      <c r="BG25" s="120"/>
      <c r="BH25" s="120"/>
      <c r="BI25" s="120"/>
      <c r="BJ25" s="120"/>
      <c r="BN25" s="120"/>
      <c r="BO25" s="120"/>
      <c r="BP25" s="120"/>
      <c r="BQ25" s="120"/>
      <c r="BR25" s="120"/>
      <c r="BS25" s="120"/>
      <c r="BW25" s="120"/>
      <c r="BX25" s="120"/>
      <c r="BY25" s="120"/>
      <c r="BZ25" s="120"/>
      <c r="CA25" s="120"/>
      <c r="CB25" s="120"/>
      <c r="CF25" s="120"/>
      <c r="CG25" s="120"/>
      <c r="CH25" s="120"/>
      <c r="CI25" s="120"/>
      <c r="CJ25" s="120"/>
      <c r="CK25" s="120"/>
      <c r="CO25" s="120"/>
      <c r="CP25" s="120"/>
      <c r="CQ25" s="120"/>
      <c r="CR25" s="120"/>
      <c r="CS25" s="120"/>
      <c r="CT25" s="120"/>
    </row>
    <row r="26" spans="2:114" ht="20.100000000000001" customHeight="1" x14ac:dyDescent="0.2">
      <c r="B26" s="124" t="s">
        <v>274</v>
      </c>
      <c r="C26" s="117">
        <f t="shared" ref="C26:G26" si="62">SUM(C14,C18,C20,C22,C24)</f>
        <v>3475</v>
      </c>
      <c r="D26" s="117">
        <f t="shared" si="62"/>
        <v>3229</v>
      </c>
      <c r="E26" s="117">
        <f>SUM(E14,E18,E20,E22,E24)</f>
        <v>2466</v>
      </c>
      <c r="F26" s="117">
        <f t="shared" si="62"/>
        <v>29025</v>
      </c>
      <c r="G26" s="117">
        <f t="shared" si="62"/>
        <v>29158</v>
      </c>
      <c r="H26" s="117">
        <f>SUM(H14,H18,H20,H22,H24)</f>
        <v>27040</v>
      </c>
      <c r="I26" s="112">
        <f>IFERROR(G26/F26-1,0)</f>
        <v>4.5822566752800054E-3</v>
      </c>
      <c r="J26" s="112">
        <f>IFERROR(G26/H26-1,0)</f>
        <v>7.8328402366864003E-2</v>
      </c>
      <c r="L26" s="117">
        <f t="shared" ref="L26:P26" si="63">SUM(L14,L18,L20,L22,L24)</f>
        <v>131</v>
      </c>
      <c r="M26" s="117">
        <f t="shared" si="63"/>
        <v>147</v>
      </c>
      <c r="N26" s="117">
        <f>SUM(N14,N18,N20,N22,N24)</f>
        <v>90</v>
      </c>
      <c r="O26" s="117">
        <f t="shared" si="63"/>
        <v>1409</v>
      </c>
      <c r="P26" s="117">
        <f t="shared" si="63"/>
        <v>1453</v>
      </c>
      <c r="Q26" s="117">
        <f>SUM(Q14,Q18,Q20,Q22,Q24)</f>
        <v>1295</v>
      </c>
      <c r="R26" s="105">
        <f>P26/O26-1</f>
        <v>3.1227821149751644E-2</v>
      </c>
      <c r="S26" s="105">
        <f>P26/Q26-1</f>
        <v>0.12200772200772203</v>
      </c>
      <c r="U26" s="117">
        <f t="shared" ref="U26:Y26" si="64">SUM(U14,U18,U20,U22,U24)</f>
        <v>190</v>
      </c>
      <c r="V26" s="117">
        <f t="shared" si="64"/>
        <v>153</v>
      </c>
      <c r="W26" s="117">
        <f>SUM(W14,W18,W20,W22,W24)</f>
        <v>150</v>
      </c>
      <c r="X26" s="117">
        <f t="shared" si="64"/>
        <v>2113</v>
      </c>
      <c r="Y26" s="117">
        <f t="shared" si="64"/>
        <v>1814</v>
      </c>
      <c r="Z26" s="117">
        <f>SUM(Z14,Z18,Z20,Z22,Z24)</f>
        <v>1648</v>
      </c>
      <c r="AA26" s="105">
        <f>Y26/X26-1</f>
        <v>-0.14150496923805012</v>
      </c>
      <c r="AB26" s="105">
        <f>Y26/Z26-1</f>
        <v>0.10072815533980584</v>
      </c>
      <c r="AD26" s="117">
        <f t="shared" ref="AD26:AH26" si="65">SUM(AD14,AD18,AD20,AD22,AD24)</f>
        <v>42</v>
      </c>
      <c r="AE26" s="117">
        <f t="shared" si="65"/>
        <v>42</v>
      </c>
      <c r="AF26" s="117">
        <f>SUM(AF14,AF18,AF20,AF22,AF24)</f>
        <v>67</v>
      </c>
      <c r="AG26" s="117">
        <f t="shared" si="65"/>
        <v>463</v>
      </c>
      <c r="AH26" s="117">
        <f t="shared" si="65"/>
        <v>448</v>
      </c>
      <c r="AI26" s="117">
        <f>SUM(AI14,AI18,AI20,AI22,AI24)</f>
        <v>415</v>
      </c>
      <c r="AJ26" s="105">
        <f>AH26/AG26-1</f>
        <v>-3.2397408207343381E-2</v>
      </c>
      <c r="AK26" s="105">
        <f>AH26/AI26-1</f>
        <v>7.9518072289156638E-2</v>
      </c>
      <c r="AM26" s="117">
        <f t="shared" ref="AM26:AQ26" si="66">SUM(AM14,AM18,AM20,AM22,AM24)</f>
        <v>39</v>
      </c>
      <c r="AN26" s="117">
        <f t="shared" si="66"/>
        <v>11</v>
      </c>
      <c r="AO26" s="117">
        <f>SUM(AO14,AO18,AO20,AO22,AO24)</f>
        <v>24</v>
      </c>
      <c r="AP26" s="117">
        <f t="shared" si="66"/>
        <v>281</v>
      </c>
      <c r="AQ26" s="117">
        <f t="shared" si="66"/>
        <v>218</v>
      </c>
      <c r="AR26" s="117">
        <f>SUM(AR14,AR18,AR20,AR22,AR24)</f>
        <v>172</v>
      </c>
      <c r="AS26" s="105">
        <f>AQ26/AP26-1</f>
        <v>-0.22419928825622781</v>
      </c>
      <c r="AT26" s="105">
        <f>AQ26/AR26-1</f>
        <v>0.26744186046511631</v>
      </c>
      <c r="AV26" s="117">
        <f t="shared" ref="AV26:AZ26" si="67">SUM(AV14,AV18,AV20,AV22,AV24)</f>
        <v>66</v>
      </c>
      <c r="AW26" s="117">
        <f t="shared" si="67"/>
        <v>82</v>
      </c>
      <c r="AX26" s="117">
        <f>SUM(AX14,AX18,AX20,AX22,AX24)</f>
        <v>55</v>
      </c>
      <c r="AY26" s="117">
        <f t="shared" si="67"/>
        <v>649</v>
      </c>
      <c r="AZ26" s="117">
        <f t="shared" si="67"/>
        <v>791</v>
      </c>
      <c r="BA26" s="117">
        <f>SUM(BA14,BA18,BA20,BA22,BA24)</f>
        <v>680</v>
      </c>
      <c r="BB26" s="105">
        <f>AZ26/AY26-1</f>
        <v>0.21879815100154087</v>
      </c>
      <c r="BC26" s="105">
        <f>AZ26/BA26-1</f>
        <v>0.16323529411764715</v>
      </c>
      <c r="BE26" s="117">
        <f t="shared" ref="BE26:BI26" si="68">SUM(BE14,BE18,BE20,BE22,BE24)</f>
        <v>19</v>
      </c>
      <c r="BF26" s="117">
        <f t="shared" si="68"/>
        <v>26</v>
      </c>
      <c r="BG26" s="117">
        <f>SUM(BG14,BG18,BG20,BG22,BG24)</f>
        <v>9</v>
      </c>
      <c r="BH26" s="117">
        <f t="shared" si="68"/>
        <v>205</v>
      </c>
      <c r="BI26" s="117">
        <f t="shared" si="68"/>
        <v>196</v>
      </c>
      <c r="BJ26" s="117">
        <f>SUM(BJ14,BJ18,BJ20,BJ22,BJ24)</f>
        <v>194</v>
      </c>
      <c r="BK26" s="105">
        <f>BI26/BH26-1</f>
        <v>-4.3902439024390283E-2</v>
      </c>
      <c r="BL26" s="105">
        <f>BI26/BJ26-1</f>
        <v>1.0309278350515427E-2</v>
      </c>
      <c r="BN26" s="117">
        <f t="shared" ref="BN26:BS26" si="69">SUM(BN14,BN18,BN20,BN22,BN24)</f>
        <v>20</v>
      </c>
      <c r="BO26" s="117">
        <f t="shared" si="69"/>
        <v>10</v>
      </c>
      <c r="BP26" s="117">
        <f t="shared" si="69"/>
        <v>11</v>
      </c>
      <c r="BQ26" s="117">
        <f t="shared" si="69"/>
        <v>238</v>
      </c>
      <c r="BR26" s="117">
        <f t="shared" si="69"/>
        <v>121</v>
      </c>
      <c r="BS26" s="117">
        <f t="shared" si="69"/>
        <v>173</v>
      </c>
      <c r="BT26" s="105">
        <f>BR26/BQ26-1</f>
        <v>-0.49159663865546221</v>
      </c>
      <c r="BU26" s="105">
        <f>BR26/BS26-1</f>
        <v>-0.30057803468208089</v>
      </c>
      <c r="BW26" s="117">
        <f t="shared" ref="BW26:CA26" si="70">SUM(BW14,BW18,BW20,BW22,BW24)</f>
        <v>23</v>
      </c>
      <c r="BX26" s="117">
        <f t="shared" si="70"/>
        <v>29</v>
      </c>
      <c r="BY26" s="117">
        <f>SUM(BY14,BY18,BY20,BY22,BY24)</f>
        <v>24</v>
      </c>
      <c r="BZ26" s="117">
        <f t="shared" si="70"/>
        <v>255</v>
      </c>
      <c r="CA26" s="117">
        <f t="shared" si="70"/>
        <v>252</v>
      </c>
      <c r="CB26" s="117">
        <f>SUM(CB14,CB18,CB20,CB22,CB24)</f>
        <v>212</v>
      </c>
      <c r="CC26" s="105">
        <f>CA26/BZ26-1</f>
        <v>-1.1764705882352899E-2</v>
      </c>
      <c r="CD26" s="105">
        <f>CA26/CB26-1</f>
        <v>0.18867924528301883</v>
      </c>
      <c r="CF26" s="117">
        <f t="shared" ref="CF26:CJ26" si="71">SUM(CF14,CF18,CF20,CF22,CF24)</f>
        <v>9</v>
      </c>
      <c r="CG26" s="117">
        <f t="shared" si="71"/>
        <v>3</v>
      </c>
      <c r="CH26" s="117">
        <f>SUM(CH14,CH18,CH20,CH22,CH24)</f>
        <v>11</v>
      </c>
      <c r="CI26" s="117">
        <f t="shared" si="71"/>
        <v>108</v>
      </c>
      <c r="CJ26" s="117">
        <f t="shared" si="71"/>
        <v>111</v>
      </c>
      <c r="CK26" s="117">
        <f>SUM(CK14,CK18,CK20,CK22,CK24)</f>
        <v>85</v>
      </c>
      <c r="CL26" s="105">
        <f>CJ26/CI26-1</f>
        <v>2.7777777777777679E-2</v>
      </c>
      <c r="CM26" s="105">
        <f>CJ26/CK26-1</f>
        <v>0.30588235294117649</v>
      </c>
      <c r="CO26" s="117">
        <f t="shared" ref="CO26:CS26" si="72">SUM(CO14,CO18,CO20,CO22,CO24)</f>
        <v>4014</v>
      </c>
      <c r="CP26" s="117">
        <f t="shared" si="72"/>
        <v>3732</v>
      </c>
      <c r="CQ26" s="117">
        <f>SUM(CQ14,CQ18,CQ20,CQ22,CQ24)</f>
        <v>2907</v>
      </c>
      <c r="CR26" s="117">
        <f t="shared" si="72"/>
        <v>34746</v>
      </c>
      <c r="CS26" s="117">
        <f t="shared" si="72"/>
        <v>34562</v>
      </c>
      <c r="CT26" s="117">
        <f>SUM(CT14,CT18,CT20,CT22,CT24)</f>
        <v>31914</v>
      </c>
      <c r="CU26" s="112">
        <f>CS26/CR26-1</f>
        <v>-5.2955735912046942E-3</v>
      </c>
      <c r="CV26" s="112">
        <f>CS26/CT26-1</f>
        <v>8.2972989910384154E-2</v>
      </c>
      <c r="CX26" s="124" t="s">
        <v>274</v>
      </c>
      <c r="CY26" s="114">
        <f>G26</f>
        <v>29158</v>
      </c>
      <c r="CZ26" s="114">
        <f>P26</f>
        <v>1453</v>
      </c>
      <c r="DA26" s="114">
        <f>Y26</f>
        <v>1814</v>
      </c>
      <c r="DB26" s="114">
        <f>AH26</f>
        <v>448</v>
      </c>
      <c r="DC26" s="114">
        <f>AQ26</f>
        <v>218</v>
      </c>
      <c r="DD26" s="114">
        <f>AZ26</f>
        <v>791</v>
      </c>
      <c r="DE26" s="114">
        <f>BI26</f>
        <v>196</v>
      </c>
      <c r="DF26" s="114">
        <f>BR26</f>
        <v>121</v>
      </c>
      <c r="DG26" s="114">
        <f>CA26</f>
        <v>252</v>
      </c>
      <c r="DH26" s="114">
        <f>CJ26</f>
        <v>111</v>
      </c>
      <c r="DI26" s="114">
        <f>CS26</f>
        <v>34562</v>
      </c>
    </row>
    <row r="27" spans="2:114" ht="18" customHeight="1" x14ac:dyDescent="0.2">
      <c r="C27" s="126"/>
      <c r="D27" s="126"/>
      <c r="E27" s="126"/>
      <c r="F27" s="126"/>
      <c r="G27" s="126"/>
      <c r="H27" s="126"/>
      <c r="J27" s="127"/>
    </row>
    <row r="28" spans="2:114" s="129" customFormat="1" ht="18" customHeight="1" x14ac:dyDescent="0.2">
      <c r="B28" s="128" t="s">
        <v>275</v>
      </c>
      <c r="CY28" s="130"/>
      <c r="CZ28" s="130"/>
      <c r="DA28" s="130"/>
      <c r="DB28" s="130"/>
      <c r="DC28" s="130"/>
      <c r="DD28" s="130"/>
      <c r="DE28" s="130"/>
      <c r="DF28" s="130"/>
      <c r="DG28" s="130"/>
      <c r="DH28" s="130"/>
      <c r="DI28" s="130"/>
      <c r="DJ28" s="130"/>
    </row>
    <row r="29" spans="2:114" s="129" customFormat="1" ht="18" customHeight="1" x14ac:dyDescent="0.2"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</row>
    <row r="30" spans="2:114" s="129" customFormat="1" ht="18" customHeight="1" x14ac:dyDescent="0.2">
      <c r="B30" s="131" t="s">
        <v>276</v>
      </c>
      <c r="C30" s="132" t="s">
        <v>277</v>
      </c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</row>
    <row r="31" spans="2:114" s="129" customFormat="1" ht="18" customHeight="1" x14ac:dyDescent="0.2">
      <c r="B31" s="131" t="s">
        <v>278</v>
      </c>
      <c r="C31" s="132" t="s">
        <v>279</v>
      </c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</row>
    <row r="32" spans="2:114" s="129" customFormat="1" ht="18" customHeight="1" x14ac:dyDescent="0.2">
      <c r="B32" s="131" t="s">
        <v>280</v>
      </c>
      <c r="C32" s="132" t="s">
        <v>281</v>
      </c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</row>
    <row r="33" spans="2:114" s="129" customFormat="1" ht="18" customHeight="1" x14ac:dyDescent="0.2">
      <c r="B33" s="131" t="s">
        <v>282</v>
      </c>
      <c r="C33" s="132" t="s">
        <v>283</v>
      </c>
      <c r="CY33" s="130"/>
      <c r="CZ33" s="130"/>
      <c r="DA33" s="130"/>
      <c r="DB33" s="130"/>
      <c r="DC33" s="130"/>
      <c r="DD33" s="130"/>
      <c r="DE33" s="130"/>
      <c r="DF33" s="130"/>
      <c r="DG33" s="130"/>
      <c r="DH33" s="130"/>
      <c r="DI33" s="130"/>
      <c r="DJ33" s="130"/>
    </row>
    <row r="34" spans="2:114" s="129" customFormat="1" ht="18" customHeight="1" x14ac:dyDescent="0.2">
      <c r="CY34" s="130"/>
      <c r="CZ34" s="130"/>
      <c r="DA34" s="130"/>
      <c r="DB34" s="130"/>
      <c r="DC34" s="130"/>
      <c r="DD34" s="130"/>
      <c r="DE34" s="130"/>
      <c r="DF34" s="130"/>
      <c r="DG34" s="130"/>
      <c r="DH34" s="130"/>
      <c r="DI34" s="130"/>
      <c r="DJ34" s="130"/>
    </row>
  </sheetData>
  <mergeCells count="45">
    <mergeCell ref="CR6:CS6"/>
    <mergeCell ref="CU6:CU7"/>
    <mergeCell ref="CV6:CV7"/>
    <mergeCell ref="CD6:CD7"/>
    <mergeCell ref="CF6:CG6"/>
    <mergeCell ref="CI6:CJ6"/>
    <mergeCell ref="CL6:CL7"/>
    <mergeCell ref="CM6:CM7"/>
    <mergeCell ref="CO6:CP6"/>
    <mergeCell ref="CC6:CC7"/>
    <mergeCell ref="BC6:BC7"/>
    <mergeCell ref="BE6:BF6"/>
    <mergeCell ref="BH6:BI6"/>
    <mergeCell ref="BK6:BK7"/>
    <mergeCell ref="BL6:BL7"/>
    <mergeCell ref="BN6:BO6"/>
    <mergeCell ref="BQ6:BR6"/>
    <mergeCell ref="BT6:BT7"/>
    <mergeCell ref="BU6:BU7"/>
    <mergeCell ref="BW6:BX6"/>
    <mergeCell ref="BZ6:CA6"/>
    <mergeCell ref="BB6:BB7"/>
    <mergeCell ref="AB6:AB7"/>
    <mergeCell ref="AD6:AE6"/>
    <mergeCell ref="AG6:AH6"/>
    <mergeCell ref="AJ6:AJ7"/>
    <mergeCell ref="AK6:AK7"/>
    <mergeCell ref="AM6:AN6"/>
    <mergeCell ref="AP6:AQ6"/>
    <mergeCell ref="AS6:AS7"/>
    <mergeCell ref="AT6:AT7"/>
    <mergeCell ref="AV6:AW6"/>
    <mergeCell ref="AY6:AZ6"/>
    <mergeCell ref="AA6:AA7"/>
    <mergeCell ref="B6:B7"/>
    <mergeCell ref="C6:D6"/>
    <mergeCell ref="F6:G6"/>
    <mergeCell ref="I6:I7"/>
    <mergeCell ref="J6:J7"/>
    <mergeCell ref="L6:M6"/>
    <mergeCell ref="O6:P6"/>
    <mergeCell ref="R6:R7"/>
    <mergeCell ref="S6:S7"/>
    <mergeCell ref="U6:V6"/>
    <mergeCell ref="X6:Y6"/>
  </mergeCells>
  <conditionalFormatting sqref="I8:J14 R8:S14 AA8:AB14 AJ8:AK14 AS8:AT14 BB8:BC14 BK8:BL14 BT8:BU14 CC8:CD14 CL8:CM14 CU8:CV14 BQ13 I16:J18 CU16:CV18 AJ18:AK18 AS18:AT18 BB18:BC18 BK18:BL18 BT18:BU18 CC18:CD18 CL18:CM18 I20:J20 AA20:AB20 AJ20:AK20 AS20:AT20 BB20:BC20 BK20:BL20 BT20:BU20 CC20:CD20 CL20:CM20 CU20:CV20 I22:J22 CU22:CV22 I24:J24 CU24:CV24 I26:J26 R26:S26 AA26:AB26 AJ26:AK26 AS26:AT26 BB26:BC26 BK26:BL26 BT26:BU26 CC26:CD26 CL26:CM26 CU26:CV2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3" ma:contentTypeDescription="Create a new document." ma:contentTypeScope="" ma:versionID="513358677d6129c030b60c4b13cc02ec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fc7efebb46a19e871c1e7f9a87b17625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jectL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rojectLead" ma:index="20" nillable="true" ma:displayName="Project Lead" ma:format="Dropdown" ma:list="UserInfo" ma:SharePointGroup="0" ma:internalName="ProjectLea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  <ProjectLead xmlns="567ba4dc-eaa4-4764-9078-86fe8f265db1">
      <UserInfo>
        <DisplayName/>
        <AccountId xsi:nil="true"/>
        <AccountType/>
      </UserInfo>
    </ProjectLead>
  </documentManagement>
</p:properties>
</file>

<file path=customXml/itemProps1.xml><?xml version="1.0" encoding="utf-8"?>
<ds:datastoreItem xmlns:ds="http://schemas.openxmlformats.org/officeDocument/2006/customXml" ds:itemID="{3687A384-0185-4D35-8DF8-8B5E903395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78D777-65DD-4FD7-82D2-5C6C0E87810A}"/>
</file>

<file path=customXml/itemProps3.xml><?xml version="1.0" encoding="utf-8"?>
<ds:datastoreItem xmlns:ds="http://schemas.openxmlformats.org/officeDocument/2006/customXml" ds:itemID="{564A0AA4-47CC-44E7-9981-63F1A6097171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 1- Month Sales Templat</vt:lpstr>
      <vt:lpstr>Template 2- Product wise</vt:lpstr>
      <vt:lpstr>Template 3- Geographical Region</vt:lpstr>
      <vt:lpstr>Template 4- Daily Sales Templat</vt:lpstr>
      <vt:lpstr>Reported Qty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Sathyanarayanan</dc:creator>
  <cp:lastModifiedBy>Vasanth Kumar</cp:lastModifiedBy>
  <dcterms:created xsi:type="dcterms:W3CDTF">2026-03-08T09:44:00Z</dcterms:created>
  <dcterms:modified xsi:type="dcterms:W3CDTF">2026-05-13T09:49:36Z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</Properties>
</file>